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"/>
    </mc:Choice>
  </mc:AlternateContent>
  <xr:revisionPtr revIDLastSave="0" documentId="13_ncr:1_{E2859D4C-46CF-4AD1-9285-11056153EF73}" xr6:coauthVersionLast="47" xr6:coauthVersionMax="47" xr10:uidLastSave="{00000000-0000-0000-0000-000000000000}"/>
  <bookViews>
    <workbookView xWindow="-108" yWindow="-108" windowWidth="23256" windowHeight="12456" activeTab="1" xr2:uid="{1BA49C52-5BE4-4D7F-9858-306ADBED693A}"/>
  </bookViews>
  <sheets>
    <sheet name="ÍNDICE E CORRESP" sheetId="1" r:id="rId1"/>
    <sheet name="DATA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C36" i="2"/>
  <c r="C33" i="2"/>
  <c r="C30" i="2"/>
  <c r="C27" i="2"/>
  <c r="C3" i="2"/>
  <c r="C24" i="2"/>
  <c r="C21" i="2"/>
  <c r="C18" i="2"/>
  <c r="C15" i="2"/>
  <c r="C14" i="2"/>
  <c r="J10" i="2"/>
  <c r="J11" i="2"/>
  <c r="J9" i="2"/>
  <c r="C11" i="2"/>
  <c r="C10" i="2"/>
  <c r="C9" i="2"/>
  <c r="F13" i="1"/>
  <c r="E15" i="1"/>
  <c r="F15" i="1" s="1" a="1"/>
  <c r="F15" i="1" s="1"/>
  <c r="C13" i="1"/>
  <c r="C15" i="1" a="1"/>
  <c r="C15" i="1" s="1"/>
  <c r="B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<sst xmlns="http://schemas.openxmlformats.org/spreadsheetml/2006/main" count="89" uniqueCount="72">
  <si>
    <t>Nome</t>
  </si>
  <si>
    <t>Idade</t>
  </si>
  <si>
    <t>Sexo</t>
  </si>
  <si>
    <t>Função</t>
  </si>
  <si>
    <t>Salário</t>
  </si>
  <si>
    <t>Aldair</t>
  </si>
  <si>
    <t>Débora</t>
  </si>
  <si>
    <t>Gabrielly</t>
  </si>
  <si>
    <t>Marcela</t>
  </si>
  <si>
    <t>Thaíssa</t>
  </si>
  <si>
    <t>Viviane</t>
  </si>
  <si>
    <t>Masculino</t>
  </si>
  <si>
    <t>Marlon</t>
  </si>
  <si>
    <t>Feminino</t>
  </si>
  <si>
    <t>Balconista</t>
  </si>
  <si>
    <t>Atendente</t>
  </si>
  <si>
    <t>Vendedora</t>
  </si>
  <si>
    <t>Analista</t>
  </si>
  <si>
    <t>Brigadista</t>
  </si>
  <si>
    <t>Recepcionista</t>
  </si>
  <si>
    <t>Empresária</t>
  </si>
  <si>
    <t xml:space="preserve">ÍNDICE() = CORRESP()  </t>
  </si>
  <si>
    <t>CORRESP</t>
  </si>
  <si>
    <t>ÍNDICE</t>
  </si>
  <si>
    <t>DATA</t>
  </si>
  <si>
    <t>DATA(1988;12;6)</t>
  </si>
  <si>
    <t>DATA(1999;3;14)</t>
  </si>
  <si>
    <t>DATA(2020;9;30)</t>
  </si>
  <si>
    <t>GERAL</t>
  </si>
  <si>
    <t>GERAL (Sem formato específico)</t>
  </si>
  <si>
    <t>DATADIF</t>
  </si>
  <si>
    <t>06/12/1988 - 14/03/1999</t>
  </si>
  <si>
    <t>06/12/1988 - 30/09/2020</t>
  </si>
  <si>
    <t>CRIAR UMA DATA</t>
  </si>
  <si>
    <t>DIA</t>
  </si>
  <si>
    <t>MÊS</t>
  </si>
  <si>
    <t>ANO</t>
  </si>
  <si>
    <t>RESULTADO</t>
  </si>
  <si>
    <t>FÓRMULA</t>
  </si>
  <si>
    <t>DATA(L7;K7;J7)</t>
  </si>
  <si>
    <t>DATA(L6;K6;J6)</t>
  </si>
  <si>
    <t>DATA(L8;K8;J8)</t>
  </si>
  <si>
    <t>DATADIF("06/12/1988";"14/03/1999";"d")</t>
  </si>
  <si>
    <t>DATADIF("06/12/1988";"30/09/2020";"d")</t>
  </si>
  <si>
    <t>Demais exemplos no material de apoio:</t>
  </si>
  <si>
    <t>DIA("06/12/1988")</t>
  </si>
  <si>
    <t>MES("06/12/1988")</t>
  </si>
  <si>
    <t>ANO("06/12/1988")</t>
  </si>
  <si>
    <t>AGORA</t>
  </si>
  <si>
    <t>AGORA()</t>
  </si>
  <si>
    <t>HORA</t>
  </si>
  <si>
    <t>MINUTO</t>
  </si>
  <si>
    <t>SEGUNDO</t>
  </si>
  <si>
    <t>HORA("09:32:01")</t>
  </si>
  <si>
    <t>MINUTO("09:32:01")</t>
  </si>
  <si>
    <t>SEGUNDO("09:32:01")</t>
  </si>
  <si>
    <t>DIA DA SEMANA</t>
  </si>
  <si>
    <t>DIA.DA.SEMANA("06/12/1988")</t>
  </si>
  <si>
    <t>TEMPO</t>
  </si>
  <si>
    <t>TEMPO(hora;minuto;segundo)</t>
  </si>
  <si>
    <t>TEMPO(16;21;36)</t>
  </si>
  <si>
    <t>ID,Vendedor,Vendas,Quantidade,Preco_Unitario,ID_Par,Vendas_Inteiras,Vendas_Arred,Bonus_Aleatorio,Score_Performance,Log_Vendas</t>
  </si>
  <si>
    <t>1,Ana,1250.45,5,250.09,False,1250,1250.4,88,0.459249,7.131259</t>
  </si>
  <si>
    <t>2,Bruno,2300.6,10,230.06,True,2300,2300.6,78,0.333709,7.740925</t>
  </si>
  <si>
    <t>3,Ana,1100.2,4,275.05,False,1100,1100.2,64,0.142867,7.003247</t>
  </si>
  <si>
    <t>4,Carlos,4500.8,15,300.05,True,4500,4500.8,92,0.650888,8.41201</t>
  </si>
  <si>
    <t>5,Bruno,2100.15,8,262.52,False,2100,2100.2,57,0.056412,7.649764</t>
  </si>
  <si>
    <t>6,Ana,3200.5,12,266.71,True,3200,3200.5,71,0.721999,8.071063</t>
  </si>
  <si>
    <t>7,Carlos,1500.9,6,250.15,False,1500,1500.9,70,0.000779,7.313817</t>
  </si>
  <si>
    <t>8,Ana,2800.3,11,254.57,True,2800,2800.3,92,0.302333,7.937479</t>
  </si>
  <si>
    <t>9,Bruno,1900.75,7,271.54,False,1900,1900.8,89,0.662522,7.550005</t>
  </si>
  <si>
    <t>10,Carlos,4100.4,14,292.89,True,4100,4100.4,100,0.181156,8.31884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</si>
</sst>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22" fontId="0" fillId="0" borderId="1" xfId="0" applyNumberFormat="1" applyBorder="1"/>
    <xf numFmtId="21" fontId="0" fillId="0" borderId="1" xfId="0" applyNumberFormat="1" applyBorder="1"/>
    <xf numFmtId="18" fontId="0" fillId="0" borderId="1" xfId="0" applyNumberFormat="1" applyBorder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97D0E-61BD-4101-B2C4-8F6841B59F68}" name="Tabela1" displayName="Tabela1" ref="B3:F10" totalsRowShown="0" headerRowDxfId="6" dataDxfId="5">
  <autoFilter ref="B3:F10" xr:uid="{90697D0E-61BD-4101-B2C4-8F6841B59F68}"/>
  <tableColumns count="5">
    <tableColumn id="1" xr3:uid="{62B590D5-B579-40AA-9E2C-82E7A81D59A2}" name="Nome" dataDxfId="4"/>
    <tableColumn id="2" xr3:uid="{99B554D7-E948-4B82-99CD-83C043538D50}" name="Idade" dataDxfId="3"/>
    <tableColumn id="3" xr3:uid="{796F9282-7DAA-47E9-9AB7-A5F315BC14DA}" name="Sexo" dataDxfId="2"/>
    <tableColumn id="4" xr3:uid="{ACFD807D-05D1-401F-85B0-C029AF6CB70F}" name="Função" dataDxfId="1"/>
    <tableColumn id="5" xr3:uid="{BA716B69-5043-48D6-8F7C-6B47293CCF8D}" name="Salário" dataDxfId="0" dataCellStyle="Mo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4D82-4A14-46F0-877E-6EBAF398404F}">
  <dimension ref="B2:F15"/>
  <sheetViews>
    <sheetView workbookViewId="0">
      <selection activeCell="B2" sqref="B2:F15"/>
    </sheetView>
  </sheetViews>
  <sheetFormatPr defaultRowHeight="14.4" x14ac:dyDescent="0.3"/>
  <cols>
    <col min="2" max="6" width="13" style="1" customWidth="1"/>
  </cols>
  <sheetData>
    <row r="2" spans="2:6" x14ac:dyDescent="0.3">
      <c r="B2" s="13" t="s">
        <v>21</v>
      </c>
      <c r="C2" s="13"/>
      <c r="D2" s="13"/>
      <c r="E2" s="13"/>
      <c r="F2" s="13"/>
    </row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">
      <c r="B4" s="1" t="s">
        <v>5</v>
      </c>
      <c r="C4" s="1">
        <v>26</v>
      </c>
      <c r="D4" s="1" t="s">
        <v>11</v>
      </c>
      <c r="E4" s="1" t="s">
        <v>14</v>
      </c>
      <c r="F4" s="6">
        <v>2800</v>
      </c>
    </row>
    <row r="5" spans="2:6" x14ac:dyDescent="0.3">
      <c r="B5" s="1" t="s">
        <v>6</v>
      </c>
      <c r="C5" s="1">
        <v>39</v>
      </c>
      <c r="D5" s="1" t="s">
        <v>13</v>
      </c>
      <c r="E5" s="1" t="s">
        <v>15</v>
      </c>
      <c r="F5" s="6">
        <v>1900</v>
      </c>
    </row>
    <row r="6" spans="2:6" x14ac:dyDescent="0.3">
      <c r="B6" s="1" t="s">
        <v>7</v>
      </c>
      <c r="C6" s="1">
        <v>20</v>
      </c>
      <c r="D6" s="1" t="s">
        <v>13</v>
      </c>
      <c r="E6" s="1" t="s">
        <v>16</v>
      </c>
      <c r="F6" s="6">
        <v>1900</v>
      </c>
    </row>
    <row r="7" spans="2:6" x14ac:dyDescent="0.3">
      <c r="B7" s="1" t="s">
        <v>8</v>
      </c>
      <c r="C7" s="1">
        <v>37</v>
      </c>
      <c r="D7" s="1" t="s">
        <v>13</v>
      </c>
      <c r="E7" s="1" t="s">
        <v>17</v>
      </c>
      <c r="F7" s="6">
        <v>3500</v>
      </c>
    </row>
    <row r="8" spans="2:6" x14ac:dyDescent="0.3">
      <c r="B8" s="1" t="s">
        <v>12</v>
      </c>
      <c r="C8" s="1">
        <v>38</v>
      </c>
      <c r="D8" s="1" t="s">
        <v>11</v>
      </c>
      <c r="E8" s="1" t="s">
        <v>18</v>
      </c>
      <c r="F8" s="6">
        <v>5000</v>
      </c>
    </row>
    <row r="9" spans="2:6" x14ac:dyDescent="0.3">
      <c r="B9" s="1" t="s">
        <v>9</v>
      </c>
      <c r="C9" s="1">
        <v>22</v>
      </c>
      <c r="D9" s="1" t="s">
        <v>13</v>
      </c>
      <c r="E9" s="1" t="s">
        <v>19</v>
      </c>
      <c r="F9" s="6">
        <v>1600</v>
      </c>
    </row>
    <row r="10" spans="2:6" x14ac:dyDescent="0.3">
      <c r="B10" s="1" t="s">
        <v>10</v>
      </c>
      <c r="C10" s="1">
        <v>36</v>
      </c>
      <c r="D10" s="1" t="s">
        <v>13</v>
      </c>
      <c r="E10" s="1" t="s">
        <v>20</v>
      </c>
      <c r="F10" s="6">
        <v>3200</v>
      </c>
    </row>
    <row r="12" spans="2:6" x14ac:dyDescent="0.3">
      <c r="B12" s="3" t="s">
        <v>0</v>
      </c>
      <c r="C12" s="3" t="s">
        <v>4</v>
      </c>
      <c r="E12" s="3" t="s">
        <v>0</v>
      </c>
      <c r="F12" s="3" t="s">
        <v>1</v>
      </c>
    </row>
    <row r="13" spans="2:6" x14ac:dyDescent="0.3">
      <c r="B13" s="2" t="s">
        <v>5</v>
      </c>
      <c r="C13" s="5">
        <f>INDEX(Tabela1[Salário],MATCH(B13,Tabela1[Nome],0))</f>
        <v>2800</v>
      </c>
      <c r="E13" s="2" t="s">
        <v>7</v>
      </c>
      <c r="F13" s="2">
        <f>INDEX(Tabela1[Idade],MATCH(E13,Tabela1[Nome],0))</f>
        <v>20</v>
      </c>
    </row>
    <row r="14" spans="2:6" x14ac:dyDescent="0.3">
      <c r="B14" s="4" t="s">
        <v>22</v>
      </c>
      <c r="C14" s="4" t="s">
        <v>23</v>
      </c>
      <c r="E14" s="4" t="s">
        <v>22</v>
      </c>
      <c r="F14" s="4" t="s">
        <v>23</v>
      </c>
    </row>
    <row r="15" spans="2:6" x14ac:dyDescent="0.3">
      <c r="B15" s="2">
        <f>MATCH(B13,Tabela1[Nome],0)</f>
        <v>1</v>
      </c>
      <c r="C15" s="5" cm="1">
        <f t="array" ref="C15">INDEX(Tabela1[Salário],B15)</f>
        <v>2800</v>
      </c>
      <c r="E15" s="2">
        <f>MATCH(E13,Tabela1[Nome],0)</f>
        <v>3</v>
      </c>
      <c r="F15" s="2" cm="1">
        <f t="array" ref="F15">INDEX(Tabela1[Idade],E15)</f>
        <v>20</v>
      </c>
    </row>
  </sheetData>
  <mergeCells count="1">
    <mergeCell ref="B2:F2"/>
  </mergeCells>
  <dataValidations count="1">
    <dataValidation type="list" allowBlank="1" showInputMessage="1" showErrorMessage="1" sqref="E13" xr:uid="{D0EEC997-ED7D-47B6-ABC8-0D6B2F1A9C27}">
      <formula1>$B$4:$B$10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0D6A-78A4-485E-A87E-9EE52FCD89F3}">
  <dimension ref="B2:K39"/>
  <sheetViews>
    <sheetView tabSelected="1" zoomScale="85" zoomScaleNormal="85" workbookViewId="0">
      <selection activeCell="D31" sqref="D31"/>
    </sheetView>
  </sheetViews>
  <sheetFormatPr defaultRowHeight="14.4" x14ac:dyDescent="0.3"/>
  <cols>
    <col min="2" max="2" width="26.6640625" bestFit="1" customWidth="1"/>
    <col min="3" max="3" width="15.77734375" bestFit="1" customWidth="1"/>
    <col min="4" max="4" width="34.5546875" bestFit="1" customWidth="1"/>
    <col min="6" max="6" width="14.88671875" bestFit="1" customWidth="1"/>
    <col min="10" max="10" width="10.77734375" bestFit="1" customWidth="1"/>
    <col min="11" max="11" width="13.21875" bestFit="1" customWidth="1"/>
  </cols>
  <sheetData>
    <row r="2" spans="2:11" x14ac:dyDescent="0.3">
      <c r="B2" s="14" t="s">
        <v>36</v>
      </c>
      <c r="C2" s="14"/>
      <c r="D2" s="14"/>
    </row>
    <row r="3" spans="2:11" x14ac:dyDescent="0.3">
      <c r="B3" s="8" t="s">
        <v>48</v>
      </c>
      <c r="C3" s="10">
        <f ca="1">NOW()</f>
        <v>46040.038908796298</v>
      </c>
      <c r="D3" s="10" t="s">
        <v>49</v>
      </c>
    </row>
    <row r="5" spans="2:11" x14ac:dyDescent="0.3">
      <c r="B5" s="14" t="s">
        <v>28</v>
      </c>
      <c r="C5" s="14"/>
      <c r="D5" s="14"/>
    </row>
    <row r="6" spans="2:11" x14ac:dyDescent="0.3">
      <c r="B6" s="8">
        <v>32483</v>
      </c>
      <c r="C6" s="8">
        <v>32483</v>
      </c>
      <c r="D6" s="7" t="s">
        <v>29</v>
      </c>
    </row>
    <row r="8" spans="2:11" x14ac:dyDescent="0.3">
      <c r="B8" s="22" t="s">
        <v>24</v>
      </c>
      <c r="C8" s="23"/>
      <c r="D8" s="23"/>
      <c r="F8" s="9" t="s">
        <v>33</v>
      </c>
      <c r="G8" s="9" t="s">
        <v>34</v>
      </c>
      <c r="H8" s="9" t="s">
        <v>35</v>
      </c>
      <c r="I8" s="9" t="s">
        <v>36</v>
      </c>
      <c r="J8" s="9" t="s">
        <v>37</v>
      </c>
      <c r="K8" s="9" t="s">
        <v>38</v>
      </c>
    </row>
    <row r="9" spans="2:11" x14ac:dyDescent="0.3">
      <c r="B9" s="8">
        <v>32483</v>
      </c>
      <c r="C9" s="8">
        <f>DATE(1988,12,6)</f>
        <v>32483</v>
      </c>
      <c r="D9" s="8" t="s">
        <v>25</v>
      </c>
      <c r="F9" s="7"/>
      <c r="G9" s="7">
        <v>6</v>
      </c>
      <c r="H9" s="7">
        <v>12</v>
      </c>
      <c r="I9" s="7">
        <v>1988</v>
      </c>
      <c r="J9" s="8">
        <f>DATE(I9,H9,G9)</f>
        <v>32483</v>
      </c>
      <c r="K9" s="8" t="s">
        <v>40</v>
      </c>
    </row>
    <row r="10" spans="2:11" x14ac:dyDescent="0.3">
      <c r="B10" s="8">
        <v>36233</v>
      </c>
      <c r="C10" s="8">
        <f>DATE(1999,3,14)</f>
        <v>36233</v>
      </c>
      <c r="D10" s="8" t="s">
        <v>26</v>
      </c>
      <c r="F10" s="7"/>
      <c r="G10" s="7">
        <v>14</v>
      </c>
      <c r="H10" s="7">
        <v>3</v>
      </c>
      <c r="I10" s="7">
        <v>1999</v>
      </c>
      <c r="J10" s="8">
        <f t="shared" ref="J10:J11" si="0">DATE(I10,H10,G10)</f>
        <v>36233</v>
      </c>
      <c r="K10" s="8" t="s">
        <v>39</v>
      </c>
    </row>
    <row r="11" spans="2:11" x14ac:dyDescent="0.3">
      <c r="B11" s="8">
        <v>44104</v>
      </c>
      <c r="C11" s="8">
        <f>DATE(2020,9,30)</f>
        <v>44104</v>
      </c>
      <c r="D11" s="8" t="s">
        <v>27</v>
      </c>
      <c r="F11" s="7"/>
      <c r="G11" s="7">
        <v>30</v>
      </c>
      <c r="H11" s="7">
        <v>9</v>
      </c>
      <c r="I11" s="7">
        <v>2020</v>
      </c>
      <c r="J11" s="8">
        <f t="shared" si="0"/>
        <v>44104</v>
      </c>
      <c r="K11" s="8" t="s">
        <v>41</v>
      </c>
    </row>
    <row r="13" spans="2:11" x14ac:dyDescent="0.3">
      <c r="B13" s="22" t="s">
        <v>30</v>
      </c>
      <c r="C13" s="23"/>
      <c r="D13" s="23"/>
      <c r="F13" s="15" t="s">
        <v>44</v>
      </c>
      <c r="G13" s="15"/>
      <c r="H13" s="15"/>
      <c r="I13" s="15"/>
      <c r="J13" s="15"/>
      <c r="K13" s="15"/>
    </row>
    <row r="14" spans="2:11" x14ac:dyDescent="0.3">
      <c r="B14" s="7" t="s">
        <v>31</v>
      </c>
      <c r="C14" s="7">
        <f>DATEDIF("06/12/1988","14/03/1999","d")</f>
        <v>3750</v>
      </c>
      <c r="D14" s="7" t="s">
        <v>42</v>
      </c>
      <c r="F14" s="16"/>
      <c r="G14" s="17"/>
      <c r="H14" s="17"/>
      <c r="I14" s="17"/>
      <c r="J14" s="17"/>
      <c r="K14" s="18"/>
    </row>
    <row r="15" spans="2:11" x14ac:dyDescent="0.3">
      <c r="B15" s="7" t="s">
        <v>32</v>
      </c>
      <c r="C15" s="7">
        <f>DATEDIF("06/12/1988","30/09/2020","d")</f>
        <v>11621</v>
      </c>
      <c r="D15" s="7" t="s">
        <v>43</v>
      </c>
      <c r="F15" s="19"/>
      <c r="G15" s="20"/>
      <c r="H15" s="20"/>
      <c r="I15" s="20"/>
      <c r="J15" s="20"/>
      <c r="K15" s="21"/>
    </row>
    <row r="17" spans="2:4" x14ac:dyDescent="0.3">
      <c r="B17" s="14" t="s">
        <v>34</v>
      </c>
      <c r="C17" s="14"/>
      <c r="D17" s="14"/>
    </row>
    <row r="18" spans="2:4" x14ac:dyDescent="0.3">
      <c r="B18" s="8">
        <v>32483</v>
      </c>
      <c r="C18" s="7">
        <f>DAY("06/12/1988")</f>
        <v>6</v>
      </c>
      <c r="D18" s="7" t="s">
        <v>45</v>
      </c>
    </row>
    <row r="20" spans="2:4" x14ac:dyDescent="0.3">
      <c r="B20" s="14" t="s">
        <v>35</v>
      </c>
      <c r="C20" s="14"/>
      <c r="D20" s="14"/>
    </row>
    <row r="21" spans="2:4" x14ac:dyDescent="0.3">
      <c r="B21" s="8">
        <v>32483</v>
      </c>
      <c r="C21" s="7">
        <f>MONTH("06/12/1988")</f>
        <v>12</v>
      </c>
      <c r="D21" s="7" t="s">
        <v>46</v>
      </c>
    </row>
    <row r="23" spans="2:4" x14ac:dyDescent="0.3">
      <c r="B23" s="14" t="s">
        <v>36</v>
      </c>
      <c r="C23" s="14"/>
      <c r="D23" s="14"/>
    </row>
    <row r="24" spans="2:4" x14ac:dyDescent="0.3">
      <c r="B24" s="8">
        <v>32483</v>
      </c>
      <c r="C24" s="7">
        <f>YEAR("06/12/1988")</f>
        <v>1988</v>
      </c>
      <c r="D24" s="7" t="s">
        <v>47</v>
      </c>
    </row>
    <row r="26" spans="2:4" x14ac:dyDescent="0.3">
      <c r="B26" s="14" t="s">
        <v>50</v>
      </c>
      <c r="C26" s="14"/>
      <c r="D26" s="14"/>
    </row>
    <row r="27" spans="2:4" x14ac:dyDescent="0.3">
      <c r="B27" s="11">
        <v>0.39723379629629629</v>
      </c>
      <c r="C27" s="7">
        <f>HOUR("09:32:01")</f>
        <v>9</v>
      </c>
      <c r="D27" s="7" t="s">
        <v>53</v>
      </c>
    </row>
    <row r="29" spans="2:4" x14ac:dyDescent="0.3">
      <c r="B29" s="14" t="s">
        <v>51</v>
      </c>
      <c r="C29" s="14"/>
      <c r="D29" s="14"/>
    </row>
    <row r="30" spans="2:4" x14ac:dyDescent="0.3">
      <c r="B30" s="11">
        <v>0.39723379629629629</v>
      </c>
      <c r="C30" s="7">
        <f>MINUTE("09:32:01")</f>
        <v>32</v>
      </c>
      <c r="D30" s="7" t="s">
        <v>54</v>
      </c>
    </row>
    <row r="32" spans="2:4" x14ac:dyDescent="0.3">
      <c r="B32" s="14" t="s">
        <v>52</v>
      </c>
      <c r="C32" s="14"/>
      <c r="D32" s="14"/>
    </row>
    <row r="33" spans="2:4" x14ac:dyDescent="0.3">
      <c r="B33" s="11">
        <v>0.39723379629629629</v>
      </c>
      <c r="C33" s="7">
        <f>SECOND("09:32:01")</f>
        <v>1</v>
      </c>
      <c r="D33" s="7" t="s">
        <v>55</v>
      </c>
    </row>
    <row r="35" spans="2:4" x14ac:dyDescent="0.3">
      <c r="B35" s="14" t="s">
        <v>56</v>
      </c>
      <c r="C35" s="14"/>
      <c r="D35" s="14"/>
    </row>
    <row r="36" spans="2:4" x14ac:dyDescent="0.3">
      <c r="B36" s="8">
        <v>32483</v>
      </c>
      <c r="C36" s="7">
        <f>WEEKDAY("06/12/1988")</f>
        <v>3</v>
      </c>
      <c r="D36" s="7" t="s">
        <v>57</v>
      </c>
    </row>
    <row r="38" spans="2:4" x14ac:dyDescent="0.3">
      <c r="B38" s="14" t="s">
        <v>58</v>
      </c>
      <c r="C38" s="14"/>
      <c r="D38" s="14"/>
    </row>
    <row r="39" spans="2:4" x14ac:dyDescent="0.3">
      <c r="B39" s="8" t="s">
        <v>59</v>
      </c>
      <c r="C39" s="12">
        <f>TIME(16,21,36)</f>
        <v>0.68166666666666664</v>
      </c>
      <c r="D39" s="12" t="s">
        <v>60</v>
      </c>
    </row>
  </sheetData>
  <mergeCells count="14">
    <mergeCell ref="B29:D29"/>
    <mergeCell ref="B32:D32"/>
    <mergeCell ref="B35:D35"/>
    <mergeCell ref="B38:D38"/>
    <mergeCell ref="B20:D20"/>
    <mergeCell ref="B23:D23"/>
    <mergeCell ref="B8:D8"/>
    <mergeCell ref="B13:D13"/>
    <mergeCell ref="B26:D26"/>
    <mergeCell ref="B5:D5"/>
    <mergeCell ref="F13:K13"/>
    <mergeCell ref="B2:D2"/>
    <mergeCell ref="F14:K15"/>
    <mergeCell ref="B17:D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D839-3356-4B24-87C2-D8F30F9A71F1}">
  <dimension ref="A1:A11"/>
  <sheetViews>
    <sheetView workbookViewId="0">
      <selection sqref="A1:A11"/>
    </sheetView>
  </sheetViews>
  <sheetFormatPr defaultRowHeight="14.4" x14ac:dyDescent="0.3"/>
  <sheetData>
    <row r="1" spans="1:1" x14ac:dyDescent="0.3">
      <c r="A1" t="s">
        <v>61</v>
      </c>
    </row>
    <row r="2" spans="1:1" x14ac:dyDescent="0.3">
      <c r="A2" t="s">
        <v>62</v>
      </c>
    </row>
    <row r="3" spans="1:1" x14ac:dyDescent="0.3">
      <c r="A3" t="s">
        <v>63</v>
      </c>
    </row>
    <row r="4" spans="1:1" x14ac:dyDescent="0.3">
      <c r="A4" t="s">
        <v>64</v>
      </c>
    </row>
    <row r="5" spans="1:1" x14ac:dyDescent="0.3">
      <c r="A5" t="s">
        <v>65</v>
      </c>
    </row>
    <row r="6" spans="1:1" x14ac:dyDescent="0.3">
      <c r="A6" t="s">
        <v>66</v>
      </c>
    </row>
    <row r="7" spans="1:1" x14ac:dyDescent="0.3">
      <c r="A7" t="s">
        <v>67</v>
      </c>
    </row>
    <row r="8" spans="1:1" x14ac:dyDescent="0.3">
      <c r="A8" t="s">
        <v>68</v>
      </c>
    </row>
    <row r="9" spans="1:1" x14ac:dyDescent="0.3">
      <c r="A9" t="s">
        <v>69</v>
      </c>
    </row>
    <row r="10" spans="1:1" x14ac:dyDescent="0.3">
      <c r="A10" t="s">
        <v>70</v>
      </c>
    </row>
    <row r="11" spans="1:1" x14ac:dyDescent="0.3">
      <c r="A11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ÍNDICE E CORRESP</vt:lpstr>
      <vt:lpstr>DATA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Morais</dc:creator>
  <cp:lastModifiedBy>Marcela Morais</cp:lastModifiedBy>
  <dcterms:created xsi:type="dcterms:W3CDTF">2026-01-17T06:12:42Z</dcterms:created>
  <dcterms:modified xsi:type="dcterms:W3CDTF">2026-01-18T03:57:02Z</dcterms:modified>
</cp:coreProperties>
</file>