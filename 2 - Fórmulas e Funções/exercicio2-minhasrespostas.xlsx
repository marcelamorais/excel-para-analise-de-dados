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2D6061AC-CEAC-44CB-A162-8EF8645B9D1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FÓRMULAS" sheetId="2" r:id="rId1"/>
    <sheet name="REFERÊNCIAS" sheetId="3" r:id="rId2"/>
    <sheet name="TEXTO, DATA e NÚMERO" sheetId="5" r:id="rId3"/>
    <sheet name="ALEATÓRIO() e ALEATÓRIENTRE()" sheetId="10" r:id="rId4"/>
    <sheet name="SE()" sheetId="11" r:id="rId5"/>
    <sheet name="PROCV" sheetId="12" r:id="rId6"/>
    <sheet name="ERRO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3" l="1"/>
  <c r="B9" i="13"/>
  <c r="B8" i="13"/>
  <c r="B7" i="13"/>
  <c r="B12" i="13"/>
  <c r="B10" i="13"/>
  <c r="D38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38" i="12" s="1"/>
  <c r="C27" i="12"/>
  <c r="C28" i="12"/>
  <c r="C29" i="12"/>
  <c r="C30" i="12"/>
  <c r="C31" i="12"/>
  <c r="C32" i="12"/>
  <c r="C33" i="12"/>
  <c r="C34" i="12"/>
  <c r="C35" i="12"/>
  <c r="C9" i="12"/>
  <c r="G37" i="11" l="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G17" i="10" l="1"/>
  <c r="G19" i="10"/>
  <c r="G20" i="10"/>
  <c r="G21" i="10"/>
  <c r="G18" i="10"/>
  <c r="E28" i="5"/>
  <c r="E27" i="5"/>
  <c r="E26" i="5"/>
  <c r="E21" i="5"/>
  <c r="E19" i="5"/>
  <c r="E18" i="5"/>
  <c r="E17" i="5"/>
  <c r="E10" i="5"/>
  <c r="E8" i="5"/>
  <c r="E7" i="5"/>
  <c r="E6" i="5"/>
  <c r="E27" i="3"/>
  <c r="F27" i="3"/>
  <c r="G27" i="3"/>
  <c r="H27" i="3"/>
  <c r="I27" i="3"/>
  <c r="J27" i="3"/>
  <c r="K27" i="3"/>
  <c r="L27" i="3"/>
  <c r="E28" i="3"/>
  <c r="F28" i="3"/>
  <c r="G28" i="3"/>
  <c r="H28" i="3"/>
  <c r="I28" i="3"/>
  <c r="J28" i="3"/>
  <c r="K28" i="3"/>
  <c r="L28" i="3"/>
  <c r="D28" i="3"/>
  <c r="E23" i="3"/>
  <c r="F23" i="3"/>
  <c r="G23" i="3"/>
  <c r="H23" i="3"/>
  <c r="I23" i="3"/>
  <c r="J23" i="3"/>
  <c r="K23" i="3"/>
  <c r="L23" i="3"/>
  <c r="E24" i="3"/>
  <c r="F24" i="3"/>
  <c r="G24" i="3"/>
  <c r="H24" i="3"/>
  <c r="I24" i="3"/>
  <c r="J24" i="3"/>
  <c r="K24" i="3"/>
  <c r="L24" i="3"/>
  <c r="E25" i="3"/>
  <c r="F25" i="3"/>
  <c r="G25" i="3"/>
  <c r="H25" i="3"/>
  <c r="I25" i="3"/>
  <c r="J25" i="3"/>
  <c r="K25" i="3"/>
  <c r="L25" i="3"/>
  <c r="E26" i="3"/>
  <c r="F26" i="3"/>
  <c r="G26" i="3"/>
  <c r="H26" i="3"/>
  <c r="I26" i="3"/>
  <c r="J26" i="3"/>
  <c r="K26" i="3"/>
  <c r="L26" i="3"/>
  <c r="D24" i="3"/>
  <c r="D25" i="3"/>
  <c r="D26" i="3"/>
  <c r="D27" i="3"/>
  <c r="D23" i="3"/>
  <c r="D17" i="2"/>
  <c r="D20" i="2"/>
  <c r="D19" i="2"/>
  <c r="D18" i="2"/>
  <c r="D16" i="2"/>
  <c r="D15" i="2"/>
  <c r="D13" i="2"/>
  <c r="D12" i="2"/>
  <c r="D11" i="2"/>
  <c r="D10" i="2"/>
  <c r="D9" i="2"/>
  <c r="D8" i="2"/>
  <c r="D7" i="2"/>
  <c r="E19" i="3"/>
  <c r="F19" i="3"/>
  <c r="G19" i="3"/>
  <c r="H19" i="3"/>
  <c r="I19" i="3"/>
  <c r="J19" i="3"/>
  <c r="K19" i="3"/>
  <c r="L19" i="3"/>
  <c r="D19" i="3"/>
  <c r="C26" i="5"/>
</calcChain>
</file>

<file path=xl/sharedStrings.xml><?xml version="1.0" encoding="utf-8"?>
<sst xmlns="http://schemas.openxmlformats.org/spreadsheetml/2006/main" count="235" uniqueCount="153">
  <si>
    <t>Agente Monitorado</t>
  </si>
  <si>
    <t>Total geral</t>
  </si>
  <si>
    <t>Texto</t>
  </si>
  <si>
    <t>Fórmula</t>
  </si>
  <si>
    <t>5 é maior ou igual a 5</t>
  </si>
  <si>
    <t>3 é menor que 3,01</t>
  </si>
  <si>
    <t>10 é diferente de 7</t>
  </si>
  <si>
    <t xml:space="preserve">2 é maior que 1 </t>
  </si>
  <si>
    <t>4 dividido por 5 é menor que 1</t>
  </si>
  <si>
    <t>1 é igual a 2</t>
  </si>
  <si>
    <t>6 é diferente de 6</t>
  </si>
  <si>
    <t>Exemplo:</t>
  </si>
  <si>
    <t>3 vezes 5 menos 2 elevado ao quadrado</t>
  </si>
  <si>
    <t>2 vezes 5 menos 1 elevado ao quadrado</t>
  </si>
  <si>
    <t>3 vezes 1 mais 2 elevado a terceira</t>
  </si>
  <si>
    <t>3 vezes ( 5 menos 2 ) elevado ao quadrado</t>
  </si>
  <si>
    <t>3 vezes ( 5 menos 2)</t>
  </si>
  <si>
    <t>10 por cento vezes 10 elevado ao quadrado</t>
  </si>
  <si>
    <t>Célula</t>
  </si>
  <si>
    <t>O que fazer?</t>
  </si>
  <si>
    <t>Muinho</t>
  </si>
  <si>
    <t>Cinto</t>
  </si>
  <si>
    <t>Faça uma fórmula para retornar as três primeiras letras do texto.</t>
  </si>
  <si>
    <t>Bom Bom</t>
  </si>
  <si>
    <t>Faça uma fórmula para retornar as duas últimas letras do texto.</t>
  </si>
  <si>
    <t>Faça uma fórmula para concatenar os textos das células E6 , E7 e E8 acima</t>
  </si>
  <si>
    <t>Faça uma fórmula para retornar os quatro últimos caracteres do texto.</t>
  </si>
  <si>
    <t>Data</t>
  </si>
  <si>
    <t>Faça uma fórmula que retorne o ano da data ao lado.</t>
  </si>
  <si>
    <t>Faça uma fórmula que retorne o dia da data ao lado.</t>
  </si>
  <si>
    <t>Faça uma fórmula que retorne o mês da data ao lado.</t>
  </si>
  <si>
    <t>Número</t>
  </si>
  <si>
    <t>Faça uma fórmula para arredondar o número ao lado até a 4ª casa decimal</t>
  </si>
  <si>
    <t>Faça uma fórmula que retorne o resto da divisão do número ao lado por 2.</t>
  </si>
  <si>
    <t>Faça uma fórmula que retorne a parte inteira do número ao lado</t>
  </si>
  <si>
    <t>Resultado</t>
  </si>
  <si>
    <t>Data de nascimento</t>
  </si>
  <si>
    <t>Fórmula com ERRO</t>
  </si>
  <si>
    <t>Motivo do erro</t>
  </si>
  <si>
    <t>Número 1</t>
  </si>
  <si>
    <t>Número 2</t>
  </si>
  <si>
    <t>Nome</t>
  </si>
  <si>
    <t>Empresa</t>
  </si>
  <si>
    <t>Excel</t>
  </si>
  <si>
    <t>Microsoft</t>
  </si>
  <si>
    <t>Livros</t>
  </si>
  <si>
    <t>Perfumes</t>
  </si>
  <si>
    <t>Celulares</t>
  </si>
  <si>
    <t>Computadores</t>
  </si>
  <si>
    <t>Vestuário</t>
  </si>
  <si>
    <t>Produto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</si>
  <si>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</si>
  <si>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</si>
  <si>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</si>
  <si>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</si>
  <si>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</si>
  <si>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</si>
  <si>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</si>
  <si>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</si>
  <si>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</si>
  <si>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Nome do Aluno</t>
  </si>
  <si>
    <t>MICHAEL</t>
  </si>
  <si>
    <t>MICHELE</t>
  </si>
  <si>
    <t>MILDRE</t>
  </si>
  <si>
    <t>MIRELLA</t>
  </si>
  <si>
    <t>MISLENE</t>
  </si>
  <si>
    <t>MONICA</t>
  </si>
  <si>
    <t>NADIELLEN</t>
  </si>
  <si>
    <t>NOELE</t>
  </si>
  <si>
    <t>PALOMA</t>
  </si>
  <si>
    <t>PATRICIA</t>
  </si>
  <si>
    <t>PAULO</t>
  </si>
  <si>
    <t>PRISCILA</t>
  </si>
  <si>
    <t>RENATA</t>
  </si>
  <si>
    <t>RENATO</t>
  </si>
  <si>
    <t>RICARDO</t>
  </si>
  <si>
    <t>ROBIM</t>
  </si>
  <si>
    <t>RODRIGO</t>
  </si>
  <si>
    <t>SANDRA</t>
  </si>
  <si>
    <t>SUSY</t>
  </si>
  <si>
    <t>SUZANA</t>
  </si>
  <si>
    <t>Nota Final</t>
  </si>
  <si>
    <t>EDUARDO</t>
  </si>
  <si>
    <t>ELAINE</t>
  </si>
  <si>
    <t>ELEAZAR</t>
  </si>
  <si>
    <t>ERIBERTO</t>
  </si>
  <si>
    <t>FABIANA</t>
  </si>
  <si>
    <t>FABIANO</t>
  </si>
  <si>
    <t>FELITITA</t>
  </si>
  <si>
    <t>FERNANDO</t>
  </si>
  <si>
    <t>FLAVIO</t>
  </si>
  <si>
    <t>FRANCINE</t>
  </si>
  <si>
    <t>FRANCISCO</t>
  </si>
  <si>
    <t>GEISA</t>
  </si>
  <si>
    <t>GILBERTO</t>
  </si>
  <si>
    <t>GILSON</t>
  </si>
  <si>
    <t>GISLENE</t>
  </si>
  <si>
    <t>GREGORY</t>
  </si>
  <si>
    <t>ISABEL</t>
  </si>
  <si>
    <t>JACILENE</t>
  </si>
  <si>
    <t>JACQUELINE</t>
  </si>
  <si>
    <t>JAQUELINE</t>
  </si>
  <si>
    <t>JESSICA</t>
  </si>
  <si>
    <t>JHENIFER</t>
  </si>
  <si>
    <t>JOSILENE</t>
  </si>
  <si>
    <t>Aluno</t>
  </si>
  <si>
    <t>Qte de Exercícios</t>
  </si>
  <si>
    <t>Nota</t>
  </si>
  <si>
    <t>TAIS</t>
  </si>
  <si>
    <t>VICTOR</t>
  </si>
  <si>
    <t>TAMIRYS</t>
  </si>
  <si>
    <t>TIAGO</t>
  </si>
  <si>
    <t>VALTE</t>
  </si>
  <si>
    <t xml:space="preserve">Faça uma fórmula para retornar uma data usando os valores das células E17, E18 e E19. </t>
  </si>
  <si>
    <t>3*(5-2)</t>
  </si>
  <si>
    <t>(2&gt;1)</t>
  </si>
  <si>
    <t>(5&gt;=5)</t>
  </si>
  <si>
    <t>(3&lt;3,01)</t>
  </si>
  <si>
    <t>(10&lt;&gt;7)</t>
  </si>
  <si>
    <t>(4/5&gt;1)</t>
  </si>
  <si>
    <t>(1=2)</t>
  </si>
  <si>
    <t>(6&lt;&gt;6)</t>
  </si>
  <si>
    <t>3*5-2^2</t>
  </si>
  <si>
    <t>2*5-1^2</t>
  </si>
  <si>
    <t>3*1+2^3</t>
  </si>
  <si>
    <t>3*(5-2)^2</t>
  </si>
  <si>
    <t>(0,1*100)^2</t>
  </si>
  <si>
    <t>Escreva fórmulas para gerar números aleatórios entre os números 1 e 2 da tabela abaixo:</t>
  </si>
  <si>
    <t>Coluna1</t>
  </si>
  <si>
    <r>
      <rPr>
        <b/>
        <sz val="10"/>
        <rFont val="Arial"/>
        <family val="2"/>
      </rPr>
      <t xml:space="preserve">Gerando números aleatórios entre </t>
    </r>
    <r>
      <rPr>
        <b/>
        <sz val="10"/>
        <color rgb="FFC00000"/>
        <rFont val="Arial"/>
        <family val="2"/>
      </rPr>
      <t>A</t>
    </r>
    <r>
      <rPr>
        <b/>
        <sz val="10"/>
        <rFont val="Arial"/>
        <family val="2"/>
      </rPr>
      <t xml:space="preserve"> e </t>
    </r>
    <r>
      <rPr>
        <b/>
        <sz val="10"/>
        <color rgb="FFC00000"/>
        <rFont val="Arial"/>
        <family val="2"/>
      </rPr>
      <t>B</t>
    </r>
    <r>
      <rPr>
        <b/>
        <sz val="10"/>
        <rFont val="Arial"/>
        <family val="2"/>
      </rPr>
      <t>.</t>
    </r>
    <r>
      <rPr>
        <sz val="10"/>
        <rFont val="Arial"/>
        <family val="2"/>
      </rPr>
      <t xml:space="preserve">
Uma fórmula muito útil para gerar números aleatórios entre A e B usa as funções INT (para tornar o número inteiro) e a função ALEATORIOENTRE (para retornar números aleatórios entre 0 e 1). 
Veja abaixo:
</t>
    </r>
    <r>
      <rPr>
        <b/>
        <sz val="10"/>
        <rFont val="Arial"/>
        <family val="2"/>
      </rPr>
      <t>=INT( ALEATÓRIO() * (</t>
    </r>
    <r>
      <rPr>
        <sz val="10"/>
        <rFont val="Arial"/>
        <family val="2"/>
      </rPr>
      <t>Numero2 -</t>
    </r>
    <r>
      <rPr>
        <b/>
        <sz val="10"/>
        <rFont val="Arial"/>
        <family val="2"/>
      </rPr>
      <t xml:space="preserve"> Numero1 + 1) + Numero1 ). </t>
    </r>
    <r>
      <rPr>
        <sz val="10"/>
        <rFont val="Arial"/>
        <family val="2"/>
      </rPr>
      <t xml:space="preserve">
Para essa fórmula, basta substituir as letras A e B pelos números desejados. 
Por exemplo, se quisesse uma fórmula para retornar números aleatórios entre 5 e 10, faria a seguinte fórmula:
</t>
    </r>
    <r>
      <rPr>
        <b/>
        <sz val="10"/>
        <rFont val="Arial"/>
        <family val="2"/>
      </rPr>
      <t>=INT( ALEATORIOENTRE(5;10) * (B - A + 1) + A ).</t>
    </r>
  </si>
  <si>
    <t>INT(ALEATÓRIO()*(F17-E17+1)+E17)</t>
  </si>
  <si>
    <t>INT(ALEATÓRIO()*(G18-F18+1)+F18)</t>
  </si>
  <si>
    <t>INT(ALEATÓRIO()*(G19-F19+1)+F19)</t>
  </si>
  <si>
    <t>INT(ALEATÓRIO()*(G20-F20+1)+F20)</t>
  </si>
  <si>
    <t>INT(ALEATÓRIO()*(G21-F21+1)+F21)</t>
  </si>
  <si>
    <r>
      <t xml:space="preserve">Obs: A versão 2007 do Excel, vem com uma função que facilita essa aplicação. 
A função </t>
    </r>
    <r>
      <rPr>
        <b/>
        <sz val="10"/>
        <color rgb="FFC00000"/>
        <rFont val="Arial"/>
        <family val="2"/>
      </rPr>
      <t>ALEATORIOENTRE(número inicial ; número final)</t>
    </r>
    <r>
      <rPr>
        <sz val="10"/>
        <rFont val="Arial"/>
        <family val="2"/>
      </rPr>
      <t xml:space="preserve"> faz o mesmo trabalho da fórmula acima.</t>
    </r>
  </si>
  <si>
    <r>
      <rPr>
        <b/>
        <sz val="10"/>
        <rFont val="Arial"/>
        <family val="2"/>
      </rPr>
      <t>Faça conforme as instruções:</t>
    </r>
    <r>
      <rPr>
        <sz val="10"/>
        <rFont val="Arial"/>
        <family val="2"/>
      </rPr>
      <t xml:space="preserve">
1 - Faça uma fórmula SE na coluna "Resultado" de modo que ela retorne "Sim" para as notas maiores ou iguais a 85 e "Não" para menores que 85.
2 - Faça uma Formatação Condicional na coluna "Resultado" de modo que as células que contêm o valor "Sim" fiquem </t>
    </r>
    <r>
      <rPr>
        <sz val="10"/>
        <color theme="9"/>
        <rFont val="Arial"/>
        <family val="2"/>
      </rPr>
      <t>verdes</t>
    </r>
    <r>
      <rPr>
        <sz val="10"/>
        <rFont val="Arial"/>
        <family val="2"/>
      </rPr>
      <t xml:space="preserve"> e as que contêm "Não" fiquem </t>
    </r>
    <r>
      <rPr>
        <sz val="10"/>
        <color rgb="FFFF0000"/>
        <rFont val="Arial"/>
        <family val="2"/>
      </rPr>
      <t>vermelhas.</t>
    </r>
  </si>
  <si>
    <t>SE([@Nota Final]&gt;=85;"SIM";"NÃO")</t>
  </si>
  <si>
    <t xml:space="preserve">  </t>
  </si>
  <si>
    <r>
      <rPr>
        <b/>
        <sz val="10"/>
        <rFont val="Arial"/>
        <family val="2"/>
      </rPr>
      <t>Faça conforme as instruções:</t>
    </r>
    <r>
      <rPr>
        <sz val="10"/>
        <rFont val="Arial"/>
        <family val="2"/>
      </rPr>
      <t xml:space="preserve">
1 - Faça uma fórmula SE na coluna "Resultado" de modo que ela verifique se o aluno faz aniversário no mês 4 e tenha nota maior ou igual a 85. Se as duas condições forem verdadeiras, a função deve retornar "Ganha bônus", senão deve retornar "Não ganha".
2 - Faça uma Formatação Condicional na coluna "Resultado" de modo que as células que contêm o valor "Ganha bônus" fiquem </t>
    </r>
    <r>
      <rPr>
        <sz val="10"/>
        <color theme="9"/>
        <rFont val="Arial"/>
        <family val="2"/>
      </rPr>
      <t>verdes</t>
    </r>
    <r>
      <rPr>
        <sz val="10"/>
        <rFont val="Arial"/>
        <family val="2"/>
      </rPr>
      <t xml:space="preserve"> e as que contêm "Não ganha" fiquem </t>
    </r>
    <r>
      <rPr>
        <sz val="10"/>
        <color rgb="FFFF0000"/>
        <rFont val="Arial"/>
        <family val="2"/>
      </rPr>
      <t>vermelhas</t>
    </r>
    <r>
      <rPr>
        <sz val="10"/>
        <rFont val="Arial"/>
        <family val="2"/>
      </rPr>
      <t>.</t>
    </r>
  </si>
  <si>
    <t>SE(E(MÊS([@[Data de nascimento]])=4; $F37&gt;=85); "Ganha bônus"; "Não ganha")</t>
  </si>
  <si>
    <t>Faça conforme as instruções:
1 - Faça uma lista na célula B38 usando Validação de dados. Use os nomes da tabela 1 acima como Fonte.
2 - Faça uma função PROCV nas células C38 e D38 para retornar os valores correspondentes de acordo com o nome
que é escolhido na lista criada no item 1.
3 - Faça uma Formatação Condicional na célula D38 para que a cor da fonte fique vermelha quando a nota é abaixo de 
85 e verde quando é maior ou igual a 85.</t>
  </si>
  <si>
    <t>PROCV(B9;$G$8:$J$35;2;FALSO)</t>
  </si>
  <si>
    <t>PROCV(B10;$G$8:$J$35;2;FALSO)</t>
  </si>
  <si>
    <t>PROCV(B11;$G$8:$J$35;2;FALSO)</t>
  </si>
  <si>
    <t>PROCV(B12;$G$8:$J$35;2;FALSO)</t>
  </si>
  <si>
    <r>
      <t xml:space="preserve">Faça uma função </t>
    </r>
    <r>
      <rPr>
        <b/>
        <sz val="10"/>
        <rFont val="Arial"/>
        <family val="2"/>
      </rPr>
      <t>PROCV</t>
    </r>
    <r>
      <rPr>
        <sz val="10"/>
        <rFont val="Arial"/>
        <family val="2"/>
      </rPr>
      <t xml:space="preserve"> na tabela acima (tabela 1) de modo que ela
retorne a quantidade de exercícios e a nota,
buscando na tabela ao lado (tabela 2). </t>
    </r>
  </si>
  <si>
    <t>Verifique o motivo dos erros nas fórmulas abaixo e escreva na célula correspondente.</t>
  </si>
  <si>
    <t>Dividindo por 0</t>
  </si>
  <si>
    <t>Não encontrou a palavra Word</t>
  </si>
  <si>
    <t>Raíz de número negativo</t>
  </si>
  <si>
    <t>Nome incorreto</t>
  </si>
  <si>
    <t>Tem apenas 2 colunas, não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</si>
</sst>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rgb="FFC00000"/>
      <name val="Arial"/>
      <family val="2"/>
    </font>
    <font>
      <sz val="10"/>
      <color theme="9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" fontId="6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/>
    <xf numFmtId="0" fontId="14" fillId="0" borderId="1" xfId="0" applyFont="1" applyBorder="1"/>
    <xf numFmtId="0" fontId="8" fillId="2" borderId="1" xfId="0" applyFont="1" applyFill="1" applyBorder="1" applyAlignment="1">
      <alignment horizontal="center"/>
    </xf>
    <xf numFmtId="0" fontId="14" fillId="0" borderId="0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580292</xdr:colOff>
      <xdr:row>1</xdr:row>
      <xdr:rowOff>31262</xdr:rowOff>
    </xdr:from>
    <xdr:ext cx="6972300" cy="393700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580292" y="201247"/>
          <a:ext cx="6972300" cy="393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22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correspondentes aos textos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46055</xdr:colOff>
      <xdr:row>1</xdr:row>
      <xdr:rowOff>30843</xdr:rowOff>
    </xdr:from>
    <xdr:ext cx="11446852" cy="1438855"/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 txBox="1">
          <a:spLocks noChangeArrowheads="1"/>
        </xdr:cNvSpPr>
      </xdr:nvSpPr>
      <xdr:spPr bwMode="auto">
        <a:xfrm>
          <a:off x="648956" y="198316"/>
          <a:ext cx="11446852" cy="14388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 tabela 1 mostra a quantidade de produtos vendidos por cada um dos 9 vendedores de acordo com o produto. Por exemplo,</a:t>
          </a:r>
        </a:p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o vendedor 2 vendeu 106 produtos de Livros e 15 de Perfumes, totalizando 121. </a:t>
          </a:r>
        </a:p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Faça fórmulas para a tabela 2 para ter a porcentagem de vendas de acordo com o Produto. </a:t>
          </a:r>
        </a:p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Na célula D23 da tabela 2 temos um exemplo. Faça o mesmo tipo de fórmula para as demais células. </a:t>
          </a: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ysClr val="windowText" lastClr="000000"/>
              </a:solidFill>
              <a:latin typeface="Arial" pitchFamily="2" charset="0"/>
              <a:cs typeface="Arial" pitchFamily="2" charset="0"/>
            </a:rPr>
            <a:t>Dica: </a:t>
          </a:r>
          <a:r>
            <a:rPr lang="en-US" sz="1600" b="0" i="0" u="none" strike="noStrike" baseline="0">
              <a:solidFill>
                <a:sysClr val="windowText" lastClr="000000"/>
              </a:solidFill>
              <a:latin typeface="Arial" pitchFamily="2" charset="0"/>
              <a:cs typeface="Arial" pitchFamily="2" charset="0"/>
            </a:rPr>
            <a:t>Use</a:t>
          </a:r>
          <a:r>
            <a:rPr lang="en-US" sz="1600" b="1" i="0" u="none" strike="noStrike" baseline="0">
              <a:solidFill>
                <a:sysClr val="windowText" lastClr="000000"/>
              </a:solidFill>
              <a:latin typeface="Arial" pitchFamily="2" charset="0"/>
              <a:cs typeface="Arial" pitchFamily="2" charset="0"/>
            </a:rPr>
            <a:t> </a:t>
          </a: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 alça de preenchimento para copiar as fórmulas já feitas. Lembre-se de ajustar as referências relativas e </a:t>
          </a:r>
        </a:p>
        <a:p>
          <a:pPr algn="ctr" rtl="0"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absolutas para realizar esse cálculo corretamente.</a:t>
          </a:r>
        </a:p>
      </xdr:txBody>
    </xdr:sp>
    <xdr:clientData/>
  </xdr:oneCellAnchor>
  <xdr:oneCellAnchor>
    <xdr:from>
      <xdr:col>0</xdr:col>
      <xdr:colOff>199152</xdr:colOff>
      <xdr:row>12</xdr:row>
      <xdr:rowOff>25121</xdr:rowOff>
    </xdr:from>
    <xdr:ext cx="1003300" cy="304800"/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 txBox="1">
          <a:spLocks noChangeArrowheads="1"/>
        </xdr:cNvSpPr>
      </xdr:nvSpPr>
      <xdr:spPr bwMode="auto">
        <a:xfrm>
          <a:off x="199152" y="2034791"/>
          <a:ext cx="1003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1</a:t>
          </a:r>
        </a:p>
      </xdr:txBody>
    </xdr:sp>
    <xdr:clientData/>
  </xdr:oneCellAnchor>
  <xdr:oneCellAnchor>
    <xdr:from>
      <xdr:col>0</xdr:col>
      <xdr:colOff>215900</xdr:colOff>
      <xdr:row>21</xdr:row>
      <xdr:rowOff>5164</xdr:rowOff>
    </xdr:from>
    <xdr:ext cx="1003300" cy="304800"/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 txBox="1">
          <a:spLocks noChangeArrowheads="1"/>
        </xdr:cNvSpPr>
      </xdr:nvSpPr>
      <xdr:spPr bwMode="auto">
        <a:xfrm>
          <a:off x="215900" y="3522087"/>
          <a:ext cx="10033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</xdr:colOff>
      <xdr:row>1</xdr:row>
      <xdr:rowOff>93980</xdr:rowOff>
    </xdr:from>
    <xdr:ext cx="6057900" cy="34290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 txBox="1">
          <a:spLocks noChangeArrowheads="1"/>
        </xdr:cNvSpPr>
      </xdr:nvSpPr>
      <xdr:spPr bwMode="auto">
        <a:xfrm>
          <a:off x="1386840" y="261620"/>
          <a:ext cx="605790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de acordo com o que se pede</a:t>
          </a:r>
        </a:p>
      </xdr:txBody>
    </xdr:sp>
    <xdr:clientData/>
  </xdr:oneCellAnchor>
  <xdr:oneCellAnchor>
    <xdr:from>
      <xdr:col>2</xdr:col>
      <xdr:colOff>119380</xdr:colOff>
      <xdr:row>12</xdr:row>
      <xdr:rowOff>86360</xdr:rowOff>
    </xdr:from>
    <xdr:ext cx="6045200" cy="330200"/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 txBox="1">
          <a:spLocks noChangeArrowheads="1"/>
        </xdr:cNvSpPr>
      </xdr:nvSpPr>
      <xdr:spPr bwMode="auto">
        <a:xfrm>
          <a:off x="1384300" y="2768600"/>
          <a:ext cx="60452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Escreva as fórmulas de acordo com o que se pede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320040</xdr:colOff>
      <xdr:row>5</xdr:row>
      <xdr:rowOff>83820</xdr:rowOff>
    </xdr:from>
    <xdr:ext cx="643638" cy="200119"/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261CED21-D25A-4513-A2E7-C57FA853D01B}"/>
            </a:ext>
          </a:extLst>
        </xdr:cNvPr>
        <xdr:cNvSpPr txBox="1">
          <a:spLocks noChangeArrowheads="1"/>
        </xdr:cNvSpPr>
      </xdr:nvSpPr>
      <xdr:spPr bwMode="auto">
        <a:xfrm>
          <a:off x="2232660" y="922020"/>
          <a:ext cx="643638" cy="2001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1</a:t>
          </a:r>
        </a:p>
      </xdr:txBody>
    </xdr:sp>
    <xdr:clientData/>
  </xdr:oneCellAnchor>
  <xdr:oneCellAnchor>
    <xdr:from>
      <xdr:col>7</xdr:col>
      <xdr:colOff>327660</xdr:colOff>
      <xdr:row>5</xdr:row>
      <xdr:rowOff>76200</xdr:rowOff>
    </xdr:from>
    <xdr:ext cx="643638" cy="200119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7542196F-AD73-483F-9861-48AF18B746D0}"/>
            </a:ext>
          </a:extLst>
        </xdr:cNvPr>
        <xdr:cNvSpPr txBox="1">
          <a:spLocks noChangeArrowheads="1"/>
        </xdr:cNvSpPr>
      </xdr:nvSpPr>
      <xdr:spPr bwMode="auto">
        <a:xfrm>
          <a:off x="6667500" y="914400"/>
          <a:ext cx="643638" cy="2001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5875" algn="ctr"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Tabela 2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3A4CC1-DF0F-496F-9F67-7B294ED63575}" name="Tabela1" displayName="Tabela1" ref="E16:H21" totalsRowShown="0" headerRowDxfId="32" dataDxfId="31">
  <autoFilter ref="E16:H21" xr:uid="{453A4CC1-DF0F-496F-9F67-7B294ED63575}"/>
  <tableColumns count="4">
    <tableColumn id="1" xr3:uid="{08782A76-B011-4A43-85E1-674D43A87DDD}" name="Número 1" dataDxfId="30"/>
    <tableColumn id="2" xr3:uid="{6ABE25EE-CCC9-4051-824A-70EF7DE4F0DE}" name="Número 2" dataDxfId="29"/>
    <tableColumn id="3" xr3:uid="{CEE29633-90B9-4D28-9FD1-7133417923E2}" name="Fórmula" dataDxfId="28"/>
    <tableColumn id="4" xr3:uid="{97A168D6-CE8F-4F07-B503-F8157251112B}" name="Coluna1" dataDxfId="2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A8814A-C671-482F-A319-CE156CD82BEB}" name="Tabela2" displayName="Tabela2" ref="D8:G28" totalsRowShown="0" headerRowDxfId="26" headerRowBorderDxfId="25" tableBorderDxfId="24" totalsRowBorderDxfId="23">
  <autoFilter ref="D8:G28" xr:uid="{7BA8814A-C671-482F-A319-CE156CD82BEB}"/>
  <tableColumns count="4">
    <tableColumn id="1" xr3:uid="{00AB72CD-C21A-4DB8-84CB-677692179584}" name="Nome do Aluno" dataDxfId="22"/>
    <tableColumn id="2" xr3:uid="{84F3639C-B28A-4631-AD79-03E38EAAFD09}" name="Nota Final" dataDxfId="21"/>
    <tableColumn id="3" xr3:uid="{2DEF273F-CC43-4D33-8606-A0FAE4078D23}" name="Resultado" dataDxfId="20">
      <calculatedColumnFormula>IF(Tabela2[[#This Row],[Nota Final]]&gt;=85,"SIM","NÃO")</calculatedColumnFormula>
    </tableColumn>
    <tableColumn id="4" xr3:uid="{BFA0A512-9E9E-4259-ABDE-F749FB128260}" name="  " dataDxfId="19">
      <calculatedColumnFormula>IF(Tabela2[[#This Row],[Resultado]]&gt;=85,"SIM","NÃO")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1EB7D7-E87F-4B29-8A08-EC6E75D62B97}" name="Tabela3" displayName="Tabela3" ref="D36:H59" totalsRowShown="0" headerRowDxfId="12" headerRowBorderDxfId="17" tableBorderDxfId="18" totalsRowBorderDxfId="16">
  <autoFilter ref="D36:H59" xr:uid="{3D1EB7D7-E87F-4B29-8A08-EC6E75D62B97}"/>
  <tableColumns count="5">
    <tableColumn id="1" xr3:uid="{9195FFF9-BFE8-406D-AD5B-567561CF836F}" name="Nome do Aluno" dataDxfId="15"/>
    <tableColumn id="2" xr3:uid="{56374BB3-3917-479D-9291-7C7D38626D35}" name="Data de nascimento" dataDxfId="14"/>
    <tableColumn id="3" xr3:uid="{46EB40E5-22D7-423C-9CCC-A0CA2C71911B}" name="Nota Final" dataDxfId="13"/>
    <tableColumn id="4" xr3:uid="{ED819C21-B5AD-471D-B54C-17C36CE2964E}" name="Resultado" dataDxfId="10">
      <calculatedColumnFormula>IF(AND(MONTH(Tabela3[[#This Row],[Data de nascimento]])=4, $F37&gt;=85), "Ganha bônus", "Não ganha")</calculatedColumnFormula>
    </tableColumn>
    <tableColumn id="5" xr3:uid="{B35817AC-18FF-49AB-ABA8-754FBE7444A3}" name="Coluna1" dataDxfId="11">
      <calculatedColumnFormula>IF(AND(MONTH(Tabela3[[#This Row],[Nota Final]])=4, G37&gt;=85), "Ganha bônus", "Não ganha")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160000" mc:Ignorable="a14" a14:legacySpreadsheetColorIndex="2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160000" mc:Ignorable="a14" a14:legacySpreadsheetColorIndex="22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>
    <tabColor indexed="50"/>
  </sheetPr>
  <dimension ref="B6:E23"/>
  <sheetViews>
    <sheetView showGridLines="0" topLeftCell="A4" zoomScale="130" zoomScaleNormal="130" workbookViewId="0">
      <selection activeCell="D22" sqref="D22"/>
    </sheetView>
  </sheetViews>
  <sheetFormatPr defaultColWidth="9.21875" defaultRowHeight="13.2" x14ac:dyDescent="0.25"/>
  <cols>
    <col min="1" max="1" width="9.21875" style="1"/>
    <col min="2" max="2" width="11.77734375" style="1" customWidth="1"/>
    <col min="3" max="3" width="37.44140625" style="1" bestFit="1" customWidth="1"/>
    <col min="4" max="4" width="22" style="1" customWidth="1"/>
    <col min="5" max="5" width="10.44140625" style="1" customWidth="1"/>
    <col min="6" max="16384" width="9.21875" style="1"/>
  </cols>
  <sheetData>
    <row r="6" spans="2:5" x14ac:dyDescent="0.25">
      <c r="C6" s="17" t="s">
        <v>2</v>
      </c>
      <c r="D6" s="17" t="s">
        <v>3</v>
      </c>
      <c r="E6" s="18"/>
    </row>
    <row r="7" spans="2:5" x14ac:dyDescent="0.25">
      <c r="B7" s="3" t="s">
        <v>11</v>
      </c>
      <c r="C7" s="2" t="s">
        <v>7</v>
      </c>
      <c r="D7" s="2" t="b">
        <f>(2&gt;1)</f>
        <v>1</v>
      </c>
      <c r="E7" s="14" t="s">
        <v>115</v>
      </c>
    </row>
    <row r="8" spans="2:5" x14ac:dyDescent="0.25">
      <c r="C8" s="2" t="s">
        <v>4</v>
      </c>
      <c r="D8" s="2" t="b">
        <f>(5&gt;=5)</f>
        <v>1</v>
      </c>
      <c r="E8" s="14" t="s">
        <v>116</v>
      </c>
    </row>
    <row r="9" spans="2:5" x14ac:dyDescent="0.25">
      <c r="C9" s="2" t="s">
        <v>5</v>
      </c>
      <c r="D9" s="2" t="b">
        <f>(3&lt;3.01)</f>
        <v>1</v>
      </c>
      <c r="E9" s="14" t="s">
        <v>117</v>
      </c>
    </row>
    <row r="10" spans="2:5" x14ac:dyDescent="0.25">
      <c r="C10" s="2" t="s">
        <v>6</v>
      </c>
      <c r="D10" s="2" t="b">
        <f>(10&lt;&gt;7)</f>
        <v>1</v>
      </c>
      <c r="E10" s="14" t="s">
        <v>118</v>
      </c>
    </row>
    <row r="11" spans="2:5" x14ac:dyDescent="0.25">
      <c r="C11" s="2" t="s">
        <v>8</v>
      </c>
      <c r="D11" s="2" t="b">
        <f>(4/5&gt;1)</f>
        <v>0</v>
      </c>
      <c r="E11" s="14" t="s">
        <v>119</v>
      </c>
    </row>
    <row r="12" spans="2:5" x14ac:dyDescent="0.25">
      <c r="C12" s="2" t="s">
        <v>9</v>
      </c>
      <c r="D12" s="2" t="b">
        <f>(1=2)</f>
        <v>0</v>
      </c>
      <c r="E12" s="14" t="s">
        <v>120</v>
      </c>
    </row>
    <row r="13" spans="2:5" x14ac:dyDescent="0.25">
      <c r="C13" s="2" t="s">
        <v>10</v>
      </c>
      <c r="D13" s="2" t="b">
        <f>(6&lt;&gt;6)</f>
        <v>0</v>
      </c>
      <c r="E13" s="14" t="s">
        <v>121</v>
      </c>
    </row>
    <row r="15" spans="2:5" x14ac:dyDescent="0.25">
      <c r="B15" s="3" t="s">
        <v>11</v>
      </c>
      <c r="C15" s="2" t="s">
        <v>12</v>
      </c>
      <c r="D15" s="2">
        <f>3*5-2^2</f>
        <v>11</v>
      </c>
      <c r="E15" s="14" t="s">
        <v>122</v>
      </c>
    </row>
    <row r="16" spans="2:5" x14ac:dyDescent="0.25">
      <c r="C16" s="2" t="s">
        <v>13</v>
      </c>
      <c r="D16" s="2">
        <f>2*5-1^2</f>
        <v>9</v>
      </c>
      <c r="E16" s="14" t="s">
        <v>123</v>
      </c>
    </row>
    <row r="17" spans="3:5" x14ac:dyDescent="0.25">
      <c r="C17" s="2" t="s">
        <v>14</v>
      </c>
      <c r="D17" s="13">
        <f>3*1+2^3</f>
        <v>11</v>
      </c>
      <c r="E17" s="13" t="s">
        <v>124</v>
      </c>
    </row>
    <row r="18" spans="3:5" x14ac:dyDescent="0.25">
      <c r="C18" s="2" t="s">
        <v>15</v>
      </c>
      <c r="D18" s="2">
        <f>3*(5-2)^2</f>
        <v>27</v>
      </c>
      <c r="E18" s="14" t="s">
        <v>125</v>
      </c>
    </row>
    <row r="19" spans="3:5" x14ac:dyDescent="0.25">
      <c r="C19" s="2" t="s">
        <v>16</v>
      </c>
      <c r="D19" s="14">
        <f>3*(5-2)</f>
        <v>9</v>
      </c>
      <c r="E19" s="14" t="s">
        <v>114</v>
      </c>
    </row>
    <row r="20" spans="3:5" x14ac:dyDescent="0.25">
      <c r="C20" s="2" t="s">
        <v>17</v>
      </c>
      <c r="D20" s="2">
        <f>(0.1*100)^2</f>
        <v>100</v>
      </c>
      <c r="E20" s="14" t="s">
        <v>126</v>
      </c>
    </row>
    <row r="23" spans="3:5" customFormat="1" x14ac:dyDescent="0.25">
      <c r="D23" s="11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/>
  <dimension ref="C13:L28"/>
  <sheetViews>
    <sheetView showGridLines="0" topLeftCell="A13" zoomScale="91" zoomScaleNormal="91" workbookViewId="0">
      <selection activeCell="O28" sqref="O28"/>
    </sheetView>
  </sheetViews>
  <sheetFormatPr defaultColWidth="11.44140625" defaultRowHeight="13.2" x14ac:dyDescent="0.25"/>
  <cols>
    <col min="1" max="2" width="8.77734375" customWidth="1"/>
    <col min="3" max="3" width="37.21875" bestFit="1" customWidth="1"/>
    <col min="4" max="11" width="13.5546875" bestFit="1" customWidth="1"/>
    <col min="12" max="12" width="12.21875" bestFit="1" customWidth="1"/>
    <col min="13" max="256" width="8.77734375" customWidth="1"/>
  </cols>
  <sheetData>
    <row r="13" spans="3:12" ht="15" x14ac:dyDescent="0.25">
      <c r="C13" s="19" t="s">
        <v>50</v>
      </c>
      <c r="D13" s="19" t="s">
        <v>51</v>
      </c>
      <c r="E13" s="19" t="s">
        <v>52</v>
      </c>
      <c r="F13" s="19" t="s">
        <v>53</v>
      </c>
      <c r="G13" s="19" t="s">
        <v>54</v>
      </c>
      <c r="H13" s="19" t="s">
        <v>55</v>
      </c>
      <c r="I13" s="19" t="s">
        <v>56</v>
      </c>
      <c r="J13" s="19" t="s">
        <v>57</v>
      </c>
      <c r="K13" s="19" t="s">
        <v>58</v>
      </c>
      <c r="L13" s="19" t="s">
        <v>59</v>
      </c>
    </row>
    <row r="14" spans="3:12" x14ac:dyDescent="0.25">
      <c r="C14" s="13" t="s">
        <v>47</v>
      </c>
      <c r="D14" s="5">
        <v>10</v>
      </c>
      <c r="E14" s="5">
        <v>15</v>
      </c>
      <c r="F14" s="5">
        <v>10</v>
      </c>
      <c r="G14" s="5"/>
      <c r="H14" s="5"/>
      <c r="I14" s="5">
        <v>7</v>
      </c>
      <c r="J14" s="5"/>
      <c r="K14" s="5"/>
      <c r="L14" s="5"/>
    </row>
    <row r="15" spans="3:12" x14ac:dyDescent="0.25">
      <c r="C15" s="13" t="s">
        <v>48</v>
      </c>
      <c r="D15" s="5"/>
      <c r="E15" s="5"/>
      <c r="F15" s="5">
        <v>11</v>
      </c>
      <c r="G15" s="5">
        <v>18</v>
      </c>
      <c r="H15" s="5">
        <v>9</v>
      </c>
      <c r="I15" s="5"/>
      <c r="J15" s="5">
        <v>56</v>
      </c>
      <c r="K15" s="5">
        <v>55</v>
      </c>
      <c r="L15" s="5">
        <v>9</v>
      </c>
    </row>
    <row r="16" spans="3:12" x14ac:dyDescent="0.25">
      <c r="C16" s="13" t="s">
        <v>49</v>
      </c>
      <c r="D16" s="5">
        <v>20</v>
      </c>
      <c r="E16" s="5"/>
      <c r="F16" s="5">
        <v>15</v>
      </c>
      <c r="G16" s="5">
        <v>56</v>
      </c>
      <c r="H16" s="5">
        <v>46</v>
      </c>
      <c r="I16" s="5">
        <v>84</v>
      </c>
      <c r="J16" s="5"/>
      <c r="K16" s="5"/>
      <c r="L16" s="5">
        <v>15</v>
      </c>
    </row>
    <row r="17" spans="3:12" x14ac:dyDescent="0.25">
      <c r="C17" s="13" t="s">
        <v>45</v>
      </c>
      <c r="D17" s="5">
        <v>20</v>
      </c>
      <c r="E17" s="5">
        <v>106</v>
      </c>
      <c r="F17" s="5">
        <v>57</v>
      </c>
      <c r="G17" s="5">
        <v>11</v>
      </c>
      <c r="H17" s="5">
        <v>10</v>
      </c>
      <c r="I17" s="5">
        <v>86</v>
      </c>
      <c r="J17" s="5">
        <v>13</v>
      </c>
      <c r="K17" s="5"/>
      <c r="L17" s="5">
        <v>73</v>
      </c>
    </row>
    <row r="18" spans="3:12" x14ac:dyDescent="0.25">
      <c r="C18" s="13" t="s">
        <v>46</v>
      </c>
      <c r="D18" s="5">
        <v>15</v>
      </c>
      <c r="E18" s="5"/>
      <c r="F18" s="5">
        <v>5</v>
      </c>
      <c r="G18" s="5"/>
      <c r="H18" s="5">
        <v>5</v>
      </c>
      <c r="I18" s="5">
        <v>48</v>
      </c>
      <c r="J18" s="5">
        <v>13</v>
      </c>
      <c r="K18" s="5">
        <v>15</v>
      </c>
      <c r="L18" s="5"/>
    </row>
    <row r="19" spans="3:12" x14ac:dyDescent="0.25">
      <c r="C19" s="5" t="s">
        <v>1</v>
      </c>
      <c r="D19" s="6">
        <f t="shared" ref="D19:L19" si="0">SUM(D14:D18)</f>
        <v>65</v>
      </c>
      <c r="E19" s="6">
        <f t="shared" si="0"/>
        <v>121</v>
      </c>
      <c r="F19" s="6">
        <f t="shared" si="0"/>
        <v>98</v>
      </c>
      <c r="G19" s="6">
        <f t="shared" si="0"/>
        <v>85</v>
      </c>
      <c r="H19" s="6">
        <f t="shared" si="0"/>
        <v>70</v>
      </c>
      <c r="I19" s="6">
        <f t="shared" si="0"/>
        <v>225</v>
      </c>
      <c r="J19" s="6">
        <f t="shared" si="0"/>
        <v>82</v>
      </c>
      <c r="K19" s="6">
        <f t="shared" si="0"/>
        <v>70</v>
      </c>
      <c r="L19" s="6">
        <f t="shared" si="0"/>
        <v>97</v>
      </c>
    </row>
    <row r="22" spans="3:12" ht="15.6" x14ac:dyDescent="0.3">
      <c r="C22" s="20" t="s">
        <v>18</v>
      </c>
      <c r="D22" s="20" t="s">
        <v>51</v>
      </c>
      <c r="E22" s="20" t="s">
        <v>52</v>
      </c>
      <c r="F22" s="20" t="s">
        <v>53</v>
      </c>
      <c r="G22" s="20" t="s">
        <v>54</v>
      </c>
      <c r="H22" s="20" t="s">
        <v>55</v>
      </c>
      <c r="I22" s="20" t="s">
        <v>56</v>
      </c>
      <c r="J22" s="20" t="s">
        <v>57</v>
      </c>
      <c r="K22" s="20" t="s">
        <v>58</v>
      </c>
      <c r="L22" s="20" t="s">
        <v>59</v>
      </c>
    </row>
    <row r="23" spans="3:12" x14ac:dyDescent="0.25">
      <c r="C23" s="13" t="s">
        <v>47</v>
      </c>
      <c r="D23" s="7">
        <f>D14/D$19</f>
        <v>0.15384615384615385</v>
      </c>
      <c r="E23" s="7">
        <f t="shared" ref="E23:L23" si="1">E14/E$19</f>
        <v>0.12396694214876033</v>
      </c>
      <c r="F23" s="7">
        <f t="shared" si="1"/>
        <v>0.10204081632653061</v>
      </c>
      <c r="G23" s="7">
        <f t="shared" si="1"/>
        <v>0</v>
      </c>
      <c r="H23" s="7">
        <f t="shared" si="1"/>
        <v>0</v>
      </c>
      <c r="I23" s="7">
        <f t="shared" si="1"/>
        <v>3.111111111111111E-2</v>
      </c>
      <c r="J23" s="7">
        <f t="shared" si="1"/>
        <v>0</v>
      </c>
      <c r="K23" s="7">
        <f t="shared" si="1"/>
        <v>0</v>
      </c>
      <c r="L23" s="7">
        <f t="shared" si="1"/>
        <v>0</v>
      </c>
    </row>
    <row r="24" spans="3:12" x14ac:dyDescent="0.25">
      <c r="C24" s="13" t="s">
        <v>48</v>
      </c>
      <c r="D24" s="7">
        <f t="shared" ref="D24:L28" si="2">D15/D$19</f>
        <v>0</v>
      </c>
      <c r="E24" s="7">
        <f t="shared" si="2"/>
        <v>0</v>
      </c>
      <c r="F24" s="7">
        <f t="shared" si="2"/>
        <v>0.11224489795918367</v>
      </c>
      <c r="G24" s="7">
        <f t="shared" si="2"/>
        <v>0.21176470588235294</v>
      </c>
      <c r="H24" s="7">
        <f t="shared" si="2"/>
        <v>0.12857142857142856</v>
      </c>
      <c r="I24" s="7">
        <f t="shared" si="2"/>
        <v>0</v>
      </c>
      <c r="J24" s="7">
        <f t="shared" si="2"/>
        <v>0.68292682926829273</v>
      </c>
      <c r="K24" s="7">
        <f t="shared" si="2"/>
        <v>0.7857142857142857</v>
      </c>
      <c r="L24" s="7">
        <f t="shared" si="2"/>
        <v>9.2783505154639179E-2</v>
      </c>
    </row>
    <row r="25" spans="3:12" x14ac:dyDescent="0.25">
      <c r="C25" s="13" t="s">
        <v>49</v>
      </c>
      <c r="D25" s="7">
        <f t="shared" si="2"/>
        <v>0.30769230769230771</v>
      </c>
      <c r="E25" s="7">
        <f t="shared" si="2"/>
        <v>0</v>
      </c>
      <c r="F25" s="7">
        <f t="shared" si="2"/>
        <v>0.15306122448979592</v>
      </c>
      <c r="G25" s="7">
        <f t="shared" si="2"/>
        <v>0.6588235294117647</v>
      </c>
      <c r="H25" s="7">
        <f t="shared" si="2"/>
        <v>0.65714285714285714</v>
      </c>
      <c r="I25" s="7">
        <f t="shared" si="2"/>
        <v>0.37333333333333335</v>
      </c>
      <c r="J25" s="7">
        <f t="shared" si="2"/>
        <v>0</v>
      </c>
      <c r="K25" s="7">
        <f t="shared" si="2"/>
        <v>0</v>
      </c>
      <c r="L25" s="7">
        <f t="shared" si="2"/>
        <v>0.15463917525773196</v>
      </c>
    </row>
    <row r="26" spans="3:12" x14ac:dyDescent="0.25">
      <c r="C26" s="13" t="s">
        <v>45</v>
      </c>
      <c r="D26" s="7">
        <f t="shared" si="2"/>
        <v>0.30769230769230771</v>
      </c>
      <c r="E26" s="7">
        <f t="shared" si="2"/>
        <v>0.87603305785123964</v>
      </c>
      <c r="F26" s="7">
        <f t="shared" si="2"/>
        <v>0.58163265306122447</v>
      </c>
      <c r="G26" s="7">
        <f t="shared" si="2"/>
        <v>0.12941176470588237</v>
      </c>
      <c r="H26" s="7">
        <f t="shared" si="2"/>
        <v>0.14285714285714285</v>
      </c>
      <c r="I26" s="7">
        <f t="shared" si="2"/>
        <v>0.38222222222222224</v>
      </c>
      <c r="J26" s="7">
        <f t="shared" si="2"/>
        <v>0.15853658536585366</v>
      </c>
      <c r="K26" s="7">
        <f t="shared" si="2"/>
        <v>0</v>
      </c>
      <c r="L26" s="7">
        <f t="shared" si="2"/>
        <v>0.75257731958762886</v>
      </c>
    </row>
    <row r="27" spans="3:12" x14ac:dyDescent="0.25">
      <c r="C27" s="13" t="s">
        <v>46</v>
      </c>
      <c r="D27" s="7">
        <f t="shared" si="2"/>
        <v>0.23076923076923078</v>
      </c>
      <c r="E27" s="7">
        <f t="shared" ref="E27:L27" si="3">E18/E$19</f>
        <v>0</v>
      </c>
      <c r="F27" s="7">
        <f t="shared" si="3"/>
        <v>5.1020408163265307E-2</v>
      </c>
      <c r="G27" s="7">
        <f t="shared" si="3"/>
        <v>0</v>
      </c>
      <c r="H27" s="7">
        <f t="shared" si="3"/>
        <v>7.1428571428571425E-2</v>
      </c>
      <c r="I27" s="7">
        <f t="shared" si="3"/>
        <v>0.21333333333333335</v>
      </c>
      <c r="J27" s="7">
        <f t="shared" si="3"/>
        <v>0.15853658536585366</v>
      </c>
      <c r="K27" s="7">
        <f t="shared" si="3"/>
        <v>0.21428571428571427</v>
      </c>
      <c r="L27" s="7">
        <f t="shared" si="3"/>
        <v>0</v>
      </c>
    </row>
    <row r="28" spans="3:12" x14ac:dyDescent="0.25">
      <c r="C28" s="5" t="s">
        <v>1</v>
      </c>
      <c r="D28" s="7">
        <f t="shared" si="2"/>
        <v>1</v>
      </c>
      <c r="E28" s="7">
        <f t="shared" ref="E28:L28" si="4">E19/E$19</f>
        <v>1</v>
      </c>
      <c r="F28" s="7">
        <f t="shared" si="4"/>
        <v>1</v>
      </c>
      <c r="G28" s="7">
        <f t="shared" si="4"/>
        <v>1</v>
      </c>
      <c r="H28" s="7">
        <f t="shared" si="4"/>
        <v>1</v>
      </c>
      <c r="I28" s="7">
        <f t="shared" si="4"/>
        <v>1</v>
      </c>
      <c r="J28" s="7">
        <f t="shared" si="4"/>
        <v>1</v>
      </c>
      <c r="K28" s="7">
        <f t="shared" si="4"/>
        <v>1</v>
      </c>
      <c r="L28" s="7">
        <f t="shared" si="4"/>
        <v>1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>
    <tabColor indexed="50"/>
  </sheetPr>
  <dimension ref="C5:E31"/>
  <sheetViews>
    <sheetView showGridLines="0" workbookViewId="0">
      <selection activeCell="D37" sqref="D37"/>
    </sheetView>
  </sheetViews>
  <sheetFormatPr defaultColWidth="9.21875" defaultRowHeight="13.2" x14ac:dyDescent="0.25"/>
  <cols>
    <col min="1" max="2" width="9.21875" style="1"/>
    <col min="3" max="3" width="31.44140625" style="1" customWidth="1"/>
    <col min="4" max="4" width="36.21875" style="1" customWidth="1"/>
    <col min="5" max="5" width="23.77734375" style="1" customWidth="1"/>
    <col min="6" max="16384" width="9.21875" style="1"/>
  </cols>
  <sheetData>
    <row r="5" spans="3:5" x14ac:dyDescent="0.25">
      <c r="C5" s="21" t="s">
        <v>2</v>
      </c>
      <c r="D5" s="21" t="s">
        <v>19</v>
      </c>
      <c r="E5" s="21" t="s">
        <v>3</v>
      </c>
    </row>
    <row r="6" spans="3:5" ht="26.4" x14ac:dyDescent="0.25">
      <c r="C6" s="2" t="s">
        <v>20</v>
      </c>
      <c r="D6" s="2" t="s">
        <v>22</v>
      </c>
      <c r="E6" s="3" t="str">
        <f>LEFT("Muinho",3)</f>
        <v>Mui</v>
      </c>
    </row>
    <row r="7" spans="3:5" ht="26.4" x14ac:dyDescent="0.25">
      <c r="C7" s="2" t="s">
        <v>21</v>
      </c>
      <c r="D7" s="2" t="s">
        <v>24</v>
      </c>
      <c r="E7" s="3" t="str">
        <f>RIGHT("Cinto",2)</f>
        <v>to</v>
      </c>
    </row>
    <row r="8" spans="3:5" ht="26.4" x14ac:dyDescent="0.25">
      <c r="C8" s="2" t="s">
        <v>23</v>
      </c>
      <c r="D8" s="2" t="s">
        <v>26</v>
      </c>
      <c r="E8" s="3" t="str">
        <f>RIGHT("Bom Bom",4)</f>
        <v xml:space="preserve"> Bom</v>
      </c>
    </row>
    <row r="10" spans="3:5" ht="26.4" x14ac:dyDescent="0.25">
      <c r="D10" s="2" t="s">
        <v>25</v>
      </c>
      <c r="E10" s="3" t="str">
        <f>_xlfn.CONCAT(E6,E7,E8)</f>
        <v>Muito Bom</v>
      </c>
    </row>
    <row r="16" spans="3:5" x14ac:dyDescent="0.25">
      <c r="C16" s="21" t="s">
        <v>27</v>
      </c>
      <c r="D16" s="21" t="s">
        <v>19</v>
      </c>
      <c r="E16" s="21" t="s">
        <v>3</v>
      </c>
    </row>
    <row r="17" spans="3:5" ht="26.4" x14ac:dyDescent="0.25">
      <c r="C17" s="8">
        <v>39900</v>
      </c>
      <c r="D17" s="2" t="s">
        <v>29</v>
      </c>
      <c r="E17" s="3">
        <f>DAY("28/03/2009")</f>
        <v>28</v>
      </c>
    </row>
    <row r="18" spans="3:5" ht="26.4" x14ac:dyDescent="0.25">
      <c r="C18" s="8">
        <v>39564</v>
      </c>
      <c r="D18" s="2" t="s">
        <v>30</v>
      </c>
      <c r="E18" s="3">
        <f>MONTH("26/04/2008")</f>
        <v>4</v>
      </c>
    </row>
    <row r="19" spans="3:5" ht="26.4" x14ac:dyDescent="0.25">
      <c r="C19" s="8">
        <v>40181</v>
      </c>
      <c r="D19" s="2" t="s">
        <v>28</v>
      </c>
      <c r="E19" s="3">
        <f>DAY("03/01/2010")</f>
        <v>3</v>
      </c>
    </row>
    <row r="21" spans="3:5" ht="39.6" x14ac:dyDescent="0.25">
      <c r="D21" s="14" t="s">
        <v>113</v>
      </c>
      <c r="E21" s="9">
        <f>DATE(E17,E18,E19)</f>
        <v>10321</v>
      </c>
    </row>
    <row r="25" spans="3:5" x14ac:dyDescent="0.25">
      <c r="C25" s="21" t="s">
        <v>31</v>
      </c>
      <c r="D25" s="21" t="s">
        <v>19</v>
      </c>
      <c r="E25" s="21" t="s">
        <v>3</v>
      </c>
    </row>
    <row r="26" spans="3:5" ht="26.4" x14ac:dyDescent="0.25">
      <c r="C26" s="2">
        <f>PI()</f>
        <v>3.1415926535897931</v>
      </c>
      <c r="D26" s="2" t="s">
        <v>32</v>
      </c>
      <c r="E26" s="3">
        <f>ROUND(C26,4)</f>
        <v>3.1415999999999999</v>
      </c>
    </row>
    <row r="27" spans="3:5" ht="26.4" x14ac:dyDescent="0.25">
      <c r="C27" s="2">
        <v>11</v>
      </c>
      <c r="D27" s="2" t="s">
        <v>33</v>
      </c>
      <c r="E27" s="3">
        <f>MOD(C27,2)</f>
        <v>1</v>
      </c>
    </row>
    <row r="28" spans="3:5" ht="26.4" x14ac:dyDescent="0.25">
      <c r="C28" s="2">
        <v>4.5</v>
      </c>
      <c r="D28" s="2" t="s">
        <v>34</v>
      </c>
      <c r="E28" s="3">
        <f>INT(C28)</f>
        <v>4</v>
      </c>
    </row>
    <row r="30" spans="3:5" x14ac:dyDescent="0.25">
      <c r="D30"/>
      <c r="E30"/>
    </row>
    <row r="31" spans="3:5" x14ac:dyDescent="0.25">
      <c r="D31"/>
      <c r="E31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57EF-561D-4FFC-A23C-6D4C8270B73C}">
  <sheetPr codeName="Planilha2"/>
  <dimension ref="B2:J24"/>
  <sheetViews>
    <sheetView workbookViewId="0">
      <selection activeCell="H29" sqref="H29"/>
    </sheetView>
  </sheetViews>
  <sheetFormatPr defaultRowHeight="13.2" x14ac:dyDescent="0.25"/>
  <cols>
    <col min="5" max="6" width="11.6640625" bestFit="1" customWidth="1"/>
    <col min="7" max="7" width="12.5546875" bestFit="1" customWidth="1"/>
    <col min="8" max="8" width="32.6640625" bestFit="1" customWidth="1"/>
  </cols>
  <sheetData>
    <row r="2" spans="2:10" ht="13.2" customHeight="1" x14ac:dyDescent="0.25">
      <c r="B2" s="31" t="s">
        <v>129</v>
      </c>
      <c r="C2" s="32"/>
      <c r="D2" s="32"/>
      <c r="E2" s="32"/>
      <c r="F2" s="32"/>
      <c r="G2" s="32"/>
      <c r="H2" s="32"/>
      <c r="I2" s="32"/>
      <c r="J2" s="33"/>
    </row>
    <row r="3" spans="2:10" x14ac:dyDescent="0.25">
      <c r="B3" s="34"/>
      <c r="C3" s="35"/>
      <c r="D3" s="35"/>
      <c r="E3" s="35"/>
      <c r="F3" s="35"/>
      <c r="G3" s="35"/>
      <c r="H3" s="35"/>
      <c r="I3" s="35"/>
      <c r="J3" s="36"/>
    </row>
    <row r="4" spans="2:10" x14ac:dyDescent="0.25">
      <c r="B4" s="34"/>
      <c r="C4" s="35"/>
      <c r="D4" s="35"/>
      <c r="E4" s="35"/>
      <c r="F4" s="35"/>
      <c r="G4" s="35"/>
      <c r="H4" s="35"/>
      <c r="I4" s="35"/>
      <c r="J4" s="36"/>
    </row>
    <row r="5" spans="2:10" x14ac:dyDescent="0.25">
      <c r="B5" s="34"/>
      <c r="C5" s="35"/>
      <c r="D5" s="35"/>
      <c r="E5" s="35"/>
      <c r="F5" s="35"/>
      <c r="G5" s="35"/>
      <c r="H5" s="35"/>
      <c r="I5" s="35"/>
      <c r="J5" s="36"/>
    </row>
    <row r="6" spans="2:10" x14ac:dyDescent="0.25">
      <c r="B6" s="34"/>
      <c r="C6" s="35"/>
      <c r="D6" s="35"/>
      <c r="E6" s="35"/>
      <c r="F6" s="35"/>
      <c r="G6" s="35"/>
      <c r="H6" s="35"/>
      <c r="I6" s="35"/>
      <c r="J6" s="36"/>
    </row>
    <row r="7" spans="2:10" x14ac:dyDescent="0.25">
      <c r="B7" s="34"/>
      <c r="C7" s="35"/>
      <c r="D7" s="35"/>
      <c r="E7" s="35"/>
      <c r="F7" s="35"/>
      <c r="G7" s="35"/>
      <c r="H7" s="35"/>
      <c r="I7" s="35"/>
      <c r="J7" s="36"/>
    </row>
    <row r="8" spans="2:10" x14ac:dyDescent="0.25">
      <c r="B8" s="34"/>
      <c r="C8" s="35"/>
      <c r="D8" s="35"/>
      <c r="E8" s="35"/>
      <c r="F8" s="35"/>
      <c r="G8" s="35"/>
      <c r="H8" s="35"/>
      <c r="I8" s="35"/>
      <c r="J8" s="36"/>
    </row>
    <row r="9" spans="2:10" x14ac:dyDescent="0.25">
      <c r="B9" s="34"/>
      <c r="C9" s="35"/>
      <c r="D9" s="35"/>
      <c r="E9" s="35"/>
      <c r="F9" s="35"/>
      <c r="G9" s="35"/>
      <c r="H9" s="35"/>
      <c r="I9" s="35"/>
      <c r="J9" s="36"/>
    </row>
    <row r="10" spans="2:10" x14ac:dyDescent="0.25">
      <c r="B10" s="34"/>
      <c r="C10" s="35"/>
      <c r="D10" s="35"/>
      <c r="E10" s="35"/>
      <c r="F10" s="35"/>
      <c r="G10" s="35"/>
      <c r="H10" s="35"/>
      <c r="I10" s="35"/>
      <c r="J10" s="36"/>
    </row>
    <row r="11" spans="2:10" x14ac:dyDescent="0.25">
      <c r="B11" s="34"/>
      <c r="C11" s="35"/>
      <c r="D11" s="35"/>
      <c r="E11" s="35"/>
      <c r="F11" s="35"/>
      <c r="G11" s="35"/>
      <c r="H11" s="35"/>
      <c r="I11" s="35"/>
      <c r="J11" s="36"/>
    </row>
    <row r="12" spans="2:10" x14ac:dyDescent="0.25">
      <c r="B12" s="37"/>
      <c r="C12" s="38"/>
      <c r="D12" s="38"/>
      <c r="E12" s="38"/>
      <c r="F12" s="38"/>
      <c r="G12" s="38"/>
      <c r="H12" s="38"/>
      <c r="I12" s="38"/>
      <c r="J12" s="39"/>
    </row>
    <row r="14" spans="2:10" x14ac:dyDescent="0.25">
      <c r="B14" s="40" t="s">
        <v>127</v>
      </c>
      <c r="C14" s="40"/>
      <c r="D14" s="40"/>
      <c r="E14" s="40"/>
      <c r="F14" s="40"/>
      <c r="G14" s="40"/>
      <c r="H14" s="40"/>
      <c r="I14" s="40"/>
      <c r="J14" s="40"/>
    </row>
    <row r="16" spans="2:10" x14ac:dyDescent="0.25">
      <c r="E16" s="11" t="s">
        <v>39</v>
      </c>
      <c r="F16" s="11" t="s">
        <v>40</v>
      </c>
      <c r="G16" s="11" t="s">
        <v>3</v>
      </c>
      <c r="H16" s="11" t="s">
        <v>128</v>
      </c>
    </row>
    <row r="17" spans="2:10" x14ac:dyDescent="0.25">
      <c r="E17" s="11">
        <v>4</v>
      </c>
      <c r="F17" s="11">
        <v>8</v>
      </c>
      <c r="G17" s="11">
        <f ca="1">INT(RAND()*(F17-E17+1)+E17)</f>
        <v>8</v>
      </c>
      <c r="H17" s="16" t="s">
        <v>130</v>
      </c>
    </row>
    <row r="18" spans="2:10" x14ac:dyDescent="0.25">
      <c r="E18" s="11">
        <v>1</v>
      </c>
      <c r="F18" s="11">
        <v>10</v>
      </c>
      <c r="G18" s="11">
        <f ca="1">INT(RAND()*(F18-E18+1)+E18)</f>
        <v>4</v>
      </c>
      <c r="H18" s="16" t="s">
        <v>131</v>
      </c>
    </row>
    <row r="19" spans="2:10" x14ac:dyDescent="0.25">
      <c r="E19" s="11">
        <v>1</v>
      </c>
      <c r="F19" s="11">
        <v>2</v>
      </c>
      <c r="G19" s="11">
        <f t="shared" ref="G19:G21" ca="1" si="0">INT(RAND()*(F19-E19+1)+E19)</f>
        <v>2</v>
      </c>
      <c r="H19" s="16" t="s">
        <v>132</v>
      </c>
    </row>
    <row r="20" spans="2:10" x14ac:dyDescent="0.25">
      <c r="E20" s="11">
        <v>10</v>
      </c>
      <c r="F20" s="11">
        <v>15</v>
      </c>
      <c r="G20" s="11">
        <f t="shared" ca="1" si="0"/>
        <v>13</v>
      </c>
      <c r="H20" s="16" t="s">
        <v>133</v>
      </c>
    </row>
    <row r="21" spans="2:10" x14ac:dyDescent="0.25">
      <c r="E21" s="11">
        <v>80</v>
      </c>
      <c r="F21" s="11">
        <v>85</v>
      </c>
      <c r="G21" s="11">
        <f t="shared" ca="1" si="0"/>
        <v>85</v>
      </c>
      <c r="H21" s="16" t="s">
        <v>134</v>
      </c>
    </row>
    <row r="23" spans="2:10" x14ac:dyDescent="0.25">
      <c r="B23" s="31" t="s">
        <v>135</v>
      </c>
      <c r="C23" s="41"/>
      <c r="D23" s="41"/>
      <c r="E23" s="41"/>
      <c r="F23" s="41"/>
      <c r="G23" s="41"/>
      <c r="H23" s="41"/>
      <c r="I23" s="41"/>
      <c r="J23" s="42"/>
    </row>
    <row r="24" spans="2:10" x14ac:dyDescent="0.25">
      <c r="B24" s="43"/>
      <c r="C24" s="44"/>
      <c r="D24" s="44"/>
      <c r="E24" s="44"/>
      <c r="F24" s="44"/>
      <c r="G24" s="44"/>
      <c r="H24" s="44"/>
      <c r="I24" s="44"/>
      <c r="J24" s="45"/>
    </row>
  </sheetData>
  <mergeCells count="3">
    <mergeCell ref="B2:J12"/>
    <mergeCell ref="B14:J14"/>
    <mergeCell ref="B23:J2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76CE-6780-4210-A826-88D413D3436C}">
  <dimension ref="B2:J59"/>
  <sheetViews>
    <sheetView zoomScale="40" zoomScaleNormal="40" workbookViewId="0">
      <selection activeCell="W34" sqref="W34"/>
    </sheetView>
  </sheetViews>
  <sheetFormatPr defaultRowHeight="13.2" x14ac:dyDescent="0.25"/>
  <cols>
    <col min="4" max="4" width="18.88671875" bestFit="1" customWidth="1"/>
    <col min="5" max="5" width="20.109375" customWidth="1"/>
    <col min="6" max="6" width="14.21875" bestFit="1" customWidth="1"/>
    <col min="7" max="7" width="31.21875" bestFit="1" customWidth="1"/>
    <col min="8" max="8" width="70.33203125" bestFit="1" customWidth="1"/>
  </cols>
  <sheetData>
    <row r="2" spans="2:10" ht="13.2" customHeight="1" x14ac:dyDescent="0.25">
      <c r="B2" s="31" t="s">
        <v>136</v>
      </c>
      <c r="C2" s="32"/>
      <c r="D2" s="32"/>
      <c r="E2" s="32"/>
      <c r="F2" s="32"/>
      <c r="G2" s="32"/>
      <c r="H2" s="32"/>
      <c r="I2" s="32"/>
      <c r="J2" s="33"/>
    </row>
    <row r="3" spans="2:10" x14ac:dyDescent="0.25">
      <c r="B3" s="34"/>
      <c r="C3" s="62"/>
      <c r="D3" s="62"/>
      <c r="E3" s="62"/>
      <c r="F3" s="62"/>
      <c r="G3" s="62"/>
      <c r="H3" s="62"/>
      <c r="I3" s="62"/>
      <c r="J3" s="36"/>
    </row>
    <row r="4" spans="2:10" x14ac:dyDescent="0.25">
      <c r="B4" s="34"/>
      <c r="C4" s="62"/>
      <c r="D4" s="62"/>
      <c r="E4" s="62"/>
      <c r="F4" s="62"/>
      <c r="G4" s="62"/>
      <c r="H4" s="62"/>
      <c r="I4" s="62"/>
      <c r="J4" s="36"/>
    </row>
    <row r="5" spans="2:10" x14ac:dyDescent="0.25">
      <c r="B5" s="34"/>
      <c r="C5" s="62"/>
      <c r="D5" s="62"/>
      <c r="E5" s="62"/>
      <c r="F5" s="62"/>
      <c r="G5" s="62"/>
      <c r="H5" s="62"/>
      <c r="I5" s="62"/>
      <c r="J5" s="36"/>
    </row>
    <row r="6" spans="2:10" x14ac:dyDescent="0.25">
      <c r="B6" s="37"/>
      <c r="C6" s="38"/>
      <c r="D6" s="38"/>
      <c r="E6" s="38"/>
      <c r="F6" s="38"/>
      <c r="G6" s="38"/>
      <c r="H6" s="38"/>
      <c r="I6" s="38"/>
      <c r="J6" s="39"/>
    </row>
    <row r="8" spans="2:10" x14ac:dyDescent="0.25">
      <c r="D8" s="26" t="s">
        <v>60</v>
      </c>
      <c r="E8" s="27" t="s">
        <v>81</v>
      </c>
      <c r="F8" s="28" t="s">
        <v>35</v>
      </c>
      <c r="G8" s="30" t="s">
        <v>138</v>
      </c>
    </row>
    <row r="9" spans="2:10" x14ac:dyDescent="0.25">
      <c r="D9" s="23" t="s">
        <v>61</v>
      </c>
      <c r="E9" s="12">
        <v>75</v>
      </c>
      <c r="F9" s="15" t="str">
        <f>IF(Tabela2[[#This Row],[Nota Final]]&gt;=85,"SIM","NÃO")</f>
        <v>NÃO</v>
      </c>
      <c r="G9" s="29" t="s">
        <v>137</v>
      </c>
    </row>
    <row r="10" spans="2:10" x14ac:dyDescent="0.25">
      <c r="D10" s="23" t="s">
        <v>62</v>
      </c>
      <c r="E10" s="12">
        <v>100</v>
      </c>
      <c r="F10" t="str">
        <f>IF(Tabela2[[#This Row],[Nota Final]]&gt;=85,"SIM","NÃO")</f>
        <v>SIM</v>
      </c>
      <c r="G10" s="29"/>
    </row>
    <row r="11" spans="2:10" x14ac:dyDescent="0.25">
      <c r="D11" s="23" t="s">
        <v>63</v>
      </c>
      <c r="E11" s="12">
        <v>88</v>
      </c>
      <c r="F11" t="str">
        <f>IF(Tabela2[[#This Row],[Nota Final]]&gt;=85,"SIM","NÃO")</f>
        <v>SIM</v>
      </c>
      <c r="G11" s="29"/>
    </row>
    <row r="12" spans="2:10" x14ac:dyDescent="0.25">
      <c r="D12" s="23" t="s">
        <v>64</v>
      </c>
      <c r="E12" s="12">
        <v>84</v>
      </c>
      <c r="F12" t="str">
        <f>IF(Tabela2[[#This Row],[Nota Final]]&gt;=85,"SIM","NÃO")</f>
        <v>NÃO</v>
      </c>
      <c r="G12" s="29"/>
    </row>
    <row r="13" spans="2:10" x14ac:dyDescent="0.25">
      <c r="D13" s="23" t="s">
        <v>65</v>
      </c>
      <c r="E13" s="12">
        <v>72</v>
      </c>
      <c r="F13" t="str">
        <f>IF(Tabela2[[#This Row],[Nota Final]]&gt;=85,"SIM","NÃO")</f>
        <v>NÃO</v>
      </c>
      <c r="G13" s="29"/>
    </row>
    <row r="14" spans="2:10" x14ac:dyDescent="0.25">
      <c r="D14" s="23" t="s">
        <v>66</v>
      </c>
      <c r="E14" s="12">
        <v>100</v>
      </c>
      <c r="F14" t="str">
        <f>IF(Tabela2[[#This Row],[Nota Final]]&gt;=85,"SIM","NÃO")</f>
        <v>SIM</v>
      </c>
      <c r="G14" s="29"/>
    </row>
    <row r="15" spans="2:10" x14ac:dyDescent="0.25">
      <c r="D15" s="23" t="s">
        <v>67</v>
      </c>
      <c r="E15" s="12">
        <v>96</v>
      </c>
      <c r="F15" t="str">
        <f>IF(Tabela2[[#This Row],[Nota Final]]&gt;=85,"SIM","NÃO")</f>
        <v>SIM</v>
      </c>
      <c r="G15" s="29"/>
    </row>
    <row r="16" spans="2:10" x14ac:dyDescent="0.25">
      <c r="D16" s="23" t="s">
        <v>68</v>
      </c>
      <c r="E16" s="12">
        <v>96</v>
      </c>
      <c r="F16" t="str">
        <f>IF(Tabela2[[#This Row],[Nota Final]]&gt;=85,"SIM","NÃO")</f>
        <v>SIM</v>
      </c>
      <c r="G16" s="29"/>
    </row>
    <row r="17" spans="2:10" x14ac:dyDescent="0.25">
      <c r="D17" s="23" t="s">
        <v>69</v>
      </c>
      <c r="E17" s="12">
        <v>84</v>
      </c>
      <c r="F17" t="str">
        <f>IF(Tabela2[[#This Row],[Nota Final]]&gt;=85,"SIM","NÃO")</f>
        <v>NÃO</v>
      </c>
      <c r="G17" s="29"/>
    </row>
    <row r="18" spans="2:10" x14ac:dyDescent="0.25">
      <c r="D18" s="23" t="s">
        <v>70</v>
      </c>
      <c r="E18" s="12">
        <v>84</v>
      </c>
      <c r="F18" t="str">
        <f>IF(Tabela2[[#This Row],[Nota Final]]&gt;=85,"SIM","NÃO")</f>
        <v>NÃO</v>
      </c>
      <c r="G18" s="29"/>
    </row>
    <row r="19" spans="2:10" x14ac:dyDescent="0.25">
      <c r="D19" s="23" t="s">
        <v>71</v>
      </c>
      <c r="E19" s="12">
        <v>96</v>
      </c>
      <c r="F19" t="str">
        <f>IF(Tabela2[[#This Row],[Nota Final]]&gt;=85,"SIM","NÃO")</f>
        <v>SIM</v>
      </c>
      <c r="G19" s="29"/>
    </row>
    <row r="20" spans="2:10" x14ac:dyDescent="0.25">
      <c r="D20" s="23" t="s">
        <v>72</v>
      </c>
      <c r="E20" s="12">
        <v>84</v>
      </c>
      <c r="F20" t="str">
        <f>IF(Tabela2[[#This Row],[Nota Final]]&gt;=85,"SIM","NÃO")</f>
        <v>NÃO</v>
      </c>
      <c r="G20" s="29"/>
    </row>
    <row r="21" spans="2:10" x14ac:dyDescent="0.25">
      <c r="D21" s="23" t="s">
        <v>73</v>
      </c>
      <c r="E21" s="12">
        <v>90</v>
      </c>
      <c r="F21" t="str">
        <f>IF(Tabela2[[#This Row],[Nota Final]]&gt;=85,"SIM","NÃO")</f>
        <v>SIM</v>
      </c>
      <c r="G21" s="29"/>
    </row>
    <row r="22" spans="2:10" x14ac:dyDescent="0.25">
      <c r="D22" s="23" t="s">
        <v>74</v>
      </c>
      <c r="E22" s="12">
        <v>100</v>
      </c>
      <c r="F22" t="str">
        <f>IF(Tabela2[[#This Row],[Nota Final]]&gt;=85,"SIM","NÃO")</f>
        <v>SIM</v>
      </c>
      <c r="G22" s="29"/>
    </row>
    <row r="23" spans="2:10" x14ac:dyDescent="0.25">
      <c r="D23" s="23" t="s">
        <v>75</v>
      </c>
      <c r="E23" s="12">
        <v>85</v>
      </c>
      <c r="F23" t="str">
        <f>IF(Tabela2[[#This Row],[Nota Final]]&gt;=85,"SIM","NÃO")</f>
        <v>SIM</v>
      </c>
      <c r="G23" s="29"/>
    </row>
    <row r="24" spans="2:10" x14ac:dyDescent="0.25">
      <c r="D24" s="23" t="s">
        <v>76</v>
      </c>
      <c r="E24" s="12">
        <v>100</v>
      </c>
      <c r="F24" t="str">
        <f>IF(Tabela2[[#This Row],[Nota Final]]&gt;=85,"SIM","NÃO")</f>
        <v>SIM</v>
      </c>
      <c r="G24" s="29"/>
    </row>
    <row r="25" spans="2:10" x14ac:dyDescent="0.25">
      <c r="D25" s="23" t="s">
        <v>77</v>
      </c>
      <c r="E25" s="12">
        <v>90</v>
      </c>
      <c r="F25" t="str">
        <f>IF(Tabela2[[#This Row],[Nota Final]]&gt;=85,"SIM","NÃO")</f>
        <v>SIM</v>
      </c>
      <c r="G25" s="29"/>
    </row>
    <row r="26" spans="2:10" x14ac:dyDescent="0.25">
      <c r="D26" s="23" t="s">
        <v>78</v>
      </c>
      <c r="E26" s="12">
        <v>84</v>
      </c>
      <c r="F26" t="str">
        <f>IF(Tabela2[[#This Row],[Nota Final]]&gt;=85,"SIM","NÃO")</f>
        <v>NÃO</v>
      </c>
      <c r="G26" s="29"/>
    </row>
    <row r="27" spans="2:10" x14ac:dyDescent="0.25">
      <c r="D27" s="23" t="s">
        <v>79</v>
      </c>
      <c r="E27" s="12">
        <v>96</v>
      </c>
      <c r="F27" t="str">
        <f>IF(Tabela2[[#This Row],[Nota Final]]&gt;=85,"SIM","NÃO")</f>
        <v>SIM</v>
      </c>
      <c r="G27" s="29"/>
    </row>
    <row r="28" spans="2:10" x14ac:dyDescent="0.25">
      <c r="D28" s="24" t="s">
        <v>80</v>
      </c>
      <c r="E28" s="25">
        <v>84</v>
      </c>
      <c r="F28" t="str">
        <f>IF(Tabela2[[#This Row],[Nota Final]]&gt;=85,"SIM","NÃO")</f>
        <v>NÃO</v>
      </c>
      <c r="G28" s="29"/>
    </row>
    <row r="30" spans="2:10" ht="13.2" customHeight="1" x14ac:dyDescent="0.25">
      <c r="B30" s="46" t="s">
        <v>139</v>
      </c>
      <c r="C30" s="46"/>
      <c r="D30" s="46"/>
      <c r="E30" s="46"/>
      <c r="F30" s="46"/>
      <c r="G30" s="46"/>
      <c r="H30" s="46"/>
      <c r="I30" s="46"/>
      <c r="J30" s="46"/>
    </row>
    <row r="31" spans="2:10" x14ac:dyDescent="0.25">
      <c r="B31" s="46"/>
      <c r="C31" s="46"/>
      <c r="D31" s="46"/>
      <c r="E31" s="46"/>
      <c r="F31" s="46"/>
      <c r="G31" s="46"/>
      <c r="H31" s="46"/>
      <c r="I31" s="46"/>
      <c r="J31" s="46"/>
    </row>
    <row r="32" spans="2:10" x14ac:dyDescent="0.25">
      <c r="B32" s="46"/>
      <c r="C32" s="46"/>
      <c r="D32" s="46"/>
      <c r="E32" s="46"/>
      <c r="F32" s="46"/>
      <c r="G32" s="46"/>
      <c r="H32" s="46"/>
      <c r="I32" s="46"/>
      <c r="J32" s="46"/>
    </row>
    <row r="33" spans="2:10" x14ac:dyDescent="0.25">
      <c r="B33" s="46"/>
      <c r="C33" s="46"/>
      <c r="D33" s="46"/>
      <c r="E33" s="46"/>
      <c r="F33" s="46"/>
      <c r="G33" s="46"/>
      <c r="H33" s="46"/>
      <c r="I33" s="46"/>
      <c r="J33" s="46"/>
    </row>
    <row r="34" spans="2:10" x14ac:dyDescent="0.25">
      <c r="B34" s="46"/>
      <c r="C34" s="46"/>
      <c r="D34" s="46"/>
      <c r="E34" s="46"/>
      <c r="F34" s="46"/>
      <c r="G34" s="46"/>
      <c r="H34" s="46"/>
      <c r="I34" s="46"/>
      <c r="J34" s="46"/>
    </row>
    <row r="36" spans="2:10" x14ac:dyDescent="0.25">
      <c r="D36" s="54" t="s">
        <v>60</v>
      </c>
      <c r="E36" s="55" t="s">
        <v>36</v>
      </c>
      <c r="F36" s="55" t="s">
        <v>81</v>
      </c>
      <c r="G36" s="56" t="s">
        <v>35</v>
      </c>
      <c r="H36" s="55" t="s">
        <v>128</v>
      </c>
    </row>
    <row r="37" spans="2:10" x14ac:dyDescent="0.25">
      <c r="D37" s="49" t="s">
        <v>82</v>
      </c>
      <c r="E37" s="47">
        <v>31510</v>
      </c>
      <c r="F37" s="48">
        <v>74</v>
      </c>
      <c r="G37" s="50" t="str">
        <f>IF(AND(MONTH(Tabela3[[#This Row],[Data de nascimento]])=4, $F37&gt;=85), "Ganha bônus", "Não ganha")</f>
        <v>Não ganha</v>
      </c>
      <c r="H37" s="57" t="s">
        <v>140</v>
      </c>
    </row>
    <row r="38" spans="2:10" x14ac:dyDescent="0.25">
      <c r="D38" s="49" t="s">
        <v>83</v>
      </c>
      <c r="E38" s="47">
        <v>31148</v>
      </c>
      <c r="F38" s="48">
        <v>90</v>
      </c>
      <c r="G38" s="50" t="str">
        <f>IF(AND(MONTH(Tabela3[[#This Row],[Data de nascimento]])=4, $F38&gt;=85), "Ganha bônus", "Não ganha")</f>
        <v>Ganha bônus</v>
      </c>
      <c r="H38" s="57"/>
    </row>
    <row r="39" spans="2:10" x14ac:dyDescent="0.25">
      <c r="D39" s="49" t="s">
        <v>84</v>
      </c>
      <c r="E39" s="47">
        <v>30678</v>
      </c>
      <c r="F39" s="48">
        <v>100</v>
      </c>
      <c r="G39" s="50" t="str">
        <f>IF(AND(MONTH(Tabela3[[#This Row],[Data de nascimento]])=4, $F39&gt;=85), "Ganha bônus", "Não ganha")</f>
        <v>Não ganha</v>
      </c>
      <c r="H39" s="57"/>
    </row>
    <row r="40" spans="2:10" x14ac:dyDescent="0.25">
      <c r="D40" s="49" t="s">
        <v>85</v>
      </c>
      <c r="E40" s="47">
        <v>30375</v>
      </c>
      <c r="F40" s="48">
        <v>100</v>
      </c>
      <c r="G40" s="50" t="str">
        <f>IF(AND(MONTH(Tabela3[[#This Row],[Data de nascimento]])=4, $F40&gt;=85), "Ganha bônus", "Não ganha")</f>
        <v>Não ganha</v>
      </c>
      <c r="H40" s="57"/>
    </row>
    <row r="41" spans="2:10" x14ac:dyDescent="0.25">
      <c r="D41" s="49" t="s">
        <v>86</v>
      </c>
      <c r="E41" s="47">
        <v>30757</v>
      </c>
      <c r="F41" s="48">
        <v>89</v>
      </c>
      <c r="G41" s="50" t="str">
        <f>IF(AND(MONTH(Tabela3[[#This Row],[Data de nascimento]])=4, $F41&gt;=85), "Ganha bônus", "Não ganha")</f>
        <v>Não ganha</v>
      </c>
      <c r="H41" s="50"/>
    </row>
    <row r="42" spans="2:10" x14ac:dyDescent="0.25">
      <c r="D42" s="49" t="s">
        <v>87</v>
      </c>
      <c r="E42" s="47">
        <v>31505</v>
      </c>
      <c r="F42" s="48">
        <v>84</v>
      </c>
      <c r="G42" s="50" t="str">
        <f>IF(AND(MONTH(Tabela3[[#This Row],[Data de nascimento]])=4, $F42&gt;=85), "Ganha bônus", "Não ganha")</f>
        <v>Não ganha</v>
      </c>
      <c r="H42" s="50"/>
    </row>
    <row r="43" spans="2:10" x14ac:dyDescent="0.25">
      <c r="D43" s="49" t="s">
        <v>88</v>
      </c>
      <c r="E43" s="47">
        <v>29678</v>
      </c>
      <c r="F43" s="48">
        <v>100</v>
      </c>
      <c r="G43" s="50" t="str">
        <f>IF(AND(MONTH(Tabela3[[#This Row],[Data de nascimento]])=4, $F43&gt;=85), "Ganha bônus", "Não ganha")</f>
        <v>Ganha bônus</v>
      </c>
      <c r="H43" s="50"/>
    </row>
    <row r="44" spans="2:10" x14ac:dyDescent="0.25">
      <c r="D44" s="49" t="s">
        <v>89</v>
      </c>
      <c r="E44" s="47">
        <v>32443</v>
      </c>
      <c r="F44" s="48">
        <v>84</v>
      </c>
      <c r="G44" s="50" t="str">
        <f>IF(AND(MONTH(Tabela3[[#This Row],[Data de nascimento]])=4, $F44&gt;=85), "Ganha bônus", "Não ganha")</f>
        <v>Não ganha</v>
      </c>
      <c r="H44" s="50"/>
    </row>
    <row r="45" spans="2:10" x14ac:dyDescent="0.25">
      <c r="D45" s="49" t="s">
        <v>90</v>
      </c>
      <c r="E45" s="47">
        <v>30638</v>
      </c>
      <c r="F45" s="48">
        <v>88</v>
      </c>
      <c r="G45" s="50" t="str">
        <f>IF(AND(MONTH(Tabela3[[#This Row],[Data de nascimento]])=4, $F45&gt;=85), "Ganha bônus", "Não ganha")</f>
        <v>Não ganha</v>
      </c>
      <c r="H45" s="50"/>
    </row>
    <row r="46" spans="2:10" x14ac:dyDescent="0.25">
      <c r="D46" s="49" t="s">
        <v>91</v>
      </c>
      <c r="E46" s="47">
        <v>28948</v>
      </c>
      <c r="F46" s="48">
        <v>96</v>
      </c>
      <c r="G46" s="50" t="str">
        <f>IF(AND(MONTH(Tabela3[[#This Row],[Data de nascimento]])=4, $F46&gt;=85), "Ganha bônus", "Não ganha")</f>
        <v>Ganha bônus</v>
      </c>
      <c r="H46" s="50"/>
    </row>
    <row r="47" spans="2:10" x14ac:dyDescent="0.25">
      <c r="D47" s="49" t="s">
        <v>92</v>
      </c>
      <c r="E47" s="47">
        <v>32479</v>
      </c>
      <c r="F47" s="48">
        <v>84</v>
      </c>
      <c r="G47" s="50" t="str">
        <f>IF(AND(MONTH(Tabela3[[#This Row],[Data de nascimento]])=4, $F47&gt;=85), "Ganha bônus", "Não ganha")</f>
        <v>Não ganha</v>
      </c>
      <c r="H47" s="50"/>
    </row>
    <row r="48" spans="2:10" x14ac:dyDescent="0.25">
      <c r="D48" s="49" t="s">
        <v>93</v>
      </c>
      <c r="E48" s="47">
        <v>30056</v>
      </c>
      <c r="F48" s="48">
        <v>77</v>
      </c>
      <c r="G48" s="50" t="str">
        <f>IF(AND(MONTH(Tabela3[[#This Row],[Data de nascimento]])=4, $F48&gt;=85), "Ganha bônus", "Não ganha")</f>
        <v>Não ganha</v>
      </c>
      <c r="H48" s="50"/>
    </row>
    <row r="49" spans="4:8" x14ac:dyDescent="0.25">
      <c r="D49" s="49" t="s">
        <v>94</v>
      </c>
      <c r="E49" s="47">
        <v>32373</v>
      </c>
      <c r="F49" s="48">
        <v>84</v>
      </c>
      <c r="G49" s="50" t="str">
        <f>IF(AND(MONTH(Tabela3[[#This Row],[Data de nascimento]])=4, $F49&gt;=85), "Ganha bônus", "Não ganha")</f>
        <v>Não ganha</v>
      </c>
      <c r="H49" s="50"/>
    </row>
    <row r="50" spans="4:8" x14ac:dyDescent="0.25">
      <c r="D50" s="49" t="s">
        <v>95</v>
      </c>
      <c r="E50" s="47">
        <v>29399</v>
      </c>
      <c r="F50" s="48">
        <v>73</v>
      </c>
      <c r="G50" s="50" t="str">
        <f>IF(AND(MONTH(Tabela3[[#This Row],[Data de nascimento]])=4, $F50&gt;=85), "Ganha bônus", "Não ganha")</f>
        <v>Não ganha</v>
      </c>
      <c r="H50" s="50"/>
    </row>
    <row r="51" spans="4:8" x14ac:dyDescent="0.25">
      <c r="D51" s="49" t="s">
        <v>96</v>
      </c>
      <c r="E51" s="47">
        <v>30608</v>
      </c>
      <c r="F51" s="48">
        <v>84</v>
      </c>
      <c r="G51" s="50" t="str">
        <f>IF(AND(MONTH(Tabela3[[#This Row],[Data de nascimento]])=4, $F51&gt;=85), "Ganha bônus", "Não ganha")</f>
        <v>Não ganha</v>
      </c>
      <c r="H51" s="50"/>
    </row>
    <row r="52" spans="4:8" x14ac:dyDescent="0.25">
      <c r="D52" s="49" t="s">
        <v>97</v>
      </c>
      <c r="E52" s="47">
        <v>30924</v>
      </c>
      <c r="F52" s="48">
        <v>90</v>
      </c>
      <c r="G52" s="50" t="str">
        <f>IF(AND(MONTH(Tabela3[[#This Row],[Data de nascimento]])=4, $F52&gt;=85), "Ganha bônus", "Não ganha")</f>
        <v>Não ganha</v>
      </c>
      <c r="H52" s="50"/>
    </row>
    <row r="53" spans="4:8" x14ac:dyDescent="0.25">
      <c r="D53" s="49" t="s">
        <v>98</v>
      </c>
      <c r="E53" s="47">
        <v>31058</v>
      </c>
      <c r="F53" s="48">
        <v>100</v>
      </c>
      <c r="G53" s="50" t="str">
        <f>IF(AND(MONTH(Tabela3[[#This Row],[Data de nascimento]])=4, $F53&gt;=85), "Ganha bônus", "Não ganha")</f>
        <v>Não ganha</v>
      </c>
      <c r="H53" s="50"/>
    </row>
    <row r="54" spans="4:8" x14ac:dyDescent="0.25">
      <c r="D54" s="49" t="s">
        <v>99</v>
      </c>
      <c r="E54" s="47">
        <v>30421</v>
      </c>
      <c r="F54" s="48">
        <v>84</v>
      </c>
      <c r="G54" s="50" t="str">
        <f>IF(AND(MONTH(Tabela3[[#This Row],[Data de nascimento]])=4, $F54&gt;=85), "Ganha bônus", "Não ganha")</f>
        <v>Não ganha</v>
      </c>
      <c r="H54" s="50"/>
    </row>
    <row r="55" spans="4:8" x14ac:dyDescent="0.25">
      <c r="D55" s="49" t="s">
        <v>100</v>
      </c>
      <c r="E55" s="47">
        <v>29679</v>
      </c>
      <c r="F55" s="48">
        <v>95</v>
      </c>
      <c r="G55" s="50" t="str">
        <f>IF(AND(MONTH(Tabela3[[#This Row],[Data de nascimento]])=4, $F55&gt;=85), "Ganha bônus", "Não ganha")</f>
        <v>Ganha bônus</v>
      </c>
      <c r="H55" s="50"/>
    </row>
    <row r="56" spans="4:8" x14ac:dyDescent="0.25">
      <c r="D56" s="49" t="s">
        <v>101</v>
      </c>
      <c r="E56" s="47">
        <v>26799</v>
      </c>
      <c r="F56" s="48">
        <v>88</v>
      </c>
      <c r="G56" s="50" t="str">
        <f>IF(AND(MONTH(Tabela3[[#This Row],[Data de nascimento]])=4, $F56&gt;=85), "Ganha bônus", "Não ganha")</f>
        <v>Não ganha</v>
      </c>
      <c r="H56" s="50"/>
    </row>
    <row r="57" spans="4:8" x14ac:dyDescent="0.25">
      <c r="D57" s="49" t="s">
        <v>102</v>
      </c>
      <c r="E57" s="47">
        <v>31141</v>
      </c>
      <c r="F57" s="48">
        <v>84</v>
      </c>
      <c r="G57" s="50" t="str">
        <f>IF(AND(MONTH(Tabela3[[#This Row],[Data de nascimento]])=4, $F57&gt;=85), "Ganha bônus", "Não ganha")</f>
        <v>Não ganha</v>
      </c>
      <c r="H57" s="50"/>
    </row>
    <row r="58" spans="4:8" x14ac:dyDescent="0.25">
      <c r="D58" s="49" t="s">
        <v>103</v>
      </c>
      <c r="E58" s="47">
        <v>32545</v>
      </c>
      <c r="F58" s="48">
        <v>90</v>
      </c>
      <c r="G58" s="50" t="str">
        <f>IF(AND(MONTH(Tabela3[[#This Row],[Data de nascimento]])=4, $F58&gt;=85), "Ganha bônus", "Não ganha")</f>
        <v>Não ganha</v>
      </c>
      <c r="H58" s="50"/>
    </row>
    <row r="59" spans="4:8" x14ac:dyDescent="0.25">
      <c r="D59" s="22" t="s">
        <v>104</v>
      </c>
      <c r="E59" s="51">
        <v>30792</v>
      </c>
      <c r="F59" s="52">
        <v>83</v>
      </c>
      <c r="G59" s="53" t="str">
        <f>IF(AND(MONTH(Tabela3[[#This Row],[Data de nascimento]])=4, $F59&gt;=85), "Ganha bônus", "Não ganha")</f>
        <v>Não ganha</v>
      </c>
      <c r="H59" s="53"/>
    </row>
  </sheetData>
  <mergeCells count="2">
    <mergeCell ref="B2:J6"/>
    <mergeCell ref="B30:J34"/>
  </mergeCells>
  <conditionalFormatting sqref="F9:F28">
    <cfRule type="containsText" dxfId="6" priority="1" operator="containsText" text="SIM">
      <formula>NOT(ISERROR(SEARCH("SIM",F9)))</formula>
    </cfRule>
    <cfRule type="containsText" dxfId="5" priority="2" operator="containsText" text="NÃO">
      <formula>NOT(ISERROR(SEARCH("NÃO",F9)))</formula>
    </cfRule>
    <cfRule type="cellIs" dxfId="4" priority="3" operator="greaterThan">
      <formula>"SI"</formula>
    </cfRule>
    <cfRule type="cellIs" dxfId="3" priority="4" operator="lessThan">
      <formula>85</formula>
    </cfRule>
    <cfRule type="cellIs" dxfId="2" priority="5" operator="greaterThan">
      <formula>"SIM"</formula>
    </cfRule>
  </conditionalFormatting>
  <conditionalFormatting sqref="G8">
    <cfRule type="colorScale" priority="8">
      <colorScale>
        <cfvo type="min"/>
        <cfvo type="max"/>
        <color rgb="FFFF7128"/>
        <color rgb="FFFFEF9C"/>
      </colorScale>
    </cfRule>
  </conditionalFormatting>
  <conditionalFormatting sqref="G9:G28">
    <cfRule type="colorScale" priority="9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3BDD-3892-4500-819A-20D1E74032F9}">
  <dimension ref="B2:I47"/>
  <sheetViews>
    <sheetView zoomScale="65" zoomScaleNormal="65" workbookViewId="0">
      <selection activeCell="B38" sqref="B38:B39"/>
    </sheetView>
  </sheetViews>
  <sheetFormatPr defaultRowHeight="13.2" x14ac:dyDescent="0.25"/>
  <cols>
    <col min="2" max="4" width="19" customWidth="1"/>
    <col min="5" max="5" width="32.33203125" bestFit="1" customWidth="1"/>
    <col min="7" max="9" width="17.6640625" customWidth="1"/>
  </cols>
  <sheetData>
    <row r="2" spans="2:9" ht="13.2" customHeight="1" x14ac:dyDescent="0.25">
      <c r="B2" s="31" t="s">
        <v>146</v>
      </c>
      <c r="C2" s="32"/>
      <c r="D2" s="32"/>
      <c r="E2" s="32"/>
      <c r="F2" s="32"/>
      <c r="G2" s="32"/>
      <c r="H2" s="32"/>
      <c r="I2" s="33"/>
    </row>
    <row r="3" spans="2:9" x14ac:dyDescent="0.25">
      <c r="B3" s="34"/>
      <c r="C3" s="62"/>
      <c r="D3" s="62"/>
      <c r="E3" s="62"/>
      <c r="F3" s="62"/>
      <c r="G3" s="62"/>
      <c r="H3" s="62"/>
      <c r="I3" s="36"/>
    </row>
    <row r="4" spans="2:9" x14ac:dyDescent="0.25">
      <c r="B4" s="34"/>
      <c r="C4" s="62"/>
      <c r="D4" s="62"/>
      <c r="E4" s="62"/>
      <c r="F4" s="62"/>
      <c r="G4" s="62"/>
      <c r="H4" s="62"/>
      <c r="I4" s="36"/>
    </row>
    <row r="5" spans="2:9" x14ac:dyDescent="0.25">
      <c r="B5" s="37"/>
      <c r="C5" s="38"/>
      <c r="D5" s="38"/>
      <c r="E5" s="38"/>
      <c r="F5" s="38"/>
      <c r="G5" s="38"/>
      <c r="H5" s="38"/>
      <c r="I5" s="39"/>
    </row>
    <row r="6" spans="2:9" x14ac:dyDescent="0.25">
      <c r="B6" s="58"/>
      <c r="C6" s="58"/>
      <c r="D6" s="58"/>
      <c r="E6" s="58"/>
      <c r="F6" s="58"/>
      <c r="G6" s="58"/>
      <c r="H6" s="58"/>
      <c r="I6" s="58"/>
    </row>
    <row r="8" spans="2:9" x14ac:dyDescent="0.25">
      <c r="B8" s="59" t="s">
        <v>105</v>
      </c>
      <c r="C8" s="59" t="s">
        <v>106</v>
      </c>
      <c r="D8" s="59" t="s">
        <v>107</v>
      </c>
      <c r="E8" s="59"/>
      <c r="G8" s="59" t="s">
        <v>105</v>
      </c>
      <c r="H8" s="59" t="s">
        <v>107</v>
      </c>
      <c r="I8" s="59" t="s">
        <v>106</v>
      </c>
    </row>
    <row r="9" spans="2:9" x14ac:dyDescent="0.25">
      <c r="B9" s="4" t="s">
        <v>94</v>
      </c>
      <c r="C9" s="10">
        <f>VLOOKUP(B9,$G$8:$I$35,3,FALSE)</f>
        <v>1</v>
      </c>
      <c r="D9" s="10">
        <f>VLOOKUP(B9,$G$8:$I$35,2,FALSE)</f>
        <v>74</v>
      </c>
      <c r="E9" s="63" t="s">
        <v>142</v>
      </c>
      <c r="G9" s="4" t="s">
        <v>87</v>
      </c>
      <c r="H9" s="10">
        <v>89</v>
      </c>
      <c r="I9" s="5">
        <v>1</v>
      </c>
    </row>
    <row r="10" spans="2:9" x14ac:dyDescent="0.25">
      <c r="B10" s="4" t="s">
        <v>98</v>
      </c>
      <c r="C10" s="10">
        <f>VLOOKUP(B10,$G$8:$I$35,3,FALSE)</f>
        <v>1</v>
      </c>
      <c r="D10" s="10">
        <f>VLOOKUP(B10,$G$8:$I$35,2,FALSE)</f>
        <v>90</v>
      </c>
      <c r="E10" s="64" t="s">
        <v>143</v>
      </c>
      <c r="G10" s="4" t="s">
        <v>88</v>
      </c>
      <c r="H10" s="10">
        <v>84</v>
      </c>
      <c r="I10" s="5">
        <v>1</v>
      </c>
    </row>
    <row r="11" spans="2:9" x14ac:dyDescent="0.25">
      <c r="B11" s="4" t="s">
        <v>108</v>
      </c>
      <c r="C11" s="10">
        <f>VLOOKUP(B11,$G$8:$I$35,3,FALSE)</f>
        <v>1</v>
      </c>
      <c r="D11" s="10">
        <f>VLOOKUP(B11,$G$8:$I$35,2,FALSE)</f>
        <v>100</v>
      </c>
      <c r="E11" s="64" t="s">
        <v>144</v>
      </c>
      <c r="G11" s="4" t="s">
        <v>89</v>
      </c>
      <c r="H11" s="10">
        <v>84</v>
      </c>
      <c r="I11" s="5">
        <v>1</v>
      </c>
    </row>
    <row r="12" spans="2:9" x14ac:dyDescent="0.25">
      <c r="B12" s="4" t="s">
        <v>67</v>
      </c>
      <c r="C12" s="10">
        <f>VLOOKUP(B12,$G$8:$I$35,3,FALSE)</f>
        <v>1</v>
      </c>
      <c r="D12" s="10">
        <f>VLOOKUP(B12,$G$8:$I$35,2,FALSE)</f>
        <v>100</v>
      </c>
      <c r="E12" s="64" t="s">
        <v>145</v>
      </c>
      <c r="G12" s="4" t="s">
        <v>90</v>
      </c>
      <c r="H12" s="10">
        <v>96</v>
      </c>
      <c r="I12" s="5">
        <v>1</v>
      </c>
    </row>
    <row r="13" spans="2:9" x14ac:dyDescent="0.25">
      <c r="B13" s="4" t="s">
        <v>87</v>
      </c>
      <c r="C13" s="10">
        <f>VLOOKUP(B13,$G$8:$I$35,3,FALSE)</f>
        <v>1</v>
      </c>
      <c r="D13" s="10">
        <f>VLOOKUP(B13,$G$8:$I$35,2,FALSE)</f>
        <v>89</v>
      </c>
      <c r="E13" s="5"/>
      <c r="G13" s="4" t="s">
        <v>94</v>
      </c>
      <c r="H13" s="10">
        <v>74</v>
      </c>
      <c r="I13" s="5">
        <v>1</v>
      </c>
    </row>
    <row r="14" spans="2:9" x14ac:dyDescent="0.25">
      <c r="B14" s="4" t="s">
        <v>78</v>
      </c>
      <c r="C14" s="10">
        <f>VLOOKUP(B14,$G$8:$I$35,3,FALSE)</f>
        <v>1</v>
      </c>
      <c r="D14" s="10">
        <f>VLOOKUP(B14,$G$8:$I$35,2,FALSE)</f>
        <v>84</v>
      </c>
      <c r="E14" s="5"/>
      <c r="G14" s="4" t="s">
        <v>95</v>
      </c>
      <c r="H14" s="10">
        <v>82</v>
      </c>
      <c r="I14" s="5">
        <v>1</v>
      </c>
    </row>
    <row r="15" spans="2:9" x14ac:dyDescent="0.25">
      <c r="B15" s="4" t="s">
        <v>68</v>
      </c>
      <c r="C15" s="10">
        <f>VLOOKUP(B15,$G$8:$I$35,3,FALSE)</f>
        <v>1</v>
      </c>
      <c r="D15" s="10">
        <f>VLOOKUP(B15,$G$8:$I$35,2,FALSE)</f>
        <v>100</v>
      </c>
      <c r="E15" s="5"/>
      <c r="G15" s="4" t="s">
        <v>96</v>
      </c>
      <c r="H15" s="10">
        <v>84</v>
      </c>
      <c r="I15" s="5">
        <v>2</v>
      </c>
    </row>
    <row r="16" spans="2:9" x14ac:dyDescent="0.25">
      <c r="B16" s="4" t="s">
        <v>80</v>
      </c>
      <c r="C16" s="10">
        <f>VLOOKUP(B16,$G$8:$I$35,3,FALSE)</f>
        <v>1</v>
      </c>
      <c r="D16" s="10">
        <f>VLOOKUP(B16,$G$8:$I$35,2,FALSE)</f>
        <v>84</v>
      </c>
      <c r="E16" s="5"/>
      <c r="G16" s="4" t="s">
        <v>97</v>
      </c>
      <c r="H16" s="10">
        <v>88</v>
      </c>
      <c r="I16" s="5">
        <v>1</v>
      </c>
    </row>
    <row r="17" spans="2:9" x14ac:dyDescent="0.25">
      <c r="B17" s="4" t="s">
        <v>97</v>
      </c>
      <c r="C17" s="10">
        <f>VLOOKUP(B17,$G$8:$I$35,3,FALSE)</f>
        <v>1</v>
      </c>
      <c r="D17" s="10">
        <f>VLOOKUP(B17,$G$8:$I$35,2,FALSE)</f>
        <v>88</v>
      </c>
      <c r="E17" s="5"/>
      <c r="G17" s="4" t="s">
        <v>98</v>
      </c>
      <c r="H17" s="10">
        <v>90</v>
      </c>
      <c r="I17" s="5">
        <v>1</v>
      </c>
    </row>
    <row r="18" spans="2:9" x14ac:dyDescent="0.25">
      <c r="B18" s="4" t="s">
        <v>90</v>
      </c>
      <c r="C18" s="10">
        <f>VLOOKUP(B18,$G$8:$I$35,3,FALSE)</f>
        <v>1</v>
      </c>
      <c r="D18" s="10">
        <f>VLOOKUP(B18,$G$8:$I$35,2,FALSE)</f>
        <v>96</v>
      </c>
      <c r="E18" s="5"/>
      <c r="G18" s="4" t="s">
        <v>99</v>
      </c>
      <c r="H18" s="10">
        <v>100</v>
      </c>
      <c r="I18" s="5">
        <v>1</v>
      </c>
    </row>
    <row r="19" spans="2:9" x14ac:dyDescent="0.25">
      <c r="B19" s="4" t="s">
        <v>96</v>
      </c>
      <c r="C19" s="10">
        <f>VLOOKUP(B19,$G$8:$I$35,3,FALSE)</f>
        <v>2</v>
      </c>
      <c r="D19" s="10">
        <f>VLOOKUP(B19,$G$8:$I$35,2,FALSE)</f>
        <v>84</v>
      </c>
      <c r="E19" s="5"/>
      <c r="G19" s="4" t="s">
        <v>100</v>
      </c>
      <c r="H19" s="10">
        <v>85</v>
      </c>
      <c r="I19" s="5">
        <v>1</v>
      </c>
    </row>
    <row r="20" spans="2:9" x14ac:dyDescent="0.25">
      <c r="B20" s="4" t="s">
        <v>65</v>
      </c>
      <c r="C20" s="10">
        <f>VLOOKUP(B20,$G$8:$I$35,3,FALSE)</f>
        <v>1</v>
      </c>
      <c r="D20" s="10">
        <f>VLOOKUP(B20,$G$8:$I$35,2,FALSE)</f>
        <v>77</v>
      </c>
      <c r="E20" s="5"/>
      <c r="G20" s="4" t="s">
        <v>62</v>
      </c>
      <c r="H20" s="10">
        <v>84</v>
      </c>
      <c r="I20" s="5">
        <v>2</v>
      </c>
    </row>
    <row r="21" spans="2:9" x14ac:dyDescent="0.25">
      <c r="B21" s="4" t="s">
        <v>88</v>
      </c>
      <c r="C21" s="10">
        <f>VLOOKUP(B21,$G$8:$I$35,3,FALSE)</f>
        <v>1</v>
      </c>
      <c r="D21" s="10">
        <f>VLOOKUP(B21,$G$8:$I$35,2,FALSE)</f>
        <v>84</v>
      </c>
      <c r="E21" s="5"/>
      <c r="G21" s="4" t="s">
        <v>63</v>
      </c>
      <c r="H21" s="10">
        <v>84</v>
      </c>
      <c r="I21" s="5">
        <v>1</v>
      </c>
    </row>
    <row r="22" spans="2:9" x14ac:dyDescent="0.25">
      <c r="B22" s="4" t="s">
        <v>66</v>
      </c>
      <c r="C22" s="10">
        <f>VLOOKUP(B22,$G$8:$I$35,3,FALSE)</f>
        <v>1</v>
      </c>
      <c r="D22" s="10">
        <f>VLOOKUP(B22,$G$8:$I$35,2,FALSE)</f>
        <v>73</v>
      </c>
      <c r="E22" s="5"/>
      <c r="G22" s="4" t="s">
        <v>64</v>
      </c>
      <c r="H22" s="10">
        <v>88</v>
      </c>
      <c r="I22" s="5">
        <v>1</v>
      </c>
    </row>
    <row r="23" spans="2:9" x14ac:dyDescent="0.25">
      <c r="B23" s="4" t="s">
        <v>89</v>
      </c>
      <c r="C23" s="10">
        <f>VLOOKUP(B23,$G$8:$I$35,3,FALSE)</f>
        <v>1</v>
      </c>
      <c r="D23" s="10">
        <f>VLOOKUP(B23,$G$8:$I$35,2,FALSE)</f>
        <v>84</v>
      </c>
      <c r="E23" s="5"/>
      <c r="G23" s="4" t="s">
        <v>65</v>
      </c>
      <c r="H23" s="10">
        <v>77</v>
      </c>
      <c r="I23" s="5">
        <v>1</v>
      </c>
    </row>
    <row r="24" spans="2:9" x14ac:dyDescent="0.25">
      <c r="B24" s="4" t="s">
        <v>109</v>
      </c>
      <c r="C24" s="10">
        <f>VLOOKUP(B24,$G$8:$I$35,3,FALSE)</f>
        <v>1</v>
      </c>
      <c r="D24" s="10">
        <f>VLOOKUP(B24,$G$8:$I$35,2,FALSE)</f>
        <v>90</v>
      </c>
      <c r="E24" s="5"/>
      <c r="G24" s="4" t="s">
        <v>66</v>
      </c>
      <c r="H24" s="10">
        <v>73</v>
      </c>
      <c r="I24" s="5">
        <v>1</v>
      </c>
    </row>
    <row r="25" spans="2:9" x14ac:dyDescent="0.25">
      <c r="B25" s="4" t="s">
        <v>99</v>
      </c>
      <c r="C25" s="10">
        <f>VLOOKUP(B25,$G$8:$I$35,3,FALSE)</f>
        <v>1</v>
      </c>
      <c r="D25" s="10">
        <f>VLOOKUP(B25,$G$8:$I$35,2,FALSE)</f>
        <v>100</v>
      </c>
      <c r="E25" s="5"/>
      <c r="G25" s="4" t="s">
        <v>67</v>
      </c>
      <c r="H25" s="10">
        <v>100</v>
      </c>
      <c r="I25" s="5">
        <v>1</v>
      </c>
    </row>
    <row r="26" spans="2:9" x14ac:dyDescent="0.25">
      <c r="B26" s="4" t="s">
        <v>62</v>
      </c>
      <c r="C26" s="10">
        <f>VLOOKUP(B26,$G$8:$I$35,3,FALSE)</f>
        <v>2</v>
      </c>
      <c r="D26" s="10">
        <f>VLOOKUP(B26,$G$8:$I$35,2,FALSE)</f>
        <v>84</v>
      </c>
      <c r="E26" s="5"/>
      <c r="G26" s="4" t="s">
        <v>68</v>
      </c>
      <c r="H26" s="10">
        <v>100</v>
      </c>
      <c r="I26" s="5">
        <v>1</v>
      </c>
    </row>
    <row r="27" spans="2:9" x14ac:dyDescent="0.25">
      <c r="B27" s="4" t="s">
        <v>77</v>
      </c>
      <c r="C27" s="10">
        <f>VLOOKUP(B27,$G$8:$I$35,3,FALSE)</f>
        <v>2</v>
      </c>
      <c r="D27" s="10">
        <f>VLOOKUP(B27,$G$8:$I$35,2,FALSE)</f>
        <v>95</v>
      </c>
      <c r="E27" s="5"/>
      <c r="G27" s="4" t="s">
        <v>77</v>
      </c>
      <c r="H27" s="10">
        <v>95</v>
      </c>
      <c r="I27" s="5">
        <v>2</v>
      </c>
    </row>
    <row r="28" spans="2:9" x14ac:dyDescent="0.25">
      <c r="B28" s="4" t="s">
        <v>64</v>
      </c>
      <c r="C28" s="10">
        <f>VLOOKUP(B28,$G$8:$I$35,3,FALSE)</f>
        <v>1</v>
      </c>
      <c r="D28" s="10">
        <f>VLOOKUP(B28,$G$8:$I$35,2,FALSE)</f>
        <v>88</v>
      </c>
      <c r="E28" s="5"/>
      <c r="G28" s="4" t="s">
        <v>78</v>
      </c>
      <c r="H28" s="10">
        <v>84</v>
      </c>
      <c r="I28" s="5">
        <v>1</v>
      </c>
    </row>
    <row r="29" spans="2:9" x14ac:dyDescent="0.25">
      <c r="B29" s="4" t="s">
        <v>110</v>
      </c>
      <c r="C29" s="10">
        <f>VLOOKUP(B29,$G$8:$I$35,3,FALSE)</f>
        <v>2</v>
      </c>
      <c r="D29" s="10">
        <f>VLOOKUP(B29,$G$8:$I$35,2,FALSE)</f>
        <v>84</v>
      </c>
      <c r="E29" s="5"/>
      <c r="G29" s="4" t="s">
        <v>79</v>
      </c>
      <c r="H29" s="10">
        <v>88</v>
      </c>
      <c r="I29" s="5">
        <v>1</v>
      </c>
    </row>
    <row r="30" spans="2:9" x14ac:dyDescent="0.25">
      <c r="B30" s="4" t="s">
        <v>111</v>
      </c>
      <c r="C30" s="10">
        <f>VLOOKUP(B30,$G$8:$I$35,3,FALSE)</f>
        <v>1</v>
      </c>
      <c r="D30" s="10">
        <f>VLOOKUP(B30,$G$8:$I$35,2,FALSE)</f>
        <v>90</v>
      </c>
      <c r="E30" s="5"/>
      <c r="G30" s="4" t="s">
        <v>80</v>
      </c>
      <c r="H30" s="10">
        <v>84</v>
      </c>
      <c r="I30" s="5">
        <v>1</v>
      </c>
    </row>
    <row r="31" spans="2:9" x14ac:dyDescent="0.25">
      <c r="B31" s="4" t="s">
        <v>112</v>
      </c>
      <c r="C31" s="10">
        <f>VLOOKUP(B31,$G$8:$I$35,3,FALSE)</f>
        <v>1</v>
      </c>
      <c r="D31" s="10">
        <f>VLOOKUP(B31,$G$8:$I$35,2,FALSE)</f>
        <v>83</v>
      </c>
      <c r="E31" s="5"/>
      <c r="G31" s="4" t="s">
        <v>108</v>
      </c>
      <c r="H31" s="10">
        <v>100</v>
      </c>
      <c r="I31" s="5">
        <v>1</v>
      </c>
    </row>
    <row r="32" spans="2:9" x14ac:dyDescent="0.25">
      <c r="B32" s="4" t="s">
        <v>63</v>
      </c>
      <c r="C32" s="10">
        <f>VLOOKUP(B32,$G$8:$I$35,3,FALSE)</f>
        <v>1</v>
      </c>
      <c r="D32" s="10">
        <f>VLOOKUP(B32,$G$8:$I$35,2,FALSE)</f>
        <v>84</v>
      </c>
      <c r="E32" s="5"/>
      <c r="G32" s="4" t="s">
        <v>110</v>
      </c>
      <c r="H32" s="10">
        <v>84</v>
      </c>
      <c r="I32" s="5">
        <v>2</v>
      </c>
    </row>
    <row r="33" spans="2:9" x14ac:dyDescent="0.25">
      <c r="B33" s="4" t="s">
        <v>95</v>
      </c>
      <c r="C33" s="10">
        <f>VLOOKUP(B33,$G$8:$I$35,3,FALSE)</f>
        <v>1</v>
      </c>
      <c r="D33" s="10">
        <f>VLOOKUP(B33,$G$8:$I$35,2,FALSE)</f>
        <v>82</v>
      </c>
      <c r="E33" s="5"/>
      <c r="G33" s="4" t="s">
        <v>111</v>
      </c>
      <c r="H33" s="10">
        <v>90</v>
      </c>
      <c r="I33" s="5">
        <v>1</v>
      </c>
    </row>
    <row r="34" spans="2:9" x14ac:dyDescent="0.25">
      <c r="B34" s="4" t="s">
        <v>79</v>
      </c>
      <c r="C34" s="10">
        <f>VLOOKUP(B34,$G$8:$I$35,3,FALSE)</f>
        <v>1</v>
      </c>
      <c r="D34" s="10">
        <f>VLOOKUP(B34,$G$8:$I$35,2,FALSE)</f>
        <v>88</v>
      </c>
      <c r="E34" s="5"/>
      <c r="G34" s="4" t="s">
        <v>112</v>
      </c>
      <c r="H34" s="10">
        <v>83</v>
      </c>
      <c r="I34" s="5">
        <v>1</v>
      </c>
    </row>
    <row r="35" spans="2:9" x14ac:dyDescent="0.25">
      <c r="B35" s="4" t="s">
        <v>100</v>
      </c>
      <c r="C35" s="10">
        <f>VLOOKUP(B35,$G$8:$I$35,3,FALSE)</f>
        <v>1</v>
      </c>
      <c r="D35" s="10">
        <f>VLOOKUP(B35,$G$8:$I$35,2,FALSE)</f>
        <v>85</v>
      </c>
      <c r="E35" s="5"/>
      <c r="G35" s="4" t="s">
        <v>109</v>
      </c>
      <c r="H35" s="10">
        <v>90</v>
      </c>
      <c r="I35" s="5">
        <v>1</v>
      </c>
    </row>
    <row r="37" spans="2:9" x14ac:dyDescent="0.25">
      <c r="B37" s="59" t="s">
        <v>0</v>
      </c>
      <c r="C37" s="59" t="s">
        <v>106</v>
      </c>
      <c r="D37" s="59" t="s">
        <v>107</v>
      </c>
    </row>
    <row r="38" spans="2:9" ht="15.6" x14ac:dyDescent="0.25">
      <c r="B38" s="60" t="s">
        <v>111</v>
      </c>
      <c r="C38" s="65">
        <f>VLOOKUP(B38,B8:D35,2,FALSE)</f>
        <v>1</v>
      </c>
      <c r="D38" s="61">
        <f>VLOOKUP(B38,B9:D35,3,FALSE)</f>
        <v>90</v>
      </c>
    </row>
    <row r="40" spans="2:9" ht="13.2" customHeight="1" x14ac:dyDescent="0.25">
      <c r="B40" s="31" t="s">
        <v>141</v>
      </c>
      <c r="C40" s="32"/>
      <c r="D40" s="32"/>
      <c r="E40" s="32"/>
      <c r="F40" s="32"/>
      <c r="G40" s="32"/>
      <c r="H40" s="32"/>
      <c r="I40" s="33"/>
    </row>
    <row r="41" spans="2:9" x14ac:dyDescent="0.25">
      <c r="B41" s="34"/>
      <c r="C41" s="62"/>
      <c r="D41" s="62"/>
      <c r="E41" s="62"/>
      <c r="F41" s="62"/>
      <c r="G41" s="62"/>
      <c r="H41" s="62"/>
      <c r="I41" s="36"/>
    </row>
    <row r="42" spans="2:9" x14ac:dyDescent="0.25">
      <c r="B42" s="34"/>
      <c r="C42" s="62"/>
      <c r="D42" s="62"/>
      <c r="E42" s="62"/>
      <c r="F42" s="62"/>
      <c r="G42" s="62"/>
      <c r="H42" s="62"/>
      <c r="I42" s="36"/>
    </row>
    <row r="43" spans="2:9" x14ac:dyDescent="0.25">
      <c r="B43" s="34"/>
      <c r="C43" s="62"/>
      <c r="D43" s="62"/>
      <c r="E43" s="62"/>
      <c r="F43" s="62"/>
      <c r="G43" s="62"/>
      <c r="H43" s="62"/>
      <c r="I43" s="36"/>
    </row>
    <row r="44" spans="2:9" x14ac:dyDescent="0.25">
      <c r="B44" s="34"/>
      <c r="C44" s="62"/>
      <c r="D44" s="62"/>
      <c r="E44" s="62"/>
      <c r="F44" s="62"/>
      <c r="G44" s="62"/>
      <c r="H44" s="62"/>
      <c r="I44" s="36"/>
    </row>
    <row r="45" spans="2:9" x14ac:dyDescent="0.25">
      <c r="B45" s="34"/>
      <c r="C45" s="62"/>
      <c r="D45" s="62"/>
      <c r="E45" s="62"/>
      <c r="F45" s="62"/>
      <c r="G45" s="62"/>
      <c r="H45" s="62"/>
      <c r="I45" s="36"/>
    </row>
    <row r="46" spans="2:9" x14ac:dyDescent="0.25">
      <c r="B46" s="34"/>
      <c r="C46" s="62"/>
      <c r="D46" s="62"/>
      <c r="E46" s="62"/>
      <c r="F46" s="62"/>
      <c r="G46" s="62"/>
      <c r="H46" s="62"/>
      <c r="I46" s="36"/>
    </row>
    <row r="47" spans="2:9" x14ac:dyDescent="0.25">
      <c r="B47" s="37"/>
      <c r="C47" s="38"/>
      <c r="D47" s="38"/>
      <c r="E47" s="38"/>
      <c r="F47" s="38"/>
      <c r="G47" s="38"/>
      <c r="H47" s="38"/>
      <c r="I47" s="39"/>
    </row>
  </sheetData>
  <mergeCells count="2">
    <mergeCell ref="B2:I5"/>
    <mergeCell ref="B40:I47"/>
  </mergeCells>
  <conditionalFormatting sqref="D38">
    <cfRule type="cellIs" dxfId="1" priority="1" operator="greaterThanOrEqual">
      <formula>85</formula>
    </cfRule>
    <cfRule type="cellIs" dxfId="0" priority="2" operator="lessThan">
      <formula>85</formula>
    </cfRule>
  </conditionalFormatting>
  <dataValidations count="1">
    <dataValidation type="list" allowBlank="1" showInputMessage="1" showErrorMessage="1" sqref="B38" xr:uid="{9F1CCA30-8DAD-4E16-9304-3C26918AAFFA}">
      <formula1>$B$9:$B$35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5620-9954-483B-8AB0-267B5D6B0681}">
  <dimension ref="B2:F13"/>
  <sheetViews>
    <sheetView tabSelected="1" workbookViewId="0">
      <selection activeCell="P22" sqref="P22"/>
    </sheetView>
  </sheetViews>
  <sheetFormatPr defaultRowHeight="13.2" x14ac:dyDescent="0.25"/>
  <cols>
    <col min="2" max="2" width="20.6640625" bestFit="1" customWidth="1"/>
    <col min="3" max="3" width="14.44140625" customWidth="1"/>
    <col min="4" max="4" width="10.33203125" bestFit="1" customWidth="1"/>
  </cols>
  <sheetData>
    <row r="2" spans="2:6" ht="13.2" customHeight="1" x14ac:dyDescent="0.25">
      <c r="B2" s="31" t="s">
        <v>147</v>
      </c>
      <c r="C2" s="32"/>
      <c r="D2" s="32"/>
      <c r="E2" s="32"/>
      <c r="F2" s="33"/>
    </row>
    <row r="3" spans="2:6" x14ac:dyDescent="0.25">
      <c r="B3" s="34"/>
      <c r="C3" s="62"/>
      <c r="D3" s="62"/>
      <c r="E3" s="62"/>
      <c r="F3" s="36"/>
    </row>
    <row r="4" spans="2:6" x14ac:dyDescent="0.25">
      <c r="B4" s="37"/>
      <c r="C4" s="38"/>
      <c r="D4" s="38"/>
      <c r="E4" s="38"/>
      <c r="F4" s="39"/>
    </row>
    <row r="6" spans="2:6" x14ac:dyDescent="0.25">
      <c r="B6" s="66" t="s">
        <v>37</v>
      </c>
      <c r="C6" s="66" t="s">
        <v>38</v>
      </c>
      <c r="E6" s="68" t="s">
        <v>41</v>
      </c>
      <c r="F6" s="68" t="s">
        <v>42</v>
      </c>
    </row>
    <row r="7" spans="2:6" x14ac:dyDescent="0.25">
      <c r="B7" s="67" t="e">
        <f>134/(100000000 - 10*10^7)</f>
        <v>#DIV/0!</v>
      </c>
      <c r="C7" s="67" t="s">
        <v>148</v>
      </c>
      <c r="E7" s="5" t="s">
        <v>43</v>
      </c>
      <c r="F7" s="5" t="s">
        <v>44</v>
      </c>
    </row>
    <row r="8" spans="2:6" ht="26.4" x14ac:dyDescent="0.25">
      <c r="B8" s="71" t="e">
        <f>VLOOKUP("Word",E7:F7,2,0)</f>
        <v>#N/A</v>
      </c>
      <c r="C8" s="70" t="s">
        <v>149</v>
      </c>
    </row>
    <row r="9" spans="2:6" x14ac:dyDescent="0.25">
      <c r="B9" s="67" t="e">
        <f ca="1">desviopadrao(1,2,3)</f>
        <v>#NAME?</v>
      </c>
      <c r="C9" s="70" t="s">
        <v>151</v>
      </c>
    </row>
    <row r="10" spans="2:6" ht="26.4" x14ac:dyDescent="0.25">
      <c r="B10" s="67" t="e">
        <f xml:space="preserve"> 2 * SQRT( ( 4 - 5 ) )</f>
        <v>#NUM!</v>
      </c>
      <c r="C10" s="70" t="s">
        <v>150</v>
      </c>
    </row>
    <row r="11" spans="2:6" ht="26.4" x14ac:dyDescent="0.25">
      <c r="B11" s="71" t="e">
        <f>VLOOKUP("Excel",E7:F7,3,0)</f>
        <v>#REF!</v>
      </c>
      <c r="C11" s="70" t="s">
        <v>152</v>
      </c>
    </row>
    <row r="12" spans="2:6" x14ac:dyDescent="0.25">
      <c r="B12" s="67" t="e">
        <f>AVERAGE("a e b")</f>
        <v>#VALUE!</v>
      </c>
      <c r="C12" s="67"/>
    </row>
    <row r="13" spans="2:6" x14ac:dyDescent="0.25">
      <c r="B13" s="69"/>
      <c r="C13" s="69"/>
    </row>
  </sheetData>
  <mergeCells count="1">
    <mergeCell ref="B2:F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FÓRMULAS</vt:lpstr>
      <vt:lpstr>REFERÊNCIAS</vt:lpstr>
      <vt:lpstr>TEXTO, DATA e NÚMERO</vt:lpstr>
      <vt:lpstr>ALEATÓRIO() e ALEATÓRIENTRE()</vt:lpstr>
      <vt:lpstr>SE()</vt:lpstr>
      <vt:lpstr>PROCV</vt:lpstr>
      <vt:lpstr>ERRO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v.souza</dc:creator>
  <cp:lastModifiedBy>Marcela Morais</cp:lastModifiedBy>
  <dcterms:created xsi:type="dcterms:W3CDTF">2010-04-27T19:52:30Z</dcterms:created>
  <dcterms:modified xsi:type="dcterms:W3CDTF">2026-01-18T03:32:34Z</dcterms:modified>
</cp:coreProperties>
</file>