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ownloads\1\"/>
    </mc:Choice>
  </mc:AlternateContent>
  <xr:revisionPtr revIDLastSave="0" documentId="13_ncr:1_{7E060984-6994-40A4-84D3-3A37B04D4B88}" xr6:coauthVersionLast="47" xr6:coauthVersionMax="47" xr10:uidLastSave="{00000000-0000-0000-0000-000000000000}"/>
  <bookViews>
    <workbookView xWindow="-108" yWindow="-108" windowWidth="23256" windowHeight="12456" firstSheet="6" activeTab="11" xr2:uid="{C6E9ADF2-87A7-4A40-B311-57997C23C7D4}"/>
  </bookViews>
  <sheets>
    <sheet name="RELATIVA E ABSOLUTA (1)" sheetId="3" r:id="rId1"/>
    <sheet name="RELATIVA E ABSOLUTA (2)" sheetId="13" r:id="rId2"/>
    <sheet name="FORMATAÇÃO CONDICIONAL" sheetId="2" r:id="rId3"/>
    <sheet name="VALIDAÇÃO DE DADOS" sheetId="1" r:id="rId4"/>
    <sheet name="FUNÇÃO DE TEXTO" sheetId="4" r:id="rId5"/>
    <sheet name="FUNÇÃO LÓGICA" sheetId="5" r:id="rId6"/>
    <sheet name="DATA E HORA" sheetId="6" r:id="rId7"/>
    <sheet name="ESTATÍSTICAS" sheetId="7" r:id="rId8"/>
    <sheet name="ÍNDICE E CORRESP" sheetId="8" r:id="rId9"/>
    <sheet name="MATEMÁTICAS" sheetId="9" r:id="rId10"/>
    <sheet name="SOMASE" sheetId="10" r:id="rId11"/>
    <sheet name="ERROS" sheetId="11" r:id="rId12"/>
    <sheet name="Planilha12" sheetId="12" r:id="rId13"/>
  </sheets>
  <externalReferences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1" l="1"/>
  <c r="C14" i="11"/>
  <c r="C12" i="11"/>
  <c r="C10" i="11" a="1"/>
  <c r="C10" i="11" s="1"/>
  <c r="C7" i="11"/>
  <c r="C5" i="11"/>
  <c r="L14" i="10"/>
  <c r="L13" i="10"/>
  <c r="L12" i="10"/>
  <c r="L11" i="10"/>
  <c r="L10" i="10"/>
  <c r="L9" i="10"/>
  <c r="L8" i="10"/>
  <c r="L7" i="10"/>
  <c r="L6" i="10"/>
  <c r="L5" i="10"/>
  <c r="H16" i="9"/>
  <c r="L12" i="9"/>
  <c r="H12" i="9"/>
  <c r="H11" i="9"/>
  <c r="H10" i="9"/>
  <c r="H9" i="9"/>
  <c r="H8" i="9"/>
  <c r="H7" i="9"/>
  <c r="H6" i="9"/>
  <c r="H5" i="9"/>
  <c r="H4" i="9"/>
  <c r="H3" i="9"/>
  <c r="C20" i="9"/>
  <c r="C17" i="9"/>
  <c r="C13" i="9"/>
  <c r="C10" i="9"/>
  <c r="C9" i="9"/>
  <c r="C6" i="9"/>
  <c r="E16" i="8"/>
  <c r="F16" i="8" s="1" a="1"/>
  <c r="F16" i="8" s="1"/>
  <c r="B16" i="8"/>
  <c r="C16" i="8" s="1" a="1"/>
  <c r="C16" i="8" s="1"/>
  <c r="F14" i="8"/>
  <c r="C14" i="8"/>
  <c r="F22" i="7"/>
  <c r="F20" i="7"/>
  <c r="F18" i="7"/>
  <c r="F16" i="7"/>
  <c r="F14" i="7"/>
  <c r="F12" i="7"/>
  <c r="F10" i="7"/>
  <c r="F8" i="7"/>
  <c r="F6" i="7"/>
  <c r="F4" i="7"/>
  <c r="C39" i="6"/>
  <c r="C36" i="6"/>
  <c r="C33" i="6"/>
  <c r="C30" i="6"/>
  <c r="M29" i="6"/>
  <c r="M28" i="6"/>
  <c r="O27" i="6"/>
  <c r="M27" i="6"/>
  <c r="C27" i="6"/>
  <c r="O26" i="6"/>
  <c r="M26" i="6"/>
  <c r="O25" i="6"/>
  <c r="M25" i="6"/>
  <c r="O24" i="6"/>
  <c r="M24" i="6"/>
  <c r="C24" i="6"/>
  <c r="M23" i="6"/>
  <c r="M22" i="6"/>
  <c r="O21" i="6"/>
  <c r="M21" i="6"/>
  <c r="C21" i="6"/>
  <c r="M20" i="6"/>
  <c r="C18" i="6"/>
  <c r="C15" i="6"/>
  <c r="C14" i="6"/>
  <c r="J11" i="6"/>
  <c r="C11" i="6"/>
  <c r="J10" i="6"/>
  <c r="C10" i="6"/>
  <c r="J9" i="6"/>
  <c r="C9" i="6"/>
  <c r="C6" i="6"/>
  <c r="C3" i="6"/>
  <c r="D23" i="4"/>
  <c r="D22" i="4"/>
  <c r="B21" i="4"/>
  <c r="D21" i="4" s="1"/>
  <c r="D16" i="4"/>
  <c r="D15" i="4"/>
  <c r="D14" i="4"/>
  <c r="D8" i="4"/>
  <c r="D7" i="4"/>
  <c r="D6" i="4"/>
  <c r="D23" i="13"/>
  <c r="E23" i="13"/>
  <c r="F23" i="13"/>
  <c r="G23" i="13"/>
  <c r="H23" i="13"/>
  <c r="D24" i="13"/>
  <c r="D25" i="13"/>
  <c r="E26" i="13"/>
  <c r="F26" i="13"/>
  <c r="G26" i="13"/>
  <c r="H26" i="13"/>
  <c r="C27" i="13"/>
  <c r="C28" i="13"/>
  <c r="K18" i="13"/>
  <c r="K25" i="13" s="1"/>
  <c r="J18" i="13"/>
  <c r="J23" i="13" s="1"/>
  <c r="I18" i="13"/>
  <c r="I23" i="13" s="1"/>
  <c r="H18" i="13"/>
  <c r="H25" i="13" s="1"/>
  <c r="G18" i="13"/>
  <c r="G24" i="13" s="1"/>
  <c r="F18" i="13"/>
  <c r="F25" i="13" s="1"/>
  <c r="E18" i="13"/>
  <c r="E25" i="13" s="1"/>
  <c r="D18" i="13"/>
  <c r="D27" i="13" s="1"/>
  <c r="C18" i="13"/>
  <c r="C23" i="13" s="1"/>
  <c r="D10" i="4" l="1"/>
  <c r="D18" i="4"/>
  <c r="I25" i="13"/>
  <c r="I28" i="13"/>
  <c r="G25" i="13"/>
  <c r="G28" i="13"/>
  <c r="D28" i="13"/>
  <c r="K24" i="13"/>
  <c r="K27" i="13"/>
  <c r="J24" i="13"/>
  <c r="J27" i="13"/>
  <c r="E24" i="13"/>
  <c r="E27" i="13"/>
  <c r="K26" i="13"/>
  <c r="K23" i="13"/>
  <c r="I27" i="13"/>
  <c r="C24" i="13"/>
  <c r="H24" i="13"/>
  <c r="K28" i="13"/>
  <c r="G27" i="13"/>
  <c r="C26" i="13"/>
  <c r="C25" i="13"/>
  <c r="I24" i="13"/>
  <c r="H27" i="13"/>
  <c r="D26" i="13"/>
  <c r="J28" i="13"/>
  <c r="F27" i="13"/>
  <c r="J25" i="13"/>
  <c r="F24" i="13"/>
  <c r="H28" i="13"/>
  <c r="F28" i="13"/>
  <c r="J26" i="13"/>
  <c r="E28" i="13"/>
  <c r="I26" i="13"/>
  <c r="J19" i="3" l="1"/>
  <c r="J9" i="3"/>
  <c r="J14" i="3" s="1"/>
  <c r="J15" i="3"/>
  <c r="J16" i="3"/>
  <c r="J17" i="3"/>
  <c r="J18" i="3"/>
  <c r="E14" i="3"/>
  <c r="F14" i="3"/>
  <c r="G14" i="3"/>
  <c r="H14" i="3"/>
  <c r="I14" i="3"/>
  <c r="E15" i="3"/>
  <c r="F15" i="3"/>
  <c r="G15" i="3"/>
  <c r="H15" i="3"/>
  <c r="I15" i="3"/>
  <c r="E16" i="3"/>
  <c r="F16" i="3"/>
  <c r="G16" i="3"/>
  <c r="H16" i="3"/>
  <c r="I16" i="3"/>
  <c r="E17" i="3"/>
  <c r="F17" i="3"/>
  <c r="G17" i="3"/>
  <c r="H17" i="3"/>
  <c r="I17" i="3"/>
  <c r="E18" i="3"/>
  <c r="F18" i="3"/>
  <c r="G18" i="3"/>
  <c r="H18" i="3"/>
  <c r="I18" i="3"/>
  <c r="D15" i="3"/>
  <c r="D16" i="3"/>
  <c r="D17" i="3"/>
  <c r="D18" i="3"/>
  <c r="D14" i="3"/>
  <c r="D19" i="3" l="1"/>
  <c r="D9" i="3"/>
  <c r="I19" i="3"/>
  <c r="H19" i="3"/>
  <c r="F19" i="3"/>
  <c r="G19" i="3"/>
  <c r="E19" i="3"/>
  <c r="I9" i="3"/>
  <c r="H9" i="3"/>
  <c r="G9" i="3"/>
  <c r="F9" i="3"/>
  <c r="E9" i="3"/>
  <c r="J8" i="3"/>
  <c r="J7" i="3"/>
  <c r="J6" i="3"/>
  <c r="J5" i="3"/>
  <c r="J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<sst xmlns="http://schemas.openxmlformats.org/spreadsheetml/2006/main" count="564" uniqueCount="237">
  <si>
    <t>Relatório de Pedidos</t>
  </si>
  <si>
    <t>Janeiro</t>
  </si>
  <si>
    <t>Fevereiro</t>
  </si>
  <si>
    <t>Março</t>
  </si>
  <si>
    <t>Abril</t>
  </si>
  <si>
    <t>Maio</t>
  </si>
  <si>
    <t>Junho</t>
  </si>
  <si>
    <t>Total</t>
  </si>
  <si>
    <t>Cliente 1</t>
  </si>
  <si>
    <t>Cliente 2</t>
  </si>
  <si>
    <t>Cliente 3</t>
  </si>
  <si>
    <t>Cliente 4</t>
  </si>
  <si>
    <t>Cliente 5</t>
  </si>
  <si>
    <t>Coluna1</t>
  </si>
  <si>
    <t xml:space="preserve">   </t>
  </si>
  <si>
    <t>Configurações</t>
  </si>
  <si>
    <t>Mensagem de entrada</t>
  </si>
  <si>
    <t>Mês</t>
  </si>
  <si>
    <t>Vendas R$</t>
  </si>
  <si>
    <t>Motivo</t>
  </si>
  <si>
    <t>Motivos</t>
  </si>
  <si>
    <t>Cliente sem recurso</t>
  </si>
  <si>
    <t>Outro Motivo</t>
  </si>
  <si>
    <t>Problemas Operacionais</t>
  </si>
  <si>
    <t>Problemas Mercado</t>
  </si>
  <si>
    <t>Demonstrar na prática:</t>
  </si>
  <si>
    <t>Julho</t>
  </si>
  <si>
    <t>Agosto</t>
  </si>
  <si>
    <t>Alerta de erro</t>
  </si>
  <si>
    <t>Setembro</t>
  </si>
  <si>
    <t>Outubro</t>
  </si>
  <si>
    <t>Novembro</t>
  </si>
  <si>
    <t>Dezembro</t>
  </si>
  <si>
    <t>Vendas</t>
  </si>
  <si>
    <t>FORMATAÇÃO CONDICIONAL</t>
  </si>
  <si>
    <t>Produto</t>
  </si>
  <si>
    <t>Vendedor 1</t>
  </si>
  <si>
    <t>Vendedor 2</t>
  </si>
  <si>
    <t>Vendedor 3</t>
  </si>
  <si>
    <t>Vendedor 4</t>
  </si>
  <si>
    <t>Vendedor 5</t>
  </si>
  <si>
    <t>Vendedor 6</t>
  </si>
  <si>
    <t>Vendedor 7</t>
  </si>
  <si>
    <t>Vendedor 8</t>
  </si>
  <si>
    <t>Vendedor 9</t>
  </si>
  <si>
    <t>Celulares</t>
  </si>
  <si>
    <t>Computadores</t>
  </si>
  <si>
    <t>Vestuário</t>
  </si>
  <si>
    <t>Livros</t>
  </si>
  <si>
    <t>Perfumes</t>
  </si>
  <si>
    <t>Total geral</t>
  </si>
  <si>
    <t>Célula</t>
  </si>
  <si>
    <t>TABELA 1</t>
  </si>
  <si>
    <t>TABELA 2</t>
  </si>
  <si>
    <t>A tabela 1 mostra a quantidade de produtos vendidos por cada um dos 9 vendedores de acordo com o produto. 
Por exemplo, o vendedor 2 vendeu 106 produtos de Livros e 15 de Perfumes, totalizando 121. 
Faça fórmulas para a tabela 2 para ter a porcentagem de vendas de acordo com o Produto. 
Na célula D23 da tabela 2 temos um exemplo. Faça o mesmo tipo de fórmula para as demais células. 
Dica: Use a alça de preenchimento para copiar as fórmulas já feitas. Lembre-se de ajustar as referências relativas e absolutas para realizar esse cálculo corretamente.</t>
  </si>
  <si>
    <t>Texto</t>
  </si>
  <si>
    <t>O que fazer?</t>
  </si>
  <si>
    <t>Fórmula</t>
  </si>
  <si>
    <t>Muinho</t>
  </si>
  <si>
    <t>Faça uma fórmula para retornar as três primeiras letras do texto.</t>
  </si>
  <si>
    <t>Cinto</t>
  </si>
  <si>
    <t>Faça uma fórmula para retornar as duas últimas letras do texto.</t>
  </si>
  <si>
    <t>Bom Bom</t>
  </si>
  <si>
    <t>Faça uma fórmula para retornar os quatro últimos caracteres do texto.</t>
  </si>
  <si>
    <t>Faça uma fórmula para concatenar os textos das células E6 , E7 e E8 acima</t>
  </si>
  <si>
    <t>Data</t>
  </si>
  <si>
    <t>Faça uma fórmula que retorne o dia da data ao lado.</t>
  </si>
  <si>
    <t>Faça uma fórmula que retorne o mês da data ao lado.</t>
  </si>
  <si>
    <t>Faça uma fórmula que retorne o ano da data ao lado.</t>
  </si>
  <si>
    <t xml:space="preserve">Faça uma fórmula para retornar uma data usando os valores das células E17, E18 e E19. </t>
  </si>
  <si>
    <t>Número</t>
  </si>
  <si>
    <t>Faça uma fórmula para arredondar o número ao lado até a 4ª casa decimal</t>
  </si>
  <si>
    <t>Faça uma fórmula que retorne o resto da divisão do número ao lado por 2.</t>
  </si>
  <si>
    <t>Faça uma fórmula que retorne a parte inteira do número ao lado</t>
  </si>
  <si>
    <t>Escreva as fórmulas de acordo com o que se pede</t>
  </si>
  <si>
    <t>Escreva as fórmulas de acordo com o que se pede:</t>
  </si>
  <si>
    <t>ANO</t>
  </si>
  <si>
    <t>AGORA</t>
  </si>
  <si>
    <t>AGORA()</t>
  </si>
  <si>
    <t>HOJE</t>
  </si>
  <si>
    <t>HOJE()</t>
  </si>
  <si>
    <t>DATA</t>
  </si>
  <si>
    <t>CRIAR UMA DATA</t>
  </si>
  <si>
    <t>DIA</t>
  </si>
  <si>
    <t>MÊS</t>
  </si>
  <si>
    <t>RESULTADO</t>
  </si>
  <si>
    <t>FÓRMULA</t>
  </si>
  <si>
    <t>DATA(1988;12;6)</t>
  </si>
  <si>
    <t>DATA( )</t>
  </si>
  <si>
    <t>DATA(L6;K6;J6)</t>
  </si>
  <si>
    <t>DATA(1999;3;14)</t>
  </si>
  <si>
    <t>DATA(L7;K7;J7)</t>
  </si>
  <si>
    <t>DATA(2020;9;30)</t>
  </si>
  <si>
    <t>DATA(L8;K8;J8)</t>
  </si>
  <si>
    <t>DATADIF</t>
  </si>
  <si>
    <t>Demais exemplos no material de apoio:</t>
  </si>
  <si>
    <t>06/12/1988 - 14/03/1999</t>
  </si>
  <si>
    <t>DATADIF("06/12/1988";"14/03/1999";"d")</t>
  </si>
  <si>
    <t>https://1drv.ms/x/c/7212fc9d2e5a44d1/IQCEsPksO4ANS5Ph9NYZstr9AUae8pY0e-P1UdJqDnscrHU?e=Pncheb</t>
  </si>
  <si>
    <t>06/12/1988 - 30/09/2020</t>
  </si>
  <si>
    <t>DATADIF("06/12/1988";"30/09/2020";"d")</t>
  </si>
  <si>
    <t>Dashboard de Acompanhamento Acadêmico e Retenção</t>
  </si>
  <si>
    <t>DIA("06/12/1988")</t>
  </si>
  <si>
    <t>Nome</t>
  </si>
  <si>
    <t>Nota do Aluno</t>
  </si>
  <si>
    <t>Frequência</t>
  </si>
  <si>
    <t>Turma</t>
  </si>
  <si>
    <t>Idade</t>
  </si>
  <si>
    <t>Data de Matrícula</t>
  </si>
  <si>
    <t>Data de Conclusão</t>
  </si>
  <si>
    <t>Tempo para Concluir</t>
  </si>
  <si>
    <t>Fórmulas</t>
  </si>
  <si>
    <t>CorrigirNegativos</t>
  </si>
  <si>
    <t>João</t>
  </si>
  <si>
    <t xml:space="preserve"> Turma 1</t>
  </si>
  <si>
    <t>SE(L20 &lt;&gt; ""; L20-K20; $L$1-K20)</t>
  </si>
  <si>
    <t>MES("06/12/1988")</t>
  </si>
  <si>
    <t>Silvia</t>
  </si>
  <si>
    <t xml:space="preserve"> Turma 2</t>
  </si>
  <si>
    <t>SE(L21 &lt;&gt; ""; L21-K21; $L$1-K21)</t>
  </si>
  <si>
    <t>SE(L21=""; HOJE()-K21; L21-K21)</t>
  </si>
  <si>
    <t>Luana</t>
  </si>
  <si>
    <t xml:space="preserve"> Turma 1 </t>
  </si>
  <si>
    <t>SE(L22 &lt;&gt; ""; L22-K22; $L$1-K22</t>
  </si>
  <si>
    <t>Marcos</t>
  </si>
  <si>
    <t>SE(L23 &lt;&gt; ""; L23-K23; $L$1-K23</t>
  </si>
  <si>
    <t>ANO("06/12/1988")</t>
  </si>
  <si>
    <t>Maria</t>
  </si>
  <si>
    <t>SE(L24 &lt;&gt; ""; L24-K24; $L$1-K24)</t>
  </si>
  <si>
    <t>SE(L24=""; HOJE()-K24; L24-K24)</t>
  </si>
  <si>
    <t>José</t>
  </si>
  <si>
    <t>SE(L25 &lt;&gt; ""; L25-K25; $L$1-K25)</t>
  </si>
  <si>
    <t>SE(L25=""; HOJE()-K25; L25-K25)</t>
  </si>
  <si>
    <t>HORA</t>
  </si>
  <si>
    <t>Vagner</t>
  </si>
  <si>
    <t>SE(L26 &lt;&gt; ""; L26-K26; $L$1-K26)</t>
  </si>
  <si>
    <t>SE(L26=""; HOJE()-K26; L26-K26)</t>
  </si>
  <si>
    <t>HORA("09:32:01")</t>
  </si>
  <si>
    <t>Juliana</t>
  </si>
  <si>
    <t>SE(L27 &lt;&gt; ""; L27-K27; $L$1-K27)</t>
  </si>
  <si>
    <t>SE(L27=""; HOJE()-K27; L27-K27)</t>
  </si>
  <si>
    <t>Patricia</t>
  </si>
  <si>
    <t>SE(L28 &lt;&gt; ""; L28-K28; $L$1-K28)</t>
  </si>
  <si>
    <t>MINUTO</t>
  </si>
  <si>
    <t>Ester</t>
  </si>
  <si>
    <t>SE(L29 &lt;&gt; ""; L29-K29; $L$1-K29</t>
  </si>
  <si>
    <t>MINUTO("09:32:01")</t>
  </si>
  <si>
    <t>Esta tabela gerencia o histórico acadêmico de alunos, registrando desempenho (nota e frequência), dados demográficos (idade e turma) e marcos temporais (datas de matrícula e conclusão). A coluna "Tempo para Concluir" utiliza lógica condicional para calcular o intervalo de dias entre a matrícula e a finalização do curso. Note que há um erro de lógica nos resultados negativos (como -44077), indicando que a fórmula está tentando subtrair uma data de uma célula vazia. Na "Coluna1", a função SE tenta corrigir isso, verificando se a data de conclusão existe; se estiver vazia, ela calcula o tempo em relação a uma data fixa (célula L1). É uma estrutura típica de análise de dados educacionais para medir a eficiência e retenção dos estudantes.</t>
  </si>
  <si>
    <t>SEGUNDO</t>
  </si>
  <si>
    <t>SEGUNDO("09:32:01")</t>
  </si>
  <si>
    <t>DIA DA SEMANA</t>
  </si>
  <si>
    <t>DIA.DA.SEMANA("06/12/1988")</t>
  </si>
  <si>
    <t>TEMPO</t>
  </si>
  <si>
    <t>TEMPO(hora;minuto;segundo)</t>
  </si>
  <si>
    <t>TEMPO(16;21;36)</t>
  </si>
  <si>
    <t>Média de Nota</t>
  </si>
  <si>
    <t>MÉDIA(I3:I12)</t>
  </si>
  <si>
    <t>Correlação entre Nota e Frequência</t>
  </si>
  <si>
    <t>CORREL(Tabela6[Nota do Aluno];Tabela6[Frequência])</t>
  </si>
  <si>
    <t>Quantidade de Números</t>
  </si>
  <si>
    <t>CONT.NÚM(Tabela6)</t>
  </si>
  <si>
    <t>Quantidade de Valores</t>
  </si>
  <si>
    <t>CONT.VALORES(Tabela6)</t>
  </si>
  <si>
    <t>Máximo de Frequência</t>
  </si>
  <si>
    <t>MÁXIMO(Tabela6[Frequência])</t>
  </si>
  <si>
    <t>Mínimo de Nota</t>
  </si>
  <si>
    <t>MÍNIMO(Tabela6[Nota do Aluno])</t>
  </si>
  <si>
    <t>Mediana de Frequência</t>
  </si>
  <si>
    <t>MED(Tabela6[Frequência])</t>
  </si>
  <si>
    <t>Moda de Nota</t>
  </si>
  <si>
    <t>MODO(Tabela6[Nota do Aluno])</t>
  </si>
  <si>
    <t>Desvio padrão de Nota</t>
  </si>
  <si>
    <t>DESVPAD.P(Tabela6[Nota do Aluno])</t>
  </si>
  <si>
    <t>Quantidade de alunos com nota 8</t>
  </si>
  <si>
    <t>CONT.SE(Tabela6[Nota do Aluno]; 8 )</t>
  </si>
  <si>
    <t xml:space="preserve">ÍNDICE() = CORRESP()  </t>
  </si>
  <si>
    <t>Sexo</t>
  </si>
  <si>
    <t>Função</t>
  </si>
  <si>
    <t>Salário</t>
  </si>
  <si>
    <t>Aldair</t>
  </si>
  <si>
    <t>Masculino</t>
  </si>
  <si>
    <t>Balconista</t>
  </si>
  <si>
    <t>Débora</t>
  </si>
  <si>
    <t>Feminino</t>
  </si>
  <si>
    <t>Atendente</t>
  </si>
  <si>
    <t>Gabrielly</t>
  </si>
  <si>
    <t>Vendedora</t>
  </si>
  <si>
    <t>Marcela</t>
  </si>
  <si>
    <t>Analista</t>
  </si>
  <si>
    <t>Marlon</t>
  </si>
  <si>
    <t>Brigadista</t>
  </si>
  <si>
    <t>Thaíssa</t>
  </si>
  <si>
    <t>Recepcionista</t>
  </si>
  <si>
    <t>Viviane</t>
  </si>
  <si>
    <t>Empresária</t>
  </si>
  <si>
    <t>CORRESP</t>
  </si>
  <si>
    <t>ÍNDICE</t>
  </si>
  <si>
    <t>Exemplo</t>
  </si>
  <si>
    <t>Resultado</t>
  </si>
  <si>
    <t>MOD(num;divisor)</t>
  </si>
  <si>
    <t>MOD(6;2)</t>
  </si>
  <si>
    <t>ALEATORIOENTRE(A,B)</t>
  </si>
  <si>
    <t>ALEATÓRIOENTRE(1;100)</t>
  </si>
  <si>
    <t>DADOS E VALORES &gt;</t>
  </si>
  <si>
    <t>SOMARPRODUTO(O3:O5;P3:P5)</t>
  </si>
  <si>
    <t>MOD(7;2)</t>
  </si>
  <si>
    <t>SOMARPRODUTO()</t>
  </si>
  <si>
    <t>ALEATÓRIO()</t>
  </si>
  <si>
    <t>COMBIN(x;y)</t>
  </si>
  <si>
    <t>COMBIN(O9;P9)</t>
  </si>
  <si>
    <t>INT(num)</t>
  </si>
  <si>
    <t>INT(5,6)</t>
  </si>
  <si>
    <t>SOMA()</t>
  </si>
  <si>
    <t>SOMA(L3:L13)</t>
  </si>
  <si>
    <t>COMBIN(2;2)</t>
  </si>
  <si>
    <t>Mensalidade</t>
  </si>
  <si>
    <t>Parcela</t>
  </si>
  <si>
    <t>Valor pago</t>
  </si>
  <si>
    <t>SOMASE($B:$B;B3;$C$3:$B$38)</t>
  </si>
  <si>
    <t>SOMASE( )</t>
  </si>
  <si>
    <t>#DIV/0</t>
  </si>
  <si>
    <t>ALEATÓRIO()/A1</t>
  </si>
  <si>
    <t>Palavras</t>
  </si>
  <si>
    <t>PROCV("Procurando";E8:F9;2;0)</t>
  </si>
  <si>
    <t>Procure</t>
  </si>
  <si>
    <t>Procurar</t>
  </si>
  <si>
    <t>Procurand</t>
  </si>
  <si>
    <t>Encontre</t>
  </si>
  <si>
    <t>#NOME</t>
  </si>
  <si>
    <t>desviopadrao(1,2)</t>
  </si>
  <si>
    <t>#NÚM</t>
  </si>
  <si>
    <t>RAIZ(-2)</t>
  </si>
  <si>
    <t>#REF</t>
  </si>
  <si>
    <t>B17</t>
  </si>
  <si>
    <t>SOMA(1+"Banana")</t>
  </si>
  <si>
    <t>Referência Circular</t>
  </si>
  <si>
    <t>ERROS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</si>
</sst>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0.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48"/>
      <name val="Arial"/>
      <family val="2"/>
    </font>
    <font>
      <b/>
      <sz val="10"/>
      <color indexed="9"/>
      <name val="Arial"/>
      <family val="2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65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3" borderId="2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3" borderId="3" xfId="0" applyFill="1" applyBorder="1" applyAlignment="1">
      <alignment horizontal="left"/>
    </xf>
    <xf numFmtId="0" fontId="0" fillId="0" borderId="5" xfId="0" applyBorder="1" applyAlignment="1">
      <alignment horizontal="left"/>
    </xf>
    <xf numFmtId="3" fontId="0" fillId="0" borderId="6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3" fontId="0" fillId="0" borderId="8" xfId="0" applyNumberFormat="1" applyBorder="1" applyAlignment="1">
      <alignment horizontal="left"/>
    </xf>
    <xf numFmtId="164" fontId="0" fillId="0" borderId="1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2" fillId="3" borderId="14" xfId="0" applyFont="1" applyFill="1" applyBorder="1" applyAlignment="1">
      <alignment horizontal="left"/>
    </xf>
    <xf numFmtId="14" fontId="3" fillId="0" borderId="14" xfId="0" applyNumberFormat="1" applyFont="1" applyBorder="1" applyAlignment="1">
      <alignment horizontal="left"/>
    </xf>
    <xf numFmtId="22" fontId="0" fillId="0" borderId="14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0" fillId="0" borderId="14" xfId="0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0" fontId="2" fillId="3" borderId="16" xfId="0" applyFont="1" applyFill="1" applyBorder="1" applyAlignment="1">
      <alignment horizontal="left"/>
    </xf>
    <xf numFmtId="0" fontId="2" fillId="3" borderId="14" xfId="0" applyFont="1" applyFill="1" applyBorder="1" applyAlignment="1">
      <alignment horizontal="left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3" fillId="0" borderId="19" xfId="4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4" fillId="0" borderId="14" xfId="0" applyFont="1" applyBorder="1" applyAlignment="1">
      <alignment horizontal="left"/>
    </xf>
    <xf numFmtId="9" fontId="0" fillId="0" borderId="14" xfId="1" applyFont="1" applyBorder="1" applyAlignment="1">
      <alignment horizontal="left"/>
    </xf>
    <xf numFmtId="21" fontId="0" fillId="0" borderId="14" xfId="0" applyNumberFormat="1" applyBorder="1" applyAlignment="1">
      <alignment horizontal="left"/>
    </xf>
    <xf numFmtId="0" fontId="0" fillId="0" borderId="14" xfId="0" applyBorder="1" applyAlignment="1">
      <alignment horizontal="left" vertical="center" wrapText="1"/>
    </xf>
    <xf numFmtId="18" fontId="0" fillId="0" borderId="14" xfId="0" applyNumberForma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9" fontId="0" fillId="0" borderId="15" xfId="1" applyFont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0" fillId="0" borderId="20" xfId="0" applyBorder="1"/>
    <xf numFmtId="165" fontId="0" fillId="0" borderId="14" xfId="0" applyNumberFormat="1" applyBorder="1" applyAlignment="1">
      <alignment horizontal="center"/>
    </xf>
    <xf numFmtId="165" fontId="0" fillId="0" borderId="14" xfId="0" applyNumberFormat="1" applyBorder="1" applyAlignment="1">
      <alignment horizontal="left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9" fontId="0" fillId="0" borderId="19" xfId="1" applyFont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9" fontId="0" fillId="0" borderId="14" xfId="0" applyNumberFormat="1" applyBorder="1" applyAlignment="1">
      <alignment horizontal="left"/>
    </xf>
    <xf numFmtId="9" fontId="0" fillId="0" borderId="0" xfId="1" applyFont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4" xfId="0" applyNumberFormat="1" applyBorder="1" applyAlignment="1">
      <alignment horizontal="left"/>
    </xf>
    <xf numFmtId="2" fontId="0" fillId="0" borderId="14" xfId="0" applyNumberFormat="1" applyBorder="1" applyAlignment="1">
      <alignment horizontal="center"/>
    </xf>
    <xf numFmtId="2" fontId="0" fillId="0" borderId="14" xfId="0" applyNumberFormat="1" applyBorder="1" applyAlignment="1">
      <alignment horizontal="left"/>
    </xf>
    <xf numFmtId="0" fontId="1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44" fontId="0" fillId="0" borderId="0" xfId="3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4" fontId="0" fillId="0" borderId="1" xfId="3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0" fillId="4" borderId="0" xfId="0" applyFill="1" applyAlignment="1">
      <alignment horizontal="center"/>
    </xf>
    <xf numFmtId="44" fontId="0" fillId="4" borderId="0" xfId="3" applyFont="1" applyFill="1"/>
    <xf numFmtId="0" fontId="0" fillId="4" borderId="0" xfId="0" applyFill="1"/>
    <xf numFmtId="0" fontId="0" fillId="4" borderId="1" xfId="0" applyFill="1" applyBorder="1" applyAlignment="1">
      <alignment horizontal="center"/>
    </xf>
    <xf numFmtId="9" fontId="0" fillId="4" borderId="1" xfId="1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44" fontId="0" fillId="4" borderId="1" xfId="3" applyFont="1" applyFill="1" applyBorder="1" applyAlignment="1">
      <alignment horizontal="center"/>
    </xf>
    <xf numFmtId="44" fontId="0" fillId="0" borderId="15" xfId="3" applyFont="1" applyBorder="1" applyAlignment="1">
      <alignment horizontal="left"/>
    </xf>
    <xf numFmtId="44" fontId="0" fillId="0" borderId="0" xfId="3" applyFont="1"/>
    <xf numFmtId="0" fontId="0" fillId="0" borderId="23" xfId="0" applyBorder="1" applyAlignment="1">
      <alignment horizontal="left"/>
    </xf>
    <xf numFmtId="9" fontId="0" fillId="0" borderId="1" xfId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4" fontId="0" fillId="0" borderId="1" xfId="3" applyFon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1" xfId="0" applyBorder="1" applyAlignment="1">
      <alignment horizontal="left"/>
    </xf>
    <xf numFmtId="9" fontId="0" fillId="0" borderId="17" xfId="1" applyFon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44" fontId="0" fillId="0" borderId="17" xfId="3" applyFont="1" applyBorder="1" applyAlignment="1">
      <alignment horizontal="left"/>
    </xf>
    <xf numFmtId="0" fontId="0" fillId="0" borderId="19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3" borderId="23" xfId="0" applyFont="1" applyFill="1" applyBorder="1" applyAlignment="1">
      <alignment horizontal="center"/>
    </xf>
  </cellXfs>
  <cellStyles count="5">
    <cellStyle name="Hiperlink" xfId="4" builtinId="8"/>
    <cellStyle name="Moeda" xfId="3" builtinId="4"/>
    <cellStyle name="Normal" xfId="0" builtinId="0"/>
    <cellStyle name="Porcentagem" xfId="1" builtinId="5"/>
    <cellStyle name="Vírgula" xfId="2" builtinId="3"/>
  </cellStyles>
  <dxfs count="1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numFmt numFmtId="0" formatCode="General"/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15</xdr:col>
      <xdr:colOff>223591</xdr:colOff>
      <xdr:row>14</xdr:row>
      <xdr:rowOff>43285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C9E806A-82DE-44CE-BAE8-15E73D1EA3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9726"/>
        <a:stretch/>
      </xdr:blipFill>
      <xdr:spPr>
        <a:xfrm>
          <a:off x="10416540" y="182880"/>
          <a:ext cx="4490791" cy="2527405"/>
        </a:xfrm>
        <a:prstGeom prst="rect">
          <a:avLst/>
        </a:prstGeom>
      </xdr:spPr>
    </xdr:pic>
    <xdr:clientData/>
  </xdr:twoCellAnchor>
  <xdr:twoCellAnchor editAs="oneCell">
    <xdr:from>
      <xdr:col>7</xdr:col>
      <xdr:colOff>495300</xdr:colOff>
      <xdr:row>15</xdr:row>
      <xdr:rowOff>0</xdr:rowOff>
    </xdr:from>
    <xdr:to>
      <xdr:col>15</xdr:col>
      <xdr:colOff>115696</xdr:colOff>
      <xdr:row>26</xdr:row>
      <xdr:rowOff>126118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6A37EC-8321-4F37-9849-EFD24D5C5E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652" b="12851"/>
        <a:stretch>
          <a:fillRect/>
        </a:stretch>
      </xdr:blipFill>
      <xdr:spPr>
        <a:xfrm>
          <a:off x="10302240" y="2865120"/>
          <a:ext cx="4497196" cy="21835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e\Downloads\1\formulas-e-funcoes.xlsx" TargetMode="External"/><Relationship Id="rId1" Type="http://schemas.openxmlformats.org/officeDocument/2006/relationships/externalLinkPath" Target="formulas-e-funco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RO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624F54-A063-4541-ABF4-438007A4EE3F}" name="Tabela2" displayName="Tabela2" ref="C3:J9" totalsRowShown="0" headerRowDxfId="124" dataDxfId="123">
  <autoFilter ref="C3:J9" xr:uid="{04624F54-A063-4541-ABF4-438007A4EE3F}"/>
  <tableColumns count="8">
    <tableColumn id="1" xr3:uid="{C8DAF5DF-547A-4F2D-AD6C-5EF58C65FBFD}" name="   " dataDxfId="122"/>
    <tableColumn id="2" xr3:uid="{7DD33351-2E16-48F3-95FF-6B079317AF0F}" name="Janeiro" dataDxfId="121"/>
    <tableColumn id="3" xr3:uid="{6319D319-A857-4378-B2E7-61AC520755FB}" name="Fevereiro" dataDxfId="120"/>
    <tableColumn id="4" xr3:uid="{C6E01B79-3E7D-4DD6-AA1C-A1BE2E46D1E9}" name="Março" dataDxfId="119"/>
    <tableColumn id="5" xr3:uid="{9A076E87-746C-4A99-B97C-D7B97C6B0C6B}" name="Abril" dataDxfId="118"/>
    <tableColumn id="6" xr3:uid="{3F41FAD9-42CB-4A1F-8B20-7932480F11DC}" name="Maio" dataDxfId="117"/>
    <tableColumn id="7" xr3:uid="{E51D9DD7-DFB3-44C1-8092-C40B30DCB6C5}" name="Junho" dataDxfId="116"/>
    <tableColumn id="8" xr3:uid="{275876C7-1E89-4F01-A48B-A7CE9F41C08B}" name="Total" dataDxfId="11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99D9156-7734-46AB-AECB-19D601321816}" name="Tabela13" displayName="Tabela13" ref="C13:J19" totalsRowShown="0" headerRowDxfId="114" dataDxfId="112" headerRowBorderDxfId="113" tableBorderDxfId="111" totalsRowBorderDxfId="110" dataCellStyle="Porcentagem">
  <autoFilter ref="C13:J19" xr:uid="{599D9156-7734-46AB-AECB-19D601321816}"/>
  <tableColumns count="8">
    <tableColumn id="1" xr3:uid="{9B1EDCED-D036-482D-B008-967A3BF9ACC1}" name="Coluna1" dataDxfId="109"/>
    <tableColumn id="2" xr3:uid="{5FCDF392-2CA7-4522-AF14-477C8A3D2D55}" name="Janeiro" dataDxfId="108" dataCellStyle="Porcentagem"/>
    <tableColumn id="3" xr3:uid="{42E4EF2A-90D6-4ECC-875E-59C96823110A}" name="Fevereiro" dataDxfId="107" dataCellStyle="Porcentagem"/>
    <tableColumn id="4" xr3:uid="{83502390-6F31-4CBF-B02C-856DC51B6A55}" name="Março" dataDxfId="106" dataCellStyle="Porcentagem"/>
    <tableColumn id="5" xr3:uid="{61ECE975-46F6-43F7-8D91-490B9895BF56}" name="Abril" dataDxfId="105" dataCellStyle="Porcentagem"/>
    <tableColumn id="6" xr3:uid="{E4E2A209-215C-4C27-9528-1B7F01DCE2C0}" name="Maio" dataDxfId="104" dataCellStyle="Porcentagem"/>
    <tableColumn id="7" xr3:uid="{DC032E6F-DB2F-47BF-8CF6-BD29B096E02D}" name="Junho" dataDxfId="103" dataCellStyle="Porcentagem"/>
    <tableColumn id="8" xr3:uid="{98DFF9AC-4923-4FAB-8172-6F5B4C664E33}" name="Total" dataDxfId="102" dataCellStyle="Porcentagem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9180DE-D4C3-4325-A11C-EF50FC8612EF}" name="Tabela1" displayName="Tabela1" ref="B4:C16" totalsRowShown="0" headerRowDxfId="101" dataDxfId="99" headerRowBorderDxfId="100" tableBorderDxfId="98" totalsRowBorderDxfId="97">
  <autoFilter ref="B4:C16" xr:uid="{DC9180DE-D4C3-4325-A11C-EF50FC8612EF}"/>
  <tableColumns count="2">
    <tableColumn id="1" xr3:uid="{C266BA78-10D5-441D-8FE6-92AC17A60879}" name="Mês" dataDxfId="96"/>
    <tableColumn id="2" xr3:uid="{89B75E5C-5240-4D3C-9436-8A9BA89806C8}" name="Vendas" dataDxfId="95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A68F0C1-B02E-4F03-9A88-C66746BDE0F1}" name="Tabela3" displayName="Tabela3" ref="E4:F16" totalsRowShown="0" headerRowDxfId="94" dataDxfId="92" headerRowBorderDxfId="93" tableBorderDxfId="91" totalsRowBorderDxfId="90">
  <autoFilter ref="E4:F16" xr:uid="{CA68F0C1-B02E-4F03-9A88-C66746BDE0F1}"/>
  <tableColumns count="2">
    <tableColumn id="1" xr3:uid="{7FCF1F2B-E0C3-46C0-9FD1-EF11669BF833}" name="Mês" dataDxfId="89"/>
    <tableColumn id="2" xr3:uid="{81E52112-1A76-4A60-B350-4751CCDCB045}" name="Vendas" dataDxfId="88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028C680-B9E2-48EF-9E39-4DC76805AF1D}" name="Tabela35" displayName="Tabela35" ref="H4:I16" totalsRowShown="0" headerRowDxfId="87" dataDxfId="85" headerRowBorderDxfId="86" tableBorderDxfId="84" totalsRowBorderDxfId="83">
  <autoFilter ref="H4:I16" xr:uid="{1028C680-B9E2-48EF-9E39-4DC76805AF1D}"/>
  <tableColumns count="2">
    <tableColumn id="1" xr3:uid="{FDE3CC82-E491-49EC-9196-69F901F9500A}" name="Mês" dataDxfId="82"/>
    <tableColumn id="2" xr3:uid="{7574E948-F6CF-40D7-B640-DF33D4BE12F7}" name="Vendas" dataDxfId="81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C9D9DC-903F-4E8C-9860-25AF121B399F}" name="Tabela36" displayName="Tabela36" ref="B3:D15" totalsRowShown="0" headerRowDxfId="80" headerRowBorderDxfId="79" tableBorderDxfId="78" totalsRowBorderDxfId="77">
  <autoFilter ref="B3:D15" xr:uid="{FAC9D9DC-903F-4E8C-9860-25AF121B399F}"/>
  <tableColumns count="3">
    <tableColumn id="1" xr3:uid="{3A5FF9B9-2C85-4750-A1C7-E4F6473B911A}" name="Mês" dataDxfId="76"/>
    <tableColumn id="2" xr3:uid="{C2220F76-5C1B-43DF-93CA-4342D6BAFC29}" name="Vendas R$" dataDxfId="75"/>
    <tableColumn id="3" xr3:uid="{FE4C1F8A-B281-42A8-8933-FF753DAD49E5}" name="Motivo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B75FC3-EA5F-438A-A02D-C7C1E85A1016}" name="Tabela367" displayName="Tabela367" ref="F3:H15" totalsRowShown="0" headerRowDxfId="74" headerRowBorderDxfId="73" tableBorderDxfId="72" totalsRowBorderDxfId="71">
  <autoFilter ref="F3:H15" xr:uid="{CDB75FC3-EA5F-438A-A02D-C7C1E85A1016}"/>
  <tableColumns count="3">
    <tableColumn id="1" xr3:uid="{0E016E26-D1C0-446E-A8C1-377466A8139A}" name="Mês" dataDxfId="70"/>
    <tableColumn id="2" xr3:uid="{0B34D490-664B-4017-824F-83E9880B7F86}" name="Vendas R$" dataDxfId="69"/>
    <tableColumn id="3" xr3:uid="{884C2AC0-BAA7-4CDA-9431-7E7AFAA09DBB}" name="Motivo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F2117B-FA80-4870-B847-0741CD995468}" name="Tabela8" displayName="Tabela8" ref="J3:J6" totalsRowShown="0">
  <autoFilter ref="J3:J6" xr:uid="{0CF2117B-FA80-4870-B847-0741CD995468}"/>
  <tableColumns count="1">
    <tableColumn id="1" xr3:uid="{5D83A7C6-CAC3-44EE-851A-E3D150BB866E}" name="Motivos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8FBA72-AA90-4AC0-81B8-5241BA06B2D9}" name="Tabela3610" displayName="Tabela3610" ref="B18:D30" totalsRowShown="0" headerRowDxfId="68" headerRowBorderDxfId="67" tableBorderDxfId="66" totalsRowBorderDxfId="65">
  <autoFilter ref="B18:D30" xr:uid="{FD8FBA72-AA90-4AC0-81B8-5241BA06B2D9}"/>
  <tableColumns count="3">
    <tableColumn id="1" xr3:uid="{D4C74BC5-1756-439B-8789-C9043A8A9863}" name="Mês" dataDxfId="64"/>
    <tableColumn id="2" xr3:uid="{9E5D459E-AA15-4AB5-A56D-4157D8ED95B1}" name="Vendas R$" dataDxfId="63"/>
    <tableColumn id="3" xr3:uid="{757974B8-FED1-4868-8AD6-35D6AD744BE5}" name="Motivo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25E4843-41B8-4966-A8BA-9C5363D0C521}" name="Tabela361011" displayName="Tabela361011" ref="F18:H30" totalsRowShown="0" headerRowDxfId="62" headerRowBorderDxfId="61" tableBorderDxfId="60" totalsRowBorderDxfId="59">
  <autoFilter ref="F18:H30" xr:uid="{225E4843-41B8-4966-A8BA-9C5363D0C521}"/>
  <tableColumns count="3">
    <tableColumn id="1" xr3:uid="{2FD0EB0C-C539-4279-94EA-99164DD47C11}" name="Mês" dataDxfId="58"/>
    <tableColumn id="2" xr3:uid="{677436AA-6CEC-4860-8A4C-97779594519F}" name="Vendas R$" dataDxfId="57"/>
    <tableColumn id="3" xr3:uid="{28178D06-E1CB-4516-B788-B4D142094B95}" name="Motivo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94B0D2D-B398-4615-8CD4-1844AA35EE22}" name="Tabela11" displayName="Tabela11" ref="J8:J11" totalsRowShown="0">
  <autoFilter ref="J8:J11" xr:uid="{A94B0D2D-B398-4615-8CD4-1844AA35EE22}"/>
  <tableColumns count="1">
    <tableColumn id="1" xr3:uid="{901582FE-D35F-4BC2-896B-7957974A5DED}" name="Demonstrar na prática: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7B1D3B-B194-41FD-B489-4E1C4F417CC8}" name="Tabela9" displayName="Tabela9" ref="F19:P29" totalsRowShown="0" headerRowDxfId="45" dataDxfId="44">
  <autoFilter ref="F19:P29" xr:uid="{C27B1D3B-B194-41FD-B489-4E1C4F417CC8}"/>
  <tableColumns count="11">
    <tableColumn id="1" xr3:uid="{B7AA20D7-4988-4B3D-9D29-E63DFBE54696}" name="Nome" dataDxfId="56"/>
    <tableColumn id="2" xr3:uid="{C40296EE-EAA6-42DA-9A5F-8CCCFEF93CE4}" name="Nota do Aluno" dataDxfId="55"/>
    <tableColumn id="3" xr3:uid="{41693B52-42C7-49D0-85F7-18B4D9BA90F6}" name="Frequência" dataDxfId="54" dataCellStyle="Porcentagem"/>
    <tableColumn id="4" xr3:uid="{DD23E05E-A6F5-416F-9B13-DD9BF3FC280A}" name="Turma" dataDxfId="53"/>
    <tableColumn id="5" xr3:uid="{4443002E-38D1-4955-A36C-345C8D94D15E}" name="Idade" dataDxfId="52"/>
    <tableColumn id="6" xr3:uid="{01938D84-8490-4AF0-BC76-E5527F0F08EF}" name="Data de Matrícula" dataDxfId="51"/>
    <tableColumn id="7" xr3:uid="{5D961E45-BE67-4DB4-BCDC-C9D0D92F4079}" name="Data de Conclusão" dataDxfId="50"/>
    <tableColumn id="8" xr3:uid="{F20440A3-97C9-419F-9865-CF6504B9808F}" name="Tempo para Concluir" dataDxfId="49">
      <calculatedColumnFormula>IF(L20 &lt;&gt; "", L20-K20, $L$1-K20)</calculatedColumnFormula>
    </tableColumn>
    <tableColumn id="9" xr3:uid="{F5B433ED-E838-4EDA-8E25-EB1F2EB616D2}" name="Fórmulas" dataDxfId="48"/>
    <tableColumn id="10" xr3:uid="{DE40A159-33A5-4C74-95A6-38267AA00FE5}" name="CorrigirNegativos" dataDxfId="47">
      <calculatedColumnFormula>IF(L20="", TODAY()-K20, L20-K20)</calculatedColumnFormula>
    </tableColumn>
    <tableColumn id="11" xr3:uid="{0A3A6221-D11B-41D5-B481-577E3D7B069D}" name="Coluna1" dataDxfId="46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1B5801-4DC2-4305-9C9B-17E71F50FDD1}" name="Tabela6" displayName="Tabela6" ref="B2:D12" totalsRowShown="0" headerRowDxfId="43" headerRowBorderDxfId="41" tableBorderDxfId="42" totalsRowBorderDxfId="40">
  <autoFilter ref="B2:D12" xr:uid="{A21B5801-4DC2-4305-9C9B-17E71F50FDD1}"/>
  <tableColumns count="3">
    <tableColumn id="1" xr3:uid="{B603EDC6-76E7-45CD-AB4B-22CF5D64AAAA}" name="Nome" dataDxfId="39"/>
    <tableColumn id="2" xr3:uid="{BD5D9657-EC4D-4341-BC11-78BA7D18A73A}" name="Nota do Aluno" dataDxfId="38"/>
    <tableColumn id="3" xr3:uid="{9CEF0070-D3C5-4475-976C-890AC76E781D}" name="Frequência" dataDxfId="37" dataCellStyle="Porcentagem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6F26EBB-240F-44AC-9D90-301ECD78353B}" name="Tabela7" displayName="Tabela7" ref="F2:F22" totalsRowCount="1" headerRowDxfId="36" dataDxfId="35" totalsRowDxfId="34" headerRowBorderDxfId="32" tableBorderDxfId="33" totalsRowBorderDxfId="31" totalsRowCellStyle="Vírgula">
  <autoFilter ref="F2:F21" xr:uid="{96F26EBB-240F-44AC-9D90-301ECD78353B}"/>
  <tableColumns count="1">
    <tableColumn id="1" xr3:uid="{FDA1B95B-EFFF-4BC6-A16B-46079D5D2E87}" name="RESULTADO" totalsRowFunction="custom" dataDxfId="29" totalsRowDxfId="30" totalsRowCellStyle="Vírgula">
      <totalsRowFormula>COUNTIF([1]!#REF!,8)</totalsRowFormula>
    </tableColumn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6967973-47D4-4305-B9C1-DECC20DCBEA0}" name="Tabela816" displayName="Tabela816" ref="G2:G3" insertRow="1" totalsRowShown="0" headerRowBorderDxfId="27" tableBorderDxfId="28" totalsRowBorderDxfId="26">
  <autoFilter ref="G2:G3" xr:uid="{F6967973-47D4-4305-B9C1-DECC20DCBEA0}"/>
  <tableColumns count="1">
    <tableColumn id="1" xr3:uid="{65F291E7-1E89-4595-B860-6634A49BB765}" name="Fórmulas" dataDxfId="25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7317521-63B7-4B85-8BF5-93767E27DCE2}" name="Tabela117" displayName="Tabela117" ref="B4:F11" totalsRowShown="0" headerRowDxfId="24" dataDxfId="23">
  <autoFilter ref="B4:F11" xr:uid="{D7317521-63B7-4B85-8BF5-93767E27DCE2}"/>
  <tableColumns count="5">
    <tableColumn id="1" xr3:uid="{DEAE64BB-A2C0-4B73-AF07-2C95F48F48B1}" name="Nome" dataDxfId="22"/>
    <tableColumn id="2" xr3:uid="{1BDF0B7D-250F-46B2-B0F1-C9D977B67288}" name="Idade" dataDxfId="21"/>
    <tableColumn id="3" xr3:uid="{816FC305-7FE1-4177-8045-734B3FF5569C}" name="Sexo" dataDxfId="20"/>
    <tableColumn id="4" xr3:uid="{508467D2-B86A-4E15-8501-0B4756C378DC}" name="Função" dataDxfId="19"/>
    <tableColumn id="5" xr3:uid="{502F1F6D-105F-4764-A3F9-623E94AB35E5}" name="Salário" dataDxfId="18" dataCellStyle="Moeda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769D271-191F-4196-8BD9-74DA1B735542}" name="Tabela4" displayName="Tabela4" ref="F4:M14" totalsRowShown="0" headerRowDxfId="15" dataDxfId="14" headerRowBorderDxfId="12" tableBorderDxfId="13" totalsRowBorderDxfId="11">
  <autoFilter ref="F4:M14" xr:uid="{6769D271-191F-4196-8BD9-74DA1B735542}"/>
  <tableColumns count="8">
    <tableColumn id="1" xr3:uid="{59F1D78C-8C6D-484D-8F7F-E34C775A2E52}" name="Nome" dataDxfId="10"/>
    <tableColumn id="2" xr3:uid="{A3892D56-8E51-40D8-BEC1-BE5E501A0AC1}" name="Nota do Aluno" dataDxfId="9"/>
    <tableColumn id="3" xr3:uid="{36D4F8C6-B738-4022-A90B-9ECF3F8D9DAA}" name="Frequência" dataDxfId="8" dataCellStyle="Porcentagem"/>
    <tableColumn id="4" xr3:uid="{ABB447DD-324B-4B54-82B7-13FCD7EE800E}" name="Turma" dataDxfId="7"/>
    <tableColumn id="5" xr3:uid="{0EAA4F1C-45B3-47DA-BBFF-E08E4BC25253}" name="Idade" dataDxfId="6"/>
    <tableColumn id="6" xr3:uid="{41B7293D-D555-43D1-A334-615799984186}" name="Data de Matrícula" dataDxfId="5"/>
    <tableColumn id="7" xr3:uid="{E1325BC4-5436-42BC-BB96-17F45BB76A38}" name="Valor pago" dataDxfId="4" dataCellStyle="Moeda">
      <calculatedColumnFormula>SUMIF($B:$B,B5,$C$3:$C$38)</calculatedColumnFormula>
    </tableColumn>
    <tableColumn id="8" xr3:uid="{C0D7F6B3-C1C1-44FB-BE38-832867B5A42F}" name="Fórmula" dataDxfId="3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87B941D-ABBC-4EBA-9B81-F4CFF8768C05}" name="Tabela5" displayName="Tabela5" ref="B4:D40" totalsRowShown="0" headerRowDxfId="2">
  <autoFilter ref="B4:D40" xr:uid="{F87B941D-ABBC-4EBA-9B81-F4CFF8768C05}"/>
  <tableColumns count="3">
    <tableColumn id="1" xr3:uid="{73E20704-9DA1-45D8-8BF9-2BBAB2A8877C}" name="Nome" dataDxfId="1"/>
    <tableColumn id="2" xr3:uid="{E755F5EE-7A8F-4303-9C08-531C297AFAB4}" name="Mensalidade" dataDxfId="0" dataCellStyle="Moeda"/>
    <tableColumn id="3" xr3:uid="{2F4F92FC-C385-4714-A3F9-B38C1A4EE492}" name="Parcel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hyperlink" Target="https://1drv.ms/x/c/7212fc9d2e5a44d1/IQCEsPksO4ANS5Ph9NYZstr9AUae8pY0e-P1UdJqDnscrHU?e=Pncheb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1.xml"/><Relationship Id="rId4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F50D-67E8-41A3-918F-77455309292F}">
  <dimension ref="B2:J19"/>
  <sheetViews>
    <sheetView workbookViewId="0">
      <selection activeCell="E26" sqref="E26"/>
    </sheetView>
  </sheetViews>
  <sheetFormatPr defaultRowHeight="14.4" x14ac:dyDescent="0.3"/>
  <cols>
    <col min="3" max="10" width="11.88671875" style="2" customWidth="1"/>
  </cols>
  <sheetData>
    <row r="2" spans="2:10" ht="15.6" x14ac:dyDescent="0.3">
      <c r="B2" s="1"/>
      <c r="C2" s="41" t="s">
        <v>0</v>
      </c>
      <c r="D2" s="41"/>
      <c r="E2" s="41"/>
      <c r="F2" s="41"/>
      <c r="G2" s="41"/>
      <c r="H2" s="41"/>
      <c r="I2" s="41"/>
      <c r="J2" s="41"/>
    </row>
    <row r="3" spans="2:10" ht="15.6" x14ac:dyDescent="0.3">
      <c r="C3" s="4" t="s">
        <v>14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4" t="s">
        <v>7</v>
      </c>
    </row>
    <row r="4" spans="2:10" x14ac:dyDescent="0.3">
      <c r="C4" s="5" t="s">
        <v>8</v>
      </c>
      <c r="D4" s="5">
        <v>15</v>
      </c>
      <c r="E4" s="5">
        <v>8</v>
      </c>
      <c r="F4" s="5">
        <v>6</v>
      </c>
      <c r="G4" s="5">
        <v>9</v>
      </c>
      <c r="H4" s="5">
        <v>13</v>
      </c>
      <c r="I4" s="5">
        <v>9</v>
      </c>
      <c r="J4" s="7">
        <f>D4+E4+F4+G4+H4+I4</f>
        <v>60</v>
      </c>
    </row>
    <row r="5" spans="2:10" x14ac:dyDescent="0.3">
      <c r="C5" s="5" t="s">
        <v>9</v>
      </c>
      <c r="D5" s="5">
        <v>8</v>
      </c>
      <c r="E5" s="5">
        <v>9</v>
      </c>
      <c r="F5" s="5">
        <v>11</v>
      </c>
      <c r="G5" s="5">
        <v>12</v>
      </c>
      <c r="H5" s="5">
        <v>12</v>
      </c>
      <c r="I5" s="5">
        <v>5</v>
      </c>
      <c r="J5" s="7">
        <f>D5+E5+F5+G5+H5+I5</f>
        <v>57</v>
      </c>
    </row>
    <row r="6" spans="2:10" x14ac:dyDescent="0.3">
      <c r="C6" s="5" t="s">
        <v>10</v>
      </c>
      <c r="D6" s="5">
        <v>11</v>
      </c>
      <c r="E6" s="5">
        <v>9</v>
      </c>
      <c r="F6" s="5">
        <v>11</v>
      </c>
      <c r="G6" s="5">
        <v>13</v>
      </c>
      <c r="H6" s="5">
        <v>13</v>
      </c>
      <c r="I6" s="5">
        <v>6</v>
      </c>
      <c r="J6" s="7">
        <f>D6+E6+F6+G6+H6+I6</f>
        <v>63</v>
      </c>
    </row>
    <row r="7" spans="2:10" x14ac:dyDescent="0.3">
      <c r="C7" s="5" t="s">
        <v>11</v>
      </c>
      <c r="D7" s="5">
        <v>8</v>
      </c>
      <c r="E7" s="5">
        <v>15</v>
      </c>
      <c r="F7" s="5">
        <v>8</v>
      </c>
      <c r="G7" s="5">
        <v>8</v>
      </c>
      <c r="H7" s="5">
        <v>10</v>
      </c>
      <c r="I7" s="5">
        <v>15</v>
      </c>
      <c r="J7" s="7">
        <f>D7+E7+F7+G7+H7+I7</f>
        <v>64</v>
      </c>
    </row>
    <row r="8" spans="2:10" x14ac:dyDescent="0.3">
      <c r="C8" s="5" t="s">
        <v>12</v>
      </c>
      <c r="D8" s="5">
        <v>7</v>
      </c>
      <c r="E8" s="5">
        <v>12</v>
      </c>
      <c r="F8" s="5">
        <v>10</v>
      </c>
      <c r="G8" s="5">
        <v>10</v>
      </c>
      <c r="H8" s="5">
        <v>9</v>
      </c>
      <c r="I8" s="5">
        <v>11</v>
      </c>
      <c r="J8" s="7">
        <f>D8+E8+F8+G8+H8+I8</f>
        <v>59</v>
      </c>
    </row>
    <row r="9" spans="2:10" ht="15.6" x14ac:dyDescent="0.3">
      <c r="C9" s="6" t="s">
        <v>7</v>
      </c>
      <c r="D9" s="7">
        <f>D4+D5+D6+D7+D8</f>
        <v>49</v>
      </c>
      <c r="E9" s="7">
        <f t="shared" ref="E9:J9" si="0">E4+E5+E6+E7+E8</f>
        <v>53</v>
      </c>
      <c r="F9" s="7">
        <f t="shared" si="0"/>
        <v>46</v>
      </c>
      <c r="G9" s="7">
        <f t="shared" si="0"/>
        <v>52</v>
      </c>
      <c r="H9" s="7">
        <f t="shared" si="0"/>
        <v>57</v>
      </c>
      <c r="I9" s="7">
        <f t="shared" si="0"/>
        <v>46</v>
      </c>
      <c r="J9" s="7">
        <f t="shared" si="0"/>
        <v>303</v>
      </c>
    </row>
    <row r="12" spans="2:10" ht="15.6" x14ac:dyDescent="0.3">
      <c r="B12" s="1"/>
      <c r="C12" s="41" t="s">
        <v>0</v>
      </c>
      <c r="D12" s="41"/>
      <c r="E12" s="41"/>
      <c r="F12" s="41"/>
      <c r="G12" s="41"/>
      <c r="H12" s="41"/>
      <c r="I12" s="41"/>
      <c r="J12" s="41"/>
    </row>
    <row r="13" spans="2:10" ht="15.6" x14ac:dyDescent="0.3">
      <c r="C13" s="25" t="s">
        <v>13</v>
      </c>
      <c r="D13" s="26" t="s">
        <v>1</v>
      </c>
      <c r="E13" s="26" t="s">
        <v>2</v>
      </c>
      <c r="F13" s="26" t="s">
        <v>3</v>
      </c>
      <c r="G13" s="26" t="s">
        <v>4</v>
      </c>
      <c r="H13" s="26" t="s">
        <v>5</v>
      </c>
      <c r="I13" s="26" t="s">
        <v>6</v>
      </c>
      <c r="J13" s="4" t="s">
        <v>7</v>
      </c>
    </row>
    <row r="14" spans="2:10" x14ac:dyDescent="0.3">
      <c r="C14" s="11" t="s">
        <v>8</v>
      </c>
      <c r="D14" s="23">
        <f>D4/D$9</f>
        <v>0.30612244897959184</v>
      </c>
      <c r="E14" s="23">
        <f t="shared" ref="E14:I14" si="1">E4/E$9</f>
        <v>0.15094339622641509</v>
      </c>
      <c r="F14" s="23">
        <f t="shared" si="1"/>
        <v>0.13043478260869565</v>
      </c>
      <c r="G14" s="23">
        <f t="shared" si="1"/>
        <v>0.17307692307692307</v>
      </c>
      <c r="H14" s="23">
        <f t="shared" si="1"/>
        <v>0.22807017543859648</v>
      </c>
      <c r="I14" s="23">
        <f t="shared" si="1"/>
        <v>0.19565217391304349</v>
      </c>
      <c r="J14" s="24">
        <f>J4/J$9</f>
        <v>0.19801980198019803</v>
      </c>
    </row>
    <row r="15" spans="2:10" x14ac:dyDescent="0.3">
      <c r="C15" s="11" t="s">
        <v>9</v>
      </c>
      <c r="D15" s="23">
        <f t="shared" ref="D15:I18" si="2">D5/D$9</f>
        <v>0.16326530612244897</v>
      </c>
      <c r="E15" s="23">
        <f t="shared" si="2"/>
        <v>0.16981132075471697</v>
      </c>
      <c r="F15" s="23">
        <f t="shared" si="2"/>
        <v>0.2391304347826087</v>
      </c>
      <c r="G15" s="23">
        <f t="shared" si="2"/>
        <v>0.23076923076923078</v>
      </c>
      <c r="H15" s="23">
        <f t="shared" si="2"/>
        <v>0.21052631578947367</v>
      </c>
      <c r="I15" s="23">
        <f t="shared" si="2"/>
        <v>0.10869565217391304</v>
      </c>
      <c r="J15" s="24">
        <f t="shared" ref="J15" si="3">J5/J$9</f>
        <v>0.18811881188118812</v>
      </c>
    </row>
    <row r="16" spans="2:10" x14ac:dyDescent="0.3">
      <c r="C16" s="11" t="s">
        <v>10</v>
      </c>
      <c r="D16" s="23">
        <f t="shared" si="2"/>
        <v>0.22448979591836735</v>
      </c>
      <c r="E16" s="23">
        <f t="shared" si="2"/>
        <v>0.16981132075471697</v>
      </c>
      <c r="F16" s="23">
        <f t="shared" si="2"/>
        <v>0.2391304347826087</v>
      </c>
      <c r="G16" s="23">
        <f t="shared" si="2"/>
        <v>0.25</v>
      </c>
      <c r="H16" s="23">
        <f t="shared" si="2"/>
        <v>0.22807017543859648</v>
      </c>
      <c r="I16" s="23">
        <f t="shared" si="2"/>
        <v>0.13043478260869565</v>
      </c>
      <c r="J16" s="24">
        <f t="shared" ref="J16" si="4">J6/J$9</f>
        <v>0.20792079207920791</v>
      </c>
    </row>
    <row r="17" spans="3:10" x14ac:dyDescent="0.3">
      <c r="C17" s="11" t="s">
        <v>11</v>
      </c>
      <c r="D17" s="23">
        <f t="shared" si="2"/>
        <v>0.16326530612244897</v>
      </c>
      <c r="E17" s="23">
        <f t="shared" si="2"/>
        <v>0.28301886792452829</v>
      </c>
      <c r="F17" s="23">
        <f t="shared" si="2"/>
        <v>0.17391304347826086</v>
      </c>
      <c r="G17" s="23">
        <f t="shared" si="2"/>
        <v>0.15384615384615385</v>
      </c>
      <c r="H17" s="23">
        <f t="shared" si="2"/>
        <v>0.17543859649122806</v>
      </c>
      <c r="I17" s="23">
        <f t="shared" si="2"/>
        <v>0.32608695652173914</v>
      </c>
      <c r="J17" s="24">
        <f t="shared" ref="J17" si="5">J7/J$9</f>
        <v>0.21122112211221122</v>
      </c>
    </row>
    <row r="18" spans="3:10" x14ac:dyDescent="0.3">
      <c r="C18" s="11" t="s">
        <v>12</v>
      </c>
      <c r="D18" s="23">
        <f t="shared" si="2"/>
        <v>0.14285714285714285</v>
      </c>
      <c r="E18" s="23">
        <f t="shared" si="2"/>
        <v>0.22641509433962265</v>
      </c>
      <c r="F18" s="23">
        <f t="shared" si="2"/>
        <v>0.21739130434782608</v>
      </c>
      <c r="G18" s="23">
        <f t="shared" si="2"/>
        <v>0.19230769230769232</v>
      </c>
      <c r="H18" s="23">
        <f t="shared" si="2"/>
        <v>0.15789473684210525</v>
      </c>
      <c r="I18" s="23">
        <f t="shared" si="2"/>
        <v>0.2391304347826087</v>
      </c>
      <c r="J18" s="24">
        <f t="shared" ref="J18" si="6">J8/J$9</f>
        <v>0.19471947194719472</v>
      </c>
    </row>
    <row r="19" spans="3:10" ht="15.6" x14ac:dyDescent="0.3">
      <c r="C19" s="6" t="s">
        <v>7</v>
      </c>
      <c r="D19" s="27">
        <f t="shared" ref="D19:J19" si="7">D14+D15+D16+D17+D18</f>
        <v>1</v>
      </c>
      <c r="E19" s="27">
        <f t="shared" si="7"/>
        <v>1</v>
      </c>
      <c r="F19" s="27">
        <f t="shared" si="7"/>
        <v>1</v>
      </c>
      <c r="G19" s="27">
        <f t="shared" si="7"/>
        <v>1</v>
      </c>
      <c r="H19" s="27">
        <f t="shared" si="7"/>
        <v>1</v>
      </c>
      <c r="I19" s="27">
        <f t="shared" si="7"/>
        <v>1</v>
      </c>
      <c r="J19" s="28">
        <f t="shared" si="7"/>
        <v>1</v>
      </c>
    </row>
  </sheetData>
  <mergeCells count="2">
    <mergeCell ref="C2:J2"/>
    <mergeCell ref="C12:J12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DF98-10B1-4810-A239-DB16C879060F}">
  <dimension ref="B2:K28"/>
  <sheetViews>
    <sheetView topLeftCell="A7" workbookViewId="0">
      <selection activeCell="N11" sqref="N11"/>
    </sheetView>
  </sheetViews>
  <sheetFormatPr defaultRowHeight="14.4" x14ac:dyDescent="0.3"/>
  <cols>
    <col min="2" max="11" width="14.33203125" customWidth="1"/>
  </cols>
  <sheetData>
    <row r="2" spans="2:11" ht="14.4" customHeight="1" x14ac:dyDescent="0.3">
      <c r="B2" s="42" t="s">
        <v>54</v>
      </c>
      <c r="C2" s="42"/>
      <c r="D2" s="42"/>
      <c r="E2" s="42"/>
      <c r="F2" s="42"/>
      <c r="G2" s="42"/>
      <c r="H2" s="42"/>
      <c r="I2" s="42"/>
      <c r="J2" s="42"/>
      <c r="K2" s="42"/>
    </row>
    <row r="3" spans="2:11" x14ac:dyDescent="0.3"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2:11" x14ac:dyDescent="0.3">
      <c r="B4" s="42"/>
      <c r="C4" s="42"/>
      <c r="D4" s="42"/>
      <c r="E4" s="42"/>
      <c r="F4" s="42"/>
      <c r="G4" s="42"/>
      <c r="H4" s="42"/>
      <c r="I4" s="42"/>
      <c r="J4" s="42"/>
      <c r="K4" s="42"/>
    </row>
    <row r="5" spans="2:11" x14ac:dyDescent="0.3">
      <c r="B5" s="42"/>
      <c r="C5" s="42"/>
      <c r="D5" s="42"/>
      <c r="E5" s="42"/>
      <c r="F5" s="42"/>
      <c r="G5" s="42"/>
      <c r="H5" s="42"/>
      <c r="I5" s="42"/>
      <c r="J5" s="42"/>
      <c r="K5" s="42"/>
    </row>
    <row r="6" spans="2:11" x14ac:dyDescent="0.3">
      <c r="B6" s="42"/>
      <c r="C6" s="42"/>
      <c r="D6" s="42"/>
      <c r="E6" s="42"/>
      <c r="F6" s="42"/>
      <c r="G6" s="42"/>
      <c r="H6" s="42"/>
      <c r="I6" s="42"/>
      <c r="J6" s="42"/>
      <c r="K6" s="42"/>
    </row>
    <row r="7" spans="2:11" x14ac:dyDescent="0.3">
      <c r="B7" s="42"/>
      <c r="C7" s="42"/>
      <c r="D7" s="42"/>
      <c r="E7" s="42"/>
      <c r="F7" s="42"/>
      <c r="G7" s="42"/>
      <c r="H7" s="42"/>
      <c r="I7" s="42"/>
      <c r="J7" s="42"/>
      <c r="K7" s="42"/>
    </row>
    <row r="8" spans="2:11" x14ac:dyDescent="0.3">
      <c r="B8" s="42"/>
      <c r="C8" s="42"/>
      <c r="D8" s="42"/>
      <c r="E8" s="42"/>
      <c r="F8" s="42"/>
      <c r="G8" s="42"/>
      <c r="H8" s="42"/>
      <c r="I8" s="42"/>
      <c r="J8" s="42"/>
      <c r="K8" s="42"/>
    </row>
    <row r="10" spans="2:11" x14ac:dyDescent="0.3">
      <c r="B10" s="46" t="s">
        <v>52</v>
      </c>
      <c r="C10" s="47"/>
      <c r="D10" s="47"/>
      <c r="E10" s="47"/>
      <c r="F10" s="47"/>
      <c r="G10" s="47"/>
      <c r="H10" s="47"/>
      <c r="I10" s="47"/>
      <c r="J10" s="47"/>
      <c r="K10" s="48"/>
    </row>
    <row r="11" spans="2:11" x14ac:dyDescent="0.3">
      <c r="B11" s="43"/>
      <c r="C11" s="44"/>
      <c r="D11" s="44"/>
      <c r="E11" s="44"/>
      <c r="F11" s="44"/>
      <c r="G11" s="44"/>
      <c r="H11" s="44"/>
      <c r="I11" s="44"/>
      <c r="J11" s="44"/>
      <c r="K11" s="45"/>
    </row>
    <row r="12" spans="2:11" ht="15.6" x14ac:dyDescent="0.3">
      <c r="B12" s="33" t="s">
        <v>35</v>
      </c>
      <c r="C12" s="33" t="s">
        <v>36</v>
      </c>
      <c r="D12" s="33" t="s">
        <v>37</v>
      </c>
      <c r="E12" s="33" t="s">
        <v>38</v>
      </c>
      <c r="F12" s="33" t="s">
        <v>39</v>
      </c>
      <c r="G12" s="33" t="s">
        <v>40</v>
      </c>
      <c r="H12" s="33" t="s">
        <v>41</v>
      </c>
      <c r="I12" s="33" t="s">
        <v>42</v>
      </c>
      <c r="J12" s="33" t="s">
        <v>43</v>
      </c>
      <c r="K12" s="33" t="s">
        <v>44</v>
      </c>
    </row>
    <row r="13" spans="2:11" x14ac:dyDescent="0.3">
      <c r="B13" s="29" t="s">
        <v>45</v>
      </c>
      <c r="C13" s="5">
        <v>10</v>
      </c>
      <c r="D13" s="5">
        <v>15</v>
      </c>
      <c r="E13" s="5">
        <v>10</v>
      </c>
      <c r="F13" s="5"/>
      <c r="G13" s="5"/>
      <c r="H13" s="5">
        <v>7</v>
      </c>
      <c r="I13" s="5"/>
      <c r="J13" s="5"/>
      <c r="K13" s="5"/>
    </row>
    <row r="14" spans="2:11" x14ac:dyDescent="0.3">
      <c r="B14" s="29" t="s">
        <v>46</v>
      </c>
      <c r="C14" s="5"/>
      <c r="D14" s="5"/>
      <c r="E14" s="5">
        <v>11</v>
      </c>
      <c r="F14" s="5">
        <v>18</v>
      </c>
      <c r="G14" s="5">
        <v>9</v>
      </c>
      <c r="H14" s="5"/>
      <c r="I14" s="5">
        <v>56</v>
      </c>
      <c r="J14" s="5">
        <v>55</v>
      </c>
      <c r="K14" s="5">
        <v>9</v>
      </c>
    </row>
    <row r="15" spans="2:11" x14ac:dyDescent="0.3">
      <c r="B15" s="29" t="s">
        <v>47</v>
      </c>
      <c r="C15" s="5">
        <v>20</v>
      </c>
      <c r="D15" s="5"/>
      <c r="E15" s="5">
        <v>15</v>
      </c>
      <c r="F15" s="5">
        <v>56</v>
      </c>
      <c r="G15" s="5">
        <v>46</v>
      </c>
      <c r="H15" s="5">
        <v>84</v>
      </c>
      <c r="I15" s="5"/>
      <c r="J15" s="5"/>
      <c r="K15" s="5">
        <v>15</v>
      </c>
    </row>
    <row r="16" spans="2:11" x14ac:dyDescent="0.3">
      <c r="B16" s="29" t="s">
        <v>48</v>
      </c>
      <c r="C16" s="5">
        <v>20</v>
      </c>
      <c r="D16" s="5">
        <v>106</v>
      </c>
      <c r="E16" s="5">
        <v>57</v>
      </c>
      <c r="F16" s="5">
        <v>11</v>
      </c>
      <c r="G16" s="5">
        <v>10</v>
      </c>
      <c r="H16" s="5">
        <v>86</v>
      </c>
      <c r="I16" s="5">
        <v>13</v>
      </c>
      <c r="J16" s="5"/>
      <c r="K16" s="5">
        <v>73</v>
      </c>
    </row>
    <row r="17" spans="2:11" x14ac:dyDescent="0.3">
      <c r="B17" s="29" t="s">
        <v>49</v>
      </c>
      <c r="C17" s="5">
        <v>15</v>
      </c>
      <c r="D17" s="5"/>
      <c r="E17" s="5">
        <v>5</v>
      </c>
      <c r="F17" s="5"/>
      <c r="G17" s="5">
        <v>5</v>
      </c>
      <c r="H17" s="5">
        <v>48</v>
      </c>
      <c r="I17" s="5">
        <v>13</v>
      </c>
      <c r="J17" s="5">
        <v>15</v>
      </c>
      <c r="K17" s="5"/>
    </row>
    <row r="18" spans="2:11" x14ac:dyDescent="0.3">
      <c r="B18" s="5" t="s">
        <v>50</v>
      </c>
      <c r="C18" s="30">
        <f t="shared" ref="C18:K18" si="0">SUM(C13:C17)</f>
        <v>65</v>
      </c>
      <c r="D18" s="30">
        <f t="shared" si="0"/>
        <v>121</v>
      </c>
      <c r="E18" s="30">
        <f t="shared" si="0"/>
        <v>98</v>
      </c>
      <c r="F18" s="30">
        <f t="shared" si="0"/>
        <v>85</v>
      </c>
      <c r="G18" s="30">
        <f t="shared" si="0"/>
        <v>70</v>
      </c>
      <c r="H18" s="30">
        <f t="shared" si="0"/>
        <v>225</v>
      </c>
      <c r="I18" s="30">
        <f t="shared" si="0"/>
        <v>82</v>
      </c>
      <c r="J18" s="30">
        <f t="shared" si="0"/>
        <v>70</v>
      </c>
      <c r="K18" s="30">
        <f t="shared" si="0"/>
        <v>97</v>
      </c>
    </row>
    <row r="20" spans="2:11" x14ac:dyDescent="0.3">
      <c r="B20" s="46" t="s">
        <v>53</v>
      </c>
      <c r="C20" s="47"/>
      <c r="D20" s="47"/>
      <c r="E20" s="47"/>
      <c r="F20" s="47"/>
      <c r="G20" s="47"/>
      <c r="H20" s="47"/>
      <c r="I20" s="47"/>
      <c r="J20" s="47"/>
      <c r="K20" s="48"/>
    </row>
    <row r="21" spans="2:11" x14ac:dyDescent="0.3">
      <c r="B21" s="43"/>
      <c r="C21" s="44"/>
      <c r="D21" s="44"/>
      <c r="E21" s="44"/>
      <c r="F21" s="44"/>
      <c r="G21" s="44"/>
      <c r="H21" s="44"/>
      <c r="I21" s="44"/>
      <c r="J21" s="44"/>
      <c r="K21" s="45"/>
    </row>
    <row r="22" spans="2:11" ht="15.6" x14ac:dyDescent="0.3">
      <c r="B22" s="31" t="s">
        <v>51</v>
      </c>
      <c r="C22" s="31" t="s">
        <v>36</v>
      </c>
      <c r="D22" s="31" t="s">
        <v>37</v>
      </c>
      <c r="E22" s="31" t="s">
        <v>38</v>
      </c>
      <c r="F22" s="31" t="s">
        <v>39</v>
      </c>
      <c r="G22" s="31" t="s">
        <v>40</v>
      </c>
      <c r="H22" s="31" t="s">
        <v>41</v>
      </c>
      <c r="I22" s="31" t="s">
        <v>42</v>
      </c>
      <c r="J22" s="31" t="s">
        <v>43</v>
      </c>
      <c r="K22" s="31" t="s">
        <v>44</v>
      </c>
    </row>
    <row r="23" spans="2:11" x14ac:dyDescent="0.3">
      <c r="B23" s="29" t="s">
        <v>45</v>
      </c>
      <c r="C23" s="32">
        <f>C13/C$18</f>
        <v>0.15384615384615385</v>
      </c>
      <c r="D23" s="32">
        <f t="shared" ref="D23:K23" si="1">D13/D$18</f>
        <v>0.12396694214876033</v>
      </c>
      <c r="E23" s="32">
        <f t="shared" si="1"/>
        <v>0.10204081632653061</v>
      </c>
      <c r="F23" s="32">
        <f t="shared" si="1"/>
        <v>0</v>
      </c>
      <c r="G23" s="32">
        <f t="shared" si="1"/>
        <v>0</v>
      </c>
      <c r="H23" s="32">
        <f t="shared" si="1"/>
        <v>3.111111111111111E-2</v>
      </c>
      <c r="I23" s="32">
        <f t="shared" si="1"/>
        <v>0</v>
      </c>
      <c r="J23" s="32">
        <f t="shared" si="1"/>
        <v>0</v>
      </c>
      <c r="K23" s="32">
        <f t="shared" si="1"/>
        <v>0</v>
      </c>
    </row>
    <row r="24" spans="2:11" x14ac:dyDescent="0.3">
      <c r="B24" s="29" t="s">
        <v>46</v>
      </c>
      <c r="C24" s="32">
        <f t="shared" ref="C24:K28" si="2">C14/C$18</f>
        <v>0</v>
      </c>
      <c r="D24" s="32">
        <f t="shared" si="2"/>
        <v>0</v>
      </c>
      <c r="E24" s="32">
        <f t="shared" si="2"/>
        <v>0.11224489795918367</v>
      </c>
      <c r="F24" s="32">
        <f t="shared" si="2"/>
        <v>0.21176470588235294</v>
      </c>
      <c r="G24" s="32">
        <f t="shared" si="2"/>
        <v>0.12857142857142856</v>
      </c>
      <c r="H24" s="32">
        <f t="shared" si="2"/>
        <v>0</v>
      </c>
      <c r="I24" s="32">
        <f t="shared" si="2"/>
        <v>0.68292682926829273</v>
      </c>
      <c r="J24" s="32">
        <f t="shared" si="2"/>
        <v>0.7857142857142857</v>
      </c>
      <c r="K24" s="32">
        <f t="shared" si="2"/>
        <v>9.2783505154639179E-2</v>
      </c>
    </row>
    <row r="25" spans="2:11" x14ac:dyDescent="0.3">
      <c r="B25" s="29" t="s">
        <v>47</v>
      </c>
      <c r="C25" s="32">
        <f t="shared" si="2"/>
        <v>0.30769230769230771</v>
      </c>
      <c r="D25" s="32">
        <f t="shared" si="2"/>
        <v>0</v>
      </c>
      <c r="E25" s="32">
        <f t="shared" si="2"/>
        <v>0.15306122448979592</v>
      </c>
      <c r="F25" s="32">
        <f t="shared" si="2"/>
        <v>0.6588235294117647</v>
      </c>
      <c r="G25" s="32">
        <f t="shared" si="2"/>
        <v>0.65714285714285714</v>
      </c>
      <c r="H25" s="32">
        <f t="shared" si="2"/>
        <v>0.37333333333333335</v>
      </c>
      <c r="I25" s="32">
        <f t="shared" si="2"/>
        <v>0</v>
      </c>
      <c r="J25" s="32">
        <f t="shared" si="2"/>
        <v>0</v>
      </c>
      <c r="K25" s="32">
        <f t="shared" si="2"/>
        <v>0.15463917525773196</v>
      </c>
    </row>
    <row r="26" spans="2:11" x14ac:dyDescent="0.3">
      <c r="B26" s="29" t="s">
        <v>48</v>
      </c>
      <c r="C26" s="32">
        <f t="shared" si="2"/>
        <v>0.30769230769230771</v>
      </c>
      <c r="D26" s="32">
        <f t="shared" si="2"/>
        <v>0.87603305785123964</v>
      </c>
      <c r="E26" s="32">
        <f t="shared" si="2"/>
        <v>0.58163265306122447</v>
      </c>
      <c r="F26" s="32">
        <f t="shared" si="2"/>
        <v>0.12941176470588237</v>
      </c>
      <c r="G26" s="32">
        <f t="shared" si="2"/>
        <v>0.14285714285714285</v>
      </c>
      <c r="H26" s="32">
        <f t="shared" si="2"/>
        <v>0.38222222222222224</v>
      </c>
      <c r="I26" s="32">
        <f t="shared" si="2"/>
        <v>0.15853658536585366</v>
      </c>
      <c r="J26" s="32">
        <f t="shared" si="2"/>
        <v>0</v>
      </c>
      <c r="K26" s="32">
        <f t="shared" si="2"/>
        <v>0.75257731958762886</v>
      </c>
    </row>
    <row r="27" spans="2:11" x14ac:dyDescent="0.3">
      <c r="B27" s="29" t="s">
        <v>49</v>
      </c>
      <c r="C27" s="32">
        <f t="shared" si="2"/>
        <v>0.23076923076923078</v>
      </c>
      <c r="D27" s="32">
        <f t="shared" si="2"/>
        <v>0</v>
      </c>
      <c r="E27" s="32">
        <f t="shared" si="2"/>
        <v>5.1020408163265307E-2</v>
      </c>
      <c r="F27" s="32">
        <f t="shared" si="2"/>
        <v>0</v>
      </c>
      <c r="G27" s="32">
        <f t="shared" si="2"/>
        <v>7.1428571428571425E-2</v>
      </c>
      <c r="H27" s="32">
        <f t="shared" si="2"/>
        <v>0.21333333333333335</v>
      </c>
      <c r="I27" s="32">
        <f t="shared" si="2"/>
        <v>0.15853658536585366</v>
      </c>
      <c r="J27" s="32">
        <f t="shared" si="2"/>
        <v>0.21428571428571427</v>
      </c>
      <c r="K27" s="32">
        <f t="shared" si="2"/>
        <v>0</v>
      </c>
    </row>
    <row r="28" spans="2:11" x14ac:dyDescent="0.3">
      <c r="B28" s="5" t="s">
        <v>50</v>
      </c>
      <c r="C28" s="32">
        <f t="shared" si="2"/>
        <v>1</v>
      </c>
      <c r="D28" s="32">
        <f t="shared" si="2"/>
        <v>1</v>
      </c>
      <c r="E28" s="32">
        <f t="shared" si="2"/>
        <v>1</v>
      </c>
      <c r="F28" s="32">
        <f t="shared" si="2"/>
        <v>1</v>
      </c>
      <c r="G28" s="32">
        <f t="shared" si="2"/>
        <v>1</v>
      </c>
      <c r="H28" s="32">
        <f t="shared" si="2"/>
        <v>1</v>
      </c>
      <c r="I28" s="32">
        <f t="shared" si="2"/>
        <v>1</v>
      </c>
      <c r="J28" s="32">
        <f t="shared" si="2"/>
        <v>1</v>
      </c>
      <c r="K28" s="32">
        <f t="shared" si="2"/>
        <v>1</v>
      </c>
    </row>
  </sheetData>
  <mergeCells count="5">
    <mergeCell ref="B2:K8"/>
    <mergeCell ref="B11:K11"/>
    <mergeCell ref="B21:K21"/>
    <mergeCell ref="B20:K20"/>
    <mergeCell ref="B10:K1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7F19-C99D-4880-9981-6DE0AD5F8529}">
  <dimension ref="B2:I16"/>
  <sheetViews>
    <sheetView workbookViewId="0">
      <selection activeCell="L11" sqref="L11"/>
    </sheetView>
  </sheetViews>
  <sheetFormatPr defaultRowHeight="14.4" x14ac:dyDescent="0.3"/>
  <sheetData>
    <row r="2" spans="2:9" x14ac:dyDescent="0.3">
      <c r="B2" s="49" t="s">
        <v>34</v>
      </c>
      <c r="C2" s="49"/>
      <c r="D2" s="49"/>
      <c r="E2" s="49"/>
      <c r="F2" s="49"/>
      <c r="G2" s="49"/>
      <c r="H2" s="49"/>
      <c r="I2" s="49"/>
    </row>
    <row r="4" spans="2:9" x14ac:dyDescent="0.3">
      <c r="B4" s="16" t="s">
        <v>17</v>
      </c>
      <c r="C4" s="17" t="s">
        <v>33</v>
      </c>
      <c r="D4" s="17"/>
      <c r="E4" s="16" t="s">
        <v>17</v>
      </c>
      <c r="F4" s="18" t="s">
        <v>33</v>
      </c>
      <c r="G4" s="17"/>
      <c r="H4" s="16" t="s">
        <v>17</v>
      </c>
      <c r="I4" s="18" t="s">
        <v>33</v>
      </c>
    </row>
    <row r="5" spans="2:9" x14ac:dyDescent="0.3">
      <c r="B5" s="19" t="s">
        <v>1</v>
      </c>
      <c r="C5" s="20">
        <v>150000</v>
      </c>
      <c r="D5" s="17"/>
      <c r="E5" s="19" t="s">
        <v>1</v>
      </c>
      <c r="F5" s="20">
        <v>150000</v>
      </c>
      <c r="G5" s="17"/>
      <c r="H5" s="19" t="s">
        <v>1</v>
      </c>
      <c r="I5" s="20">
        <v>150000</v>
      </c>
    </row>
    <row r="6" spans="2:9" x14ac:dyDescent="0.3">
      <c r="B6" s="19" t="s">
        <v>2</v>
      </c>
      <c r="C6" s="20">
        <v>160000</v>
      </c>
      <c r="D6" s="17"/>
      <c r="E6" s="19" t="s">
        <v>2</v>
      </c>
      <c r="F6" s="20">
        <v>160000</v>
      </c>
      <c r="G6" s="17"/>
      <c r="H6" s="19" t="s">
        <v>2</v>
      </c>
      <c r="I6" s="20">
        <v>160000</v>
      </c>
    </row>
    <row r="7" spans="2:9" x14ac:dyDescent="0.3">
      <c r="B7" s="19" t="s">
        <v>3</v>
      </c>
      <c r="C7" s="20">
        <v>170000</v>
      </c>
      <c r="D7" s="17"/>
      <c r="E7" s="19" t="s">
        <v>3</v>
      </c>
      <c r="F7" s="20">
        <v>170000</v>
      </c>
      <c r="G7" s="17"/>
      <c r="H7" s="19" t="s">
        <v>3</v>
      </c>
      <c r="I7" s="20">
        <v>170000</v>
      </c>
    </row>
    <row r="8" spans="2:9" x14ac:dyDescent="0.3">
      <c r="B8" s="19" t="s">
        <v>4</v>
      </c>
      <c r="C8" s="20">
        <v>180000</v>
      </c>
      <c r="D8" s="17"/>
      <c r="E8" s="19" t="s">
        <v>4</v>
      </c>
      <c r="F8" s="20">
        <v>180000</v>
      </c>
      <c r="G8" s="17"/>
      <c r="H8" s="19" t="s">
        <v>4</v>
      </c>
      <c r="I8" s="20">
        <v>180000</v>
      </c>
    </row>
    <row r="9" spans="2:9" x14ac:dyDescent="0.3">
      <c r="B9" s="19" t="s">
        <v>5</v>
      </c>
      <c r="C9" s="20">
        <v>190000</v>
      </c>
      <c r="D9" s="17"/>
      <c r="E9" s="19" t="s">
        <v>5</v>
      </c>
      <c r="F9" s="20">
        <v>190000</v>
      </c>
      <c r="G9" s="17"/>
      <c r="H9" s="19" t="s">
        <v>5</v>
      </c>
      <c r="I9" s="20">
        <v>190000</v>
      </c>
    </row>
    <row r="10" spans="2:9" x14ac:dyDescent="0.3">
      <c r="B10" s="19" t="s">
        <v>6</v>
      </c>
      <c r="C10" s="20">
        <v>200000</v>
      </c>
      <c r="D10" s="17"/>
      <c r="E10" s="19" t="s">
        <v>6</v>
      </c>
      <c r="F10" s="20">
        <v>200000</v>
      </c>
      <c r="G10" s="17"/>
      <c r="H10" s="19" t="s">
        <v>6</v>
      </c>
      <c r="I10" s="20">
        <v>200000</v>
      </c>
    </row>
    <row r="11" spans="2:9" x14ac:dyDescent="0.3">
      <c r="B11" s="19" t="s">
        <v>26</v>
      </c>
      <c r="C11" s="20">
        <v>210000</v>
      </c>
      <c r="D11" s="17"/>
      <c r="E11" s="19" t="s">
        <v>26</v>
      </c>
      <c r="F11" s="20">
        <v>210000</v>
      </c>
      <c r="G11" s="17"/>
      <c r="H11" s="19" t="s">
        <v>26</v>
      </c>
      <c r="I11" s="20">
        <v>210000</v>
      </c>
    </row>
    <row r="12" spans="2:9" x14ac:dyDescent="0.3">
      <c r="B12" s="19" t="s">
        <v>27</v>
      </c>
      <c r="C12" s="20">
        <v>220000</v>
      </c>
      <c r="D12" s="17"/>
      <c r="E12" s="19" t="s">
        <v>27</v>
      </c>
      <c r="F12" s="20">
        <v>220000</v>
      </c>
      <c r="G12" s="17"/>
      <c r="H12" s="19" t="s">
        <v>27</v>
      </c>
      <c r="I12" s="20">
        <v>220000</v>
      </c>
    </row>
    <row r="13" spans="2:9" x14ac:dyDescent="0.3">
      <c r="B13" s="19" t="s">
        <v>29</v>
      </c>
      <c r="C13" s="20">
        <v>230000</v>
      </c>
      <c r="D13" s="17"/>
      <c r="E13" s="19" t="s">
        <v>29</v>
      </c>
      <c r="F13" s="20">
        <v>230000</v>
      </c>
      <c r="G13" s="17"/>
      <c r="H13" s="19" t="s">
        <v>29</v>
      </c>
      <c r="I13" s="20">
        <v>230000</v>
      </c>
    </row>
    <row r="14" spans="2:9" x14ac:dyDescent="0.3">
      <c r="B14" s="19" t="s">
        <v>30</v>
      </c>
      <c r="C14" s="20">
        <v>240000</v>
      </c>
      <c r="D14" s="17"/>
      <c r="E14" s="19" t="s">
        <v>30</v>
      </c>
      <c r="F14" s="20">
        <v>240000</v>
      </c>
      <c r="G14" s="17"/>
      <c r="H14" s="19" t="s">
        <v>30</v>
      </c>
      <c r="I14" s="20">
        <v>240000</v>
      </c>
    </row>
    <row r="15" spans="2:9" x14ac:dyDescent="0.3">
      <c r="B15" s="19" t="s">
        <v>31</v>
      </c>
      <c r="C15" s="20">
        <v>250000</v>
      </c>
      <c r="D15" s="17"/>
      <c r="E15" s="19" t="s">
        <v>31</v>
      </c>
      <c r="F15" s="20">
        <v>250000</v>
      </c>
      <c r="G15" s="17"/>
      <c r="H15" s="19" t="s">
        <v>31</v>
      </c>
      <c r="I15" s="20">
        <v>250000</v>
      </c>
    </row>
    <row r="16" spans="2:9" x14ac:dyDescent="0.3">
      <c r="B16" s="21" t="s">
        <v>32</v>
      </c>
      <c r="C16" s="22">
        <v>260000</v>
      </c>
      <c r="D16" s="17"/>
      <c r="E16" s="21" t="s">
        <v>32</v>
      </c>
      <c r="F16" s="22">
        <v>260000</v>
      </c>
      <c r="G16" s="17"/>
      <c r="H16" s="21" t="s">
        <v>32</v>
      </c>
      <c r="I16" s="22">
        <v>260000</v>
      </c>
    </row>
  </sheetData>
  <mergeCells count="1">
    <mergeCell ref="B2:I2"/>
  </mergeCells>
  <conditionalFormatting sqref="B5:B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{C0710E0A-5839-421E-BEA3-2726B3CD9716}</x14:id>
        </ext>
      </extLst>
    </cfRule>
  </conditionalFormatting>
  <conditionalFormatting sqref="C5:C16">
    <cfRule type="cellIs" dxfId="17" priority="6" operator="greaterThan">
      <formula>155000</formula>
    </cfRule>
  </conditionalFormatting>
  <conditionalFormatting sqref="C6:C16">
    <cfRule type="cellIs" dxfId="16" priority="5" operator="greaterThan">
      <formula>210000</formula>
    </cfRule>
  </conditionalFormatting>
  <conditionalFormatting sqref="E5:F1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{32A219DF-13C7-41CA-8ED9-FAB063512043}</x14:id>
        </ext>
      </extLst>
    </cfRule>
  </conditionalFormatting>
  <conditionalFormatting sqref="H4:I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I1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{7D1134DB-9617-4D52-8358-54DEA49AF4A2}</x14:id>
        </ext>
      </extLst>
    </cfRule>
  </conditionalFormatting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710E0A-5839-421E-BEA3-2726B3CD9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B5:B16</xm:sqref>
        </x14:conditionalFormatting>
        <x14:conditionalFormatting xmlns:xm="http://schemas.microsoft.com/office/excel/2006/main">
          <x14:cfRule type="dataBar" id="{32A219DF-13C7-41CA-8ED9-FAB0635120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E5:F16</xm:sqref>
        </x14:conditionalFormatting>
        <x14:conditionalFormatting xmlns:xm="http://schemas.microsoft.com/office/excel/2006/main">
          <x14:cfRule type="dataBar" id="{7D1134DB-9617-4D52-8358-54DEA49AF4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H5:I16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D2F8-757E-4D98-9564-9321BFF80A12}">
  <dimension ref="B2:J30"/>
  <sheetViews>
    <sheetView workbookViewId="0">
      <selection activeCell="Q14" sqref="Q14"/>
    </sheetView>
  </sheetViews>
  <sheetFormatPr defaultRowHeight="14.4" x14ac:dyDescent="0.3"/>
  <cols>
    <col min="4" max="4" width="21" bestFit="1" customWidth="1"/>
    <col min="8" max="8" width="21" bestFit="1" customWidth="1"/>
    <col min="10" max="10" width="22.44140625" bestFit="1" customWidth="1"/>
  </cols>
  <sheetData>
    <row r="2" spans="2:10" x14ac:dyDescent="0.3">
      <c r="B2" s="50" t="s">
        <v>15</v>
      </c>
      <c r="C2" s="50"/>
      <c r="D2" s="50"/>
      <c r="F2" s="50" t="s">
        <v>16</v>
      </c>
      <c r="G2" s="50"/>
      <c r="H2" s="50"/>
    </row>
    <row r="3" spans="2:10" x14ac:dyDescent="0.3">
      <c r="B3" s="8" t="s">
        <v>17</v>
      </c>
      <c r="C3" s="9" t="s">
        <v>18</v>
      </c>
      <c r="D3" s="10" t="s">
        <v>19</v>
      </c>
      <c r="F3" s="8" t="s">
        <v>17</v>
      </c>
      <c r="G3" s="9" t="s">
        <v>18</v>
      </c>
      <c r="H3" s="10" t="s">
        <v>19</v>
      </c>
      <c r="J3" t="s">
        <v>20</v>
      </c>
    </row>
    <row r="4" spans="2:10" x14ac:dyDescent="0.3">
      <c r="B4" s="11" t="s">
        <v>1</v>
      </c>
      <c r="C4" s="12">
        <v>150000</v>
      </c>
      <c r="D4" t="s">
        <v>21</v>
      </c>
      <c r="F4" s="11" t="s">
        <v>1</v>
      </c>
      <c r="G4" s="12">
        <v>150000</v>
      </c>
      <c r="H4" t="s">
        <v>22</v>
      </c>
      <c r="J4" t="s">
        <v>22</v>
      </c>
    </row>
    <row r="5" spans="2:10" x14ac:dyDescent="0.3">
      <c r="B5" s="11" t="s">
        <v>2</v>
      </c>
      <c r="C5" s="12">
        <v>160000</v>
      </c>
      <c r="D5" t="s">
        <v>23</v>
      </c>
      <c r="F5" s="11" t="s">
        <v>2</v>
      </c>
      <c r="G5" s="12">
        <v>160000</v>
      </c>
      <c r="H5" t="s">
        <v>23</v>
      </c>
      <c r="J5" t="s">
        <v>23</v>
      </c>
    </row>
    <row r="6" spans="2:10" x14ac:dyDescent="0.3">
      <c r="B6" s="11" t="s">
        <v>3</v>
      </c>
      <c r="C6" s="12">
        <v>170000</v>
      </c>
      <c r="D6" t="s">
        <v>24</v>
      </c>
      <c r="F6" s="11" t="s">
        <v>3</v>
      </c>
      <c r="G6" s="12">
        <v>170000</v>
      </c>
      <c r="H6" t="s">
        <v>24</v>
      </c>
      <c r="J6" t="s">
        <v>24</v>
      </c>
    </row>
    <row r="7" spans="2:10" x14ac:dyDescent="0.3">
      <c r="B7" s="11" t="s">
        <v>4</v>
      </c>
      <c r="C7" s="12">
        <v>180000</v>
      </c>
      <c r="D7" t="s">
        <v>23</v>
      </c>
      <c r="F7" s="11" t="s">
        <v>4</v>
      </c>
      <c r="G7" s="12">
        <v>180000</v>
      </c>
      <c r="H7" t="s">
        <v>22</v>
      </c>
    </row>
    <row r="8" spans="2:10" x14ac:dyDescent="0.3">
      <c r="B8" s="11" t="s">
        <v>5</v>
      </c>
      <c r="C8" s="12">
        <v>190000</v>
      </c>
      <c r="D8" t="s">
        <v>24</v>
      </c>
      <c r="F8" s="11" t="s">
        <v>5</v>
      </c>
      <c r="G8" s="12">
        <v>190000</v>
      </c>
      <c r="H8" t="s">
        <v>23</v>
      </c>
      <c r="J8" t="s">
        <v>25</v>
      </c>
    </row>
    <row r="9" spans="2:10" x14ac:dyDescent="0.3">
      <c r="B9" s="11" t="s">
        <v>6</v>
      </c>
      <c r="C9" s="12">
        <v>200000</v>
      </c>
      <c r="D9" t="s">
        <v>21</v>
      </c>
      <c r="F9" s="11" t="s">
        <v>6</v>
      </c>
      <c r="G9" s="12">
        <v>200000</v>
      </c>
      <c r="H9" t="s">
        <v>24</v>
      </c>
      <c r="J9" t="s">
        <v>15</v>
      </c>
    </row>
    <row r="10" spans="2:10" x14ac:dyDescent="0.3">
      <c r="B10" s="11" t="s">
        <v>26</v>
      </c>
      <c r="C10" s="12">
        <v>210000</v>
      </c>
      <c r="D10" t="s">
        <v>24</v>
      </c>
      <c r="F10" s="11" t="s">
        <v>26</v>
      </c>
      <c r="G10" s="12">
        <v>210000</v>
      </c>
      <c r="H10" t="s">
        <v>22</v>
      </c>
      <c r="J10" t="s">
        <v>16</v>
      </c>
    </row>
    <row r="11" spans="2:10" x14ac:dyDescent="0.3">
      <c r="B11" s="11" t="s">
        <v>27</v>
      </c>
      <c r="C11" s="12">
        <v>220000</v>
      </c>
      <c r="D11" t="s">
        <v>23</v>
      </c>
      <c r="F11" s="11" t="s">
        <v>27</v>
      </c>
      <c r="G11" s="12">
        <v>220000</v>
      </c>
      <c r="H11" t="s">
        <v>23</v>
      </c>
      <c r="J11" t="s">
        <v>28</v>
      </c>
    </row>
    <row r="12" spans="2:10" x14ac:dyDescent="0.3">
      <c r="B12" s="11" t="s">
        <v>29</v>
      </c>
      <c r="C12" s="12">
        <v>230000</v>
      </c>
      <c r="D12" t="s">
        <v>21</v>
      </c>
      <c r="F12" s="11" t="s">
        <v>29</v>
      </c>
      <c r="G12" s="12">
        <v>230000</v>
      </c>
      <c r="H12" t="s">
        <v>24</v>
      </c>
    </row>
    <row r="13" spans="2:10" x14ac:dyDescent="0.3">
      <c r="B13" s="11" t="s">
        <v>30</v>
      </c>
      <c r="C13" s="12">
        <v>240000</v>
      </c>
      <c r="D13" t="s">
        <v>24</v>
      </c>
      <c r="F13" s="11" t="s">
        <v>30</v>
      </c>
      <c r="G13" s="12">
        <v>240000</v>
      </c>
      <c r="H13" t="s">
        <v>22</v>
      </c>
    </row>
    <row r="14" spans="2:10" x14ac:dyDescent="0.3">
      <c r="B14" s="11" t="s">
        <v>31</v>
      </c>
      <c r="C14" s="12">
        <v>250000</v>
      </c>
      <c r="D14" t="s">
        <v>21</v>
      </c>
      <c r="F14" s="11" t="s">
        <v>31</v>
      </c>
      <c r="G14" s="12">
        <v>250000</v>
      </c>
      <c r="H14" t="s">
        <v>23</v>
      </c>
    </row>
    <row r="15" spans="2:10" x14ac:dyDescent="0.3">
      <c r="B15" s="13" t="s">
        <v>32</v>
      </c>
      <c r="C15" s="14">
        <v>260000</v>
      </c>
      <c r="D15" t="s">
        <v>23</v>
      </c>
      <c r="F15" s="13" t="s">
        <v>32</v>
      </c>
      <c r="G15" s="14">
        <v>260000</v>
      </c>
      <c r="H15" t="s">
        <v>24</v>
      </c>
    </row>
    <row r="16" spans="2:10" x14ac:dyDescent="0.3">
      <c r="B16" s="2"/>
      <c r="C16" s="15"/>
      <c r="F16" s="2"/>
      <c r="G16" s="15"/>
    </row>
    <row r="17" spans="2:8" x14ac:dyDescent="0.3">
      <c r="B17" s="51" t="s">
        <v>28</v>
      </c>
      <c r="C17" s="52"/>
      <c r="D17" s="53"/>
      <c r="F17" s="51" t="s">
        <v>28</v>
      </c>
      <c r="G17" s="52"/>
      <c r="H17" s="53"/>
    </row>
    <row r="18" spans="2:8" x14ac:dyDescent="0.3">
      <c r="B18" s="8" t="s">
        <v>17</v>
      </c>
      <c r="C18" s="9" t="s">
        <v>18</v>
      </c>
      <c r="D18" s="10" t="s">
        <v>19</v>
      </c>
      <c r="F18" s="8" t="s">
        <v>17</v>
      </c>
      <c r="G18" s="9" t="s">
        <v>18</v>
      </c>
      <c r="H18" s="10" t="s">
        <v>19</v>
      </c>
    </row>
    <row r="19" spans="2:8" x14ac:dyDescent="0.3">
      <c r="B19" s="11" t="s">
        <v>1</v>
      </c>
      <c r="C19" s="12">
        <v>150000</v>
      </c>
      <c r="D19" t="s">
        <v>21</v>
      </c>
      <c r="F19" s="11" t="s">
        <v>1</v>
      </c>
      <c r="G19" s="12">
        <v>150000</v>
      </c>
      <c r="H19" t="s">
        <v>21</v>
      </c>
    </row>
    <row r="20" spans="2:8" x14ac:dyDescent="0.3">
      <c r="B20" s="11" t="s">
        <v>2</v>
      </c>
      <c r="C20" s="12">
        <v>160000</v>
      </c>
      <c r="D20" t="s">
        <v>23</v>
      </c>
      <c r="F20" s="11" t="s">
        <v>2</v>
      </c>
      <c r="G20" s="12">
        <v>160000</v>
      </c>
      <c r="H20" t="s">
        <v>23</v>
      </c>
    </row>
    <row r="21" spans="2:8" x14ac:dyDescent="0.3">
      <c r="B21" s="11" t="s">
        <v>3</v>
      </c>
      <c r="C21" s="12">
        <v>170000</v>
      </c>
      <c r="D21" t="s">
        <v>24</v>
      </c>
      <c r="F21" s="11" t="s">
        <v>3</v>
      </c>
      <c r="G21" s="12">
        <v>170000</v>
      </c>
      <c r="H21" t="s">
        <v>24</v>
      </c>
    </row>
    <row r="22" spans="2:8" x14ac:dyDescent="0.3">
      <c r="B22" s="11" t="s">
        <v>4</v>
      </c>
      <c r="C22" s="12">
        <v>180000</v>
      </c>
      <c r="D22" t="s">
        <v>23</v>
      </c>
      <c r="F22" s="11" t="s">
        <v>4</v>
      </c>
      <c r="G22" s="12">
        <v>180000</v>
      </c>
      <c r="H22" t="s">
        <v>23</v>
      </c>
    </row>
    <row r="23" spans="2:8" x14ac:dyDescent="0.3">
      <c r="B23" s="11" t="s">
        <v>5</v>
      </c>
      <c r="C23" s="12">
        <v>190000</v>
      </c>
      <c r="D23" t="s">
        <v>24</v>
      </c>
      <c r="F23" s="11" t="s">
        <v>5</v>
      </c>
      <c r="G23" s="12">
        <v>190000</v>
      </c>
      <c r="H23" t="s">
        <v>24</v>
      </c>
    </row>
    <row r="24" spans="2:8" x14ac:dyDescent="0.3">
      <c r="B24" s="11" t="s">
        <v>6</v>
      </c>
      <c r="C24" s="12">
        <v>200000</v>
      </c>
      <c r="D24" t="s">
        <v>21</v>
      </c>
      <c r="F24" s="11" t="s">
        <v>6</v>
      </c>
      <c r="G24" s="12">
        <v>200000</v>
      </c>
      <c r="H24" t="s">
        <v>21</v>
      </c>
    </row>
    <row r="25" spans="2:8" x14ac:dyDescent="0.3">
      <c r="B25" s="11" t="s">
        <v>26</v>
      </c>
      <c r="C25" s="12">
        <v>210000</v>
      </c>
      <c r="D25" t="s">
        <v>24</v>
      </c>
      <c r="F25" s="11" t="s">
        <v>26</v>
      </c>
      <c r="G25" s="12">
        <v>210000</v>
      </c>
      <c r="H25" t="s">
        <v>24</v>
      </c>
    </row>
    <row r="26" spans="2:8" x14ac:dyDescent="0.3">
      <c r="B26" s="11" t="s">
        <v>27</v>
      </c>
      <c r="C26" s="12">
        <v>220000</v>
      </c>
      <c r="D26" t="s">
        <v>23</v>
      </c>
      <c r="F26" s="11" t="s">
        <v>27</v>
      </c>
      <c r="G26" s="12">
        <v>220000</v>
      </c>
      <c r="H26" t="s">
        <v>23</v>
      </c>
    </row>
    <row r="27" spans="2:8" x14ac:dyDescent="0.3">
      <c r="B27" s="11" t="s">
        <v>29</v>
      </c>
      <c r="C27" s="12">
        <v>230000</v>
      </c>
      <c r="D27" t="s">
        <v>21</v>
      </c>
      <c r="F27" s="11" t="s">
        <v>29</v>
      </c>
      <c r="G27" s="12">
        <v>230000</v>
      </c>
      <c r="H27" t="s">
        <v>21</v>
      </c>
    </row>
    <row r="28" spans="2:8" x14ac:dyDescent="0.3">
      <c r="B28" s="11" t="s">
        <v>30</v>
      </c>
      <c r="C28" s="12">
        <v>240000</v>
      </c>
      <c r="D28" t="s">
        <v>24</v>
      </c>
      <c r="F28" s="11" t="s">
        <v>30</v>
      </c>
      <c r="G28" s="12">
        <v>240000</v>
      </c>
      <c r="H28" t="s">
        <v>24</v>
      </c>
    </row>
    <row r="29" spans="2:8" x14ac:dyDescent="0.3">
      <c r="B29" s="11" t="s">
        <v>31</v>
      </c>
      <c r="C29" s="12">
        <v>250000</v>
      </c>
      <c r="D29" t="s">
        <v>21</v>
      </c>
      <c r="F29" s="11" t="s">
        <v>31</v>
      </c>
      <c r="G29" s="12">
        <v>250000</v>
      </c>
      <c r="H29" t="s">
        <v>21</v>
      </c>
    </row>
    <row r="30" spans="2:8" x14ac:dyDescent="0.3">
      <c r="B30" s="13" t="s">
        <v>32</v>
      </c>
      <c r="C30" s="14">
        <v>260000</v>
      </c>
      <c r="D30" t="s">
        <v>23</v>
      </c>
      <c r="F30" s="13" t="s">
        <v>32</v>
      </c>
      <c r="G30" s="14">
        <v>260000</v>
      </c>
      <c r="H30" t="s">
        <v>23</v>
      </c>
    </row>
  </sheetData>
  <mergeCells count="4">
    <mergeCell ref="B2:D2"/>
    <mergeCell ref="F2:H2"/>
    <mergeCell ref="B17:D17"/>
    <mergeCell ref="F17:H17"/>
  </mergeCells>
  <conditionalFormatting sqref="B3:C16">
    <cfRule type="iconSet" priority="7">
      <iconSet>
        <cfvo type="percent" val="0"/>
        <cfvo type="percent" val="33"/>
        <cfvo type="percent" val="67"/>
      </iconSet>
    </cfRule>
  </conditionalFormatting>
  <conditionalFormatting sqref="B4:C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{211DEBB9-8F66-4BC0-A4CB-70CB33C188A8}</x14:id>
        </ext>
      </extLst>
    </cfRule>
  </conditionalFormatting>
  <conditionalFormatting sqref="B18:C30">
    <cfRule type="iconSet" priority="3">
      <iconSet>
        <cfvo type="percent" val="0"/>
        <cfvo type="percent" val="33"/>
        <cfvo type="percent" val="67"/>
      </iconSet>
    </cfRule>
  </conditionalFormatting>
  <conditionalFormatting sqref="B19:C3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{84085DB7-E0B4-4C60-AF27-2CA650496968}</x14:id>
        </ext>
      </extLst>
    </cfRule>
  </conditionalFormatting>
  <conditionalFormatting sqref="F3:G16">
    <cfRule type="iconSet" priority="5">
      <iconSet>
        <cfvo type="percent" val="0"/>
        <cfvo type="percent" val="33"/>
        <cfvo type="percent" val="67"/>
      </iconSet>
    </cfRule>
  </conditionalFormatting>
  <conditionalFormatting sqref="F4:G1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{5D5C2F3D-302C-4DCB-8AFA-CC96E1E18301}</x14:id>
        </ext>
      </extLst>
    </cfRule>
  </conditionalFormatting>
  <conditionalFormatting sqref="F18:G30">
    <cfRule type="iconSet" priority="1">
      <iconSet>
        <cfvo type="percent" val="0"/>
        <cfvo type="percent" val="33"/>
        <cfvo type="percent" val="67"/>
      </iconSet>
    </cfRule>
  </conditionalFormatting>
  <conditionalFormatting sqref="F19:G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{93B6E46F-B916-4B5A-8C83-50B69C998984}</x14:id>
        </ext>
      </extLst>
    </cfRule>
  </conditionalFormatting>
  <dataValidations count="4">
    <dataValidation type="list" allowBlank="1" showInputMessage="1" showErrorMessage="1" errorTitle="ALERTA" error="Você digitou errado" promptTitle="ALERTA" prompt="Selecione somente o valor desejado" sqref="H19:H30" xr:uid="{6CC17C36-DC74-4281-A339-6A3D7C587DB1}">
      <formula1>"Cliente sem recurso, Problemas Operacionais, Problemas Mercado"</formula1>
    </dataValidation>
    <dataValidation type="list" allowBlank="1" showInputMessage="1" showErrorMessage="1" promptTitle="ALERTA" prompt="Selecione somente o valor desejado" sqref="D19:D30" xr:uid="{FA817C38-C4C9-47B7-B318-92E5BE4D452D}">
      <formula1>"Cliente sem recurso, Problemas Operacionais, Problemas Mercado"</formula1>
    </dataValidation>
    <dataValidation type="list" allowBlank="1" showInputMessage="1" showErrorMessage="1" sqref="H4:H16" xr:uid="{09E8097F-C1D6-45D0-91B1-66A0A1FC3DE8}">
      <formula1>$J$4:$J$6</formula1>
    </dataValidation>
    <dataValidation type="list" allowBlank="1" showInputMessage="1" showErrorMessage="1" sqref="D4:D16" xr:uid="{E8F3F99B-C060-4982-AA93-0FA4EA8E84BD}">
      <formula1>"Cliente sem recurso, Problemas Operacionais, Problemas Mercado"</formula1>
    </dataValidation>
  </dataValidations>
  <pageMargins left="0.511811024" right="0.511811024" top="0.78740157499999996" bottom="0.78740157499999996" header="0.31496062000000002" footer="0.31496062000000002"/>
  <tableParts count="6">
    <tablePart r:id="rId1"/>
    <tablePart r:id="rId2"/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1DEBB9-8F66-4BC0-A4CB-70CB33C188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B4:C16</xm:sqref>
        </x14:conditionalFormatting>
        <x14:conditionalFormatting xmlns:xm="http://schemas.microsoft.com/office/excel/2006/main">
          <x14:cfRule type="dataBar" id="{84085DB7-E0B4-4C60-AF27-2CA6504969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B19:C30</xm:sqref>
        </x14:conditionalFormatting>
        <x14:conditionalFormatting xmlns:xm="http://schemas.microsoft.com/office/excel/2006/main">
          <x14:cfRule type="dataBar" id="{5D5C2F3D-302C-4DCB-8AFA-CC96E1E18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F4:G16</xm:sqref>
        </x14:conditionalFormatting>
        <x14:conditionalFormatting xmlns:xm="http://schemas.microsoft.com/office/excel/2006/main">
          <x14:cfRule type="dataBar" id="{93B6E46F-B916-4B5A-8C83-50B69C9989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F19:G30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D33C8-FC8F-4967-92C0-2279096F018D}">
  <dimension ref="A2:D23"/>
  <sheetViews>
    <sheetView topLeftCell="A7" workbookViewId="0">
      <selection activeCell="B20" sqref="B20:D21"/>
    </sheetView>
  </sheetViews>
  <sheetFormatPr defaultRowHeight="14.4" x14ac:dyDescent="0.3"/>
  <cols>
    <col min="2" max="2" width="12" bestFit="1" customWidth="1"/>
    <col min="3" max="3" width="75.88671875" bestFit="1" customWidth="1"/>
    <col min="4" max="4" width="10.33203125" bestFit="1" customWidth="1"/>
  </cols>
  <sheetData>
    <row r="2" spans="1:4" x14ac:dyDescent="0.3">
      <c r="A2" s="34"/>
      <c r="B2" s="34"/>
      <c r="C2" s="34"/>
      <c r="D2" s="34"/>
    </row>
    <row r="3" spans="1:4" x14ac:dyDescent="0.3">
      <c r="A3" s="34"/>
      <c r="B3" s="34"/>
      <c r="C3" s="34"/>
      <c r="D3" s="34"/>
    </row>
    <row r="4" spans="1:4" x14ac:dyDescent="0.3">
      <c r="A4" s="34"/>
      <c r="B4" s="54" t="s">
        <v>75</v>
      </c>
      <c r="C4" s="54"/>
      <c r="D4" s="54"/>
    </row>
    <row r="5" spans="1:4" x14ac:dyDescent="0.3">
      <c r="A5" s="34"/>
      <c r="B5" s="35" t="s">
        <v>55</v>
      </c>
      <c r="C5" s="35" t="s">
        <v>56</v>
      </c>
      <c r="D5" s="35" t="s">
        <v>57</v>
      </c>
    </row>
    <row r="6" spans="1:4" x14ac:dyDescent="0.3">
      <c r="A6" s="34"/>
      <c r="B6" s="36" t="s">
        <v>58</v>
      </c>
      <c r="C6" s="36" t="s">
        <v>59</v>
      </c>
      <c r="D6" s="37" t="str">
        <f>LEFT("Muinho",3)</f>
        <v>Mui</v>
      </c>
    </row>
    <row r="7" spans="1:4" x14ac:dyDescent="0.3">
      <c r="A7" s="34"/>
      <c r="B7" s="36" t="s">
        <v>60</v>
      </c>
      <c r="C7" s="36" t="s">
        <v>61</v>
      </c>
      <c r="D7" s="37" t="str">
        <f>RIGHT("Cinto",2)</f>
        <v>to</v>
      </c>
    </row>
    <row r="8" spans="1:4" x14ac:dyDescent="0.3">
      <c r="A8" s="34"/>
      <c r="B8" s="36" t="s">
        <v>62</v>
      </c>
      <c r="C8" s="36" t="s">
        <v>63</v>
      </c>
      <c r="D8" s="37" t="str">
        <f>RIGHT("Bom Bom",4)</f>
        <v xml:space="preserve"> Bom</v>
      </c>
    </row>
    <row r="9" spans="1:4" x14ac:dyDescent="0.3">
      <c r="A9" s="34"/>
      <c r="B9" s="34"/>
      <c r="C9" s="34"/>
      <c r="D9" s="34"/>
    </row>
    <row r="10" spans="1:4" x14ac:dyDescent="0.3">
      <c r="A10" s="34"/>
      <c r="B10" s="34"/>
      <c r="C10" s="36" t="s">
        <v>64</v>
      </c>
      <c r="D10" s="37" t="str">
        <f>_xlfn.CONCAT(D6,D7,D8)</f>
        <v>Muito Bom</v>
      </c>
    </row>
    <row r="11" spans="1:4" x14ac:dyDescent="0.3">
      <c r="A11" s="34"/>
      <c r="B11" s="34"/>
      <c r="C11" s="34"/>
      <c r="D11" s="34"/>
    </row>
    <row r="12" spans="1:4" x14ac:dyDescent="0.3">
      <c r="A12" s="34"/>
      <c r="B12" s="55" t="s">
        <v>74</v>
      </c>
      <c r="C12" s="55"/>
      <c r="D12" s="55"/>
    </row>
    <row r="13" spans="1:4" x14ac:dyDescent="0.3">
      <c r="A13" s="34"/>
      <c r="B13" s="35" t="s">
        <v>65</v>
      </c>
      <c r="C13" s="35" t="s">
        <v>56</v>
      </c>
      <c r="D13" s="35" t="s">
        <v>57</v>
      </c>
    </row>
    <row r="14" spans="1:4" x14ac:dyDescent="0.3">
      <c r="A14" s="34"/>
      <c r="B14" s="38">
        <v>39900</v>
      </c>
      <c r="C14" s="36" t="s">
        <v>66</v>
      </c>
      <c r="D14" s="37">
        <f>DAY("28/03/2009")</f>
        <v>28</v>
      </c>
    </row>
    <row r="15" spans="1:4" x14ac:dyDescent="0.3">
      <c r="A15" s="34"/>
      <c r="B15" s="38">
        <v>39564</v>
      </c>
      <c r="C15" s="36" t="s">
        <v>67</v>
      </c>
      <c r="D15" s="37">
        <f>MONTH("26/04/2008")</f>
        <v>4</v>
      </c>
    </row>
    <row r="16" spans="1:4" x14ac:dyDescent="0.3">
      <c r="A16" s="34"/>
      <c r="B16" s="38">
        <v>40181</v>
      </c>
      <c r="C16" s="36" t="s">
        <v>68</v>
      </c>
      <c r="D16" s="37">
        <f>DAY("03/01/2010")</f>
        <v>3</v>
      </c>
    </row>
    <row r="17" spans="1:4" x14ac:dyDescent="0.3">
      <c r="A17" s="34"/>
      <c r="B17" s="34"/>
      <c r="C17" s="34"/>
      <c r="D17" s="34"/>
    </row>
    <row r="18" spans="1:4" x14ac:dyDescent="0.3">
      <c r="A18" s="34"/>
      <c r="B18" s="34"/>
      <c r="C18" s="39" t="s">
        <v>69</v>
      </c>
      <c r="D18" s="40">
        <f>DATE(D14,D15,D16)</f>
        <v>10321</v>
      </c>
    </row>
    <row r="19" spans="1:4" x14ac:dyDescent="0.3">
      <c r="A19" s="34"/>
      <c r="B19" s="34"/>
      <c r="C19" s="34"/>
      <c r="D19" s="34"/>
    </row>
    <row r="20" spans="1:4" x14ac:dyDescent="0.3">
      <c r="A20" s="34"/>
      <c r="B20" s="35" t="s">
        <v>70</v>
      </c>
      <c r="C20" s="35" t="s">
        <v>56</v>
      </c>
      <c r="D20" s="35" t="s">
        <v>57</v>
      </c>
    </row>
    <row r="21" spans="1:4" x14ac:dyDescent="0.3">
      <c r="A21" s="34"/>
      <c r="B21" s="36">
        <f>PI()</f>
        <v>3.1415926535897931</v>
      </c>
      <c r="C21" s="36" t="s">
        <v>71</v>
      </c>
      <c r="D21" s="37">
        <f>ROUND(B21,4)</f>
        <v>3.1415999999999999</v>
      </c>
    </row>
    <row r="22" spans="1:4" x14ac:dyDescent="0.3">
      <c r="A22" s="34"/>
      <c r="B22" s="36">
        <v>11</v>
      </c>
      <c r="C22" s="36" t="s">
        <v>72</v>
      </c>
      <c r="D22" s="37">
        <f>MOD(B22,2)</f>
        <v>1</v>
      </c>
    </row>
    <row r="23" spans="1:4" x14ac:dyDescent="0.3">
      <c r="A23" s="34"/>
      <c r="B23" s="36">
        <v>4.5</v>
      </c>
      <c r="C23" s="36" t="s">
        <v>73</v>
      </c>
      <c r="D23" s="37">
        <f>INT(B23)</f>
        <v>4</v>
      </c>
    </row>
  </sheetData>
  <mergeCells count="2">
    <mergeCell ref="B4:D4"/>
    <mergeCell ref="B12:D1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BA33-7F69-4FA5-9C08-08A32B5E230F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B7EA-5901-47A5-8CC3-6C895C3816FC}">
  <dimension ref="B1:P40"/>
  <sheetViews>
    <sheetView zoomScale="55" zoomScaleNormal="55" workbookViewId="0">
      <selection activeCell="X47" sqref="X47"/>
    </sheetView>
  </sheetViews>
  <sheetFormatPr defaultRowHeight="14.4" x14ac:dyDescent="0.3"/>
  <cols>
    <col min="2" max="2" width="25.44140625" bestFit="1" customWidth="1"/>
    <col min="3" max="3" width="17.109375" bestFit="1" customWidth="1"/>
    <col min="4" max="4" width="34.5546875" bestFit="1" customWidth="1"/>
    <col min="10" max="10" width="15.88671875" bestFit="1" customWidth="1"/>
    <col min="11" max="11" width="22" bestFit="1" customWidth="1"/>
    <col min="12" max="12" width="23.109375" bestFit="1" customWidth="1"/>
    <col min="13" max="13" width="25" bestFit="1" customWidth="1"/>
    <col min="14" max="14" width="27.33203125" bestFit="1" customWidth="1"/>
    <col min="15" max="15" width="21.6640625" bestFit="1" customWidth="1"/>
    <col min="16" max="16" width="34.21875" bestFit="1" customWidth="1"/>
  </cols>
  <sheetData>
    <row r="1" spans="2:16" x14ac:dyDescent="0.3">
      <c r="B1" s="2"/>
      <c r="C1" s="2"/>
      <c r="D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 x14ac:dyDescent="0.3">
      <c r="B2" s="60" t="s">
        <v>76</v>
      </c>
      <c r="C2" s="60"/>
      <c r="D2" s="6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2:16" x14ac:dyDescent="0.3">
      <c r="B3" s="61" t="s">
        <v>77</v>
      </c>
      <c r="C3" s="62">
        <f ca="1">NOW()</f>
        <v>46041.466293287034</v>
      </c>
      <c r="D3" s="62" t="s">
        <v>78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2:16" x14ac:dyDescent="0.3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2:16" x14ac:dyDescent="0.3">
      <c r="B5" s="60" t="s">
        <v>79</v>
      </c>
      <c r="C5" s="60"/>
      <c r="D5" s="60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2:16" x14ac:dyDescent="0.3">
      <c r="B6" s="61" t="s">
        <v>80</v>
      </c>
      <c r="C6" s="63">
        <f ca="1">TODAY()</f>
        <v>46041</v>
      </c>
      <c r="D6" s="64" t="s">
        <v>80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spans="2:16" x14ac:dyDescent="0.3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2:16" x14ac:dyDescent="0.3">
      <c r="B8" s="65" t="s">
        <v>81</v>
      </c>
      <c r="C8" s="66"/>
      <c r="D8" s="66"/>
      <c r="E8" s="17"/>
      <c r="F8" s="67" t="s">
        <v>82</v>
      </c>
      <c r="G8" s="67" t="s">
        <v>83</v>
      </c>
      <c r="H8" s="67" t="s">
        <v>84</v>
      </c>
      <c r="I8" s="67" t="s">
        <v>76</v>
      </c>
      <c r="J8" s="67" t="s">
        <v>85</v>
      </c>
      <c r="K8" s="67" t="s">
        <v>86</v>
      </c>
      <c r="L8" s="17"/>
      <c r="M8" s="17"/>
      <c r="N8" s="17"/>
      <c r="O8" s="17"/>
      <c r="P8" s="17"/>
    </row>
    <row r="9" spans="2:16" x14ac:dyDescent="0.3">
      <c r="B9" s="63">
        <v>32483</v>
      </c>
      <c r="C9" s="63">
        <f>DATE(1988,12,6)</f>
        <v>32483</v>
      </c>
      <c r="D9" s="63" t="s">
        <v>87</v>
      </c>
      <c r="E9" s="17"/>
      <c r="F9" s="68" t="s">
        <v>88</v>
      </c>
      <c r="G9" s="64">
        <v>6</v>
      </c>
      <c r="H9" s="64">
        <v>12</v>
      </c>
      <c r="I9" s="64">
        <v>1988</v>
      </c>
      <c r="J9" s="63">
        <f>DATE(I9,H9,G9)</f>
        <v>32483</v>
      </c>
      <c r="K9" s="63" t="s">
        <v>89</v>
      </c>
      <c r="L9" s="17"/>
      <c r="M9" s="17"/>
      <c r="N9" s="17"/>
      <c r="O9" s="17"/>
      <c r="P9" s="17"/>
    </row>
    <row r="10" spans="2:16" x14ac:dyDescent="0.3">
      <c r="B10" s="63">
        <v>36233</v>
      </c>
      <c r="C10" s="63">
        <f>DATE(1999,3,14)</f>
        <v>36233</v>
      </c>
      <c r="D10" s="63" t="s">
        <v>90</v>
      </c>
      <c r="E10" s="17"/>
      <c r="F10" s="69"/>
      <c r="G10" s="64">
        <v>14</v>
      </c>
      <c r="H10" s="64">
        <v>3</v>
      </c>
      <c r="I10" s="64">
        <v>1999</v>
      </c>
      <c r="J10" s="63">
        <f t="shared" ref="J10:J11" si="0">DATE(I10,H10,G10)</f>
        <v>36233</v>
      </c>
      <c r="K10" s="63" t="s">
        <v>91</v>
      </c>
      <c r="L10" s="17"/>
      <c r="M10" s="17"/>
      <c r="N10" s="17"/>
      <c r="O10" s="17"/>
      <c r="P10" s="17"/>
    </row>
    <row r="11" spans="2:16" x14ac:dyDescent="0.3">
      <c r="B11" s="63">
        <v>44104</v>
      </c>
      <c r="C11" s="63">
        <f>DATE(2020,9,30)</f>
        <v>44104</v>
      </c>
      <c r="D11" s="63" t="s">
        <v>92</v>
      </c>
      <c r="E11" s="17"/>
      <c r="F11" s="70"/>
      <c r="G11" s="64">
        <v>30</v>
      </c>
      <c r="H11" s="64">
        <v>9</v>
      </c>
      <c r="I11" s="64">
        <v>2020</v>
      </c>
      <c r="J11" s="63">
        <f t="shared" si="0"/>
        <v>44104</v>
      </c>
      <c r="K11" s="63" t="s">
        <v>93</v>
      </c>
      <c r="L11" s="17"/>
      <c r="M11" s="17"/>
      <c r="N11" s="17"/>
      <c r="O11" s="17"/>
      <c r="P11" s="17"/>
    </row>
    <row r="12" spans="2:16" x14ac:dyDescent="0.3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3" spans="2:16" x14ac:dyDescent="0.3">
      <c r="B13" s="65" t="s">
        <v>94</v>
      </c>
      <c r="C13" s="66"/>
      <c r="D13" s="66"/>
      <c r="E13" s="17"/>
      <c r="F13" s="60" t="s">
        <v>95</v>
      </c>
      <c r="G13" s="60"/>
      <c r="H13" s="60"/>
      <c r="I13" s="60"/>
      <c r="J13" s="60"/>
      <c r="K13" s="60"/>
      <c r="L13" s="17"/>
      <c r="M13" s="17"/>
      <c r="N13" s="17"/>
      <c r="O13" s="17"/>
      <c r="P13" s="17"/>
    </row>
    <row r="14" spans="2:16" x14ac:dyDescent="0.3">
      <c r="B14" s="64" t="s">
        <v>96</v>
      </c>
      <c r="C14" s="64">
        <f>DATEDIF("06/12/1988","14/03/1999","d")</f>
        <v>3750</v>
      </c>
      <c r="D14" s="64" t="s">
        <v>97</v>
      </c>
      <c r="E14" s="17"/>
      <c r="F14" s="71" t="s">
        <v>98</v>
      </c>
      <c r="G14" s="72"/>
      <c r="H14" s="72"/>
      <c r="I14" s="72"/>
      <c r="J14" s="72"/>
      <c r="K14" s="73"/>
      <c r="L14" s="17"/>
      <c r="M14" s="17"/>
      <c r="N14" s="17"/>
      <c r="O14" s="17"/>
      <c r="P14" s="17"/>
    </row>
    <row r="15" spans="2:16" x14ac:dyDescent="0.3">
      <c r="B15" s="64" t="s">
        <v>99</v>
      </c>
      <c r="C15" s="64">
        <f>DATEDIF("06/12/1988","30/09/2020","d")</f>
        <v>11621</v>
      </c>
      <c r="D15" s="64" t="s">
        <v>100</v>
      </c>
      <c r="E15" s="17"/>
      <c r="F15" s="74"/>
      <c r="G15" s="75"/>
      <c r="H15" s="75"/>
      <c r="I15" s="75"/>
      <c r="J15" s="75"/>
      <c r="K15" s="76"/>
      <c r="L15" s="17"/>
      <c r="M15" s="17"/>
      <c r="N15" s="17"/>
      <c r="O15" s="17"/>
      <c r="P15" s="17"/>
    </row>
    <row r="16" spans="2:16" x14ac:dyDescent="0.3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spans="2:16" x14ac:dyDescent="0.3">
      <c r="B17" s="60" t="s">
        <v>83</v>
      </c>
      <c r="C17" s="60"/>
      <c r="D17" s="60"/>
      <c r="E17" s="17"/>
      <c r="F17" s="77" t="s">
        <v>101</v>
      </c>
      <c r="G17" s="78"/>
      <c r="H17" s="78"/>
      <c r="I17" s="78"/>
      <c r="J17" s="78"/>
      <c r="K17" s="78"/>
      <c r="L17" s="78"/>
      <c r="M17" s="78"/>
      <c r="N17" s="78"/>
      <c r="O17" s="78"/>
      <c r="P17" s="79"/>
    </row>
    <row r="18" spans="2:16" x14ac:dyDescent="0.3">
      <c r="B18" s="63">
        <v>32483</v>
      </c>
      <c r="C18" s="64">
        <f>DAY("06/12/1988")</f>
        <v>6</v>
      </c>
      <c r="D18" s="64" t="s">
        <v>102</v>
      </c>
      <c r="E18" s="17"/>
      <c r="F18" s="80"/>
      <c r="G18" s="81"/>
      <c r="H18" s="81"/>
      <c r="I18" s="81"/>
      <c r="J18" s="81"/>
      <c r="K18" s="81"/>
      <c r="L18" s="81"/>
      <c r="M18" s="81"/>
      <c r="N18" s="81"/>
      <c r="O18" s="81"/>
      <c r="P18" s="82"/>
    </row>
    <row r="19" spans="2:16" ht="15.6" x14ac:dyDescent="0.3">
      <c r="B19" s="17"/>
      <c r="C19" s="17"/>
      <c r="D19" s="17"/>
      <c r="E19" s="17"/>
      <c r="F19" s="83" t="s">
        <v>103</v>
      </c>
      <c r="G19" s="83" t="s">
        <v>104</v>
      </c>
      <c r="H19" s="83" t="s">
        <v>105</v>
      </c>
      <c r="I19" s="83" t="s">
        <v>106</v>
      </c>
      <c r="J19" s="83" t="s">
        <v>107</v>
      </c>
      <c r="K19" s="83" t="s">
        <v>108</v>
      </c>
      <c r="L19" s="83" t="s">
        <v>109</v>
      </c>
      <c r="M19" s="83" t="s">
        <v>110</v>
      </c>
      <c r="N19" s="64" t="s">
        <v>111</v>
      </c>
      <c r="O19" s="83" t="s">
        <v>112</v>
      </c>
      <c r="P19" s="83" t="s">
        <v>13</v>
      </c>
    </row>
    <row r="20" spans="2:16" x14ac:dyDescent="0.3">
      <c r="B20" s="60" t="s">
        <v>84</v>
      </c>
      <c r="C20" s="60"/>
      <c r="D20" s="60"/>
      <c r="E20" s="17"/>
      <c r="F20" s="64" t="s">
        <v>113</v>
      </c>
      <c r="G20" s="64">
        <v>10</v>
      </c>
      <c r="H20" s="84">
        <v>0.93</v>
      </c>
      <c r="I20" s="64" t="s">
        <v>114</v>
      </c>
      <c r="J20" s="64">
        <v>20</v>
      </c>
      <c r="K20" s="63">
        <v>44020</v>
      </c>
      <c r="L20" s="63">
        <v>44132</v>
      </c>
      <c r="M20" s="64">
        <f>IF(L20 &lt;&gt; "", L20-K20, $L$1-K20)</f>
        <v>112</v>
      </c>
      <c r="N20" s="64" t="s">
        <v>115</v>
      </c>
      <c r="O20" s="64"/>
      <c r="P20" s="64"/>
    </row>
    <row r="21" spans="2:16" x14ac:dyDescent="0.3">
      <c r="B21" s="63">
        <v>32483</v>
      </c>
      <c r="C21" s="64">
        <f>MONTH("06/12/1988")</f>
        <v>12</v>
      </c>
      <c r="D21" s="64" t="s">
        <v>116</v>
      </c>
      <c r="E21" s="17"/>
      <c r="F21" s="64" t="s">
        <v>117</v>
      </c>
      <c r="G21" s="64">
        <v>8</v>
      </c>
      <c r="H21" s="84">
        <v>0.75</v>
      </c>
      <c r="I21" s="64" t="s">
        <v>118</v>
      </c>
      <c r="J21" s="64">
        <v>18</v>
      </c>
      <c r="K21" s="63">
        <v>44077</v>
      </c>
      <c r="L21" s="63"/>
      <c r="M21" s="64">
        <f>IF(L21 &lt;&gt; "", L21-K21, $L$1-K21)</f>
        <v>-44077</v>
      </c>
      <c r="N21" s="64" t="s">
        <v>119</v>
      </c>
      <c r="O21" s="64">
        <f t="shared" ref="O21:O27" ca="1" si="1">IF(L21="", TODAY()-K21, L21-K21)</f>
        <v>1964</v>
      </c>
      <c r="P21" s="64" t="s">
        <v>120</v>
      </c>
    </row>
    <row r="22" spans="2:16" x14ac:dyDescent="0.3">
      <c r="B22" s="17"/>
      <c r="C22" s="17"/>
      <c r="D22" s="17"/>
      <c r="E22" s="17"/>
      <c r="F22" s="64" t="s">
        <v>121</v>
      </c>
      <c r="G22" s="64">
        <v>7</v>
      </c>
      <c r="H22" s="84">
        <v>0.89</v>
      </c>
      <c r="I22" s="64" t="s">
        <v>122</v>
      </c>
      <c r="J22" s="64">
        <v>24</v>
      </c>
      <c r="K22" s="63">
        <v>43957</v>
      </c>
      <c r="L22" s="63">
        <v>44046</v>
      </c>
      <c r="M22" s="64">
        <f>IF(L22 &lt;&gt; "", L22-K22, $L$1-K22)</f>
        <v>89</v>
      </c>
      <c r="N22" s="64" t="s">
        <v>123</v>
      </c>
      <c r="O22" s="64"/>
      <c r="P22" s="64"/>
    </row>
    <row r="23" spans="2:16" x14ac:dyDescent="0.3">
      <c r="B23" s="60" t="s">
        <v>76</v>
      </c>
      <c r="C23" s="60"/>
      <c r="D23" s="60"/>
      <c r="E23" s="17"/>
      <c r="F23" s="64" t="s">
        <v>124</v>
      </c>
      <c r="G23" s="64">
        <v>5</v>
      </c>
      <c r="H23" s="84">
        <v>0.64</v>
      </c>
      <c r="I23" s="64" t="s">
        <v>118</v>
      </c>
      <c r="J23" s="64">
        <v>24</v>
      </c>
      <c r="K23" s="63">
        <v>44037</v>
      </c>
      <c r="L23" s="63">
        <v>44117</v>
      </c>
      <c r="M23" s="64">
        <f t="shared" ref="M23:M29" si="2">IF(L23 &lt;&gt; "", L23-K23, $L$1-K23)</f>
        <v>80</v>
      </c>
      <c r="N23" s="64" t="s">
        <v>125</v>
      </c>
      <c r="O23" s="64"/>
      <c r="P23" s="64"/>
    </row>
    <row r="24" spans="2:16" x14ac:dyDescent="0.3">
      <c r="B24" s="63">
        <v>32483</v>
      </c>
      <c r="C24" s="64">
        <f>YEAR("06/12/1988")</f>
        <v>1988</v>
      </c>
      <c r="D24" s="64" t="s">
        <v>126</v>
      </c>
      <c r="E24" s="17"/>
      <c r="F24" s="64" t="s">
        <v>127</v>
      </c>
      <c r="G24" s="64">
        <v>8</v>
      </c>
      <c r="H24" s="84">
        <v>0.74</v>
      </c>
      <c r="I24" s="64" t="s">
        <v>118</v>
      </c>
      <c r="J24" s="64">
        <v>20</v>
      </c>
      <c r="K24" s="63">
        <v>43954</v>
      </c>
      <c r="L24" s="63"/>
      <c r="M24" s="64">
        <f t="shared" si="2"/>
        <v>-43954</v>
      </c>
      <c r="N24" s="64" t="s">
        <v>128</v>
      </c>
      <c r="O24" s="64">
        <f t="shared" ca="1" si="1"/>
        <v>2087</v>
      </c>
      <c r="P24" s="64" t="s">
        <v>129</v>
      </c>
    </row>
    <row r="25" spans="2:16" x14ac:dyDescent="0.3">
      <c r="B25" s="17"/>
      <c r="C25" s="17"/>
      <c r="D25" s="17"/>
      <c r="E25" s="17"/>
      <c r="F25" s="64" t="s">
        <v>130</v>
      </c>
      <c r="G25" s="64">
        <v>8</v>
      </c>
      <c r="H25" s="84">
        <v>0.8</v>
      </c>
      <c r="I25" s="64" t="s">
        <v>114</v>
      </c>
      <c r="J25" s="64">
        <v>25</v>
      </c>
      <c r="K25" s="63">
        <v>43969</v>
      </c>
      <c r="L25" s="63"/>
      <c r="M25" s="64">
        <f t="shared" si="2"/>
        <v>-43969</v>
      </c>
      <c r="N25" s="64" t="s">
        <v>131</v>
      </c>
      <c r="O25" s="64">
        <f t="shared" ca="1" si="1"/>
        <v>2072</v>
      </c>
      <c r="P25" s="64" t="s">
        <v>132</v>
      </c>
    </row>
    <row r="26" spans="2:16" x14ac:dyDescent="0.3">
      <c r="B26" s="60" t="s">
        <v>133</v>
      </c>
      <c r="C26" s="60"/>
      <c r="D26" s="60"/>
      <c r="E26" s="17"/>
      <c r="F26" s="64" t="s">
        <v>134</v>
      </c>
      <c r="G26" s="64">
        <v>4</v>
      </c>
      <c r="H26" s="84">
        <v>0.56999999999999995</v>
      </c>
      <c r="I26" s="64" t="s">
        <v>118</v>
      </c>
      <c r="J26" s="64">
        <v>19</v>
      </c>
      <c r="K26" s="63">
        <v>44086</v>
      </c>
      <c r="L26" s="63"/>
      <c r="M26" s="64">
        <f t="shared" si="2"/>
        <v>-44086</v>
      </c>
      <c r="N26" s="64" t="s">
        <v>135</v>
      </c>
      <c r="O26" s="64">
        <f t="shared" ca="1" si="1"/>
        <v>1955</v>
      </c>
      <c r="P26" s="64" t="s">
        <v>136</v>
      </c>
    </row>
    <row r="27" spans="2:16" x14ac:dyDescent="0.3">
      <c r="B27" s="85">
        <v>0.39723379629629629</v>
      </c>
      <c r="C27" s="64">
        <f>HOUR("09:32:01")</f>
        <v>9</v>
      </c>
      <c r="D27" s="64" t="s">
        <v>137</v>
      </c>
      <c r="E27" s="17"/>
      <c r="F27" s="64" t="s">
        <v>138</v>
      </c>
      <c r="G27" s="64">
        <v>9</v>
      </c>
      <c r="H27" s="84">
        <v>0.99</v>
      </c>
      <c r="I27" s="64" t="s">
        <v>114</v>
      </c>
      <c r="J27" s="64">
        <v>18</v>
      </c>
      <c r="K27" s="63">
        <v>43967</v>
      </c>
      <c r="L27" s="63"/>
      <c r="M27" s="64">
        <f t="shared" si="2"/>
        <v>-43967</v>
      </c>
      <c r="N27" s="64" t="s">
        <v>139</v>
      </c>
      <c r="O27" s="64">
        <f t="shared" ca="1" si="1"/>
        <v>2074</v>
      </c>
      <c r="P27" s="64" t="s">
        <v>140</v>
      </c>
    </row>
    <row r="28" spans="2:16" x14ac:dyDescent="0.3">
      <c r="B28" s="17"/>
      <c r="C28" s="17"/>
      <c r="D28" s="17"/>
      <c r="E28" s="17"/>
      <c r="F28" s="64" t="s">
        <v>141</v>
      </c>
      <c r="G28" s="64">
        <v>2</v>
      </c>
      <c r="H28" s="84">
        <v>0.61</v>
      </c>
      <c r="I28" s="64" t="s">
        <v>118</v>
      </c>
      <c r="J28" s="64">
        <v>23</v>
      </c>
      <c r="K28" s="63">
        <v>44003</v>
      </c>
      <c r="L28" s="63">
        <v>44100</v>
      </c>
      <c r="M28" s="64">
        <f t="shared" si="2"/>
        <v>97</v>
      </c>
      <c r="N28" s="64" t="s">
        <v>142</v>
      </c>
      <c r="O28" s="64"/>
      <c r="P28" s="64"/>
    </row>
    <row r="29" spans="2:16" x14ac:dyDescent="0.3">
      <c r="B29" s="60" t="s">
        <v>143</v>
      </c>
      <c r="C29" s="60"/>
      <c r="D29" s="60"/>
      <c r="E29" s="17"/>
      <c r="F29" s="64" t="s">
        <v>144</v>
      </c>
      <c r="G29" s="64">
        <v>9</v>
      </c>
      <c r="H29" s="84">
        <v>0.73</v>
      </c>
      <c r="I29" s="64" t="s">
        <v>114</v>
      </c>
      <c r="J29" s="64">
        <v>25</v>
      </c>
      <c r="K29" s="63">
        <v>43945</v>
      </c>
      <c r="L29" s="63">
        <v>44050</v>
      </c>
      <c r="M29" s="64">
        <f t="shared" si="2"/>
        <v>105</v>
      </c>
      <c r="N29" s="64" t="s">
        <v>145</v>
      </c>
      <c r="O29" s="64"/>
      <c r="P29" s="64"/>
    </row>
    <row r="30" spans="2:16" x14ac:dyDescent="0.3">
      <c r="B30" s="85">
        <v>0.39723379629629629</v>
      </c>
      <c r="C30" s="64">
        <f>MINUTE("09:32:01")</f>
        <v>32</v>
      </c>
      <c r="D30" s="64" t="s">
        <v>146</v>
      </c>
      <c r="E30" s="17"/>
      <c r="F30" s="86" t="s">
        <v>147</v>
      </c>
      <c r="G30" s="86"/>
      <c r="H30" s="86"/>
      <c r="I30" s="86"/>
      <c r="J30" s="86"/>
      <c r="K30" s="86"/>
      <c r="L30" s="86"/>
      <c r="M30" s="86"/>
      <c r="N30" s="86"/>
      <c r="O30" s="86"/>
      <c r="P30" s="86"/>
    </row>
    <row r="31" spans="2:16" x14ac:dyDescent="0.3">
      <c r="B31" s="17"/>
      <c r="C31" s="17"/>
      <c r="D31" s="17"/>
      <c r="E31" s="17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</row>
    <row r="32" spans="2:16" x14ac:dyDescent="0.3">
      <c r="B32" s="60" t="s">
        <v>148</v>
      </c>
      <c r="C32" s="60"/>
      <c r="D32" s="60"/>
      <c r="E32" s="17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</row>
    <row r="33" spans="2:16" x14ac:dyDescent="0.3">
      <c r="B33" s="85">
        <v>0.39723379629629629</v>
      </c>
      <c r="C33" s="64">
        <f>SECOND("09:32:01")</f>
        <v>1</v>
      </c>
      <c r="D33" s="64" t="s">
        <v>149</v>
      </c>
      <c r="E33" s="17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</row>
    <row r="34" spans="2:16" x14ac:dyDescent="0.3">
      <c r="B34" s="17"/>
      <c r="C34" s="17"/>
      <c r="D34" s="17"/>
      <c r="E34" s="17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</row>
    <row r="35" spans="2:16" x14ac:dyDescent="0.3">
      <c r="B35" s="60" t="s">
        <v>150</v>
      </c>
      <c r="C35" s="60"/>
      <c r="D35" s="60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2:16" x14ac:dyDescent="0.3">
      <c r="B36" s="63">
        <v>32483</v>
      </c>
      <c r="C36" s="64">
        <f>WEEKDAY("06/12/1988")</f>
        <v>3</v>
      </c>
      <c r="D36" s="64" t="s">
        <v>151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2:16" x14ac:dyDescent="0.3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2:16" x14ac:dyDescent="0.3">
      <c r="B38" s="60" t="s">
        <v>152</v>
      </c>
      <c r="C38" s="60"/>
      <c r="D38" s="60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2:16" x14ac:dyDescent="0.3">
      <c r="B39" s="63" t="s">
        <v>153</v>
      </c>
      <c r="C39" s="87">
        <f>TIME(16,21,36)</f>
        <v>0.68166666666666664</v>
      </c>
      <c r="D39" s="87" t="s">
        <v>154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spans="2:16" x14ac:dyDescent="0.3">
      <c r="B40" s="2"/>
      <c r="C40" s="2"/>
      <c r="D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</sheetData>
  <mergeCells count="17">
    <mergeCell ref="B29:D29"/>
    <mergeCell ref="F30:P34"/>
    <mergeCell ref="B32:D32"/>
    <mergeCell ref="B35:D35"/>
    <mergeCell ref="B38:D38"/>
    <mergeCell ref="F14:K15"/>
    <mergeCell ref="B17:D17"/>
    <mergeCell ref="F17:P18"/>
    <mergeCell ref="B20:D20"/>
    <mergeCell ref="B23:D23"/>
    <mergeCell ref="B26:D26"/>
    <mergeCell ref="B2:D2"/>
    <mergeCell ref="B5:D5"/>
    <mergeCell ref="B8:D8"/>
    <mergeCell ref="F9:F11"/>
    <mergeCell ref="B13:D13"/>
    <mergeCell ref="F13:K13"/>
  </mergeCells>
  <hyperlinks>
    <hyperlink ref="F14" r:id="rId1" xr:uid="{06FDC9B8-F729-47B2-820D-4443FD85CAB9}"/>
  </hyperlinks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46E11-3747-4CDD-AD0C-8BD31AF75DA8}">
  <dimension ref="B2:G22"/>
  <sheetViews>
    <sheetView zoomScale="85" zoomScaleNormal="85" workbookViewId="0">
      <selection activeCell="H11" sqref="H11"/>
    </sheetView>
  </sheetViews>
  <sheetFormatPr defaultRowHeight="14.4" x14ac:dyDescent="0.3"/>
  <cols>
    <col min="2" max="2" width="10.88671875" bestFit="1" customWidth="1"/>
    <col min="3" max="3" width="18.44140625" bestFit="1" customWidth="1"/>
    <col min="4" max="4" width="16" bestFit="1" customWidth="1"/>
    <col min="6" max="6" width="34.5546875" bestFit="1" customWidth="1"/>
    <col min="7" max="7" width="45.33203125" bestFit="1" customWidth="1"/>
  </cols>
  <sheetData>
    <row r="2" spans="2:7" ht="15.6" x14ac:dyDescent="0.3">
      <c r="B2" s="88" t="s">
        <v>103</v>
      </c>
      <c r="C2" s="26" t="s">
        <v>104</v>
      </c>
      <c r="D2" s="89" t="s">
        <v>105</v>
      </c>
      <c r="F2" s="59" t="s">
        <v>85</v>
      </c>
      <c r="G2" s="90" t="s">
        <v>111</v>
      </c>
    </row>
    <row r="3" spans="2:7" ht="15.6" x14ac:dyDescent="0.3">
      <c r="B3" s="91" t="s">
        <v>113</v>
      </c>
      <c r="C3" s="56">
        <v>10</v>
      </c>
      <c r="D3" s="92">
        <v>0.93</v>
      </c>
      <c r="F3" s="93" t="s">
        <v>155</v>
      </c>
      <c r="G3" s="94"/>
    </row>
    <row r="4" spans="2:7" x14ac:dyDescent="0.3">
      <c r="B4" s="91" t="s">
        <v>117</v>
      </c>
      <c r="C4" s="56">
        <v>8</v>
      </c>
      <c r="D4" s="92">
        <v>0.75</v>
      </c>
      <c r="F4" s="56">
        <f>AVERAGE(C3:C12)</f>
        <v>7</v>
      </c>
      <c r="G4" s="64" t="s">
        <v>156</v>
      </c>
    </row>
    <row r="5" spans="2:7" ht="15.6" x14ac:dyDescent="0.3">
      <c r="B5" s="91" t="s">
        <v>121</v>
      </c>
      <c r="C5" s="56">
        <v>7</v>
      </c>
      <c r="D5" s="92">
        <v>0.89</v>
      </c>
      <c r="F5" s="93" t="s">
        <v>157</v>
      </c>
      <c r="G5" s="64"/>
    </row>
    <row r="6" spans="2:7" x14ac:dyDescent="0.3">
      <c r="B6" s="91" t="s">
        <v>124</v>
      </c>
      <c r="C6" s="56">
        <v>5</v>
      </c>
      <c r="D6" s="92">
        <v>0.64</v>
      </c>
      <c r="F6" s="95">
        <f>CORREL(Tabela6[Nota do Aluno],Tabela6[Frequência])</f>
        <v>0.77965451304016509</v>
      </c>
      <c r="G6" s="96" t="s">
        <v>158</v>
      </c>
    </row>
    <row r="7" spans="2:7" ht="15.6" x14ac:dyDescent="0.3">
      <c r="B7" s="91" t="s">
        <v>127</v>
      </c>
      <c r="C7" s="56">
        <v>8</v>
      </c>
      <c r="D7" s="92">
        <v>0.74</v>
      </c>
      <c r="F7" s="93" t="s">
        <v>159</v>
      </c>
      <c r="G7" s="64"/>
    </row>
    <row r="8" spans="2:7" x14ac:dyDescent="0.3">
      <c r="B8" s="91" t="s">
        <v>130</v>
      </c>
      <c r="C8" s="56">
        <v>8</v>
      </c>
      <c r="D8" s="92">
        <v>0.8</v>
      </c>
      <c r="F8" s="56">
        <f>COUNT(Tabela6[])</f>
        <v>20</v>
      </c>
      <c r="G8" s="64" t="s">
        <v>160</v>
      </c>
    </row>
    <row r="9" spans="2:7" ht="15.6" x14ac:dyDescent="0.3">
      <c r="B9" s="91" t="s">
        <v>134</v>
      </c>
      <c r="C9" s="56">
        <v>4</v>
      </c>
      <c r="D9" s="92">
        <v>0.56999999999999995</v>
      </c>
      <c r="F9" s="93" t="s">
        <v>161</v>
      </c>
      <c r="G9" s="64"/>
    </row>
    <row r="10" spans="2:7" x14ac:dyDescent="0.3">
      <c r="B10" s="91" t="s">
        <v>138</v>
      </c>
      <c r="C10" s="56">
        <v>9</v>
      </c>
      <c r="D10" s="92">
        <v>0.99</v>
      </c>
      <c r="F10" s="56">
        <f>COUNTA(Tabela6[])</f>
        <v>30</v>
      </c>
      <c r="G10" s="64" t="s">
        <v>162</v>
      </c>
    </row>
    <row r="11" spans="2:7" ht="15.6" x14ac:dyDescent="0.3">
      <c r="B11" s="91" t="s">
        <v>141</v>
      </c>
      <c r="C11" s="56">
        <v>2</v>
      </c>
      <c r="D11" s="92">
        <v>0.61</v>
      </c>
      <c r="F11" s="93" t="s">
        <v>163</v>
      </c>
      <c r="G11" s="64"/>
    </row>
    <row r="12" spans="2:7" x14ac:dyDescent="0.3">
      <c r="B12" s="97" t="s">
        <v>144</v>
      </c>
      <c r="C12" s="98">
        <v>9</v>
      </c>
      <c r="D12" s="99">
        <v>0.73</v>
      </c>
      <c r="F12" s="100">
        <f>MAX(Tabela6[Frequência])</f>
        <v>0.99</v>
      </c>
      <c r="G12" s="101" t="s">
        <v>164</v>
      </c>
    </row>
    <row r="13" spans="2:7" ht="15.6" x14ac:dyDescent="0.3">
      <c r="F13" s="93" t="s">
        <v>165</v>
      </c>
      <c r="G13" s="64"/>
    </row>
    <row r="14" spans="2:7" x14ac:dyDescent="0.3">
      <c r="C14" s="102"/>
      <c r="F14" s="56">
        <f>MIN(Tabela6[Nota do Aluno])</f>
        <v>2</v>
      </c>
      <c r="G14" s="64" t="s">
        <v>166</v>
      </c>
    </row>
    <row r="15" spans="2:7" ht="15.6" x14ac:dyDescent="0.3">
      <c r="C15" s="102"/>
      <c r="F15" s="93" t="s">
        <v>167</v>
      </c>
      <c r="G15" s="64"/>
    </row>
    <row r="16" spans="2:7" x14ac:dyDescent="0.3">
      <c r="C16" s="102"/>
      <c r="F16" s="103">
        <f>MEDIAN(Tabela6[Frequência])</f>
        <v>0.745</v>
      </c>
      <c r="G16" s="104" t="s">
        <v>168</v>
      </c>
    </row>
    <row r="17" spans="3:7" ht="15.6" x14ac:dyDescent="0.3">
      <c r="C17" s="102"/>
      <c r="F17" s="93" t="s">
        <v>169</v>
      </c>
      <c r="G17" s="64"/>
    </row>
    <row r="18" spans="3:7" x14ac:dyDescent="0.3">
      <c r="C18" s="102"/>
      <c r="F18" s="56">
        <f>MODE(Tabela6[Nota do Aluno])</f>
        <v>8</v>
      </c>
      <c r="G18" s="64" t="s">
        <v>170</v>
      </c>
    </row>
    <row r="19" spans="3:7" ht="15.6" x14ac:dyDescent="0.3">
      <c r="C19" s="102"/>
      <c r="F19" s="93" t="s">
        <v>171</v>
      </c>
      <c r="G19" s="64"/>
    </row>
    <row r="20" spans="3:7" x14ac:dyDescent="0.3">
      <c r="C20" s="102"/>
      <c r="F20" s="105">
        <f>_xlfn.STDEV.P(Tabela6[Nota do Aluno])</f>
        <v>2.4083189157584592</v>
      </c>
      <c r="G20" s="106" t="s">
        <v>172</v>
      </c>
    </row>
    <row r="21" spans="3:7" ht="15.6" x14ac:dyDescent="0.3">
      <c r="C21" s="102"/>
      <c r="F21" s="93" t="s">
        <v>173</v>
      </c>
      <c r="G21" s="64"/>
    </row>
    <row r="22" spans="3:7" x14ac:dyDescent="0.3">
      <c r="C22" s="102"/>
      <c r="F22" s="107">
        <f>COUNTIF(Tabela6[Nota do Aluno],8)</f>
        <v>3</v>
      </c>
      <c r="G22" s="106" t="s">
        <v>174</v>
      </c>
    </row>
  </sheetData>
  <pageMargins left="0.511811024" right="0.511811024" top="0.78740157499999996" bottom="0.78740157499999996" header="0.31496062000000002" footer="0.31496062000000002"/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FA46-A0A8-4C0A-8248-E48BFFED3054}">
  <dimension ref="B1:F17"/>
  <sheetViews>
    <sheetView workbookViewId="0">
      <selection activeCell="I6" sqref="I6"/>
    </sheetView>
  </sheetViews>
  <sheetFormatPr defaultRowHeight="14.4" x14ac:dyDescent="0.3"/>
  <cols>
    <col min="2" max="2" width="10.44140625" bestFit="1" customWidth="1"/>
    <col min="3" max="3" width="11.88671875" bestFit="1" customWidth="1"/>
    <col min="4" max="4" width="9.44140625" bestFit="1" customWidth="1"/>
    <col min="5" max="5" width="12.44140625" bestFit="1" customWidth="1"/>
    <col min="6" max="6" width="11.88671875" bestFit="1" customWidth="1"/>
  </cols>
  <sheetData>
    <row r="1" spans="2:6" x14ac:dyDescent="0.3">
      <c r="B1" s="34"/>
      <c r="C1" s="34"/>
      <c r="D1" s="34"/>
      <c r="E1" s="34"/>
      <c r="F1" s="34"/>
    </row>
    <row r="2" spans="2:6" x14ac:dyDescent="0.3">
      <c r="B2" s="108" t="s">
        <v>175</v>
      </c>
      <c r="C2" s="108"/>
      <c r="D2" s="108"/>
      <c r="E2" s="108"/>
      <c r="F2" s="108"/>
    </row>
    <row r="4" spans="2:6" x14ac:dyDescent="0.3">
      <c r="B4" s="34" t="s">
        <v>103</v>
      </c>
      <c r="C4" s="34" t="s">
        <v>107</v>
      </c>
      <c r="D4" s="34" t="s">
        <v>176</v>
      </c>
      <c r="E4" s="34" t="s">
        <v>177</v>
      </c>
      <c r="F4" s="34" t="s">
        <v>178</v>
      </c>
    </row>
    <row r="5" spans="2:6" x14ac:dyDescent="0.3">
      <c r="B5" s="34" t="s">
        <v>179</v>
      </c>
      <c r="C5" s="34">
        <v>26</v>
      </c>
      <c r="D5" s="34" t="s">
        <v>180</v>
      </c>
      <c r="E5" s="34" t="s">
        <v>181</v>
      </c>
      <c r="F5" s="109">
        <v>2800</v>
      </c>
    </row>
    <row r="6" spans="2:6" x14ac:dyDescent="0.3">
      <c r="B6" s="34" t="s">
        <v>182</v>
      </c>
      <c r="C6" s="34">
        <v>39</v>
      </c>
      <c r="D6" s="34" t="s">
        <v>183</v>
      </c>
      <c r="E6" s="34" t="s">
        <v>184</v>
      </c>
      <c r="F6" s="109">
        <v>1900</v>
      </c>
    </row>
    <row r="7" spans="2:6" x14ac:dyDescent="0.3">
      <c r="B7" s="34" t="s">
        <v>185</v>
      </c>
      <c r="C7" s="34">
        <v>20</v>
      </c>
      <c r="D7" s="34" t="s">
        <v>183</v>
      </c>
      <c r="E7" s="34" t="s">
        <v>186</v>
      </c>
      <c r="F7" s="109">
        <v>1900</v>
      </c>
    </row>
    <row r="8" spans="2:6" x14ac:dyDescent="0.3">
      <c r="B8" s="34" t="s">
        <v>187</v>
      </c>
      <c r="C8" s="34">
        <v>37</v>
      </c>
      <c r="D8" s="34" t="s">
        <v>183</v>
      </c>
      <c r="E8" s="34" t="s">
        <v>188</v>
      </c>
      <c r="F8" s="109">
        <v>3500</v>
      </c>
    </row>
    <row r="9" spans="2:6" x14ac:dyDescent="0.3">
      <c r="B9" s="34" t="s">
        <v>189</v>
      </c>
      <c r="C9" s="34">
        <v>38</v>
      </c>
      <c r="D9" s="34" t="s">
        <v>180</v>
      </c>
      <c r="E9" s="34" t="s">
        <v>190</v>
      </c>
      <c r="F9" s="109">
        <v>5000</v>
      </c>
    </row>
    <row r="10" spans="2:6" x14ac:dyDescent="0.3">
      <c r="B10" s="34" t="s">
        <v>191</v>
      </c>
      <c r="C10" s="34">
        <v>22</v>
      </c>
      <c r="D10" s="34" t="s">
        <v>183</v>
      </c>
      <c r="E10" s="34" t="s">
        <v>192</v>
      </c>
      <c r="F10" s="109">
        <v>1600</v>
      </c>
    </row>
    <row r="11" spans="2:6" x14ac:dyDescent="0.3">
      <c r="B11" s="34" t="s">
        <v>193</v>
      </c>
      <c r="C11" s="34">
        <v>36</v>
      </c>
      <c r="D11" s="34" t="s">
        <v>183</v>
      </c>
      <c r="E11" s="34" t="s">
        <v>194</v>
      </c>
      <c r="F11" s="109">
        <v>3200</v>
      </c>
    </row>
    <row r="12" spans="2:6" x14ac:dyDescent="0.3">
      <c r="B12" s="34"/>
      <c r="C12" s="34"/>
      <c r="D12" s="34"/>
      <c r="E12" s="34"/>
      <c r="F12" s="34"/>
    </row>
    <row r="13" spans="2:6" x14ac:dyDescent="0.3">
      <c r="B13" s="110" t="s">
        <v>103</v>
      </c>
      <c r="C13" s="110" t="s">
        <v>178</v>
      </c>
      <c r="D13" s="34"/>
      <c r="E13" s="110" t="s">
        <v>103</v>
      </c>
      <c r="F13" s="110" t="s">
        <v>107</v>
      </c>
    </row>
    <row r="14" spans="2:6" x14ac:dyDescent="0.3">
      <c r="B14" s="36" t="s">
        <v>179</v>
      </c>
      <c r="C14" s="111">
        <f>INDEX(Tabela117[Salário],MATCH(B14,Tabela117[Nome],0))</f>
        <v>2800</v>
      </c>
      <c r="D14" s="34"/>
      <c r="E14" s="36" t="s">
        <v>185</v>
      </c>
      <c r="F14" s="36">
        <f>INDEX(Tabela117[Idade],MATCH(E14,Tabela117[Nome],0))</f>
        <v>20</v>
      </c>
    </row>
    <row r="15" spans="2:6" x14ac:dyDescent="0.3">
      <c r="B15" s="112" t="s">
        <v>195</v>
      </c>
      <c r="C15" s="112" t="s">
        <v>196</v>
      </c>
      <c r="D15" s="34"/>
      <c r="E15" s="112" t="s">
        <v>195</v>
      </c>
      <c r="F15" s="112" t="s">
        <v>196</v>
      </c>
    </row>
    <row r="16" spans="2:6" x14ac:dyDescent="0.3">
      <c r="B16" s="36">
        <f>MATCH(B14,Tabela117[Nome],0)</f>
        <v>1</v>
      </c>
      <c r="C16" s="111" cm="1">
        <f t="array" ref="C16">INDEX(Tabela117[Salário],B16)</f>
        <v>2800</v>
      </c>
      <c r="D16" s="34"/>
      <c r="E16" s="36">
        <f>MATCH(E14,Tabela117[Nome],0)</f>
        <v>3</v>
      </c>
      <c r="F16" s="36" cm="1">
        <f t="array" ref="F16">INDEX(Tabela117[Idade],E16)</f>
        <v>20</v>
      </c>
    </row>
    <row r="17" spans="2:6" x14ac:dyDescent="0.3">
      <c r="B17" s="34"/>
      <c r="C17" s="34"/>
      <c r="D17" s="34"/>
      <c r="E17" s="34"/>
      <c r="F17" s="34"/>
    </row>
  </sheetData>
  <mergeCells count="1">
    <mergeCell ref="B2:F2"/>
  </mergeCells>
  <dataValidations count="1">
    <dataValidation type="list" allowBlank="1" showInputMessage="1" showErrorMessage="1" sqref="E14" xr:uid="{BC9FB0FE-B756-43DD-8144-C4BD736ED434}">
      <formula1>$B$5:$B$11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FC09-3AA5-4E9F-B448-070B05FC5725}">
  <dimension ref="B2:M20"/>
  <sheetViews>
    <sheetView workbookViewId="0">
      <selection activeCell="H27" sqref="H27"/>
    </sheetView>
  </sheetViews>
  <sheetFormatPr defaultRowHeight="14.4" x14ac:dyDescent="0.3"/>
  <cols>
    <col min="2" max="2" width="16.33203125" bestFit="1" customWidth="1"/>
    <col min="3" max="3" width="12" bestFit="1" customWidth="1"/>
    <col min="4" max="4" width="11.33203125" bestFit="1" customWidth="1"/>
    <col min="5" max="5" width="27.33203125" bestFit="1" customWidth="1"/>
    <col min="6" max="6" width="11.6640625" bestFit="1" customWidth="1"/>
    <col min="7" max="7" width="21.5546875" bestFit="1" customWidth="1"/>
    <col min="8" max="8" width="15.5546875" customWidth="1"/>
    <col min="9" max="9" width="21.5546875" bestFit="1" customWidth="1"/>
    <col min="10" max="10" width="14.109375" bestFit="1" customWidth="1"/>
    <col min="11" max="11" width="12.33203125" bestFit="1" customWidth="1"/>
    <col min="13" max="13" width="12.33203125" bestFit="1" customWidth="1"/>
    <col min="14" max="15" width="8.21875" bestFit="1" customWidth="1"/>
    <col min="16" max="16" width="27.33203125" bestFit="1" customWidth="1"/>
  </cols>
  <sheetData>
    <row r="2" spans="2:13" x14ac:dyDescent="0.3">
      <c r="B2" s="113" t="s">
        <v>177</v>
      </c>
      <c r="C2" s="113" t="s">
        <v>197</v>
      </c>
      <c r="D2" s="113" t="s">
        <v>197</v>
      </c>
      <c r="E2" s="113" t="s">
        <v>198</v>
      </c>
      <c r="G2" s="113" t="s">
        <v>177</v>
      </c>
      <c r="H2" s="113" t="s">
        <v>197</v>
      </c>
      <c r="I2" s="113" t="s">
        <v>198</v>
      </c>
      <c r="J2" s="17"/>
      <c r="K2" s="113" t="s">
        <v>177</v>
      </c>
      <c r="L2" s="113" t="s">
        <v>197</v>
      </c>
      <c r="M2" s="113" t="s">
        <v>198</v>
      </c>
    </row>
    <row r="3" spans="2:13" x14ac:dyDescent="0.3">
      <c r="B3" s="117" t="s">
        <v>203</v>
      </c>
      <c r="C3" s="115">
        <v>3</v>
      </c>
      <c r="D3" s="115">
        <v>12</v>
      </c>
      <c r="E3" s="118" t="s">
        <v>204</v>
      </c>
      <c r="G3" s="124" t="s">
        <v>201</v>
      </c>
      <c r="H3" s="116">
        <f ca="1">RANDBETWEEN(1,100)</f>
        <v>11</v>
      </c>
      <c r="I3" s="126" t="s">
        <v>202</v>
      </c>
      <c r="J3" s="17"/>
      <c r="K3" s="115"/>
      <c r="L3" s="116">
        <v>1</v>
      </c>
      <c r="M3" s="115"/>
    </row>
    <row r="4" spans="2:13" x14ac:dyDescent="0.3">
      <c r="B4" s="117"/>
      <c r="C4" s="115">
        <v>6</v>
      </c>
      <c r="D4" s="115">
        <v>18</v>
      </c>
      <c r="E4" s="119"/>
      <c r="G4" s="129"/>
      <c r="H4" s="116">
        <f t="shared" ref="H4:H12" ca="1" si="0">RANDBETWEEN(1,100)</f>
        <v>12</v>
      </c>
      <c r="I4" s="127"/>
      <c r="J4" s="17"/>
      <c r="K4" s="115"/>
      <c r="L4" s="116">
        <v>2</v>
      </c>
      <c r="M4" s="115"/>
    </row>
    <row r="5" spans="2:13" x14ac:dyDescent="0.3">
      <c r="B5" s="117"/>
      <c r="C5" s="115">
        <v>12</v>
      </c>
      <c r="D5" s="115">
        <v>24</v>
      </c>
      <c r="E5" s="119"/>
      <c r="G5" s="129"/>
      <c r="H5" s="116">
        <f t="shared" ca="1" si="0"/>
        <v>29</v>
      </c>
      <c r="I5" s="127"/>
      <c r="J5" s="17"/>
      <c r="K5" s="115"/>
      <c r="L5" s="116">
        <v>3</v>
      </c>
      <c r="M5" s="115"/>
    </row>
    <row r="6" spans="2:13" x14ac:dyDescent="0.3">
      <c r="B6" s="121" t="s">
        <v>206</v>
      </c>
      <c r="C6" s="117">
        <f>SUMPRODUCT(C3:C5,D3:D5)</f>
        <v>432</v>
      </c>
      <c r="D6" s="117"/>
      <c r="E6" s="122"/>
      <c r="G6" s="129"/>
      <c r="H6" s="116">
        <f t="shared" ca="1" si="0"/>
        <v>44</v>
      </c>
      <c r="I6" s="127"/>
      <c r="J6" s="17"/>
      <c r="K6" s="115"/>
      <c r="L6" s="116">
        <v>4</v>
      </c>
      <c r="M6" s="115"/>
    </row>
    <row r="7" spans="2:13" x14ac:dyDescent="0.3">
      <c r="G7" s="129"/>
      <c r="H7" s="116">
        <f t="shared" ca="1" si="0"/>
        <v>40</v>
      </c>
      <c r="I7" s="127"/>
      <c r="J7" s="17"/>
      <c r="K7" s="115"/>
      <c r="L7" s="116">
        <v>5</v>
      </c>
      <c r="M7" s="115"/>
    </row>
    <row r="8" spans="2:13" x14ac:dyDescent="0.3">
      <c r="B8" s="113" t="s">
        <v>177</v>
      </c>
      <c r="C8" s="113" t="s">
        <v>197</v>
      </c>
      <c r="D8" s="113" t="s">
        <v>198</v>
      </c>
      <c r="G8" s="129"/>
      <c r="H8" s="116">
        <f t="shared" ca="1" si="0"/>
        <v>88</v>
      </c>
      <c r="I8" s="127"/>
      <c r="J8" s="17"/>
      <c r="K8" s="115"/>
      <c r="L8" s="116">
        <v>6</v>
      </c>
      <c r="M8" s="115"/>
    </row>
    <row r="9" spans="2:13" x14ac:dyDescent="0.3">
      <c r="B9" s="114" t="s">
        <v>199</v>
      </c>
      <c r="C9" s="115">
        <f>MOD(6,2)</f>
        <v>0</v>
      </c>
      <c r="D9" s="115" t="s">
        <v>200</v>
      </c>
      <c r="G9" s="129"/>
      <c r="H9" s="116">
        <f t="shared" ca="1" si="0"/>
        <v>3</v>
      </c>
      <c r="I9" s="127"/>
      <c r="J9" s="17"/>
      <c r="K9" s="115"/>
      <c r="L9" s="116">
        <v>7</v>
      </c>
      <c r="M9" s="115"/>
    </row>
    <row r="10" spans="2:13" x14ac:dyDescent="0.3">
      <c r="B10" s="114"/>
      <c r="C10" s="115">
        <f>MOD(7,2)</f>
        <v>1</v>
      </c>
      <c r="D10" s="115" t="s">
        <v>205</v>
      </c>
      <c r="G10" s="129"/>
      <c r="H10" s="116">
        <f t="shared" ca="1" si="0"/>
        <v>26</v>
      </c>
      <c r="I10" s="127"/>
      <c r="J10" s="17"/>
      <c r="K10" s="115"/>
      <c r="L10" s="116">
        <v>10</v>
      </c>
      <c r="M10" s="115"/>
    </row>
    <row r="11" spans="2:13" x14ac:dyDescent="0.3">
      <c r="B11" s="120"/>
      <c r="C11" s="120"/>
      <c r="D11" s="120"/>
      <c r="G11" s="129"/>
      <c r="H11" s="116">
        <f t="shared" ca="1" si="0"/>
        <v>27</v>
      </c>
      <c r="I11" s="127"/>
      <c r="J11" s="17"/>
      <c r="K11" s="115"/>
      <c r="L11" s="116">
        <v>11</v>
      </c>
      <c r="M11" s="115"/>
    </row>
    <row r="12" spans="2:13" x14ac:dyDescent="0.3">
      <c r="B12" s="113" t="s">
        <v>177</v>
      </c>
      <c r="C12" s="113" t="s">
        <v>197</v>
      </c>
      <c r="D12" s="113" t="s">
        <v>198</v>
      </c>
      <c r="G12" s="125"/>
      <c r="H12" s="116">
        <f t="shared" ca="1" si="0"/>
        <v>56</v>
      </c>
      <c r="I12" s="128"/>
      <c r="J12" s="17"/>
      <c r="K12" s="115" t="s">
        <v>212</v>
      </c>
      <c r="L12" s="116">
        <f>SUM(L3:L11)</f>
        <v>49</v>
      </c>
      <c r="M12" s="116" t="s">
        <v>213</v>
      </c>
    </row>
    <row r="13" spans="2:13" x14ac:dyDescent="0.3">
      <c r="B13" s="121" t="s">
        <v>207</v>
      </c>
      <c r="C13" s="115">
        <f ca="1">RAND()</f>
        <v>0.71055639252741853</v>
      </c>
      <c r="D13" s="115" t="s">
        <v>207</v>
      </c>
    </row>
    <row r="14" spans="2:13" x14ac:dyDescent="0.3">
      <c r="B14" s="120"/>
      <c r="C14" s="120"/>
      <c r="D14" s="120"/>
      <c r="G14" s="113" t="s">
        <v>177</v>
      </c>
      <c r="H14" s="113" t="s">
        <v>197</v>
      </c>
      <c r="I14" s="113" t="s">
        <v>197</v>
      </c>
      <c r="J14" s="113" t="s">
        <v>198</v>
      </c>
    </row>
    <row r="15" spans="2:13" x14ac:dyDescent="0.3">
      <c r="B15" s="113" t="s">
        <v>177</v>
      </c>
      <c r="C15" s="113" t="s">
        <v>197</v>
      </c>
      <c r="D15" s="113" t="s">
        <v>198</v>
      </c>
      <c r="G15" s="68" t="s">
        <v>208</v>
      </c>
      <c r="H15" s="115">
        <v>60</v>
      </c>
      <c r="I15" s="115">
        <v>6</v>
      </c>
      <c r="J15" s="117" t="s">
        <v>209</v>
      </c>
    </row>
    <row r="16" spans="2:13" x14ac:dyDescent="0.3">
      <c r="B16" s="113" t="s">
        <v>177</v>
      </c>
      <c r="C16" s="113" t="s">
        <v>197</v>
      </c>
      <c r="D16" s="113" t="s">
        <v>198</v>
      </c>
      <c r="G16" s="123"/>
      <c r="H16" s="117">
        <f>COMBIN(H15,I15)</f>
        <v>50063860.000000015</v>
      </c>
      <c r="I16" s="117"/>
      <c r="J16" s="117"/>
    </row>
    <row r="17" spans="2:4" x14ac:dyDescent="0.3">
      <c r="B17" s="121" t="s">
        <v>210</v>
      </c>
      <c r="C17" s="115">
        <f>INT(5.6)</f>
        <v>5</v>
      </c>
      <c r="D17" s="115" t="s">
        <v>211</v>
      </c>
    </row>
    <row r="18" spans="2:4" x14ac:dyDescent="0.3">
      <c r="B18" s="17"/>
      <c r="C18" s="17"/>
      <c r="D18" s="17"/>
    </row>
    <row r="19" spans="2:4" x14ac:dyDescent="0.3">
      <c r="B19" s="113" t="s">
        <v>177</v>
      </c>
      <c r="C19" s="113" t="s">
        <v>197</v>
      </c>
      <c r="D19" s="113" t="s">
        <v>198</v>
      </c>
    </row>
    <row r="20" spans="2:4" x14ac:dyDescent="0.3">
      <c r="B20" s="121" t="s">
        <v>208</v>
      </c>
      <c r="C20" s="115">
        <f>COMBIN(2,2)</f>
        <v>1</v>
      </c>
      <c r="D20" s="115" t="s">
        <v>214</v>
      </c>
    </row>
  </sheetData>
  <mergeCells count="7">
    <mergeCell ref="B9:B10"/>
    <mergeCell ref="G15:G16"/>
    <mergeCell ref="J15:J16"/>
    <mergeCell ref="H16:I16"/>
    <mergeCell ref="B3:B5"/>
    <mergeCell ref="E3:E6"/>
    <mergeCell ref="C6:D6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D6CA8-A4F1-47DB-9FA4-5B091B23B90F}">
  <dimension ref="B2:M40"/>
  <sheetViews>
    <sheetView workbookViewId="0">
      <selection activeCell="L5" sqref="L5"/>
    </sheetView>
  </sheetViews>
  <sheetFormatPr defaultRowHeight="14.4" x14ac:dyDescent="0.3"/>
  <cols>
    <col min="3" max="3" width="17.33203125" bestFit="1" customWidth="1"/>
    <col min="11" max="11" width="22" bestFit="1" customWidth="1"/>
    <col min="12" max="12" width="15.109375" bestFit="1" customWidth="1"/>
    <col min="13" max="13" width="28.6640625" bestFit="1" customWidth="1"/>
  </cols>
  <sheetData>
    <row r="2" spans="2:13" x14ac:dyDescent="0.3">
      <c r="B2" s="49" t="s">
        <v>219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4" spans="2:13" ht="15.6" x14ac:dyDescent="0.3">
      <c r="B4" s="130" t="s">
        <v>103</v>
      </c>
      <c r="C4" s="130" t="s">
        <v>215</v>
      </c>
      <c r="D4" s="130" t="s">
        <v>216</v>
      </c>
      <c r="F4" s="131" t="s">
        <v>103</v>
      </c>
      <c r="G4" s="132" t="s">
        <v>104</v>
      </c>
      <c r="H4" s="132" t="s">
        <v>105</v>
      </c>
      <c r="I4" s="132" t="s">
        <v>106</v>
      </c>
      <c r="J4" s="132" t="s">
        <v>107</v>
      </c>
      <c r="K4" s="132" t="s">
        <v>108</v>
      </c>
      <c r="L4" s="132" t="s">
        <v>217</v>
      </c>
      <c r="M4" s="133" t="s">
        <v>57</v>
      </c>
    </row>
    <row r="5" spans="2:13" x14ac:dyDescent="0.3">
      <c r="B5" s="134" t="s">
        <v>113</v>
      </c>
      <c r="C5" s="135">
        <v>500</v>
      </c>
      <c r="D5" s="136">
        <v>1</v>
      </c>
      <c r="F5" s="137" t="s">
        <v>113</v>
      </c>
      <c r="G5" s="137">
        <v>10</v>
      </c>
      <c r="H5" s="138">
        <v>0.93</v>
      </c>
      <c r="I5" s="137" t="s">
        <v>114</v>
      </c>
      <c r="J5" s="137">
        <v>20</v>
      </c>
      <c r="K5" s="139">
        <v>44020</v>
      </c>
      <c r="L5" s="140">
        <f t="shared" ref="L5:L14" ca="1" si="0">SUMIF($B:$B,B5,$C$3:$C$38)</f>
        <v>2000</v>
      </c>
      <c r="M5" s="141" t="s">
        <v>218</v>
      </c>
    </row>
    <row r="6" spans="2:13" x14ac:dyDescent="0.3">
      <c r="B6" s="2" t="s">
        <v>117</v>
      </c>
      <c r="C6" s="142">
        <v>500</v>
      </c>
      <c r="D6">
        <v>1</v>
      </c>
      <c r="F6" s="143" t="s">
        <v>117</v>
      </c>
      <c r="G6" s="5">
        <v>8</v>
      </c>
      <c r="H6" s="144">
        <v>0.75</v>
      </c>
      <c r="I6" s="5" t="s">
        <v>118</v>
      </c>
      <c r="J6" s="5">
        <v>18</v>
      </c>
      <c r="K6" s="145">
        <v>44077</v>
      </c>
      <c r="L6" s="146">
        <f t="shared" ca="1" si="0"/>
        <v>1000</v>
      </c>
      <c r="M6" s="147"/>
    </row>
    <row r="7" spans="2:13" x14ac:dyDescent="0.3">
      <c r="B7" s="2" t="s">
        <v>121</v>
      </c>
      <c r="C7" s="142">
        <v>500</v>
      </c>
      <c r="D7">
        <v>1</v>
      </c>
      <c r="F7" s="143" t="s">
        <v>121</v>
      </c>
      <c r="G7" s="5">
        <v>7</v>
      </c>
      <c r="H7" s="144">
        <v>0.89</v>
      </c>
      <c r="I7" s="5" t="s">
        <v>122</v>
      </c>
      <c r="J7" s="5">
        <v>24</v>
      </c>
      <c r="K7" s="145">
        <v>43957</v>
      </c>
      <c r="L7" s="146">
        <f t="shared" ca="1" si="0"/>
        <v>1500</v>
      </c>
      <c r="M7" s="147"/>
    </row>
    <row r="8" spans="2:13" x14ac:dyDescent="0.3">
      <c r="B8" s="2" t="s">
        <v>124</v>
      </c>
      <c r="C8" s="142">
        <v>500</v>
      </c>
      <c r="D8">
        <v>1</v>
      </c>
      <c r="F8" s="143" t="s">
        <v>124</v>
      </c>
      <c r="G8" s="5">
        <v>5</v>
      </c>
      <c r="H8" s="144">
        <v>0.64</v>
      </c>
      <c r="I8" s="5" t="s">
        <v>118</v>
      </c>
      <c r="J8" s="5">
        <v>24</v>
      </c>
      <c r="K8" s="145">
        <v>44037</v>
      </c>
      <c r="L8" s="146">
        <f t="shared" ca="1" si="0"/>
        <v>2000</v>
      </c>
      <c r="M8" s="147"/>
    </row>
    <row r="9" spans="2:13" x14ac:dyDescent="0.3">
      <c r="B9" s="2" t="s">
        <v>127</v>
      </c>
      <c r="C9" s="142">
        <v>500</v>
      </c>
      <c r="D9">
        <v>1</v>
      </c>
      <c r="F9" s="143" t="s">
        <v>127</v>
      </c>
      <c r="G9" s="5">
        <v>8</v>
      </c>
      <c r="H9" s="144">
        <v>0.74</v>
      </c>
      <c r="I9" s="5" t="s">
        <v>118</v>
      </c>
      <c r="J9" s="5">
        <v>20</v>
      </c>
      <c r="K9" s="145">
        <v>43954</v>
      </c>
      <c r="L9" s="146">
        <f t="shared" ca="1" si="0"/>
        <v>1500</v>
      </c>
      <c r="M9" s="147"/>
    </row>
    <row r="10" spans="2:13" x14ac:dyDescent="0.3">
      <c r="B10" s="2" t="s">
        <v>130</v>
      </c>
      <c r="C10" s="142">
        <v>500</v>
      </c>
      <c r="D10">
        <v>1</v>
      </c>
      <c r="F10" s="143" t="s">
        <v>130</v>
      </c>
      <c r="G10" s="5">
        <v>8</v>
      </c>
      <c r="H10" s="144">
        <v>0.8</v>
      </c>
      <c r="I10" s="5" t="s">
        <v>114</v>
      </c>
      <c r="J10" s="5">
        <v>25</v>
      </c>
      <c r="K10" s="145">
        <v>43969</v>
      </c>
      <c r="L10" s="146">
        <f t="shared" ca="1" si="0"/>
        <v>1500</v>
      </c>
      <c r="M10" s="147"/>
    </row>
    <row r="11" spans="2:13" x14ac:dyDescent="0.3">
      <c r="B11" s="2" t="s">
        <v>134</v>
      </c>
      <c r="C11" s="142">
        <v>500</v>
      </c>
      <c r="D11">
        <v>1</v>
      </c>
      <c r="F11" s="143" t="s">
        <v>134</v>
      </c>
      <c r="G11" s="5">
        <v>4</v>
      </c>
      <c r="H11" s="144">
        <v>0.56999999999999995</v>
      </c>
      <c r="I11" s="5" t="s">
        <v>118</v>
      </c>
      <c r="J11" s="5">
        <v>19</v>
      </c>
      <c r="K11" s="145">
        <v>44086</v>
      </c>
      <c r="L11" s="146">
        <f t="shared" ca="1" si="0"/>
        <v>2000</v>
      </c>
      <c r="M11" s="147"/>
    </row>
    <row r="12" spans="2:13" x14ac:dyDescent="0.3">
      <c r="B12" s="2" t="s">
        <v>138</v>
      </c>
      <c r="C12" s="142">
        <v>500</v>
      </c>
      <c r="D12">
        <v>1</v>
      </c>
      <c r="F12" s="143" t="s">
        <v>138</v>
      </c>
      <c r="G12" s="5">
        <v>9</v>
      </c>
      <c r="H12" s="144">
        <v>0.99</v>
      </c>
      <c r="I12" s="5" t="s">
        <v>114</v>
      </c>
      <c r="J12" s="5">
        <v>18</v>
      </c>
      <c r="K12" s="145">
        <v>43967</v>
      </c>
      <c r="L12" s="146">
        <f t="shared" ca="1" si="0"/>
        <v>500</v>
      </c>
      <c r="M12" s="147"/>
    </row>
    <row r="13" spans="2:13" x14ac:dyDescent="0.3">
      <c r="B13" s="2" t="s">
        <v>141</v>
      </c>
      <c r="C13" s="142">
        <v>500</v>
      </c>
      <c r="D13">
        <v>1</v>
      </c>
      <c r="F13" s="143" t="s">
        <v>141</v>
      </c>
      <c r="G13" s="5">
        <v>2</v>
      </c>
      <c r="H13" s="144">
        <v>0.61</v>
      </c>
      <c r="I13" s="5" t="s">
        <v>118</v>
      </c>
      <c r="J13" s="5">
        <v>23</v>
      </c>
      <c r="K13" s="145">
        <v>44003</v>
      </c>
      <c r="L13" s="146">
        <f t="shared" ca="1" si="0"/>
        <v>1500</v>
      </c>
      <c r="M13" s="147"/>
    </row>
    <row r="14" spans="2:13" x14ac:dyDescent="0.3">
      <c r="B14" s="134" t="s">
        <v>113</v>
      </c>
      <c r="C14" s="135">
        <v>500</v>
      </c>
      <c r="D14" s="136">
        <v>2</v>
      </c>
      <c r="F14" s="148" t="s">
        <v>144</v>
      </c>
      <c r="G14" s="98">
        <v>9</v>
      </c>
      <c r="H14" s="149">
        <v>0.73</v>
      </c>
      <c r="I14" s="98" t="s">
        <v>114</v>
      </c>
      <c r="J14" s="98">
        <v>25</v>
      </c>
      <c r="K14" s="150">
        <v>43945</v>
      </c>
      <c r="L14" s="151">
        <f t="shared" ca="1" si="0"/>
        <v>2000</v>
      </c>
      <c r="M14" s="152"/>
    </row>
    <row r="15" spans="2:13" x14ac:dyDescent="0.3">
      <c r="B15" s="2" t="s">
        <v>117</v>
      </c>
      <c r="C15" s="142">
        <v>500</v>
      </c>
      <c r="D15">
        <v>2</v>
      </c>
    </row>
    <row r="16" spans="2:13" x14ac:dyDescent="0.3">
      <c r="B16" s="2" t="s">
        <v>121</v>
      </c>
      <c r="C16" s="142">
        <v>500</v>
      </c>
      <c r="D16">
        <v>2</v>
      </c>
    </row>
    <row r="17" spans="2:4" x14ac:dyDescent="0.3">
      <c r="B17" s="2" t="s">
        <v>124</v>
      </c>
      <c r="C17" s="142">
        <v>500</v>
      </c>
      <c r="D17">
        <v>2</v>
      </c>
    </row>
    <row r="18" spans="2:4" x14ac:dyDescent="0.3">
      <c r="B18" s="2" t="s">
        <v>127</v>
      </c>
      <c r="C18" s="142">
        <v>500</v>
      </c>
      <c r="D18">
        <v>2</v>
      </c>
    </row>
    <row r="19" spans="2:4" x14ac:dyDescent="0.3">
      <c r="B19" s="2" t="s">
        <v>130</v>
      </c>
      <c r="C19" s="142">
        <v>500</v>
      </c>
      <c r="D19">
        <v>2</v>
      </c>
    </row>
    <row r="20" spans="2:4" x14ac:dyDescent="0.3">
      <c r="B20" s="2" t="s">
        <v>134</v>
      </c>
      <c r="C20" s="142">
        <v>500</v>
      </c>
      <c r="D20">
        <v>2</v>
      </c>
    </row>
    <row r="21" spans="2:4" x14ac:dyDescent="0.3">
      <c r="B21" s="2" t="s">
        <v>138</v>
      </c>
      <c r="C21" s="142">
        <v>500</v>
      </c>
      <c r="D21">
        <v>2</v>
      </c>
    </row>
    <row r="22" spans="2:4" x14ac:dyDescent="0.3">
      <c r="B22" s="2" t="s">
        <v>141</v>
      </c>
      <c r="C22" s="142">
        <v>500</v>
      </c>
      <c r="D22">
        <v>2</v>
      </c>
    </row>
    <row r="23" spans="2:4" x14ac:dyDescent="0.3">
      <c r="B23" s="134" t="s">
        <v>113</v>
      </c>
      <c r="C23" s="135"/>
      <c r="D23" s="136">
        <v>3</v>
      </c>
    </row>
    <row r="24" spans="2:4" x14ac:dyDescent="0.3">
      <c r="B24" s="2" t="s">
        <v>117</v>
      </c>
      <c r="C24" s="142">
        <v>500</v>
      </c>
      <c r="D24">
        <v>3</v>
      </c>
    </row>
    <row r="25" spans="2:4" x14ac:dyDescent="0.3">
      <c r="B25" s="2" t="s">
        <v>121</v>
      </c>
      <c r="C25" s="142">
        <v>500</v>
      </c>
      <c r="D25">
        <v>3</v>
      </c>
    </row>
    <row r="26" spans="2:4" x14ac:dyDescent="0.3">
      <c r="B26" s="2" t="s">
        <v>124</v>
      </c>
      <c r="C26" s="142"/>
      <c r="D26">
        <v>3</v>
      </c>
    </row>
    <row r="27" spans="2:4" x14ac:dyDescent="0.3">
      <c r="B27" s="2" t="s">
        <v>127</v>
      </c>
      <c r="C27" s="142">
        <v>500</v>
      </c>
      <c r="D27">
        <v>3</v>
      </c>
    </row>
    <row r="28" spans="2:4" x14ac:dyDescent="0.3">
      <c r="B28" s="2" t="s">
        <v>130</v>
      </c>
      <c r="C28" s="142">
        <v>500</v>
      </c>
      <c r="D28">
        <v>3</v>
      </c>
    </row>
    <row r="29" spans="2:4" x14ac:dyDescent="0.3">
      <c r="B29" s="2" t="s">
        <v>134</v>
      </c>
      <c r="C29" s="142">
        <v>500</v>
      </c>
      <c r="D29">
        <v>3</v>
      </c>
    </row>
    <row r="30" spans="2:4" x14ac:dyDescent="0.3">
      <c r="B30" s="2" t="s">
        <v>138</v>
      </c>
      <c r="C30" s="142">
        <v>500</v>
      </c>
      <c r="D30">
        <v>3</v>
      </c>
    </row>
    <row r="31" spans="2:4" x14ac:dyDescent="0.3">
      <c r="B31" s="2" t="s">
        <v>141</v>
      </c>
      <c r="C31" s="142">
        <v>500</v>
      </c>
      <c r="D31">
        <v>3</v>
      </c>
    </row>
    <row r="32" spans="2:4" x14ac:dyDescent="0.3">
      <c r="B32" s="134" t="s">
        <v>113</v>
      </c>
      <c r="C32" s="135"/>
      <c r="D32" s="136">
        <v>4</v>
      </c>
    </row>
    <row r="33" spans="2:4" x14ac:dyDescent="0.3">
      <c r="B33" s="2" t="s">
        <v>117</v>
      </c>
      <c r="C33" s="142">
        <v>500</v>
      </c>
      <c r="D33">
        <v>4</v>
      </c>
    </row>
    <row r="34" spans="2:4" x14ac:dyDescent="0.3">
      <c r="B34" s="2" t="s">
        <v>121</v>
      </c>
      <c r="C34" s="142">
        <v>500</v>
      </c>
      <c r="D34">
        <v>4</v>
      </c>
    </row>
    <row r="35" spans="2:4" x14ac:dyDescent="0.3">
      <c r="B35" s="2" t="s">
        <v>124</v>
      </c>
      <c r="C35" s="142"/>
      <c r="D35">
        <v>4</v>
      </c>
    </row>
    <row r="36" spans="2:4" x14ac:dyDescent="0.3">
      <c r="B36" s="2" t="s">
        <v>127</v>
      </c>
      <c r="C36" s="142"/>
      <c r="D36">
        <v>4</v>
      </c>
    </row>
    <row r="37" spans="2:4" x14ac:dyDescent="0.3">
      <c r="B37" s="2" t="s">
        <v>130</v>
      </c>
      <c r="C37" s="142">
        <v>500</v>
      </c>
      <c r="D37">
        <v>4</v>
      </c>
    </row>
    <row r="38" spans="2:4" x14ac:dyDescent="0.3">
      <c r="B38" s="2" t="s">
        <v>134</v>
      </c>
      <c r="C38" s="142"/>
      <c r="D38">
        <v>4</v>
      </c>
    </row>
    <row r="39" spans="2:4" x14ac:dyDescent="0.3">
      <c r="B39" s="2" t="s">
        <v>138</v>
      </c>
      <c r="C39" s="142"/>
      <c r="D39">
        <v>4</v>
      </c>
    </row>
    <row r="40" spans="2:4" x14ac:dyDescent="0.3">
      <c r="B40" s="2" t="s">
        <v>141</v>
      </c>
      <c r="C40" s="142">
        <v>500</v>
      </c>
      <c r="D40">
        <v>4</v>
      </c>
    </row>
  </sheetData>
  <mergeCells count="1">
    <mergeCell ref="B2:M2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57BD-5E1C-424E-9310-6BF75251CADE}">
  <dimension ref="B2:F18"/>
  <sheetViews>
    <sheetView tabSelected="1" workbookViewId="0">
      <selection activeCell="O17" sqref="O17"/>
    </sheetView>
  </sheetViews>
  <sheetFormatPr defaultRowHeight="14.4" x14ac:dyDescent="0.3"/>
  <cols>
    <col min="2" max="2" width="10.109375" customWidth="1"/>
    <col min="5" max="5" width="9.44140625" bestFit="1" customWidth="1"/>
    <col min="6" max="6" width="8.21875" bestFit="1" customWidth="1"/>
  </cols>
  <sheetData>
    <row r="2" spans="2:6" x14ac:dyDescent="0.3">
      <c r="B2" s="57" t="s">
        <v>236</v>
      </c>
      <c r="C2" s="58"/>
      <c r="D2" s="58"/>
      <c r="E2" s="58"/>
      <c r="F2" s="164"/>
    </row>
    <row r="4" spans="2:6" x14ac:dyDescent="0.3">
      <c r="B4" s="153"/>
      <c r="C4" s="154" t="s">
        <v>198</v>
      </c>
      <c r="D4" s="154" t="s">
        <v>57</v>
      </c>
      <c r="E4" s="153"/>
      <c r="F4" s="153"/>
    </row>
    <row r="5" spans="2:6" x14ac:dyDescent="0.3">
      <c r="B5" s="5" t="s">
        <v>220</v>
      </c>
      <c r="C5" s="5" t="e">
        <f ca="1">RAND()/A2</f>
        <v>#DIV/0!</v>
      </c>
      <c r="D5" s="5" t="s">
        <v>221</v>
      </c>
      <c r="E5" s="155"/>
      <c r="F5" s="156"/>
    </row>
    <row r="6" spans="2:6" x14ac:dyDescent="0.3">
      <c r="B6" s="153"/>
      <c r="C6" s="154" t="s">
        <v>198</v>
      </c>
      <c r="D6" s="154" t="s">
        <v>57</v>
      </c>
      <c r="E6" s="157" t="s">
        <v>222</v>
      </c>
      <c r="F6" s="157"/>
    </row>
    <row r="7" spans="2:6" x14ac:dyDescent="0.3">
      <c r="B7" s="5" t="e">
        <v>#N/A</v>
      </c>
      <c r="C7" s="5" t="e">
        <f>VLOOKUP("Procurando",E7:F8,2,0)</f>
        <v>#N/A</v>
      </c>
      <c r="D7" s="5" t="s">
        <v>223</v>
      </c>
      <c r="E7" s="5" t="s">
        <v>224</v>
      </c>
      <c r="F7" s="5" t="s">
        <v>225</v>
      </c>
    </row>
    <row r="8" spans="2:6" x14ac:dyDescent="0.3">
      <c r="B8" s="5"/>
      <c r="C8" s="5"/>
      <c r="D8" s="5"/>
      <c r="E8" s="5" t="s">
        <v>226</v>
      </c>
      <c r="F8" s="5" t="s">
        <v>227</v>
      </c>
    </row>
    <row r="9" spans="2:6" x14ac:dyDescent="0.3">
      <c r="B9" s="153"/>
      <c r="C9" s="154" t="s">
        <v>198</v>
      </c>
      <c r="D9" s="154" t="s">
        <v>57</v>
      </c>
      <c r="E9" s="154"/>
      <c r="F9" s="154"/>
    </row>
    <row r="10" spans="2:6" x14ac:dyDescent="0.3">
      <c r="B10" s="5" t="s">
        <v>228</v>
      </c>
      <c r="C10" s="5" t="e" cm="1">
        <f t="array" aca="1" ref="C10" ca="1">desviopadrao(1.2)</f>
        <v>#NAME?</v>
      </c>
      <c r="D10" s="5" t="s">
        <v>229</v>
      </c>
      <c r="E10" s="158"/>
      <c r="F10" s="159"/>
    </row>
    <row r="11" spans="2:6" x14ac:dyDescent="0.3">
      <c r="B11" s="153"/>
      <c r="C11" s="154" t="s">
        <v>198</v>
      </c>
      <c r="D11" s="154" t="s">
        <v>57</v>
      </c>
      <c r="E11" s="154"/>
      <c r="F11" s="154"/>
    </row>
    <row r="12" spans="2:6" x14ac:dyDescent="0.3">
      <c r="B12" s="5" t="s">
        <v>230</v>
      </c>
      <c r="C12" s="5" t="e">
        <f>SQRT(-2)</f>
        <v>#NUM!</v>
      </c>
      <c r="D12" s="5" t="s">
        <v>231</v>
      </c>
      <c r="E12" s="5"/>
      <c r="F12" s="5"/>
    </row>
    <row r="13" spans="2:6" x14ac:dyDescent="0.3">
      <c r="B13" s="153"/>
      <c r="C13" s="154" t="s">
        <v>198</v>
      </c>
      <c r="D13" s="154" t="s">
        <v>57</v>
      </c>
      <c r="E13" s="154"/>
      <c r="F13" s="154"/>
    </row>
    <row r="14" spans="2:6" x14ac:dyDescent="0.3">
      <c r="B14" s="5" t="s">
        <v>232</v>
      </c>
      <c r="C14" s="5" t="str">
        <f>B14</f>
        <v>#REF</v>
      </c>
      <c r="D14" s="5" t="s">
        <v>233</v>
      </c>
      <c r="E14" s="5"/>
      <c r="F14" s="5"/>
    </row>
    <row r="15" spans="2:6" x14ac:dyDescent="0.3">
      <c r="B15" s="153"/>
      <c r="C15" s="154" t="s">
        <v>198</v>
      </c>
      <c r="D15" s="154" t="s">
        <v>57</v>
      </c>
      <c r="E15" s="154"/>
      <c r="F15" s="154"/>
    </row>
    <row r="16" spans="2:6" x14ac:dyDescent="0.3">
      <c r="B16" s="5" t="e">
        <v>#VALUE!</v>
      </c>
      <c r="C16" s="5" t="e">
        <f>SUM(1+"Banana")</f>
        <v>#VALUE!</v>
      </c>
      <c r="D16" s="5" t="s">
        <v>234</v>
      </c>
      <c r="E16" s="5"/>
      <c r="F16" s="5"/>
    </row>
    <row r="17" spans="2:6" x14ac:dyDescent="0.3">
      <c r="B17" s="153"/>
      <c r="C17" s="154" t="s">
        <v>198</v>
      </c>
      <c r="D17" s="154" t="s">
        <v>57</v>
      </c>
      <c r="E17" s="154"/>
      <c r="F17" s="154"/>
    </row>
    <row r="18" spans="2:6" ht="28.8" x14ac:dyDescent="0.3">
      <c r="B18" s="160" t="s">
        <v>235</v>
      </c>
      <c r="C18" s="161"/>
      <c r="D18" s="161"/>
      <c r="E18" s="162"/>
      <c r="F18" s="163"/>
    </row>
  </sheetData>
  <mergeCells count="5">
    <mergeCell ref="E5:F5"/>
    <mergeCell ref="E6:F6"/>
    <mergeCell ref="E10:F10"/>
    <mergeCell ref="E18:F18"/>
    <mergeCell ref="B2:F2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23540-4E6F-41D7-851F-DB57CFE5962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RELATIVA E ABSOLUTA (1)</vt:lpstr>
      <vt:lpstr>RELATIVA E ABSOLUTA (2)</vt:lpstr>
      <vt:lpstr>FORMATAÇÃO CONDICIONAL</vt:lpstr>
      <vt:lpstr>VALIDAÇÃO DE DADOS</vt:lpstr>
      <vt:lpstr>FUNÇÃO DE TEXTO</vt:lpstr>
      <vt:lpstr>FUNÇÃO LÓGICA</vt:lpstr>
      <vt:lpstr>DATA E HORA</vt:lpstr>
      <vt:lpstr>ESTATÍSTICAS</vt:lpstr>
      <vt:lpstr>ÍNDICE E CORRESP</vt:lpstr>
      <vt:lpstr>MATEMÁTICAS</vt:lpstr>
      <vt:lpstr>SOMASE</vt:lpstr>
      <vt:lpstr>ERROS</vt:lpstr>
      <vt:lpstr>Planilha12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Morais</dc:creator>
  <cp:lastModifiedBy>Marcela Morais</cp:lastModifiedBy>
  <dcterms:created xsi:type="dcterms:W3CDTF">2026-01-18T03:33:37Z</dcterms:created>
  <dcterms:modified xsi:type="dcterms:W3CDTF">2026-01-19T14:11:52Z</dcterms:modified>
</cp:coreProperties>
</file>