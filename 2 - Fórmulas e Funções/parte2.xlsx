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\Downloads\Estudos\excel-para-analise-de-dados\"/>
    </mc:Choice>
  </mc:AlternateContent>
  <xr:revisionPtr revIDLastSave="0" documentId="13_ncr:1_{907788B3-84F4-4049-8E6A-0DD3E3A52E2C}" xr6:coauthVersionLast="47" xr6:coauthVersionMax="47" xr10:uidLastSave="{00000000-0000-0000-0000-000000000000}"/>
  <bookViews>
    <workbookView xWindow="-108" yWindow="-108" windowWidth="23256" windowHeight="12456" activeTab="2" xr2:uid="{8D7F5479-2223-4C82-9899-8FB0EC07AD9F}"/>
  </bookViews>
  <sheets>
    <sheet name="Formatação Condicional" sheetId="1" r:id="rId1"/>
    <sheet name="Validação de Dados" sheetId="2" r:id="rId2"/>
    <sheet name="Funçõ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3" l="1"/>
  <c r="E5" i="3"/>
  <c r="E4" i="3"/>
  <c r="E12" i="3"/>
  <c r="H21" i="3"/>
  <c r="E21" i="3"/>
  <c r="F21" i="3" s="1"/>
  <c r="I21" i="3" s="1"/>
  <c r="D21" i="3"/>
  <c r="H20" i="3"/>
  <c r="E20" i="3"/>
  <c r="D20" i="3"/>
  <c r="H19" i="3"/>
  <c r="E19" i="3"/>
  <c r="D19" i="3"/>
  <c r="G19" i="3" s="1"/>
  <c r="H18" i="3"/>
  <c r="E18" i="3"/>
  <c r="D18" i="3"/>
  <c r="H17" i="3"/>
  <c r="E17" i="3"/>
  <c r="D17" i="3"/>
  <c r="H16" i="3"/>
  <c r="E16" i="3"/>
  <c r="D16" i="3"/>
  <c r="H15" i="3"/>
  <c r="E15" i="3"/>
  <c r="D15" i="3"/>
  <c r="G15" i="3" s="1"/>
  <c r="H14" i="3"/>
  <c r="E14" i="3"/>
  <c r="D14" i="3"/>
  <c r="G14" i="3" s="1"/>
  <c r="H13" i="3"/>
  <c r="E13" i="3"/>
  <c r="D13" i="3"/>
  <c r="H12" i="3"/>
  <c r="D12" i="3"/>
  <c r="G18" i="3" l="1"/>
  <c r="G12" i="3"/>
  <c r="G16" i="3"/>
  <c r="F20" i="3"/>
  <c r="I20" i="3" s="1"/>
  <c r="G13" i="3"/>
  <c r="G17" i="3"/>
  <c r="G21" i="3"/>
  <c r="F13" i="3"/>
  <c r="I13" i="3" s="1"/>
  <c r="G20" i="3"/>
  <c r="F15" i="3"/>
  <c r="I15" i="3" s="1"/>
  <c r="F17" i="3"/>
  <c r="I17" i="3" s="1"/>
  <c r="F19" i="3"/>
  <c r="I19" i="3" s="1"/>
  <c r="F14" i="3"/>
  <c r="I14" i="3" s="1"/>
  <c r="F16" i="3"/>
  <c r="I16" i="3" s="1"/>
  <c r="F12" i="3"/>
  <c r="I12" i="3" s="1"/>
  <c r="F18" i="3"/>
  <c r="I18" i="3" s="1"/>
</calcChain>
</file>

<file path=xl/sharedStrings.xml><?xml version="1.0" encoding="utf-8"?>
<sst xmlns="http://schemas.openxmlformats.org/spreadsheetml/2006/main" count="198" uniqueCount="61">
  <si>
    <t>Mês</t>
  </si>
  <si>
    <t>Vendas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</si>
  <si>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</si>
  <si>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</si>
  <si>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</si>
  <si>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</si>
  <si>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</si>
  <si>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</si>
  <si>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</si>
  <si>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</si>
  <si>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</si>
  <si>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</si>
  <si>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</si>
  <si>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</si>
  <si>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Coluna1</t>
  </si>
  <si>
    <t>Vendas R$</t>
  </si>
  <si>
    <t>Motivo</t>
  </si>
  <si>
    <t>Cliente sem recurso</t>
  </si>
  <si>
    <t>Problemas Operacionais</t>
  </si>
  <si>
    <t>Problemas Mercado</t>
  </si>
  <si>
    <t>Motivos</t>
  </si>
  <si>
    <t>Outro Motivo</t>
  </si>
  <si>
    <t>Demonstrar na prática:</t>
  </si>
  <si>
    <t>Configurações</t>
  </si>
  <si>
    <t>Mensagem de entrada</t>
  </si>
  <si>
    <t>Alerta de erro</t>
  </si>
  <si>
    <t>Código</t>
  </si>
  <si>
    <t>Produto</t>
  </si>
  <si>
    <t>Preço</t>
  </si>
  <si>
    <t>Caneta</t>
  </si>
  <si>
    <t>Lápis</t>
  </si>
  <si>
    <t>Borracha</t>
  </si>
  <si>
    <t>Teste 1</t>
  </si>
  <si>
    <t>Teste 2</t>
  </si>
  <si>
    <t>Teste Consolidado 1</t>
  </si>
  <si>
    <t>Teste Consolidado 2</t>
  </si>
  <si>
    <t>Nota do Aluno</t>
  </si>
  <si>
    <t>Frequência</t>
  </si>
  <si>
    <t>Nota é Boa (&gt;8)</t>
  </si>
  <si>
    <t>Frequência é boa (&gt;75%)</t>
  </si>
  <si>
    <r>
      <t xml:space="preserve">Tem nota </t>
    </r>
    <r>
      <rPr>
        <b/>
        <sz val="12"/>
        <color rgb="FFFF0000"/>
        <rFont val="Calibri (Corpo)"/>
      </rPr>
      <t>E</t>
    </r>
    <r>
      <rPr>
        <sz val="11"/>
        <color theme="1"/>
        <rFont val="Aptos Narrow"/>
        <family val="2"/>
        <scheme val="minor"/>
      </rPr>
      <t xml:space="preserve"> Freq boas ?</t>
    </r>
  </si>
  <si>
    <r>
      <t xml:space="preserve">Tem nota </t>
    </r>
    <r>
      <rPr>
        <b/>
        <sz val="12"/>
        <color rgb="FFFF0000"/>
        <rFont val="Calibri (Corpo)"/>
      </rPr>
      <t>OU</t>
    </r>
    <r>
      <rPr>
        <sz val="11"/>
        <color theme="1"/>
        <rFont val="Aptos Narrow"/>
        <family val="2"/>
        <scheme val="minor"/>
      </rPr>
      <t xml:space="preserve"> Freq boas ?</t>
    </r>
  </si>
  <si>
    <t>Bom aluno?</t>
  </si>
  <si>
    <t>Passou de ano?</t>
  </si>
  <si>
    <t>Coluna3</t>
  </si>
  <si>
    <t xml:space="preserve"> </t>
  </si>
  <si>
    <t xml:space="preserve">  </t>
  </si>
  <si>
    <t xml:space="preserve">            </t>
  </si>
  <si>
    <t>PROCV()</t>
  </si>
  <si>
    <t>E( ), OU( ), SE( )</t>
  </si>
  <si>
    <r>
      <t xml:space="preserve"> </t>
    </r>
    <r>
      <rPr>
        <b/>
        <sz val="11"/>
        <color theme="1"/>
        <rFont val="Aptos Narrow"/>
        <family val="2"/>
        <scheme val="minor"/>
      </rPr>
      <t>Passou de ano?</t>
    </r>
    <r>
      <rPr>
        <sz val="11"/>
        <color theme="1"/>
        <rFont val="Aptos Narrow"/>
        <family val="2"/>
        <scheme val="minor"/>
      </rPr>
      <t xml:space="preserve"> Exemplo acima: </t>
    </r>
    <r>
      <rPr>
        <sz val="11"/>
        <color rgb="FFFF0000"/>
        <rFont val="Aptos Narrow"/>
        <family val="2"/>
        <scheme val="minor"/>
      </rPr>
      <t>=SE(F11 = VERDADEIRO; "Passou de ano"; "Não passou")</t>
    </r>
  </si>
  <si>
    <r>
      <rPr>
        <b/>
        <sz val="11"/>
        <color theme="1"/>
        <rFont val="Aptos Narrow"/>
        <family val="2"/>
        <scheme val="minor"/>
      </rPr>
      <t>Bom aluno?</t>
    </r>
    <r>
      <rPr>
        <sz val="11"/>
        <color theme="1"/>
        <rFont val="Aptos Narrow"/>
        <family val="2"/>
        <scheme val="minor"/>
      </rPr>
      <t xml:space="preserve"> Exemplo acima: </t>
    </r>
    <r>
      <rPr>
        <sz val="11"/>
        <color rgb="FFFF0000"/>
        <rFont val="Aptos Narrow"/>
        <family val="2"/>
        <scheme val="minor"/>
      </rPr>
      <t>=SE(B11 &gt; 8; "Bom aluno"; "Precisa melhorar")</t>
    </r>
  </si>
  <si>
    <r>
      <rPr>
        <b/>
        <sz val="11"/>
        <color theme="1"/>
        <rFont val="Aptos Narrow"/>
        <family val="2"/>
        <scheme val="minor"/>
      </rPr>
      <t>Nota é boa (&gt;8)?</t>
    </r>
    <r>
      <rPr>
        <sz val="11"/>
        <color theme="1"/>
        <rFont val="Aptos Narrow"/>
        <family val="2"/>
        <scheme val="minor"/>
      </rPr>
      <t xml:space="preserve"> Exemplo acima: </t>
    </r>
    <r>
      <rPr>
        <sz val="11"/>
        <color rgb="FFFF0000"/>
        <rFont val="Aptos Narrow"/>
        <family val="2"/>
        <scheme val="minor"/>
      </rPr>
      <t>=B11 &gt; 8</t>
    </r>
  </si>
  <si>
    <r>
      <rPr>
        <b/>
        <sz val="11"/>
        <color theme="1"/>
        <rFont val="Aptos Narrow"/>
        <family val="2"/>
        <scheme val="minor"/>
      </rPr>
      <t>Frequência é boa (&gt;75%)?</t>
    </r>
    <r>
      <rPr>
        <sz val="11"/>
        <color theme="1"/>
        <rFont val="Aptos Narrow"/>
        <family val="2"/>
        <scheme val="minor"/>
      </rPr>
      <t xml:space="preserve"> Exemplo acima: </t>
    </r>
    <r>
      <rPr>
        <sz val="11"/>
        <color rgb="FFFF0000"/>
        <rFont val="Aptos Narrow"/>
        <family val="2"/>
        <scheme val="minor"/>
      </rPr>
      <t>=C11 &gt; 0,75</t>
    </r>
  </si>
  <si>
    <r>
      <t xml:space="preserve">Tem nota </t>
    </r>
    <r>
      <rPr>
        <b/>
        <sz val="11"/>
        <color theme="1"/>
        <rFont val="Aptos Narrow"/>
        <family val="2"/>
        <scheme val="minor"/>
      </rPr>
      <t>E</t>
    </r>
    <r>
      <rPr>
        <sz val="11"/>
        <color theme="1"/>
        <rFont val="Aptos Narrow"/>
        <family val="2"/>
        <scheme val="minor"/>
      </rPr>
      <t xml:space="preserve"> frequência boas? Exemplo acima: </t>
    </r>
    <r>
      <rPr>
        <sz val="11"/>
        <color rgb="FFFF0000"/>
        <rFont val="Aptos Narrow"/>
        <family val="2"/>
        <scheme val="minor"/>
      </rPr>
      <t>=E( D11; E11 )</t>
    </r>
  </si>
  <si>
    <r>
      <t xml:space="preserve"> Tem nota </t>
    </r>
    <r>
      <rPr>
        <b/>
        <sz val="11"/>
        <color theme="1"/>
        <rFont val="Aptos Narrow"/>
        <family val="2"/>
        <scheme val="minor"/>
      </rPr>
      <t>OU</t>
    </r>
    <r>
      <rPr>
        <sz val="11"/>
        <color theme="1"/>
        <rFont val="Aptos Narrow"/>
        <family val="2"/>
        <scheme val="minor"/>
      </rPr>
      <t xml:space="preserve"> frequência boas? Exemplo acima:  </t>
    </r>
    <r>
      <rPr>
        <sz val="11"/>
        <color rgb="FFFF0000"/>
        <rFont val="Aptos Narrow"/>
        <family val="2"/>
        <scheme val="minor"/>
      </rPr>
      <t>=OU( D11;E11)</t>
    </r>
  </si>
  <si>
    <t xml:space="preserve">Valor a procurar 102. Exemplo acima: </t>
  </si>
  <si>
    <t>Resultado</t>
  </si>
  <si>
    <t>PROCV(103;Tabela12[[Código]:[Preço]];2;FALSO)</t>
  </si>
  <si>
    <t>PROCV(101;Tabela12[[Código]:[Preço]];2;FALSO)</t>
  </si>
  <si>
    <t>PROCV(102;Tabela12[[Código]:[Preço]];2;FALSO)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</si>
</sst>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Calibri (Corpo)"/>
    </font>
    <font>
      <sz val="12"/>
      <color theme="9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9" fontId="8" fillId="0" borderId="0" xfId="1" applyFont="1" applyAlignment="1">
      <alignment horizontal="center"/>
    </xf>
    <xf numFmtId="9" fontId="0" fillId="0" borderId="0" xfId="1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3">
    <cellStyle name="Normal" xfId="0" builtinId="0"/>
    <cellStyle name="Porcentagem" xfId="1" builtinId="5"/>
    <cellStyle name="Texto Explicativo" xfId="2" builtinId="53"/>
  </cellStyles>
  <dxfs count="65">
    <dxf>
      <numFmt numFmtId="0" formatCode="General"/>
      <alignment horizontal="center" textRotation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1177AA-B29F-4D84-9610-A3BA95BC2AF7}" name="Tabela1" displayName="Tabela1" ref="B2:C14" totalsRowShown="0" headerRowDxfId="64" dataDxfId="62" headerRowBorderDxfId="63" tableBorderDxfId="61" totalsRowBorderDxfId="60">
  <autoFilter ref="B2:C14" xr:uid="{591177AA-B29F-4D84-9610-A3BA95BC2AF7}"/>
  <tableColumns count="2">
    <tableColumn id="1" xr3:uid="{DD8F9E7C-8C86-4A0E-97A2-DCB357017FDE}" name="Mês" dataDxfId="59"/>
    <tableColumn id="2" xr3:uid="{1BBA1F08-5929-498B-BBD5-6ED5E38C6586}" name="Vendas" dataDxfId="58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7A5BA8-0ABF-47E5-9E4E-1107281FC4EB}" name="Tabela3" displayName="Tabela3" ref="E2:F14" totalsRowShown="0" headerRowDxfId="57" headerRowBorderDxfId="56" tableBorderDxfId="55" totalsRowBorderDxfId="54">
  <autoFilter ref="E2:F14" xr:uid="{E37A5BA8-0ABF-47E5-9E4E-1107281FC4EB}"/>
  <tableColumns count="2">
    <tableColumn id="1" xr3:uid="{6F180AC5-19F3-4685-A8CA-906EBD5865A9}" name="Mês" dataDxfId="53"/>
    <tableColumn id="2" xr3:uid="{C6C5420E-3B8D-4EB1-9AD0-725EA3041455}" name="Vendas" dataDxfId="52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2C00295-93BF-4617-A64B-2E8D2A31B105}" name="Tabela35" displayName="Tabela35" ref="H2:I14" totalsRowShown="0" headerRowDxfId="51" headerRowBorderDxfId="50" tableBorderDxfId="49" totalsRowBorderDxfId="48">
  <autoFilter ref="H2:I14" xr:uid="{62C00295-93BF-4617-A64B-2E8D2A31B105}"/>
  <tableColumns count="2">
    <tableColumn id="1" xr3:uid="{BC818E72-0151-4207-BD51-5E81E0838703}" name="Mês" dataDxfId="47"/>
    <tableColumn id="2" xr3:uid="{BED5F1AC-9AFB-465F-ACC2-119E821651CE}" name="Vendas" dataDxfId="46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95C27A-1E1C-4AEF-A963-245C50650EA4}" name="Tabela36" displayName="Tabela36" ref="B3:D15" totalsRowShown="0" headerRowDxfId="45" headerRowBorderDxfId="44" tableBorderDxfId="43" totalsRowBorderDxfId="42">
  <autoFilter ref="B3:D15" xr:uid="{4C95C27A-1E1C-4AEF-A963-245C50650EA4}"/>
  <tableColumns count="3">
    <tableColumn id="1" xr3:uid="{E47C934E-483D-4D64-82B9-EB0E235350B3}" name="Mês" dataDxfId="41"/>
    <tableColumn id="2" xr3:uid="{F3CDD540-7BBF-4391-BDE6-83EE4D201236}" name="Vendas R$" dataDxfId="40"/>
    <tableColumn id="3" xr3:uid="{28812E38-7FF0-4FA9-81C7-B8D5FB1C0978}" name="Motivo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D6DBA10-DEEF-450A-8559-26C70A7A7E7D}" name="Tabela367" displayName="Tabela367" ref="F3:H15" totalsRowShown="0" headerRowDxfId="39" headerRowBorderDxfId="38" tableBorderDxfId="37" totalsRowBorderDxfId="36">
  <autoFilter ref="F3:H15" xr:uid="{9D6DBA10-DEEF-450A-8559-26C70A7A7E7D}"/>
  <tableColumns count="3">
    <tableColumn id="1" xr3:uid="{86876A26-09EF-4ABC-AF3C-9A7129749CE4}" name="Mês" dataDxfId="35"/>
    <tableColumn id="2" xr3:uid="{7312396B-3561-4C4B-8CC7-6AAEE80CEA30}" name="Vendas R$" dataDxfId="34"/>
    <tableColumn id="3" xr3:uid="{E14523F8-0FB8-40DD-9ED5-73A44E6C0980}" name="Motivo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BC821AE-CC5A-4AEE-8EFC-134C4ADFE713}" name="Tabela8" displayName="Tabela8" ref="J3:J6" totalsRowShown="0">
  <autoFilter ref="J3:J6" xr:uid="{6BC821AE-CC5A-4AEE-8EFC-134C4ADFE713}"/>
  <tableColumns count="1">
    <tableColumn id="1" xr3:uid="{07D9B9D4-24A2-4DF1-9A27-03B144D1F4D2}" name="Motivos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FA3556A-BDCC-48F9-AAC0-01D228B6B68E}" name="Tabela3610" displayName="Tabela3610" ref="B18:D30" totalsRowShown="0" headerRowDxfId="33" headerRowBorderDxfId="32" tableBorderDxfId="31" totalsRowBorderDxfId="30">
  <autoFilter ref="B18:D30" xr:uid="{DFA3556A-BDCC-48F9-AAC0-01D228B6B68E}"/>
  <tableColumns count="3">
    <tableColumn id="1" xr3:uid="{AC719516-4F8B-4AD1-B4A7-BCF51AE66E4E}" name="Mês" dataDxfId="29"/>
    <tableColumn id="2" xr3:uid="{FABE244B-9F7F-45E6-8357-74677A947DE4}" name="Vendas R$" dataDxfId="28"/>
    <tableColumn id="3" xr3:uid="{458B0AE7-1425-4FC8-96ED-5054CFCC0FEC}" name="Motivo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DEE030C-6CE7-42E7-9D56-E28E2220A17C}" name="Tabela361011" displayName="Tabela361011" ref="F18:H30" totalsRowShown="0" headerRowDxfId="27" headerRowBorderDxfId="26" tableBorderDxfId="25" totalsRowBorderDxfId="24">
  <autoFilter ref="F18:H30" xr:uid="{EDEE030C-6CE7-42E7-9D56-E28E2220A17C}"/>
  <tableColumns count="3">
    <tableColumn id="1" xr3:uid="{90D771DA-B021-4B10-B26F-1B06C3EFAC79}" name="Mês" dataDxfId="23"/>
    <tableColumn id="2" xr3:uid="{074407E8-6F26-4C91-969E-470A97634FFB}" name="Vendas R$" dataDxfId="22"/>
    <tableColumn id="3" xr3:uid="{33C652DC-7005-4CA2-B360-B579C4EE6804}" name="Motivo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138E41D-4DAE-4C0A-81B3-E0BDA65AD22A}" name="Tabela11" displayName="Tabela11" ref="J8:J11" totalsRowShown="0">
  <autoFilter ref="J8:J11" xr:uid="{C138E41D-4DAE-4C0A-81B3-E0BDA65AD22A}"/>
  <tableColumns count="1">
    <tableColumn id="1" xr3:uid="{4307608E-E744-447C-AB97-5FECC966BCC1}" name="Demonstrar na prática: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99C0AC6-5D1B-40C4-840F-3DB4578219E7}" name="Tabela12" displayName="Tabela12" ref="B3:D6" totalsRowShown="0" headerRowDxfId="21" dataDxfId="20">
  <autoFilter ref="B3:D6" xr:uid="{199C0AC6-5D1B-40C4-840F-3DB4578219E7}"/>
  <tableColumns count="3">
    <tableColumn id="1" xr3:uid="{6558999B-E441-429B-8608-185ACE1326DB}" name="Código" dataDxfId="19"/>
    <tableColumn id="2" xr3:uid="{A37BCBA6-9F58-436A-AEF2-FD0AA57AC9A5}" name="Produto" dataDxfId="18"/>
    <tableColumn id="3" xr3:uid="{BB5C067A-5685-46BB-9894-803618B01AF4}" name="Preço" dataDxfId="17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FA61815-31F5-42A1-97BC-571DE5820208}" name="Tabela13" displayName="Tabela13" ref="B10:I21" totalsRowShown="0" headerRowDxfId="16" dataDxfId="15">
  <autoFilter ref="B10:I21" xr:uid="{AFA61815-31F5-42A1-97BC-571DE5820208}"/>
  <tableColumns count="8">
    <tableColumn id="1" xr3:uid="{09AFD10F-3CB2-470A-BEAB-84BD9A1225E0}" name=" " dataDxfId="14"/>
    <tableColumn id="2" xr3:uid="{F7A3707F-414A-4F4B-B6A9-6F8F2C89778B}" name="  " dataDxfId="13" dataCellStyle="Porcentagem"/>
    <tableColumn id="3" xr3:uid="{97F180DB-F2B5-42B2-BB65-F0656E295F7B}" name="Teste 1" dataDxfId="12">
      <calculatedColumnFormula>B11 &gt; 8</calculatedColumnFormula>
    </tableColumn>
    <tableColumn id="4" xr3:uid="{E3453E85-877A-45A3-B4F0-C0190104DD31}" name="Teste 2" dataDxfId="11">
      <calculatedColumnFormula>C11 &gt; 0.75</calculatedColumnFormula>
    </tableColumn>
    <tableColumn id="5" xr3:uid="{82984DDA-0C43-4DAC-A303-68C0C67228E6}" name="Teste Consolidado 1" dataDxfId="10">
      <calculatedColumnFormula xml:space="preserve"> AND( D11, E11 )</calculatedColumnFormula>
    </tableColumn>
    <tableColumn id="6" xr3:uid="{C6BA7FFD-200D-406A-8B1A-437246B09717}" name="Teste Consolidado 2" dataDxfId="9">
      <calculatedColumnFormula xml:space="preserve"> OR( D11,E11)</calculatedColumnFormula>
    </tableColumn>
    <tableColumn id="7" xr3:uid="{A1EDC61E-4014-4E74-86A5-A7D1DF39214D}" name="Coluna3" dataDxfId="8">
      <calculatedColumnFormula>IF(B11 &gt; 8, "Bom aluno", "Precisa melhorar")</calculatedColumnFormula>
    </tableColumn>
    <tableColumn id="9" xr3:uid="{CE145A75-27D9-477D-BBCB-6C33C553C080}" name="            " dataDxfId="7">
      <calculatedColumnFormula>IF(F11 = TRUE, "Passou de ano", "Não passou")</calculatedColumnFormula>
    </tableColumn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6DEF900-8DEE-4DE7-BF46-64D45BC5B085}" name="Tabela14" displayName="Tabela14" ref="E3:F6" totalsRowShown="0" headerRowDxfId="6" dataDxfId="5" tableBorderDxfId="4">
  <autoFilter ref="E3:F6" xr:uid="{B6DEF900-8DEE-4DE7-BF46-64D45BC5B085}"/>
  <tableColumns count="2">
    <tableColumn id="1" xr3:uid="{3351174C-8112-4FDB-92E2-84175A64402A}" name="Resultado" dataDxfId="0">
      <calculatedColumnFormula>VLOOKUP(101,Tabela12[[Código]:[Preço]],2,FALSE)</calculatedColumnFormula>
    </tableColumn>
    <tableColumn id="2" xr3:uid="{9BD3DF7E-68ED-4F3A-AE09-9538A2926A46}" name="Coluna1" dataDxfId="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0B362-95DC-4E5C-A551-F51EE0A4D303}">
  <dimension ref="B2:I14"/>
  <sheetViews>
    <sheetView workbookViewId="0">
      <selection activeCell="E2" sqref="E2:F14"/>
    </sheetView>
  </sheetViews>
  <sheetFormatPr defaultRowHeight="14.4"/>
  <cols>
    <col min="5" max="6" width="9.5546875" customWidth="1"/>
  </cols>
  <sheetData>
    <row r="2" spans="2:9">
      <c r="B2" s="6" t="s">
        <v>0</v>
      </c>
      <c r="C2" s="7" t="s">
        <v>1</v>
      </c>
      <c r="E2" s="8" t="s">
        <v>0</v>
      </c>
      <c r="F2" s="9" t="s">
        <v>1</v>
      </c>
      <c r="H2" s="8" t="s">
        <v>0</v>
      </c>
      <c r="I2" s="9" t="s">
        <v>1</v>
      </c>
    </row>
    <row r="3" spans="2:9">
      <c r="B3" s="2" t="s">
        <v>2</v>
      </c>
      <c r="C3" s="3">
        <v>150000</v>
      </c>
      <c r="E3" s="2" t="s">
        <v>2</v>
      </c>
      <c r="F3" s="3">
        <v>150000</v>
      </c>
      <c r="H3" s="2" t="s">
        <v>2</v>
      </c>
      <c r="I3" s="3">
        <v>150000</v>
      </c>
    </row>
    <row r="4" spans="2:9">
      <c r="B4" s="2" t="s">
        <v>3</v>
      </c>
      <c r="C4" s="3">
        <v>160000</v>
      </c>
      <c r="E4" s="2" t="s">
        <v>3</v>
      </c>
      <c r="F4" s="3">
        <v>160000</v>
      </c>
      <c r="H4" s="2" t="s">
        <v>3</v>
      </c>
      <c r="I4" s="3">
        <v>160000</v>
      </c>
    </row>
    <row r="5" spans="2:9">
      <c r="B5" s="2" t="s">
        <v>4</v>
      </c>
      <c r="C5" s="3">
        <v>170000</v>
      </c>
      <c r="E5" s="2" t="s">
        <v>4</v>
      </c>
      <c r="F5" s="3">
        <v>170000</v>
      </c>
      <c r="H5" s="2" t="s">
        <v>4</v>
      </c>
      <c r="I5" s="3">
        <v>170000</v>
      </c>
    </row>
    <row r="6" spans="2:9">
      <c r="B6" s="2" t="s">
        <v>5</v>
      </c>
      <c r="C6" s="3">
        <v>180000</v>
      </c>
      <c r="E6" s="2" t="s">
        <v>5</v>
      </c>
      <c r="F6" s="3">
        <v>180000</v>
      </c>
      <c r="H6" s="2" t="s">
        <v>5</v>
      </c>
      <c r="I6" s="3">
        <v>180000</v>
      </c>
    </row>
    <row r="7" spans="2:9">
      <c r="B7" s="2" t="s">
        <v>6</v>
      </c>
      <c r="C7" s="3">
        <v>190000</v>
      </c>
      <c r="E7" s="2" t="s">
        <v>6</v>
      </c>
      <c r="F7" s="3">
        <v>190000</v>
      </c>
      <c r="H7" s="2" t="s">
        <v>6</v>
      </c>
      <c r="I7" s="3">
        <v>190000</v>
      </c>
    </row>
    <row r="8" spans="2:9">
      <c r="B8" s="2" t="s">
        <v>7</v>
      </c>
      <c r="C8" s="3">
        <v>200000</v>
      </c>
      <c r="E8" s="2" t="s">
        <v>7</v>
      </c>
      <c r="F8" s="3">
        <v>200000</v>
      </c>
      <c r="H8" s="2" t="s">
        <v>7</v>
      </c>
      <c r="I8" s="3">
        <v>200000</v>
      </c>
    </row>
    <row r="9" spans="2:9">
      <c r="B9" s="2" t="s">
        <v>8</v>
      </c>
      <c r="C9" s="3">
        <v>210000</v>
      </c>
      <c r="E9" s="2" t="s">
        <v>8</v>
      </c>
      <c r="F9" s="3">
        <v>210000</v>
      </c>
      <c r="H9" s="2" t="s">
        <v>8</v>
      </c>
      <c r="I9" s="3">
        <v>210000</v>
      </c>
    </row>
    <row r="10" spans="2:9">
      <c r="B10" s="2" t="s">
        <v>9</v>
      </c>
      <c r="C10" s="3">
        <v>220000</v>
      </c>
      <c r="E10" s="2" t="s">
        <v>9</v>
      </c>
      <c r="F10" s="3">
        <v>220000</v>
      </c>
      <c r="H10" s="2" t="s">
        <v>9</v>
      </c>
      <c r="I10" s="3">
        <v>220000</v>
      </c>
    </row>
    <row r="11" spans="2:9">
      <c r="B11" s="2" t="s">
        <v>10</v>
      </c>
      <c r="C11" s="3">
        <v>230000</v>
      </c>
      <c r="E11" s="2" t="s">
        <v>10</v>
      </c>
      <c r="F11" s="3">
        <v>230000</v>
      </c>
      <c r="H11" s="2" t="s">
        <v>10</v>
      </c>
      <c r="I11" s="3">
        <v>230000</v>
      </c>
    </row>
    <row r="12" spans="2:9">
      <c r="B12" s="2" t="s">
        <v>11</v>
      </c>
      <c r="C12" s="3">
        <v>240000</v>
      </c>
      <c r="E12" s="2" t="s">
        <v>11</v>
      </c>
      <c r="F12" s="3">
        <v>240000</v>
      </c>
      <c r="H12" s="2" t="s">
        <v>11</v>
      </c>
      <c r="I12" s="3">
        <v>240000</v>
      </c>
    </row>
    <row r="13" spans="2:9">
      <c r="B13" s="2" t="s">
        <v>12</v>
      </c>
      <c r="C13" s="3">
        <v>250000</v>
      </c>
      <c r="E13" s="2" t="s">
        <v>12</v>
      </c>
      <c r="F13" s="3">
        <v>250000</v>
      </c>
      <c r="H13" s="2" t="s">
        <v>12</v>
      </c>
      <c r="I13" s="3">
        <v>250000</v>
      </c>
    </row>
    <row r="14" spans="2:9">
      <c r="B14" s="4" t="s">
        <v>13</v>
      </c>
      <c r="C14" s="5">
        <v>260000</v>
      </c>
      <c r="E14" s="4" t="s">
        <v>13</v>
      </c>
      <c r="F14" s="5">
        <v>260000</v>
      </c>
      <c r="H14" s="4" t="s">
        <v>13</v>
      </c>
      <c r="I14" s="5">
        <v>260000</v>
      </c>
    </row>
  </sheetData>
  <phoneticPr fontId="5" type="noConversion"/>
  <conditionalFormatting sqref="B2:C14">
    <cfRule type="cellIs" dxfId="2" priority="7" operator="greaterThan">
      <formula>155000</formula>
    </cfRule>
  </conditionalFormatting>
  <conditionalFormatting sqref="C4:C14">
    <cfRule type="cellIs" dxfId="1" priority="6" operator="greaterThan">
      <formula>210000</formula>
    </cfRule>
  </conditionalFormatting>
  <conditionalFormatting sqref="E3:F1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{B0F0810A-39AC-48C0-B938-5179C3EA2B45}</x14:id>
        </ext>
      </extLst>
    </cfRule>
  </conditionalFormatting>
  <conditionalFormatting sqref="H2:I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I1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{229E5A2B-E1DD-45C5-A93D-C6534FE4F8C1}</x14:id>
        </ext>
      </extLst>
    </cfRule>
  </conditionalFormatting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F0810A-39AC-48C0-B938-5179C3EA2B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E3:F14</xm:sqref>
        </x14:conditionalFormatting>
        <x14:conditionalFormatting xmlns:xm="http://schemas.microsoft.com/office/excel/2006/main">
          <x14:cfRule type="dataBar" id="{229E5A2B-E1DD-45C5-A93D-C6534FE4F8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H3:I14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2FD4F-F490-49EB-A2AD-83CF62D2F07F}">
  <dimension ref="B2:J30"/>
  <sheetViews>
    <sheetView workbookViewId="0">
      <selection activeCell="J5" sqref="J5"/>
    </sheetView>
  </sheetViews>
  <sheetFormatPr defaultRowHeight="14.4"/>
  <cols>
    <col min="3" max="3" width="20" customWidth="1"/>
    <col min="4" max="4" width="21" bestFit="1" customWidth="1"/>
    <col min="7" max="7" width="14" bestFit="1" customWidth="1"/>
    <col min="8" max="8" width="21" bestFit="1" customWidth="1"/>
    <col min="10" max="10" width="21.33203125" customWidth="1"/>
  </cols>
  <sheetData>
    <row r="2" spans="2:10">
      <c r="B2" s="24" t="s">
        <v>23</v>
      </c>
      <c r="C2" s="24"/>
      <c r="D2" s="24"/>
      <c r="F2" s="24" t="s">
        <v>24</v>
      </c>
      <c r="G2" s="24"/>
      <c r="H2" s="24"/>
    </row>
    <row r="3" spans="2:10">
      <c r="B3" s="8" t="s">
        <v>0</v>
      </c>
      <c r="C3" s="9" t="s">
        <v>15</v>
      </c>
      <c r="D3" s="10" t="s">
        <v>16</v>
      </c>
      <c r="F3" s="8" t="s">
        <v>0</v>
      </c>
      <c r="G3" s="9" t="s">
        <v>15</v>
      </c>
      <c r="H3" s="10" t="s">
        <v>16</v>
      </c>
      <c r="J3" t="s">
        <v>20</v>
      </c>
    </row>
    <row r="4" spans="2:10">
      <c r="B4" s="2" t="s">
        <v>2</v>
      </c>
      <c r="C4" s="3">
        <v>150000</v>
      </c>
      <c r="D4" t="s">
        <v>17</v>
      </c>
      <c r="F4" s="2" t="s">
        <v>2</v>
      </c>
      <c r="G4" s="3">
        <v>150000</v>
      </c>
      <c r="H4" t="s">
        <v>21</v>
      </c>
      <c r="J4" t="s">
        <v>21</v>
      </c>
    </row>
    <row r="5" spans="2:10">
      <c r="B5" s="2" t="s">
        <v>3</v>
      </c>
      <c r="C5" s="3">
        <v>160000</v>
      </c>
      <c r="D5" t="s">
        <v>18</v>
      </c>
      <c r="F5" s="2" t="s">
        <v>3</v>
      </c>
      <c r="G5" s="3">
        <v>160000</v>
      </c>
      <c r="H5" t="s">
        <v>18</v>
      </c>
      <c r="J5" t="s">
        <v>18</v>
      </c>
    </row>
    <row r="6" spans="2:10">
      <c r="B6" s="2" t="s">
        <v>4</v>
      </c>
      <c r="C6" s="3">
        <v>170000</v>
      </c>
      <c r="D6" t="s">
        <v>19</v>
      </c>
      <c r="F6" s="2" t="s">
        <v>4</v>
      </c>
      <c r="G6" s="3">
        <v>170000</v>
      </c>
      <c r="H6" t="s">
        <v>19</v>
      </c>
      <c r="J6" t="s">
        <v>19</v>
      </c>
    </row>
    <row r="7" spans="2:10">
      <c r="B7" s="2" t="s">
        <v>5</v>
      </c>
      <c r="C7" s="3">
        <v>180000</v>
      </c>
      <c r="D7" t="s">
        <v>18</v>
      </c>
      <c r="F7" s="2" t="s">
        <v>5</v>
      </c>
      <c r="G7" s="3">
        <v>180000</v>
      </c>
      <c r="H7" t="s">
        <v>21</v>
      </c>
    </row>
    <row r="8" spans="2:10">
      <c r="B8" s="2" t="s">
        <v>6</v>
      </c>
      <c r="C8" s="3">
        <v>190000</v>
      </c>
      <c r="D8" t="s">
        <v>19</v>
      </c>
      <c r="F8" s="2" t="s">
        <v>6</v>
      </c>
      <c r="G8" s="3">
        <v>190000</v>
      </c>
      <c r="H8" t="s">
        <v>18</v>
      </c>
      <c r="J8" t="s">
        <v>22</v>
      </c>
    </row>
    <row r="9" spans="2:10">
      <c r="B9" s="2" t="s">
        <v>7</v>
      </c>
      <c r="C9" s="3">
        <v>200000</v>
      </c>
      <c r="D9" t="s">
        <v>17</v>
      </c>
      <c r="F9" s="2" t="s">
        <v>7</v>
      </c>
      <c r="G9" s="3">
        <v>200000</v>
      </c>
      <c r="H9" t="s">
        <v>19</v>
      </c>
      <c r="J9" t="s">
        <v>23</v>
      </c>
    </row>
    <row r="10" spans="2:10">
      <c r="B10" s="2" t="s">
        <v>8</v>
      </c>
      <c r="C10" s="3">
        <v>210000</v>
      </c>
      <c r="D10" t="s">
        <v>19</v>
      </c>
      <c r="F10" s="2" t="s">
        <v>8</v>
      </c>
      <c r="G10" s="3">
        <v>210000</v>
      </c>
      <c r="H10" t="s">
        <v>21</v>
      </c>
      <c r="J10" t="s">
        <v>24</v>
      </c>
    </row>
    <row r="11" spans="2:10">
      <c r="B11" s="2" t="s">
        <v>9</v>
      </c>
      <c r="C11" s="3">
        <v>220000</v>
      </c>
      <c r="D11" t="s">
        <v>18</v>
      </c>
      <c r="F11" s="2" t="s">
        <v>9</v>
      </c>
      <c r="G11" s="3">
        <v>220000</v>
      </c>
      <c r="H11" t="s">
        <v>18</v>
      </c>
      <c r="J11" t="s">
        <v>25</v>
      </c>
    </row>
    <row r="12" spans="2:10">
      <c r="B12" s="2" t="s">
        <v>10</v>
      </c>
      <c r="C12" s="3">
        <v>230000</v>
      </c>
      <c r="D12" t="s">
        <v>17</v>
      </c>
      <c r="F12" s="2" t="s">
        <v>10</v>
      </c>
      <c r="G12" s="3">
        <v>230000</v>
      </c>
      <c r="H12" t="s">
        <v>19</v>
      </c>
    </row>
    <row r="13" spans="2:10">
      <c r="B13" s="2" t="s">
        <v>11</v>
      </c>
      <c r="C13" s="3">
        <v>240000</v>
      </c>
      <c r="D13" t="s">
        <v>19</v>
      </c>
      <c r="F13" s="2" t="s">
        <v>11</v>
      </c>
      <c r="G13" s="3">
        <v>240000</v>
      </c>
      <c r="H13" t="s">
        <v>21</v>
      </c>
    </row>
    <row r="14" spans="2:10">
      <c r="B14" s="2" t="s">
        <v>12</v>
      </c>
      <c r="C14" s="3">
        <v>250000</v>
      </c>
      <c r="D14" t="s">
        <v>17</v>
      </c>
      <c r="F14" s="2" t="s">
        <v>12</v>
      </c>
      <c r="G14" s="3">
        <v>250000</v>
      </c>
      <c r="H14" t="s">
        <v>18</v>
      </c>
    </row>
    <row r="15" spans="2:10">
      <c r="B15" s="4" t="s">
        <v>13</v>
      </c>
      <c r="C15" s="5">
        <v>260000</v>
      </c>
      <c r="D15" t="s">
        <v>18</v>
      </c>
      <c r="F15" s="4" t="s">
        <v>13</v>
      </c>
      <c r="G15" s="5">
        <v>260000</v>
      </c>
      <c r="H15" t="s">
        <v>19</v>
      </c>
    </row>
    <row r="16" spans="2:10">
      <c r="B16" s="1"/>
      <c r="C16" s="11"/>
      <c r="F16" s="1"/>
      <c r="G16" s="11"/>
    </row>
    <row r="17" spans="2:8">
      <c r="B17" s="25" t="s">
        <v>25</v>
      </c>
      <c r="C17" s="26"/>
      <c r="D17" s="27"/>
      <c r="F17" s="25" t="s">
        <v>25</v>
      </c>
      <c r="G17" s="26"/>
      <c r="H17" s="27"/>
    </row>
    <row r="18" spans="2:8">
      <c r="B18" s="8" t="s">
        <v>0</v>
      </c>
      <c r="C18" s="9" t="s">
        <v>15</v>
      </c>
      <c r="D18" s="10" t="s">
        <v>16</v>
      </c>
      <c r="F18" s="8" t="s">
        <v>0</v>
      </c>
      <c r="G18" s="9" t="s">
        <v>15</v>
      </c>
      <c r="H18" s="10" t="s">
        <v>16</v>
      </c>
    </row>
    <row r="19" spans="2:8">
      <c r="B19" s="2" t="s">
        <v>2</v>
      </c>
      <c r="C19" s="3">
        <v>150000</v>
      </c>
      <c r="D19" t="s">
        <v>17</v>
      </c>
      <c r="F19" s="2" t="s">
        <v>2</v>
      </c>
      <c r="G19" s="3">
        <v>150000</v>
      </c>
      <c r="H19" t="s">
        <v>17</v>
      </c>
    </row>
    <row r="20" spans="2:8">
      <c r="B20" s="2" t="s">
        <v>3</v>
      </c>
      <c r="C20" s="3">
        <v>160000</v>
      </c>
      <c r="D20" t="s">
        <v>18</v>
      </c>
      <c r="F20" s="2" t="s">
        <v>3</v>
      </c>
      <c r="G20" s="3">
        <v>160000</v>
      </c>
      <c r="H20" t="s">
        <v>18</v>
      </c>
    </row>
    <row r="21" spans="2:8">
      <c r="B21" s="2" t="s">
        <v>4</v>
      </c>
      <c r="C21" s="3">
        <v>170000</v>
      </c>
      <c r="D21" t="s">
        <v>19</v>
      </c>
      <c r="F21" s="2" t="s">
        <v>4</v>
      </c>
      <c r="G21" s="3">
        <v>170000</v>
      </c>
      <c r="H21" t="s">
        <v>19</v>
      </c>
    </row>
    <row r="22" spans="2:8">
      <c r="B22" s="2" t="s">
        <v>5</v>
      </c>
      <c r="C22" s="3">
        <v>180000</v>
      </c>
      <c r="D22" t="s">
        <v>18</v>
      </c>
      <c r="F22" s="2" t="s">
        <v>5</v>
      </c>
      <c r="G22" s="3">
        <v>180000</v>
      </c>
      <c r="H22" t="s">
        <v>18</v>
      </c>
    </row>
    <row r="23" spans="2:8">
      <c r="B23" s="2" t="s">
        <v>6</v>
      </c>
      <c r="C23" s="3">
        <v>190000</v>
      </c>
      <c r="D23" t="s">
        <v>19</v>
      </c>
      <c r="F23" s="2" t="s">
        <v>6</v>
      </c>
      <c r="G23" s="3">
        <v>190000</v>
      </c>
      <c r="H23" t="s">
        <v>19</v>
      </c>
    </row>
    <row r="24" spans="2:8">
      <c r="B24" s="2" t="s">
        <v>7</v>
      </c>
      <c r="C24" s="3">
        <v>200000</v>
      </c>
      <c r="D24" t="s">
        <v>17</v>
      </c>
      <c r="F24" s="2" t="s">
        <v>7</v>
      </c>
      <c r="G24" s="3">
        <v>200000</v>
      </c>
      <c r="H24" t="s">
        <v>17</v>
      </c>
    </row>
    <row r="25" spans="2:8">
      <c r="B25" s="2" t="s">
        <v>8</v>
      </c>
      <c r="C25" s="3">
        <v>210000</v>
      </c>
      <c r="D25" t="s">
        <v>19</v>
      </c>
      <c r="F25" s="2" t="s">
        <v>8</v>
      </c>
      <c r="G25" s="3">
        <v>210000</v>
      </c>
      <c r="H25" t="s">
        <v>19</v>
      </c>
    </row>
    <row r="26" spans="2:8">
      <c r="B26" s="2" t="s">
        <v>9</v>
      </c>
      <c r="C26" s="3">
        <v>220000</v>
      </c>
      <c r="D26" t="s">
        <v>18</v>
      </c>
      <c r="F26" s="2" t="s">
        <v>9</v>
      </c>
      <c r="G26" s="3">
        <v>220000</v>
      </c>
      <c r="H26" t="s">
        <v>18</v>
      </c>
    </row>
    <row r="27" spans="2:8">
      <c r="B27" s="2" t="s">
        <v>10</v>
      </c>
      <c r="C27" s="3">
        <v>230000</v>
      </c>
      <c r="D27" t="s">
        <v>17</v>
      </c>
      <c r="F27" s="2" t="s">
        <v>10</v>
      </c>
      <c r="G27" s="3">
        <v>230000</v>
      </c>
      <c r="H27" t="s">
        <v>17</v>
      </c>
    </row>
    <row r="28" spans="2:8">
      <c r="B28" s="2" t="s">
        <v>11</v>
      </c>
      <c r="C28" s="3">
        <v>240000</v>
      </c>
      <c r="D28" t="s">
        <v>19</v>
      </c>
      <c r="F28" s="2" t="s">
        <v>11</v>
      </c>
      <c r="G28" s="3">
        <v>240000</v>
      </c>
      <c r="H28" t="s">
        <v>19</v>
      </c>
    </row>
    <row r="29" spans="2:8">
      <c r="B29" s="2" t="s">
        <v>12</v>
      </c>
      <c r="C29" s="3">
        <v>250000</v>
      </c>
      <c r="D29" t="s">
        <v>17</v>
      </c>
      <c r="F29" s="2" t="s">
        <v>12</v>
      </c>
      <c r="G29" s="3">
        <v>250000</v>
      </c>
      <c r="H29" t="s">
        <v>17</v>
      </c>
    </row>
    <row r="30" spans="2:8">
      <c r="B30" s="4" t="s">
        <v>13</v>
      </c>
      <c r="C30" s="5">
        <v>260000</v>
      </c>
      <c r="D30" t="s">
        <v>18</v>
      </c>
      <c r="F30" s="4" t="s">
        <v>13</v>
      </c>
      <c r="G30" s="5">
        <v>260000</v>
      </c>
      <c r="H30" t="s">
        <v>18</v>
      </c>
    </row>
  </sheetData>
  <mergeCells count="4">
    <mergeCell ref="B2:D2"/>
    <mergeCell ref="F2:H2"/>
    <mergeCell ref="B17:D17"/>
    <mergeCell ref="F17:H17"/>
  </mergeCells>
  <conditionalFormatting sqref="B3:C16">
    <cfRule type="iconSet" priority="7">
      <iconSet>
        <cfvo type="percent" val="0"/>
        <cfvo type="percent" val="33"/>
        <cfvo type="percent" val="67"/>
      </iconSet>
    </cfRule>
  </conditionalFormatting>
  <conditionalFormatting sqref="B4:C1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{40590ED5-281F-47B7-AC60-15C4E58A63AB}</x14:id>
        </ext>
      </extLst>
    </cfRule>
  </conditionalFormatting>
  <conditionalFormatting sqref="B18:C30">
    <cfRule type="iconSet" priority="3">
      <iconSet>
        <cfvo type="percent" val="0"/>
        <cfvo type="percent" val="33"/>
        <cfvo type="percent" val="67"/>
      </iconSet>
    </cfRule>
  </conditionalFormatting>
  <conditionalFormatting sqref="B19:C3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{1C7B9320-BCCE-4DBE-A2DA-32B6BF29544C}</x14:id>
        </ext>
      </extLst>
    </cfRule>
  </conditionalFormatting>
  <conditionalFormatting sqref="F3:G16">
    <cfRule type="iconSet" priority="5">
      <iconSet>
        <cfvo type="percent" val="0"/>
        <cfvo type="percent" val="33"/>
        <cfvo type="percent" val="67"/>
      </iconSet>
    </cfRule>
  </conditionalFormatting>
  <conditionalFormatting sqref="F4:G1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{9A498CC0-F4A0-4F31-AFF2-A2CCB7C1F8D7}</x14:id>
        </ext>
      </extLst>
    </cfRule>
  </conditionalFormatting>
  <conditionalFormatting sqref="F18:G30">
    <cfRule type="iconSet" priority="1">
      <iconSet>
        <cfvo type="percent" val="0"/>
        <cfvo type="percent" val="33"/>
        <cfvo type="percent" val="67"/>
      </iconSet>
    </cfRule>
  </conditionalFormatting>
  <conditionalFormatting sqref="F19:G3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{3BADEC8F-877B-4EF6-A2F0-96F10C0AF1EB}</x14:id>
        </ext>
      </extLst>
    </cfRule>
  </conditionalFormatting>
  <dataValidations count="4">
    <dataValidation type="list" allowBlank="1" showInputMessage="1" showErrorMessage="1" sqref="D16 D4:D15" xr:uid="{C07CEA19-BD12-4E67-98D0-81FDFDACCAA1}">
      <formula1>"Cliente sem recurso, Problemas Operacionais, Problemas Mercado"</formula1>
    </dataValidation>
    <dataValidation type="list" allowBlank="1" showInputMessage="1" showErrorMessage="1" sqref="H16 H4:H15" xr:uid="{CFD17FB5-BDD1-4782-9AC2-6FC75DE13F90}">
      <formula1>$J$4:$J$6</formula1>
    </dataValidation>
    <dataValidation type="list" allowBlank="1" showInputMessage="1" showErrorMessage="1" promptTitle="ALERTA" prompt="Selecione somente o valor desejado" sqref="D19:D30" xr:uid="{F5D02E6D-EE1F-4325-AB8E-290C542A9DC0}">
      <formula1>"Cliente sem recurso, Problemas Operacionais, Problemas Mercado"</formula1>
    </dataValidation>
    <dataValidation type="list" allowBlank="1" showInputMessage="1" showErrorMessage="1" errorTitle="ALERTA" error="Você digitou errado" promptTitle="ALERTA" prompt="Selecione somente o valor desejado" sqref="H19:H30" xr:uid="{12349B10-EF8F-4782-B3E8-570AE8671E61}">
      <formula1>"Cliente sem recurso, Problemas Operacionais, Problemas Mercado"</formula1>
    </dataValidation>
  </dataValidations>
  <pageMargins left="0.511811024" right="0.511811024" top="0.78740157499999996" bottom="0.78740157499999996" header="0.31496062000000002" footer="0.31496062000000002"/>
  <tableParts count="6">
    <tablePart r:id="rId1"/>
    <tablePart r:id="rId2"/>
    <tablePart r:id="rId3"/>
    <tablePart r:id="rId4"/>
    <tablePart r:id="rId5"/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590ED5-281F-47B7-AC60-15C4E58A63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B4:C16</xm:sqref>
        </x14:conditionalFormatting>
        <x14:conditionalFormatting xmlns:xm="http://schemas.microsoft.com/office/excel/2006/main">
          <x14:cfRule type="dataBar" id="{1C7B9320-BCCE-4DBE-A2DA-32B6BF2954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B19:C30</xm:sqref>
        </x14:conditionalFormatting>
        <x14:conditionalFormatting xmlns:xm="http://schemas.microsoft.com/office/excel/2006/main">
          <x14:cfRule type="dataBar" id="{9A498CC0-F4A0-4F31-AFF2-A2CCB7C1F8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F4:G16</xm:sqref>
        </x14:conditionalFormatting>
        <x14:conditionalFormatting xmlns:xm="http://schemas.microsoft.com/office/excel/2006/main">
          <x14:cfRule type="dataBar" id="{3BADEC8F-877B-4EF6-A2F0-96F10C0AF1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F19:G30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80F89-2412-434A-9A9A-A9AF49B25A6E}">
  <dimension ref="B2:K27"/>
  <sheetViews>
    <sheetView tabSelected="1" workbookViewId="0">
      <selection activeCell="H3" sqref="H3"/>
    </sheetView>
  </sheetViews>
  <sheetFormatPr defaultRowHeight="14.4"/>
  <cols>
    <col min="2" max="2" width="14" bestFit="1" customWidth="1"/>
    <col min="3" max="3" width="12" bestFit="1" customWidth="1"/>
    <col min="4" max="4" width="14.88671875" bestFit="1" customWidth="1"/>
    <col min="5" max="5" width="24.109375" bestFit="1" customWidth="1"/>
    <col min="6" max="6" width="41.33203125" bestFit="1" customWidth="1"/>
    <col min="7" max="7" width="21.77734375" bestFit="1" customWidth="1"/>
    <col min="8" max="8" width="16.33203125" bestFit="1" customWidth="1"/>
    <col min="9" max="9" width="15.44140625" bestFit="1" customWidth="1"/>
  </cols>
  <sheetData>
    <row r="2" spans="2:11">
      <c r="B2" s="28" t="s">
        <v>48</v>
      </c>
      <c r="C2" s="29"/>
      <c r="D2" s="29"/>
      <c r="E2" s="29"/>
      <c r="F2" s="30"/>
      <c r="G2" s="1"/>
      <c r="H2" s="1"/>
      <c r="I2" s="1"/>
      <c r="J2" s="1"/>
      <c r="K2" s="1"/>
    </row>
    <row r="3" spans="2:11">
      <c r="B3" s="20" t="s">
        <v>26</v>
      </c>
      <c r="C3" s="20" t="s">
        <v>27</v>
      </c>
      <c r="D3" s="20" t="s">
        <v>28</v>
      </c>
      <c r="E3" s="20" t="s">
        <v>57</v>
      </c>
      <c r="F3" s="21" t="s">
        <v>14</v>
      </c>
      <c r="G3" s="1"/>
      <c r="H3" s="1"/>
      <c r="I3" s="1"/>
      <c r="J3" s="1"/>
      <c r="K3" s="1"/>
    </row>
    <row r="4" spans="2:11">
      <c r="B4" s="19">
        <v>101</v>
      </c>
      <c r="C4" s="19" t="s">
        <v>29</v>
      </c>
      <c r="D4" s="19">
        <v>2.5</v>
      </c>
      <c r="E4" s="1" t="str">
        <f>VLOOKUP(101,Tabela12[[Código]:[Preço]],2,FALSE)</f>
        <v>Caneta</v>
      </c>
      <c r="F4" s="1" t="s">
        <v>58</v>
      </c>
      <c r="G4" s="1"/>
      <c r="H4" s="1"/>
      <c r="I4" s="1"/>
      <c r="J4" s="1"/>
      <c r="K4" s="1"/>
    </row>
    <row r="5" spans="2:11">
      <c r="B5" s="19">
        <v>102</v>
      </c>
      <c r="C5" s="19" t="s">
        <v>30</v>
      </c>
      <c r="D5" s="19">
        <v>1.8</v>
      </c>
      <c r="E5" s="1" t="str">
        <f>VLOOKUP(102,Tabela12[[Código]:[Preço]],2,FALSE)</f>
        <v>Lápis</v>
      </c>
      <c r="F5" s="1" t="s">
        <v>59</v>
      </c>
      <c r="G5" s="1"/>
      <c r="H5" s="1"/>
      <c r="I5" s="1"/>
      <c r="J5" s="1"/>
      <c r="K5" s="1"/>
    </row>
    <row r="6" spans="2:11">
      <c r="B6" s="19">
        <v>103</v>
      </c>
      <c r="C6" s="19" t="s">
        <v>31</v>
      </c>
      <c r="D6" s="19">
        <v>1.2</v>
      </c>
      <c r="E6" s="1" t="str">
        <f>VLOOKUP(103,Tabela12[[Código]:[Preço]],2,FALSE)</f>
        <v>Borracha</v>
      </c>
      <c r="F6" s="1" t="s">
        <v>60</v>
      </c>
      <c r="G6" s="1"/>
      <c r="H6" s="1"/>
      <c r="I6" s="1"/>
      <c r="J6" s="1"/>
      <c r="K6" s="1"/>
    </row>
    <row r="7" spans="2:11" ht="14.4" customHeight="1">
      <c r="B7" s="31" t="s">
        <v>56</v>
      </c>
      <c r="C7" s="32"/>
      <c r="D7" s="32"/>
      <c r="E7" s="32"/>
      <c r="F7" s="33"/>
      <c r="G7" s="1"/>
      <c r="H7" s="1"/>
      <c r="I7" s="1"/>
      <c r="J7" s="1"/>
      <c r="K7" s="1"/>
    </row>
    <row r="8" spans="2:11">
      <c r="B8" s="12"/>
      <c r="C8" s="12"/>
      <c r="D8" s="12"/>
      <c r="E8" s="1"/>
      <c r="F8" s="22"/>
      <c r="G8" s="1"/>
      <c r="H8" s="1"/>
      <c r="I8" s="1"/>
      <c r="J8" s="1"/>
      <c r="K8" s="1"/>
    </row>
    <row r="9" spans="2:11">
      <c r="B9" s="34" t="s">
        <v>49</v>
      </c>
      <c r="C9" s="34"/>
      <c r="D9" s="34"/>
      <c r="E9" s="34"/>
      <c r="F9" s="34"/>
      <c r="G9" s="34"/>
      <c r="H9" s="34"/>
      <c r="I9" s="34"/>
      <c r="J9" s="1"/>
      <c r="K9" s="1"/>
    </row>
    <row r="10" spans="2:11">
      <c r="B10" s="1" t="s">
        <v>45</v>
      </c>
      <c r="C10" s="1" t="s">
        <v>46</v>
      </c>
      <c r="D10" s="1" t="s">
        <v>32</v>
      </c>
      <c r="E10" s="1" t="s">
        <v>33</v>
      </c>
      <c r="F10" s="1" t="s">
        <v>34</v>
      </c>
      <c r="G10" s="1" t="s">
        <v>35</v>
      </c>
      <c r="H10" s="1" t="s">
        <v>44</v>
      </c>
      <c r="I10" s="1" t="s">
        <v>47</v>
      </c>
      <c r="J10" s="1"/>
      <c r="K10" s="1"/>
    </row>
    <row r="11" spans="2:11" ht="15.6">
      <c r="B11" s="13" t="s">
        <v>36</v>
      </c>
      <c r="C11" s="13" t="s">
        <v>37</v>
      </c>
      <c r="D11" s="14" t="s">
        <v>38</v>
      </c>
      <c r="E11" s="14" t="s">
        <v>39</v>
      </c>
      <c r="F11" s="23" t="s">
        <v>40</v>
      </c>
      <c r="G11" s="23" t="s">
        <v>41</v>
      </c>
      <c r="H11" s="14" t="s">
        <v>42</v>
      </c>
      <c r="I11" s="14" t="s">
        <v>43</v>
      </c>
      <c r="J11" s="1"/>
      <c r="K11" s="1"/>
    </row>
    <row r="12" spans="2:11" ht="15.6">
      <c r="B12" s="15">
        <v>10</v>
      </c>
      <c r="C12" s="16">
        <v>0.93</v>
      </c>
      <c r="D12" s="1" t="b">
        <f>B12 &gt; 8</f>
        <v>1</v>
      </c>
      <c r="E12" s="1" t="b">
        <f>C12 &gt; 0.75</f>
        <v>1</v>
      </c>
      <c r="F12" s="1" t="b">
        <f xml:space="preserve"> AND( D12, E12 )</f>
        <v>1</v>
      </c>
      <c r="G12" s="1" t="b">
        <f xml:space="preserve"> OR( D12,E12)</f>
        <v>1</v>
      </c>
      <c r="H12" s="1" t="str">
        <f>IF(B12 &gt; 8, "Bom aluno", "Precisa melhorar")</f>
        <v>Bom aluno</v>
      </c>
      <c r="I12" s="15" t="str">
        <f>IF(F12 = TRUE, "Passou de ano", "Não passou")</f>
        <v>Passou de ano</v>
      </c>
      <c r="J12" s="1"/>
      <c r="K12" s="1"/>
    </row>
    <row r="13" spans="2:11" ht="15.6">
      <c r="B13" s="1">
        <v>8</v>
      </c>
      <c r="C13" s="17">
        <v>0.75</v>
      </c>
      <c r="D13" s="1" t="b">
        <f t="shared" ref="D13:D21" si="0">B13 &gt; 8</f>
        <v>0</v>
      </c>
      <c r="E13" s="1" t="b">
        <f t="shared" ref="E13:E21" si="1">C13 &gt; 0.75</f>
        <v>0</v>
      </c>
      <c r="F13" s="1" t="b">
        <f t="shared" ref="F13:F21" si="2" xml:space="preserve"> AND( D13, E13 )</f>
        <v>0</v>
      </c>
      <c r="G13" s="1" t="b">
        <f t="shared" ref="G13:G21" si="3" xml:space="preserve"> OR( D13,E13)</f>
        <v>0</v>
      </c>
      <c r="H13" s="18" t="str">
        <f t="shared" ref="H13:H21" si="4">IF(B13 &gt; 8, "Bom aluno", "Precisa melhorar")</f>
        <v>Precisa melhorar</v>
      </c>
      <c r="I13" s="18" t="str">
        <f t="shared" ref="I13:I21" si="5">IF(F13 = TRUE, "Passou de ano", "Não passou")</f>
        <v>Não passou</v>
      </c>
      <c r="J13" s="1"/>
      <c r="K13" s="1"/>
    </row>
    <row r="14" spans="2:11" ht="15.6">
      <c r="B14" s="1">
        <v>7</v>
      </c>
      <c r="C14" s="17">
        <v>0.89</v>
      </c>
      <c r="D14" s="1" t="b">
        <f t="shared" si="0"/>
        <v>0</v>
      </c>
      <c r="E14" s="1" t="b">
        <f t="shared" si="1"/>
        <v>1</v>
      </c>
      <c r="F14" s="1" t="b">
        <f t="shared" si="2"/>
        <v>0</v>
      </c>
      <c r="G14" s="1" t="b">
        <f t="shared" si="3"/>
        <v>1</v>
      </c>
      <c r="H14" s="18" t="str">
        <f t="shared" si="4"/>
        <v>Precisa melhorar</v>
      </c>
      <c r="I14" s="18" t="str">
        <f t="shared" si="5"/>
        <v>Não passou</v>
      </c>
      <c r="J14" s="1"/>
      <c r="K14" s="1"/>
    </row>
    <row r="15" spans="2:11" ht="15.6">
      <c r="B15" s="1">
        <v>5</v>
      </c>
      <c r="C15" s="17">
        <v>0.64</v>
      </c>
      <c r="D15" s="1" t="b">
        <f t="shared" si="0"/>
        <v>0</v>
      </c>
      <c r="E15" s="1" t="b">
        <f t="shared" si="1"/>
        <v>0</v>
      </c>
      <c r="F15" s="1" t="b">
        <f t="shared" si="2"/>
        <v>0</v>
      </c>
      <c r="G15" s="1" t="b">
        <f t="shared" si="3"/>
        <v>0</v>
      </c>
      <c r="H15" s="18" t="str">
        <f t="shared" si="4"/>
        <v>Precisa melhorar</v>
      </c>
      <c r="I15" s="18" t="str">
        <f t="shared" si="5"/>
        <v>Não passou</v>
      </c>
      <c r="J15" s="1"/>
      <c r="K15" s="1"/>
    </row>
    <row r="16" spans="2:11" ht="15.6">
      <c r="B16" s="1">
        <v>8</v>
      </c>
      <c r="C16" s="17">
        <v>0.74</v>
      </c>
      <c r="D16" s="1" t="b">
        <f t="shared" si="0"/>
        <v>0</v>
      </c>
      <c r="E16" s="1" t="b">
        <f t="shared" si="1"/>
        <v>0</v>
      </c>
      <c r="F16" s="1" t="b">
        <f t="shared" si="2"/>
        <v>0</v>
      </c>
      <c r="G16" s="1" t="b">
        <f t="shared" si="3"/>
        <v>0</v>
      </c>
      <c r="H16" s="18" t="str">
        <f t="shared" si="4"/>
        <v>Precisa melhorar</v>
      </c>
      <c r="I16" s="18" t="str">
        <f t="shared" si="5"/>
        <v>Não passou</v>
      </c>
      <c r="J16" s="1"/>
      <c r="K16" s="1"/>
    </row>
    <row r="17" spans="2:11" ht="15.6">
      <c r="B17" s="1">
        <v>8</v>
      </c>
      <c r="C17" s="17">
        <v>0.8</v>
      </c>
      <c r="D17" s="1" t="b">
        <f t="shared" si="0"/>
        <v>0</v>
      </c>
      <c r="E17" s="1" t="b">
        <f t="shared" si="1"/>
        <v>1</v>
      </c>
      <c r="F17" s="1" t="b">
        <f t="shared" si="2"/>
        <v>0</v>
      </c>
      <c r="G17" s="1" t="b">
        <f t="shared" si="3"/>
        <v>1</v>
      </c>
      <c r="H17" s="18" t="str">
        <f t="shared" si="4"/>
        <v>Precisa melhorar</v>
      </c>
      <c r="I17" s="18" t="str">
        <f t="shared" si="5"/>
        <v>Não passou</v>
      </c>
      <c r="J17" s="1"/>
      <c r="K17" s="1"/>
    </row>
    <row r="18" spans="2:11" ht="15.6">
      <c r="B18" s="1">
        <v>4</v>
      </c>
      <c r="C18" s="17">
        <v>0.56999999999999995</v>
      </c>
      <c r="D18" s="1" t="b">
        <f t="shared" si="0"/>
        <v>0</v>
      </c>
      <c r="E18" s="1" t="b">
        <f t="shared" si="1"/>
        <v>0</v>
      </c>
      <c r="F18" s="1" t="b">
        <f t="shared" si="2"/>
        <v>0</v>
      </c>
      <c r="G18" s="1" t="b">
        <f t="shared" si="3"/>
        <v>0</v>
      </c>
      <c r="H18" s="18" t="str">
        <f t="shared" si="4"/>
        <v>Precisa melhorar</v>
      </c>
      <c r="I18" s="18" t="str">
        <f t="shared" si="5"/>
        <v>Não passou</v>
      </c>
      <c r="J18" s="1"/>
      <c r="K18" s="1"/>
    </row>
    <row r="19" spans="2:11" ht="15.6">
      <c r="B19" s="15">
        <v>9</v>
      </c>
      <c r="C19" s="16">
        <v>0.99</v>
      </c>
      <c r="D19" s="1" t="b">
        <f t="shared" si="0"/>
        <v>1</v>
      </c>
      <c r="E19" s="1" t="b">
        <f t="shared" si="1"/>
        <v>1</v>
      </c>
      <c r="F19" s="1" t="b">
        <f t="shared" si="2"/>
        <v>1</v>
      </c>
      <c r="G19" s="1" t="b">
        <f t="shared" si="3"/>
        <v>1</v>
      </c>
      <c r="H19" s="1" t="str">
        <f t="shared" si="4"/>
        <v>Bom aluno</v>
      </c>
      <c r="I19" s="15" t="str">
        <f t="shared" si="5"/>
        <v>Passou de ano</v>
      </c>
      <c r="J19" s="1"/>
      <c r="K19" s="1"/>
    </row>
    <row r="20" spans="2:11" ht="15.6">
      <c r="B20" s="1">
        <v>2</v>
      </c>
      <c r="C20" s="17">
        <v>0.61</v>
      </c>
      <c r="D20" s="1" t="b">
        <f t="shared" si="0"/>
        <v>0</v>
      </c>
      <c r="E20" s="1" t="b">
        <f t="shared" si="1"/>
        <v>0</v>
      </c>
      <c r="F20" s="1" t="b">
        <f t="shared" si="2"/>
        <v>0</v>
      </c>
      <c r="G20" s="1" t="b">
        <f t="shared" si="3"/>
        <v>0</v>
      </c>
      <c r="H20" s="18" t="str">
        <f t="shared" si="4"/>
        <v>Precisa melhorar</v>
      </c>
      <c r="I20" s="18" t="str">
        <f t="shared" si="5"/>
        <v>Não passou</v>
      </c>
      <c r="J20" s="1"/>
      <c r="K20" s="1"/>
    </row>
    <row r="21" spans="2:11" ht="15.6">
      <c r="B21" s="1">
        <v>9</v>
      </c>
      <c r="C21" s="17">
        <v>0.73</v>
      </c>
      <c r="D21" s="1" t="b">
        <f t="shared" si="0"/>
        <v>1</v>
      </c>
      <c r="E21" s="1" t="b">
        <f t="shared" si="1"/>
        <v>0</v>
      </c>
      <c r="F21" s="1" t="b">
        <f t="shared" si="2"/>
        <v>0</v>
      </c>
      <c r="G21" s="1" t="b">
        <f t="shared" si="3"/>
        <v>1</v>
      </c>
      <c r="H21" s="1" t="str">
        <f t="shared" si="4"/>
        <v>Bom aluno</v>
      </c>
      <c r="I21" s="18" t="str">
        <f t="shared" si="5"/>
        <v>Não passou</v>
      </c>
      <c r="J21" s="1"/>
      <c r="K21" s="1"/>
    </row>
    <row r="22" spans="2:11">
      <c r="B22" s="28" t="s">
        <v>52</v>
      </c>
      <c r="C22" s="29"/>
      <c r="D22" s="29"/>
      <c r="E22" s="29"/>
      <c r="F22" s="29"/>
      <c r="G22" s="29"/>
      <c r="H22" s="29"/>
      <c r="I22" s="30"/>
      <c r="J22" s="1"/>
      <c r="K22" s="1"/>
    </row>
    <row r="23" spans="2:11">
      <c r="B23" s="28" t="s">
        <v>53</v>
      </c>
      <c r="C23" s="29"/>
      <c r="D23" s="29"/>
      <c r="E23" s="29"/>
      <c r="F23" s="29"/>
      <c r="G23" s="29"/>
      <c r="H23" s="29"/>
      <c r="I23" s="30"/>
      <c r="J23" s="1"/>
      <c r="K23" s="1"/>
    </row>
    <row r="24" spans="2:11">
      <c r="B24" s="28" t="s">
        <v>54</v>
      </c>
      <c r="C24" s="29"/>
      <c r="D24" s="29"/>
      <c r="E24" s="29"/>
      <c r="F24" s="29"/>
      <c r="G24" s="29"/>
      <c r="H24" s="29"/>
      <c r="I24" s="30"/>
      <c r="J24" s="1"/>
      <c r="K24" s="1"/>
    </row>
    <row r="25" spans="2:11">
      <c r="B25" s="28" t="s">
        <v>55</v>
      </c>
      <c r="C25" s="29"/>
      <c r="D25" s="29"/>
      <c r="E25" s="29"/>
      <c r="F25" s="29"/>
      <c r="G25" s="29"/>
      <c r="H25" s="29"/>
      <c r="I25" s="30"/>
      <c r="J25" s="1"/>
      <c r="K25" s="1"/>
    </row>
    <row r="26" spans="2:11">
      <c r="B26" s="28" t="s">
        <v>51</v>
      </c>
      <c r="C26" s="29"/>
      <c r="D26" s="29"/>
      <c r="E26" s="29"/>
      <c r="F26" s="29"/>
      <c r="G26" s="29"/>
      <c r="H26" s="29"/>
      <c r="I26" s="30"/>
      <c r="J26" s="1"/>
      <c r="K26" s="1"/>
    </row>
    <row r="27" spans="2:11">
      <c r="B27" s="28" t="s">
        <v>50</v>
      </c>
      <c r="C27" s="29"/>
      <c r="D27" s="29"/>
      <c r="E27" s="29"/>
      <c r="F27" s="29"/>
      <c r="G27" s="29"/>
      <c r="H27" s="29"/>
      <c r="I27" s="30"/>
      <c r="J27" s="1"/>
      <c r="K27" s="1"/>
    </row>
  </sheetData>
  <mergeCells count="9">
    <mergeCell ref="B26:I26"/>
    <mergeCell ref="B27:I27"/>
    <mergeCell ref="B2:F2"/>
    <mergeCell ref="B7:F7"/>
    <mergeCell ref="B9:I9"/>
    <mergeCell ref="B22:I22"/>
    <mergeCell ref="B23:I23"/>
    <mergeCell ref="B24:I24"/>
    <mergeCell ref="B25:I25"/>
  </mergeCells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Formatação Condicional</vt:lpstr>
      <vt:lpstr>Validação de Dados</vt:lpstr>
      <vt:lpstr>Funções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Morais</dc:creator>
  <cp:lastModifiedBy>Marcela Morais</cp:lastModifiedBy>
  <dcterms:created xsi:type="dcterms:W3CDTF">2026-01-15T01:02:01Z</dcterms:created>
  <dcterms:modified xsi:type="dcterms:W3CDTF">2026-01-19T18:10:40Z</dcterms:modified>
</cp:coreProperties>
</file>