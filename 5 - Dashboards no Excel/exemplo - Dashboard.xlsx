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timelines/timeline3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5 - Dashboards no Excel\"/>
    </mc:Choice>
  </mc:AlternateContent>
  <xr:revisionPtr revIDLastSave="0" documentId="13_ncr:1_{5DA97368-B9D8-452D-9534-E0505E2BEDE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Tabelas_Dinamicas" sheetId="7" r:id="rId2"/>
    <sheet name="Dashboard" sheetId="12" r:id="rId3"/>
    <sheet name="Planilha1" sheetId="13" r:id="rId4"/>
    <sheet name="Planilha2" sheetId="14" r:id="rId5"/>
  </sheets>
  <definedNames>
    <definedName name="_xlnm._FilterDatabase" localSheetId="0" hidden="1">Base!$A$1:$K$3204</definedName>
    <definedName name="NativeTimeline_Data_Pedido">#N/A</definedName>
    <definedName name="NativeTimeline_Data_Pedido1">#N/A</definedName>
    <definedName name="SegmentaçãodeDados_Categoria">#N/A</definedName>
    <definedName name="SegmentaçãodeDados_Categoria1">#N/A</definedName>
  </definedNames>
  <calcPr calcId="191029"/>
  <pivotCaches>
    <pivotCache cacheId="0" r:id="rId6"/>
    <pivotCache cacheId="3" r:id="rId7"/>
    <pivotCache cacheId="2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4" l="1"/>
  <c r="M6" i="12"/>
  <c r="N6" i="14"/>
  <c r="L6" i="14"/>
  <c r="P6" i="14"/>
  <c r="K6" i="12"/>
  <c r="I6" i="12"/>
  <c r="O6" i="12" l="1"/>
</calcChain>
</file>

<file path=xl/sharedStrings.xml><?xml version="1.0" encoding="utf-8"?>
<sst xmlns="http://schemas.openxmlformats.org/spreadsheetml/2006/main" count="25790" uniqueCount="3299">
  <si>
    <t>Second Class</t>
  </si>
  <si>
    <t>LS-17230</t>
  </si>
  <si>
    <t>Lycoris Saunders</t>
  </si>
  <si>
    <t>California</t>
  </si>
  <si>
    <t>Office Supplies</t>
  </si>
  <si>
    <t>Paper</t>
  </si>
  <si>
    <t>Xerox 225</t>
  </si>
  <si>
    <t>Standard Class</t>
  </si>
  <si>
    <t>BD-11605</t>
  </si>
  <si>
    <t>Brian Dahlen</t>
  </si>
  <si>
    <t>Storage</t>
  </si>
  <si>
    <t>Tennsco 6- and 18-Compartment Lockers</t>
  </si>
  <si>
    <t>Furniture</t>
  </si>
  <si>
    <t>Bookcases</t>
  </si>
  <si>
    <t>O'Sullivan Elevations Bookcase, Cherry Finish</t>
  </si>
  <si>
    <t>Art</t>
  </si>
  <si>
    <t>4009 Highlighters by Sanford</t>
  </si>
  <si>
    <t>DW-13195</t>
  </si>
  <si>
    <t>David Wiener</t>
  </si>
  <si>
    <t>Oregon</t>
  </si>
  <si>
    <t>Appliances</t>
  </si>
  <si>
    <t>Fellowes Mighty 8 Compact Surge Protector</t>
  </si>
  <si>
    <t>First Class</t>
  </si>
  <si>
    <t>TS-21340</t>
  </si>
  <si>
    <t>Toby Swindell</t>
  </si>
  <si>
    <t>Arizona</t>
  </si>
  <si>
    <t>Binders</t>
  </si>
  <si>
    <t>GBC Standard Recycled Report Covers, Clear Plastic Sheets</t>
  </si>
  <si>
    <t>TOPS Carbonless Receipt Book, Four 2-3/4 x 7-1/4 Money Receipts per Page</t>
  </si>
  <si>
    <t>Envelopes</t>
  </si>
  <si>
    <t>Tyvek  Top-Opening Peel &amp; Seel Envelopes, Plain White</t>
  </si>
  <si>
    <t>O'Sullivan 4-Shelf Bookcase in Odessa Pine</t>
  </si>
  <si>
    <t>MV-17485</t>
  </si>
  <si>
    <t>Mark Van Huff</t>
  </si>
  <si>
    <t>Wirebound Service Call Books, 5 1/2" x 4"</t>
  </si>
  <si>
    <t>Furnishings</t>
  </si>
  <si>
    <t>Eldon Expressions Desk Accessory, Wood Pencil Holder, Oak</t>
  </si>
  <si>
    <t>IM-15055</t>
  </si>
  <si>
    <t>Ionia McGrath</t>
  </si>
  <si>
    <t>Nevada</t>
  </si>
  <si>
    <t>Xerox 195</t>
  </si>
  <si>
    <t>EJ-13720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</si>
  <si>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</si>
  <si>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</si>
  <si>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</si>
  <si>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</si>
  <si>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</si>
  <si>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LC-17050</t>
  </si>
  <si>
    <t>Liz Carlisle</t>
  </si>
  <si>
    <t>Sauder Facets Collection Library, Sky Alder Finish</t>
  </si>
  <si>
    <t>CD-12790</t>
  </si>
  <si>
    <t>Cynthia Delaney</t>
  </si>
  <si>
    <t>Fasteners</t>
  </si>
  <si>
    <t>Staples</t>
  </si>
  <si>
    <t>TB-21400</t>
  </si>
  <si>
    <t>Tom Boeckenhauer</t>
  </si>
  <si>
    <t>Washington</t>
  </si>
  <si>
    <t>Ibico Laser Imprintable Binding System Covers</t>
  </si>
  <si>
    <t>Avery Durable Poly Binders</t>
  </si>
  <si>
    <t>DB-13270</t>
  </si>
  <si>
    <t>Deborah Brumfield</t>
  </si>
  <si>
    <t>GBC Recycled Grain Textured Covers</t>
  </si>
  <si>
    <t>Message Book, Standard Line "While You Were Out", 5 1/2" X 4", 200 Sets/Book</t>
  </si>
  <si>
    <t>MH-17440</t>
  </si>
  <si>
    <t>Mark Haberlin</t>
  </si>
  <si>
    <t>NM-18445</t>
  </si>
  <si>
    <t>Nathan Mautz</t>
  </si>
  <si>
    <t>Master Caster Door Stop, Large Brown</t>
  </si>
  <si>
    <t>SC-20095</t>
  </si>
  <si>
    <t>Sanjit Chand</t>
  </si>
  <si>
    <t>Chairs</t>
  </si>
  <si>
    <t>Global Geo Office Task Chair, Gray</t>
  </si>
  <si>
    <t>ML-17395</t>
  </si>
  <si>
    <t>Marina Lichtenstein</t>
  </si>
  <si>
    <t>Technology</t>
  </si>
  <si>
    <t>Accessories</t>
  </si>
  <si>
    <t>Logitech G600 MMO Gaming Mouse</t>
  </si>
  <si>
    <t>Belkin 8 Outlet Surge Protector</t>
  </si>
  <si>
    <t>Supplies</t>
  </si>
  <si>
    <t>Compact Automatic Electric Letter Opener</t>
  </si>
  <si>
    <t>BF-11020</t>
  </si>
  <si>
    <t>Barry Französisch</t>
  </si>
  <si>
    <t>Pressboard Data Binders by Wilson Jones</t>
  </si>
  <si>
    <t>SR-20740</t>
  </si>
  <si>
    <t>Steven Roelle</t>
  </si>
  <si>
    <t>Xerox 204</t>
  </si>
  <si>
    <t>SA-20830</t>
  </si>
  <si>
    <t>Sue Ann Reed</t>
  </si>
  <si>
    <t>Xerox 220</t>
  </si>
  <si>
    <t>JH-15430</t>
  </si>
  <si>
    <t>Jennifer Halladay</t>
  </si>
  <si>
    <t>Message Book, Wirebound, Four 5 1/2" X 4" Forms/Pg., 200 Dupl. Sets/Book</t>
  </si>
  <si>
    <t>TOPS 4 x 6 Fluorescent Color Memo Sheets, 500 Sheets per Pack</t>
  </si>
  <si>
    <t>DB-13060</t>
  </si>
  <si>
    <t>Dave Brooks</t>
  </si>
  <si>
    <t>Global Deluxe High-Back Manager's Chair</t>
  </si>
  <si>
    <t>EJ-14155</t>
  </si>
  <si>
    <t>Eva Jacobs</t>
  </si>
  <si>
    <t>Bevis Oval Conference Table, Walnut</t>
  </si>
  <si>
    <t>AB-10015</t>
  </si>
  <si>
    <t>Aaron Bergman</t>
  </si>
  <si>
    <t>Global Push Button Manager's Chair, Indigo</t>
  </si>
  <si>
    <t>Newell 330</t>
  </si>
  <si>
    <t>Carina 42"Hx23 3/4"W Media Storage Unit</t>
  </si>
  <si>
    <t>NP-18685</t>
  </si>
  <si>
    <t>Nora Pelletier</t>
  </si>
  <si>
    <t>Catalog Binders with Expanding Posts</t>
  </si>
  <si>
    <t>CM-12715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</si>
  <si>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</si>
  <si>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</si>
  <si>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</si>
  <si>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</si>
  <si>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</si>
  <si>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KT-16480</t>
  </si>
  <si>
    <t>Kean Thornton</t>
  </si>
  <si>
    <t>Colorado</t>
  </si>
  <si>
    <t>BOSTON Ranger #55 Pencil Sharpener, Black</t>
  </si>
  <si>
    <t>RB-19435</t>
  </si>
  <si>
    <t>Richard Bierner</t>
  </si>
  <si>
    <t>Economy #2 Pencils</t>
  </si>
  <si>
    <t>DK-13225</t>
  </si>
  <si>
    <t>Dean Katz</t>
  </si>
  <si>
    <t>Xerox 1972</t>
  </si>
  <si>
    <t>Avery Hi-Liter Fluorescent Desk Style Markers</t>
  </si>
  <si>
    <t>JF-15295</t>
  </si>
  <si>
    <t>Jason Fortune-</t>
  </si>
  <si>
    <t>Utah</t>
  </si>
  <si>
    <t>GBC Wire Binding Combs</t>
  </si>
  <si>
    <t>Carina Double Wide Media Storage Towers in Natural &amp; Black</t>
  </si>
  <si>
    <t>Imation 30456 USB Flash Drive 8GB</t>
  </si>
  <si>
    <t>Staple magnet</t>
  </si>
  <si>
    <t>Premium Transparent Presentation Covers, No Pattern/Clear, 8 1/2" x 11"</t>
  </si>
  <si>
    <t>EK-13795</t>
  </si>
  <si>
    <t>Eileen Kiefer</t>
  </si>
  <si>
    <t>Bush Heritage Pine Collection 5-Shelf Bookcase, Albany Pine Finish, *Special Order</t>
  </si>
  <si>
    <t>SC-20050</t>
  </si>
  <si>
    <t>Sample Company A</t>
  </si>
  <si>
    <t>Eldon Cleatmat Chair Mats for Medium Pile Carpets</t>
  </si>
  <si>
    <t>Machines</t>
  </si>
  <si>
    <t>Swingline SM12-08 MicroCut Jam Free Shredder</t>
  </si>
  <si>
    <t>BF-11275</t>
  </si>
  <si>
    <t>Beth Fritzler</t>
  </si>
  <si>
    <t>Xerox 1951</t>
  </si>
  <si>
    <t>Office Star - Mesh Screen back chair with Vinyl seat</t>
  </si>
  <si>
    <t>PO-18865</t>
  </si>
  <si>
    <t>Patrick O'Donnell</t>
  </si>
  <si>
    <t>Economy Rollaway Files</t>
  </si>
  <si>
    <t>Phones</t>
  </si>
  <si>
    <t>Ooma Telo VoIP Home Phone System</t>
  </si>
  <si>
    <t>MS-17710</t>
  </si>
  <si>
    <t>Maurice Satty</t>
  </si>
  <si>
    <t>DAX Contemporary Wood Frame with Silver Metal Mat, Desktop, 11 x 14 Size</t>
  </si>
  <si>
    <t>CA-12265</t>
  </si>
  <si>
    <t>Christina Anderson</t>
  </si>
  <si>
    <t>Newell 35</t>
  </si>
  <si>
    <t>Eberhard Faber 3 1/2" Golf Pencils</t>
  </si>
  <si>
    <t>Imation Swivel Flash Drive USB flash drive - 8 GB</t>
  </si>
  <si>
    <t>BIC Brite Liner Grip Highlighters, Assorted, 5/Pack</t>
  </si>
  <si>
    <t>JD-15895</t>
  </si>
  <si>
    <t>Jonathan Doherty</t>
  </si>
  <si>
    <t>SanDisk Ultra 32 GB MicroSDHC Class 10 Memory Card</t>
  </si>
  <si>
    <t>DK-12835</t>
  </si>
  <si>
    <t>Damala Kotsonis</t>
  </si>
  <si>
    <t>Newell 308</t>
  </si>
  <si>
    <t>Wilson Jones Leather-Like Binders with DublLock Round Rings</t>
  </si>
  <si>
    <t>Griffin GC17055 Auxiliary Audio Cable</t>
  </si>
  <si>
    <t>CS-12505</t>
  </si>
  <si>
    <t>Cindy Stewart</t>
  </si>
  <si>
    <t>Labels</t>
  </si>
  <si>
    <t>Smead Alpha-Z Color-Coded Name Labels First Letter Starter Set</t>
  </si>
  <si>
    <t>DR-12940</t>
  </si>
  <si>
    <t>Daniel Raglin</t>
  </si>
  <si>
    <t>New Mexico</t>
  </si>
  <si>
    <t>AT&amp;T TR1909W</t>
  </si>
  <si>
    <t>Dl-13600</t>
  </si>
  <si>
    <t>Dorris liebe</t>
  </si>
  <si>
    <t>Sterilite Show Offs Storage Containers</t>
  </si>
  <si>
    <t>Avery 490</t>
  </si>
  <si>
    <t>GA-14725</t>
  </si>
  <si>
    <t>Guy Armstrong</t>
  </si>
  <si>
    <t>O'Sullivan Living Dimensions 2-Shelf Bookcases</t>
  </si>
  <si>
    <t>AA-10315</t>
  </si>
  <si>
    <t>Alex Avila</t>
  </si>
  <si>
    <t>GBC DocuBind 200 Manual Binding Machine</t>
  </si>
  <si>
    <t>Fellowes Advanced Computer Series Surge Protectors</t>
  </si>
  <si>
    <t>KM-16720</t>
  </si>
  <si>
    <t>Kunst Miller</t>
  </si>
  <si>
    <t>Pressboard Data Binder, Crimson, 12" X 8 1/2"</t>
  </si>
  <si>
    <t>KE-16420</t>
  </si>
  <si>
    <t>Katrina Edelman</t>
  </si>
  <si>
    <t>Staple envelope</t>
  </si>
  <si>
    <t>Enermax Briskie RF Wireless Keyboard and Mouse Combo</t>
  </si>
  <si>
    <t>PK-18910</t>
  </si>
  <si>
    <t>Paul Knutson</t>
  </si>
  <si>
    <t>Avery 518</t>
  </si>
  <si>
    <t>MZ-17515</t>
  </si>
  <si>
    <t>Mary Zewe</t>
  </si>
  <si>
    <t>Avery Non-Stick Binders</t>
  </si>
  <si>
    <t>SC-20260</t>
  </si>
  <si>
    <t>Scott Cohen</t>
  </si>
  <si>
    <t>Chromcraft Bull-Nose Wood Round Conference Table Top, Wood Base</t>
  </si>
  <si>
    <t>Kingston Digital DataTraveler 32GB USB 2.0</t>
  </si>
  <si>
    <t>AY-10555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</si>
  <si>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</si>
  <si>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</si>
  <si>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</si>
  <si>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</si>
  <si>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</si>
  <si>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FH-14275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</si>
  <si>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</si>
  <si>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</si>
  <si>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</si>
  <si>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</si>
  <si>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JM-15655</t>
  </si>
  <si>
    <t>Jim Mitchum</t>
  </si>
  <si>
    <t>Binder Clips by OIC</t>
  </si>
  <si>
    <t>Things To Do Today Spiral Book</t>
  </si>
  <si>
    <t>PC-19000</t>
  </si>
  <si>
    <t>Pauline Chand</t>
  </si>
  <si>
    <t>Alliance Super-Size Bands, Assorted Sizes</t>
  </si>
  <si>
    <t>Bevis 36 x 72 Conference Tables</t>
  </si>
  <si>
    <t>Logitech Wireless Headset h800</t>
  </si>
  <si>
    <t>SE-20110</t>
  </si>
  <si>
    <t>Sanjit Engle</t>
  </si>
  <si>
    <t>Idaho</t>
  </si>
  <si>
    <t>GBC Personal VeloBind Strips</t>
  </si>
  <si>
    <t>MM-18055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</si>
  <si>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</si>
  <si>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</si>
  <si>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</si>
  <si>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</si>
  <si>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</si>
  <si>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KN-16450</t>
  </si>
  <si>
    <t>Kean Nguyen</t>
  </si>
  <si>
    <t>Pyle PMP37LED</t>
  </si>
  <si>
    <t>AT&amp;T 1080 Corded phone</t>
  </si>
  <si>
    <t>Recycled Pressboard Report Cover with Reinforced Top Hinge</t>
  </si>
  <si>
    <t>EH-13765</t>
  </si>
  <si>
    <t>Edward Hooks</t>
  </si>
  <si>
    <t>Prismacolor Color Pencil Set</t>
  </si>
  <si>
    <t>Same Day</t>
  </si>
  <si>
    <t>PS-18970</t>
  </si>
  <si>
    <t>Paul Stevenson</t>
  </si>
  <si>
    <t>Belkin F9G930V10-GRY 9 Outlet Surge</t>
  </si>
  <si>
    <t>Howard Miller 13" Diameter Goldtone Round Wall Clock</t>
  </si>
  <si>
    <t>JL-15835</t>
  </si>
  <si>
    <t>John Lee</t>
  </si>
  <si>
    <t>Ativa MDM8000 8-Sheet Micro-Cut Shredder</t>
  </si>
  <si>
    <t>Newell 351</t>
  </si>
  <si>
    <t>Binney &amp; Smith inkTank Desk Highlighter, Chisel Tip, Yellow, 12/Box</t>
  </si>
  <si>
    <t>Advantus Push Pins, Aluminum Head</t>
  </si>
  <si>
    <t>NF-18595</t>
  </si>
  <si>
    <t>Nicole Fjeld</t>
  </si>
  <si>
    <t>Executive Impressions 13" Chairman Wall Clock</t>
  </si>
  <si>
    <t>BP-11230</t>
  </si>
  <si>
    <t>Benjamin Patterson</t>
  </si>
  <si>
    <t>GE 4 Foot Flourescent Tube, 40 Watt</t>
  </si>
  <si>
    <t>AA-10375</t>
  </si>
  <si>
    <t>Allen Armold</t>
  </si>
  <si>
    <t>ACCOHIDE Binder by Acco</t>
  </si>
  <si>
    <t>Xerox 1891</t>
  </si>
  <si>
    <t>BT-11305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</si>
  <si>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</si>
  <si>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</si>
  <si>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</si>
  <si>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</si>
  <si>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AG-10300</t>
  </si>
  <si>
    <t>Aleksandra Gannaway</t>
  </si>
  <si>
    <t>Bevis Steel Folding Chairs</t>
  </si>
  <si>
    <t>Acco Pressboard Covers with Storage Hooks, 14 7/8" x 11", Executive Red</t>
  </si>
  <si>
    <t>MH-17290</t>
  </si>
  <si>
    <t>Marc Harrigan</t>
  </si>
  <si>
    <t>Newell 347</t>
  </si>
  <si>
    <t>Avery 495</t>
  </si>
  <si>
    <t>AI-10855</t>
  </si>
  <si>
    <t>Arianne Irving</t>
  </si>
  <si>
    <t>Samsung Galaxy Mega 6.3</t>
  </si>
  <si>
    <t>BS-11365</t>
  </si>
  <si>
    <t>Bill Shonely</t>
  </si>
  <si>
    <t>Eldon Regeneration Recycled Desk Accessories, Smoke</t>
  </si>
  <si>
    <t>Holmes Odor Grabber</t>
  </si>
  <si>
    <t>HP-14815</t>
  </si>
  <si>
    <t>Harold Pawlan</t>
  </si>
  <si>
    <t>Wilson Jones Legal Size Ring Binders</t>
  </si>
  <si>
    <t>SN-20710</t>
  </si>
  <si>
    <t>Steve Nguyen</t>
  </si>
  <si>
    <t>Staple-on labels</t>
  </si>
  <si>
    <t>Model L Table or Wall-Mount Pencil Sharpener</t>
  </si>
  <si>
    <t>PG-18820</t>
  </si>
  <si>
    <t>Patrick Gardner</t>
  </si>
  <si>
    <t>Sony Micro Vault Click 16 GB USB 2.0 Flash Drive</t>
  </si>
  <si>
    <t>Strathmore #10 Envelopes, Ultimate White</t>
  </si>
  <si>
    <t>LF Elite 3D Dazzle Designer Hard Case Cover, Lf Stylus Pen and Wiper For Apple Iphone 5c Mini Lite</t>
  </si>
  <si>
    <t>GM-14680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</si>
  <si>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</si>
  <si>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</si>
  <si>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</si>
  <si>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</si>
  <si>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</si>
  <si>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AG-10270</t>
  </si>
  <si>
    <t>Alejandro Grove</t>
  </si>
  <si>
    <t>Fellowes Super Stor/Drawer</t>
  </si>
  <si>
    <t>NP-18325</t>
  </si>
  <si>
    <t>Naresj Patel</t>
  </si>
  <si>
    <t>Plantronics Audio 478 Stereo USB Headset</t>
  </si>
  <si>
    <t>AH-10030</t>
  </si>
  <si>
    <t>Aaron Hawkins</t>
  </si>
  <si>
    <t>Iceberg Nesting Folding Chair, 19w x 6d x 43h</t>
  </si>
  <si>
    <t>EcoTones Memo Sheets</t>
  </si>
  <si>
    <t>PW-19030</t>
  </si>
  <si>
    <t>Pauline Webber</t>
  </si>
  <si>
    <t>CC-12475</t>
  </si>
  <si>
    <t>Cindy Chapman</t>
  </si>
  <si>
    <t>Imation Clip USB flash drive - 8 GB</t>
  </si>
  <si>
    <t>BT-11530</t>
  </si>
  <si>
    <t>Bradley Talbott</t>
  </si>
  <si>
    <t>EH-13990</t>
  </si>
  <si>
    <t>Erica Hackney</t>
  </si>
  <si>
    <t>Xerox 1999</t>
  </si>
  <si>
    <t>Sauder Inglewood Library Bookcases</t>
  </si>
  <si>
    <t>VTech DS6151</t>
  </si>
  <si>
    <t>netTALK DUO VoIP Telephone Service</t>
  </si>
  <si>
    <t>HF-14995</t>
  </si>
  <si>
    <t>Herbert Flentye</t>
  </si>
  <si>
    <t>Hon Olson Stacker Stools</t>
  </si>
  <si>
    <t>Dp-13240</t>
  </si>
  <si>
    <t>Dean percer</t>
  </si>
  <si>
    <t>MH-17785</t>
  </si>
  <si>
    <t>Maya Herman</t>
  </si>
  <si>
    <t>KI Conference Tables</t>
  </si>
  <si>
    <t>Fellowes Officeware Wire Shelving</t>
  </si>
  <si>
    <t>LC-16885</t>
  </si>
  <si>
    <t>Lena Creighton</t>
  </si>
  <si>
    <t>Plantronics HL10 Handset Lifter</t>
  </si>
  <si>
    <t>Logitech Wireless Performance Mouse MX for PC and Mac</t>
  </si>
  <si>
    <t>PJ-18835</t>
  </si>
  <si>
    <t>Patrick Jones</t>
  </si>
  <si>
    <t>I Need's 3d Hello Kitty Hybrid Silicone Case Cover for HTC One X 4g with 3d Hello Kitty Stylus Pen Green/pink</t>
  </si>
  <si>
    <t>MM-17260</t>
  </si>
  <si>
    <t>Magdelene Morse</t>
  </si>
  <si>
    <t>Green Canvas Binder for 8-1/2" x 14" Sheets</t>
  </si>
  <si>
    <t>CK-12325</t>
  </si>
  <si>
    <t>Christine Kargatis</t>
  </si>
  <si>
    <t>GBC Standard Therm-A-Bind Covers</t>
  </si>
  <si>
    <t>Aluminum Document Frame</t>
  </si>
  <si>
    <t>SC-20725</t>
  </si>
  <si>
    <t>Steven Cartwright</t>
  </si>
  <si>
    <t>KI Adjustable-Height Table</t>
  </si>
  <si>
    <t>CS-11950</t>
  </si>
  <si>
    <t>Carlos Soltero</t>
  </si>
  <si>
    <t>Hon Deluxe Fabric Upholstered Stacking Chairs, Squared Back</t>
  </si>
  <si>
    <t>BH-11710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</si>
  <si>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</si>
  <si>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</si>
  <si>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</si>
  <si>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</si>
  <si>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</si>
  <si>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</si>
  <si>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</si>
  <si>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</si>
  <si>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CM-12445</t>
  </si>
  <si>
    <t>Chuck Magee</t>
  </si>
  <si>
    <t>Staple remover</t>
  </si>
  <si>
    <t>Deluxe Chalkboard Eraser Cleaner</t>
  </si>
  <si>
    <t>TS-21205</t>
  </si>
  <si>
    <t>Thomas Seio</t>
  </si>
  <si>
    <t>DIXON Oriole Pencils</t>
  </si>
  <si>
    <t>Xerox 1909</t>
  </si>
  <si>
    <t>Executive Impressions 13-1/2" Indoor/Outdoor Wall Clock</t>
  </si>
  <si>
    <t>FM-14215</t>
  </si>
  <si>
    <t>Filia McAdams</t>
  </si>
  <si>
    <t>Staples in misc. colors</t>
  </si>
  <si>
    <t>GH-14425</t>
  </si>
  <si>
    <t>Gary Hwang</t>
  </si>
  <si>
    <t>Eldon Wave Desk Accessories</t>
  </si>
  <si>
    <t>OIC Binder Clips</t>
  </si>
  <si>
    <t>GBC DocuBind P400 Electric Binding System</t>
  </si>
  <si>
    <t>MC-18100</t>
  </si>
  <si>
    <t>Mick Crebagga</t>
  </si>
  <si>
    <t>Plantronics Cordless Phone Headset with In-line Volume - M214C</t>
  </si>
  <si>
    <t>SV-20785</t>
  </si>
  <si>
    <t>Stewart Visinsky</t>
  </si>
  <si>
    <t>Wilson Jones 1" Hanging DublLock Ring Binders</t>
  </si>
  <si>
    <t>Avery Trapezoid Extra Heavy Duty 4" Binders</t>
  </si>
  <si>
    <t>JE-15745</t>
  </si>
  <si>
    <t>Joel Eaton</t>
  </si>
  <si>
    <t>KeyTronic 6101 Series - Keyboard - Black</t>
  </si>
  <si>
    <t>TB-21280</t>
  </si>
  <si>
    <t>Toby Braunhardt</t>
  </si>
  <si>
    <t>SpineVue Locking Slant-D Ring Binders by Cardinal</t>
  </si>
  <si>
    <t>LP-17080</t>
  </si>
  <si>
    <t>Liz Pelletier</t>
  </si>
  <si>
    <t>Acrylic Self-Standing Desk Frames</t>
  </si>
  <si>
    <t>NS-18640</t>
  </si>
  <si>
    <t>Noel Staavos</t>
  </si>
  <si>
    <t>Hon 4060 Series Tables</t>
  </si>
  <si>
    <t>GK-14620</t>
  </si>
  <si>
    <t>Grace Kelly</t>
  </si>
  <si>
    <t>Plantronics 81402</t>
  </si>
  <si>
    <t>Avery Hi-Liter EverBold Pen Style Fluorescent Highlighters, 4/Pack</t>
  </si>
  <si>
    <t>Hunt BOSTON Vista Battery-Operated Pencil Sharpener, Black</t>
  </si>
  <si>
    <t>AR-10825</t>
  </si>
  <si>
    <t>Anthony Rawles</t>
  </si>
  <si>
    <t>BIC Brite Liner Highlighters, Chisel Tip</t>
  </si>
  <si>
    <t>Cardinal Holdit Business Card Pockets</t>
  </si>
  <si>
    <t>DP-13390</t>
  </si>
  <si>
    <t>Dennis Pardue</t>
  </si>
  <si>
    <t>Vinyl Sectional Post Binders</t>
  </si>
  <si>
    <t>BC-11125</t>
  </si>
  <si>
    <t>Becky Castell</t>
  </si>
  <si>
    <t>Global Comet Stacking Armless Chair</t>
  </si>
  <si>
    <t>EB-13705</t>
  </si>
  <si>
    <t>Ed Braxton</t>
  </si>
  <si>
    <t>Hon 2111 Invitation Series Corner Table</t>
  </si>
  <si>
    <t>Wilson Jones Ledger-Size, Piano-Hinge Binder, 2", Blue</t>
  </si>
  <si>
    <t>GH-14410</t>
  </si>
  <si>
    <t>Gary Hansen</t>
  </si>
  <si>
    <t>Avery 49</t>
  </si>
  <si>
    <t>Perma STOR-ALL Hanging File Box, 13 1/8"W x 12 1/4"D x 10 1/2"H</t>
  </si>
  <si>
    <t>DS-13030</t>
  </si>
  <si>
    <t>Darrin Sayre</t>
  </si>
  <si>
    <t>Avery Hidden Tab Dividers for Binding Systems</t>
  </si>
  <si>
    <t>Prang Drawing Pencil Set</t>
  </si>
  <si>
    <t>Xerox 1967</t>
  </si>
  <si>
    <t>AC-10420</t>
  </si>
  <si>
    <t>Alyssa Crouse</t>
  </si>
  <si>
    <t>Tuff Stuff Recycled Round Ring Binders</t>
  </si>
  <si>
    <t>Hon 5100 Series Wood Tables</t>
  </si>
  <si>
    <t>BF-11170</t>
  </si>
  <si>
    <t>Ben Ferrer</t>
  </si>
  <si>
    <t>GE DSL Phone Line Filter</t>
  </si>
  <si>
    <t>CL-12565</t>
  </si>
  <si>
    <t>Clay Ludtke</t>
  </si>
  <si>
    <t>Safco Chair Connectors, 6/Carton</t>
  </si>
  <si>
    <t>Self-Adhesive Ring Binder Labels</t>
  </si>
  <si>
    <t>Bevis Round Conference Table Top &amp; Single Column Base</t>
  </si>
  <si>
    <t>PB-19150</t>
  </si>
  <si>
    <t>Philip Brown</t>
  </si>
  <si>
    <t>Eldon Fold 'N Roll Cart System</t>
  </si>
  <si>
    <t>AH-10120</t>
  </si>
  <si>
    <t>Adrian Hane</t>
  </si>
  <si>
    <t>Office Star - Ergonomically Designed Knee Chair</t>
  </si>
  <si>
    <t>EM-14140</t>
  </si>
  <si>
    <t>Eugene Moren</t>
  </si>
  <si>
    <t>Acco Pressboard Covers with Storage Hooks, 14 7/8" x 11", Dark Blue</t>
  </si>
  <si>
    <t>CC-12145</t>
  </si>
  <si>
    <t>Charles Crestani</t>
  </si>
  <si>
    <t>Xerox 189</t>
  </si>
  <si>
    <t>Wilson Jones Custom Binder Spines &amp; Labels</t>
  </si>
  <si>
    <t>Xerox 1897</t>
  </si>
  <si>
    <t>Nu-Dell Leatherette Frames</t>
  </si>
  <si>
    <t>RD-19720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</si>
  <si>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</si>
  <si>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</si>
  <si>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</si>
  <si>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</si>
  <si>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</si>
  <si>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</si>
  <si>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Hot File 7-Pocket, Floor Stand</t>
  </si>
  <si>
    <t>ME-18010</t>
  </si>
  <si>
    <t>Michelle Ellison</t>
  </si>
  <si>
    <t>Newell 334</t>
  </si>
  <si>
    <t>Global Troy Executive Leather Low-Back Tilter</t>
  </si>
  <si>
    <t>Hon 30" x 60" Table with Locking Drawer</t>
  </si>
  <si>
    <t>Newell 32</t>
  </si>
  <si>
    <t>Eldon Mobile Mega Data Cart  Mega Stackable  Add-On Trays</t>
  </si>
  <si>
    <t>Safco Drafting Table</t>
  </si>
  <si>
    <t>AB-10255</t>
  </si>
  <si>
    <t>Alejandro Ballentine</t>
  </si>
  <si>
    <t>Crayola Colored Pencils</t>
  </si>
  <si>
    <t>AG-10900</t>
  </si>
  <si>
    <t>Arthur Gainer</t>
  </si>
  <si>
    <t>NETGEAR AC1750 Dual Band Gigabit Smart WiFi Router</t>
  </si>
  <si>
    <t>Newell 324</t>
  </si>
  <si>
    <t>Microsoft Natural Keyboard Elite</t>
  </si>
  <si>
    <t>NC-18535</t>
  </si>
  <si>
    <t>Nick Crebassa</t>
  </si>
  <si>
    <t>Acme Softgrip Scissors</t>
  </si>
  <si>
    <t>AT&amp;T CL2909</t>
  </si>
  <si>
    <t>Imation 8gb Micro Traveldrive Usb 2.0 Flash Drive</t>
  </si>
  <si>
    <t>KL-16645</t>
  </si>
  <si>
    <t>Ken Lonsdale</t>
  </si>
  <si>
    <t>Fellowes Personal Hanging Folder Files, Navy</t>
  </si>
  <si>
    <t>High Speed Automatic Electric Letter Opener</t>
  </si>
  <si>
    <t>Staple-based wall hangings</t>
  </si>
  <si>
    <t>VF-21715</t>
  </si>
  <si>
    <t>Vicky Freymann</t>
  </si>
  <si>
    <t>Xerox 1966</t>
  </si>
  <si>
    <t>Acme Kleen Earth Office Shears</t>
  </si>
  <si>
    <t>Apple iPhone 5S</t>
  </si>
  <si>
    <t>Hon 2090 “Pillow Soft” Series Mid Back Swivel/Tilt Chairs</t>
  </si>
  <si>
    <t>Tensor Computer Mounted Lamp</t>
  </si>
  <si>
    <t>Logitech Illuminated Ultrathin Keyboard with Backlighting</t>
  </si>
  <si>
    <t>JO-15145</t>
  </si>
  <si>
    <t>Jack O'Briant</t>
  </si>
  <si>
    <t>Memorex Micro Travel Drive 16 GB</t>
  </si>
  <si>
    <t>GW-14605</t>
  </si>
  <si>
    <t>Giulietta Weimer</t>
  </si>
  <si>
    <t>WD My Passport Ultra 2TB Portable External Hard Drive</t>
  </si>
  <si>
    <t>BB-10990</t>
  </si>
  <si>
    <t>Barry Blumstein</t>
  </si>
  <si>
    <t>SAFCO Commercial Wire Shelving, Black</t>
  </si>
  <si>
    <t>TS-21430</t>
  </si>
  <si>
    <t>Tom Stivers</t>
  </si>
  <si>
    <t>Rush Hierlooms Collection 1" Thick Stackable Bookcases</t>
  </si>
  <si>
    <t>IL-15100</t>
  </si>
  <si>
    <t>Ivan Liston</t>
  </si>
  <si>
    <t>Wilson Jones data.warehouse D-Ring Binders with DublLock</t>
  </si>
  <si>
    <t>BS-11755</t>
  </si>
  <si>
    <t>Bruce Stewart</t>
  </si>
  <si>
    <t>BoxOffice By Design Rectangular and Half-Moon Meeting Room Tables</t>
  </si>
  <si>
    <t>Bravo II Megaboss 12-Amp Hard Body Upright, Replacement Belts, 2 Belts per Pack</t>
  </si>
  <si>
    <t>White Computer Printout Paper by Universal</t>
  </si>
  <si>
    <t>VD-21670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</si>
  <si>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</si>
  <si>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</si>
  <si>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</si>
  <si>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</si>
  <si>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</si>
  <si>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</si>
  <si>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</si>
  <si>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CS-12130</t>
  </si>
  <si>
    <t>Chad Sievert</t>
  </si>
  <si>
    <t>Adams Phone Message Book, Professional, 400 Message Capacity, 5 3/6” x 11”</t>
  </si>
  <si>
    <t>Xerox 1913</t>
  </si>
  <si>
    <t>Global Value Steno Chair, Gray</t>
  </si>
  <si>
    <t>SS-20590</t>
  </si>
  <si>
    <t>Sonia Sunley</t>
  </si>
  <si>
    <t>Logitech Desktop MK120 Mouse and keyboard Combo</t>
  </si>
  <si>
    <t>Akro Stacking Bins</t>
  </si>
  <si>
    <t>Boston KS Multi-Size Manual Pencil Sharpener</t>
  </si>
  <si>
    <t>LR-16915</t>
  </si>
  <si>
    <t>Lena Radford</t>
  </si>
  <si>
    <t>Fellowes Superior 10 Outlet Split Surge Protector</t>
  </si>
  <si>
    <t>Copiers</t>
  </si>
  <si>
    <t>Sharp AL-1530CS Digital Copier</t>
  </si>
  <si>
    <t>AT&amp;T 1070 Corded Phone</t>
  </si>
  <si>
    <t>Dana Halogen Swing-Arm Architect Lamp</t>
  </si>
  <si>
    <t>MB-17305</t>
  </si>
  <si>
    <t>Maria Bertelson</t>
  </si>
  <si>
    <t>Eldon Delta Triangular Chair Mat, 52" x 58", Clear</t>
  </si>
  <si>
    <t>SanDisk Ultra 64 GB MicroSDHC Class 10 Memory Card</t>
  </si>
  <si>
    <t>TM-21010</t>
  </si>
  <si>
    <t>Tamara Manning</t>
  </si>
  <si>
    <t>Advantus Rolling Drawer Organizers</t>
  </si>
  <si>
    <t>ED-13885</t>
  </si>
  <si>
    <t>Emily Ducich</t>
  </si>
  <si>
    <t>Avery 494</t>
  </si>
  <si>
    <t>MG-17650</t>
  </si>
  <si>
    <t>Matthew Grinstein</t>
  </si>
  <si>
    <t>Cisco Unified IP Phone 7945G VoIP phone</t>
  </si>
  <si>
    <t>Jawbone MINI JAMBOX Wireless Bluetooth Speaker</t>
  </si>
  <si>
    <t>JH-15985</t>
  </si>
  <si>
    <t>Joseph Holt</t>
  </si>
  <si>
    <t>Ibico Ibimaster 300 Manual Binding System</t>
  </si>
  <si>
    <t>GM-14500</t>
  </si>
  <si>
    <t>Gene McClure</t>
  </si>
  <si>
    <t>Great White Multi-Use Recycled Paper (20Lb. and 84 Bright)</t>
  </si>
  <si>
    <t>Super Bands, 12/Pack</t>
  </si>
  <si>
    <t>Avery Hole Reinforcements</t>
  </si>
  <si>
    <t>Eldon Image Series Desk Accessories, Ebony</t>
  </si>
  <si>
    <t>Sanford 52201 APSCO Electric Pencil Sharpener</t>
  </si>
  <si>
    <t>Vinyl Coated Wire Paper Clips in Organizer Box, 800/Box</t>
  </si>
  <si>
    <t>BW-11200</t>
  </si>
  <si>
    <t>Ben Wallace</t>
  </si>
  <si>
    <t>BlackBerry Q10</t>
  </si>
  <si>
    <t>Seth Thomas 14" Day/Date Wall Clock</t>
  </si>
  <si>
    <t>Tripp Lite TLP810NET Broadband Surge for Modem/Fax</t>
  </si>
  <si>
    <t>Xerox 1925</t>
  </si>
  <si>
    <t>Avery Heavy-Duty EZD  Binder With Locking Rings</t>
  </si>
  <si>
    <t>GBC Durable Plastic Covers</t>
  </si>
  <si>
    <t>Novimex Fabric Task Chair</t>
  </si>
  <si>
    <t>Deflect-o EconoMat Studded, No Bevel Mat for Low Pile Carpeting</t>
  </si>
  <si>
    <t>Satellite Sectional Post Binders</t>
  </si>
  <si>
    <t>RB-19645</t>
  </si>
  <si>
    <t>Robert Barroso</t>
  </si>
  <si>
    <t>GBC Linen Binding Covers</t>
  </si>
  <si>
    <t>AP-10915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</si>
  <si>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</si>
  <si>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</si>
  <si>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</si>
  <si>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</si>
  <si>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</si>
  <si>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</si>
  <si>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</si>
  <si>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SlimView Poly Binder, 3/8"</t>
  </si>
  <si>
    <t>JM-15265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</si>
  <si>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</si>
  <si>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</si>
  <si>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</si>
  <si>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</si>
  <si>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</si>
  <si>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MW-18220</t>
  </si>
  <si>
    <t>Mitch Webber</t>
  </si>
  <si>
    <t>Polycom VVX 310 VoIP phone</t>
  </si>
  <si>
    <t>FM-14290</t>
  </si>
  <si>
    <t>Frank Merwin</t>
  </si>
  <si>
    <t>ZD-21925</t>
  </si>
  <si>
    <t>Zuschuss Donatelli</t>
  </si>
  <si>
    <t>Newell 341</t>
  </si>
  <si>
    <t>Cisco SPA 501G IP Phone</t>
  </si>
  <si>
    <t>Wilson Jones Hanging View Binder, White, 1"</t>
  </si>
  <si>
    <t>HH-15010</t>
  </si>
  <si>
    <t>Hilary Holden</t>
  </si>
  <si>
    <t>Xerox 1940</t>
  </si>
  <si>
    <t>Xerox 1986</t>
  </si>
  <si>
    <t>SJ-20500</t>
  </si>
  <si>
    <t>Shirley Jackson</t>
  </si>
  <si>
    <t>KeyTronic KT400U2 - Keyboard - Black</t>
  </si>
  <si>
    <t>LT-16765</t>
  </si>
  <si>
    <t>Larry Tron</t>
  </si>
  <si>
    <t>BOSTON Model 1800 Electric Pencil Sharpeners, Putty/Woodgrain</t>
  </si>
  <si>
    <t>VP-21760</t>
  </si>
  <si>
    <t>Victoria Pisteka</t>
  </si>
  <si>
    <t>Avery 516</t>
  </si>
  <si>
    <t>LR-17035</t>
  </si>
  <si>
    <t>Lisa Ryan</t>
  </si>
  <si>
    <t>Acme Design Line 8" Stainless Steel Bent Scissors w/Champagne Handles, 3-1/8" Cut</t>
  </si>
  <si>
    <t>Avery Legal 4-Ring Binder</t>
  </si>
  <si>
    <t>GZ-14470</t>
  </si>
  <si>
    <t>Gary Zandusky</t>
  </si>
  <si>
    <t>Logitech Wireless Touch Keyboard K400</t>
  </si>
  <si>
    <t>Holmes Replacement Filter for HEPA Air Cleaner, Medium Room</t>
  </si>
  <si>
    <t>Pizazz Global Quick File</t>
  </si>
  <si>
    <t>Ideal Clamps</t>
  </si>
  <si>
    <t>MC-17275</t>
  </si>
  <si>
    <t>Marc Crier</t>
  </si>
  <si>
    <t>Prang Colored Pencils</t>
  </si>
  <si>
    <t>Hon Deluxe Fabric Upholstered Stacking Chairs, Rounded Back</t>
  </si>
  <si>
    <t>Hunt PowerHouse Electric Pencil Sharpener, Blue</t>
  </si>
  <si>
    <t>Acco PRESSTEX Data Binder with Storage Hooks, Light Blue, 9 1/2" X 11"</t>
  </si>
  <si>
    <t>Peel &amp; Seel Envelopes</t>
  </si>
  <si>
    <t>LW-17125</t>
  </si>
  <si>
    <t>Liz Willingham</t>
  </si>
  <si>
    <t>Deflect-o DuraMat Lighweight, Studded, Beveled Mat for Low Pile Carpeting</t>
  </si>
  <si>
    <t>ON-18715</t>
  </si>
  <si>
    <t>Odella Nelson</t>
  </si>
  <si>
    <t>Eldon File Chest Portable File</t>
  </si>
  <si>
    <t>RP-19390</t>
  </si>
  <si>
    <t>Resi Pölking</t>
  </si>
  <si>
    <t>OIC Thumb-Tacks</t>
  </si>
  <si>
    <t>Acme Value Line Scissors</t>
  </si>
  <si>
    <t>WD My Passport Ultra 500GB Portable External Hard Drive</t>
  </si>
  <si>
    <t>Xerox 1942</t>
  </si>
  <si>
    <t>BN-11515</t>
  </si>
  <si>
    <t>Bradley Nguyen</t>
  </si>
  <si>
    <t>Eldon Gobal File Keepers</t>
  </si>
  <si>
    <t>Eldon ProFile File 'N Store Portable File Tub Letter/Legal Size Black</t>
  </si>
  <si>
    <t>Executive Impressions 12" Wall Clock</t>
  </si>
  <si>
    <t>GBC Prestige Therm-A-Bind Covers</t>
  </si>
  <si>
    <t>NR-18550</t>
  </si>
  <si>
    <t>Nick Radford</t>
  </si>
  <si>
    <t>Tyvek Interoffice Envelopes, 9 1/2" x 12 1/2", 100/Box</t>
  </si>
  <si>
    <t>JA-15970</t>
  </si>
  <si>
    <t>Joseph Airdo</t>
  </si>
  <si>
    <t>Newell 313</t>
  </si>
  <si>
    <t>Boston 16701 Slimline Battery Pencil Sharpener</t>
  </si>
  <si>
    <t>Riverleaf Stik-Withit Designer Note Cubes</t>
  </si>
  <si>
    <t>Plantronics Single Ear Headset</t>
  </si>
  <si>
    <t>Xerox 1960</t>
  </si>
  <si>
    <t>Verbatim 25 GB 6x Blu-ray Single Layer Recordable Disc, 3/Pack</t>
  </si>
  <si>
    <t>FA-14230</t>
  </si>
  <si>
    <t>Frank Atkinson</t>
  </si>
  <si>
    <t>MC-18130</t>
  </si>
  <si>
    <t>Mike Caudle</t>
  </si>
  <si>
    <t>Decoflex Hanging Personal Folder File, Blue</t>
  </si>
  <si>
    <t>JK-15640</t>
  </si>
  <si>
    <t>Jim Kriz</t>
  </si>
  <si>
    <t>Revere Boxed Rubber Bands by Revere</t>
  </si>
  <si>
    <t>ND-18460</t>
  </si>
  <si>
    <t>Neil Ducich</t>
  </si>
  <si>
    <t>Hon 2111 Invitation Series Straight Table</t>
  </si>
  <si>
    <t>ES-14020</t>
  </si>
  <si>
    <t>Erica Smith</t>
  </si>
  <si>
    <t>Avery 499</t>
  </si>
  <si>
    <t>Wirebound Message Book, 4 per Page</t>
  </si>
  <si>
    <t>MA-17995</t>
  </si>
  <si>
    <t>Michelle Arnett</t>
  </si>
  <si>
    <t>Staple holder</t>
  </si>
  <si>
    <t>Ibico Plastic and Wire Spiral Binding Combs</t>
  </si>
  <si>
    <t>HG-14965</t>
  </si>
  <si>
    <t>Henry Goldwyn</t>
  </si>
  <si>
    <t>Xerox 1900</t>
  </si>
  <si>
    <t>JG-15115</t>
  </si>
  <si>
    <t>Jack Garza</t>
  </si>
  <si>
    <t>Nortel Meridian M3904 Professional Digital phone</t>
  </si>
  <si>
    <t>Canon PC1080F Personal Copier</t>
  </si>
  <si>
    <t>#10 White Business Envelopes,4 1/8 x 9 1/2</t>
  </si>
  <si>
    <t>Newell 34</t>
  </si>
  <si>
    <t>Xerox 1971</t>
  </si>
  <si>
    <t>Polycom CX300 Desktop Phone USB VoIP phone</t>
  </si>
  <si>
    <t>Wirebound Four 2-3/4 x 5 Forms per Page, 400 Sets per Book</t>
  </si>
  <si>
    <t>File Shuttle II and Handi-File, Black</t>
  </si>
  <si>
    <t>Tennsco Commercial Shelving</t>
  </si>
  <si>
    <t>BM-11650</t>
  </si>
  <si>
    <t>Brian Moss</t>
  </si>
  <si>
    <t>JD-16060</t>
  </si>
  <si>
    <t>Julia Dunbar</t>
  </si>
  <si>
    <t>Gould Plastics 9-Pocket Panel Bin, 18-3/8w x 5-1/4d x 20-1/2h, Black</t>
  </si>
  <si>
    <t>BF-11005</t>
  </si>
  <si>
    <t>Barry Franz</t>
  </si>
  <si>
    <t>KT-16465</t>
  </si>
  <si>
    <t>Kean Takahito</t>
  </si>
  <si>
    <t>Leather Task Chair, Black</t>
  </si>
  <si>
    <t>CS-12400</t>
  </si>
  <si>
    <t>Christopher Schild</t>
  </si>
  <si>
    <t>Dual Level, Single-Width Filing Carts</t>
  </si>
  <si>
    <t>KF-16285</t>
  </si>
  <si>
    <t>Karen Ferguson</t>
  </si>
  <si>
    <t>Xerox 217</t>
  </si>
  <si>
    <t>TH-21100</t>
  </si>
  <si>
    <t>Thea Hendricks</t>
  </si>
  <si>
    <t>DMI Arturo Collection Mission-style Design Wood Chair</t>
  </si>
  <si>
    <t>Xerox 1919</t>
  </si>
  <si>
    <t>Luxo Professional Combination Clamp-On Lamps</t>
  </si>
  <si>
    <t>Stockwell Push Pins</t>
  </si>
  <si>
    <t>Xerox 223</t>
  </si>
  <si>
    <t>Star Micronics TSP800 TSP847IIU Receipt Printer</t>
  </si>
  <si>
    <t>Fellowes Mobile File Cart, Black</t>
  </si>
  <si>
    <t>PP-18955</t>
  </si>
  <si>
    <t>Paul Prost</t>
  </si>
  <si>
    <t>Longer-Life Soft White Bulbs</t>
  </si>
  <si>
    <t>EB-14170</t>
  </si>
  <si>
    <t>Evan Bailliet</t>
  </si>
  <si>
    <t>GBC Standard Plastic Binding Systems' Combs</t>
  </si>
  <si>
    <t>Fellowes Super Stor/Drawer Files</t>
  </si>
  <si>
    <t>DB-13615</t>
  </si>
  <si>
    <t>Doug Bickford</t>
  </si>
  <si>
    <t>NF-18475</t>
  </si>
  <si>
    <t>Neil Französisch</t>
  </si>
  <si>
    <t>Sterling Rubber Bands by Alliance</t>
  </si>
  <si>
    <t>ES-14080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</si>
  <si>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</si>
  <si>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</si>
  <si>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</si>
  <si>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</si>
  <si>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</si>
  <si>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</si>
  <si>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AR-10405</t>
  </si>
  <si>
    <t>Allen Rosenblatt</t>
  </si>
  <si>
    <t>Bevis Round Conference Room Tables and Bases</t>
  </si>
  <si>
    <t>Global Deluxe Stacking Chair, Gray</t>
  </si>
  <si>
    <t>DF-13135</t>
  </si>
  <si>
    <t>David Flashing</t>
  </si>
  <si>
    <t>Avery 512</t>
  </si>
  <si>
    <t>GBC Recycled Regency Composition Covers</t>
  </si>
  <si>
    <t>JD-16015</t>
  </si>
  <si>
    <t>Joy Daniels</t>
  </si>
  <si>
    <t>Avery 519</t>
  </si>
  <si>
    <t>KH-16510</t>
  </si>
  <si>
    <t>Keith Herrera</t>
  </si>
  <si>
    <t>XP-21865</t>
  </si>
  <si>
    <t>Xylona Preis</t>
  </si>
  <si>
    <t>Imation USB 2.0 Swivel Flash Drive USB flash drive - 4 GB - Pink</t>
  </si>
  <si>
    <t>Boston Heavy-Duty Trimline Electric Pencil Sharpeners</t>
  </si>
  <si>
    <t>iOttie HLCRIO102 Car Mount</t>
  </si>
  <si>
    <t>TN-21040</t>
  </si>
  <si>
    <t>Tanja Norvell</t>
  </si>
  <si>
    <t>#10- 4 1/8" x 9 1/2" Security-Tint Envelopes</t>
  </si>
  <si>
    <t>SD-20485</t>
  </si>
  <si>
    <t>Shirley Daniels</t>
  </si>
  <si>
    <t>Westinghouse Clip-On Gooseneck Lamps</t>
  </si>
  <si>
    <t>FC-14335</t>
  </si>
  <si>
    <t>Fred Chung</t>
  </si>
  <si>
    <t>Dixon Ticonderoga Core-Lock Colored Pencils, 48-Color Set</t>
  </si>
  <si>
    <t>DAX Cubicle Frames - 8x10</t>
  </si>
  <si>
    <t>WD My Passport Ultra 1TB Portable External Hard Drive</t>
  </si>
  <si>
    <t>HA-14920</t>
  </si>
  <si>
    <t>Helen Andreada</t>
  </si>
  <si>
    <t>Iris Project Case</t>
  </si>
  <si>
    <t>Global Enterprise Series Seating High-Back Swivel/Tilt Chairs</t>
  </si>
  <si>
    <t>AS-10240</t>
  </si>
  <si>
    <t>Alan Shonely</t>
  </si>
  <si>
    <t>DN-13690</t>
  </si>
  <si>
    <t>Duane Noonan</t>
  </si>
  <si>
    <t>Premium Writing Pencils, Soft, #2 by Central Association for the Blind</t>
  </si>
  <si>
    <t>Sortfiler Multipurpose Personal File Organizer, Black</t>
  </si>
  <si>
    <t>ZC-21910</t>
  </si>
  <si>
    <t>Zuschuss Carroll</t>
  </si>
  <si>
    <t>Bevis Round Bullnose 29" High Table Top</t>
  </si>
  <si>
    <t>Sony 16GB Class 10 Micro SDHC R40 Memory Card</t>
  </si>
  <si>
    <t>LS-17245</t>
  </si>
  <si>
    <t>Lynn Smith</t>
  </si>
  <si>
    <t>Avery Non-Stick Heavy Duty View Round Locking Ring Binders</t>
  </si>
  <si>
    <t>Logitech Illuminated - Keyboard</t>
  </si>
  <si>
    <t>IG-15085</t>
  </si>
  <si>
    <t>Ivan Gibson</t>
  </si>
  <si>
    <t>Computer Printout Index Tabs</t>
  </si>
  <si>
    <t>JF-15490</t>
  </si>
  <si>
    <t>Jeremy Farry</t>
  </si>
  <si>
    <t>Spiral Phone Message Books with Labels by Adams</t>
  </si>
  <si>
    <t>RP-19270</t>
  </si>
  <si>
    <t>Rachel Payne</t>
  </si>
  <si>
    <t>Accohide Poly Flexible Ring Binders</t>
  </si>
  <si>
    <t>Avery Durable Slant Ring Binders With Label Holder</t>
  </si>
  <si>
    <t>Xerox 1917</t>
  </si>
  <si>
    <t>Avery 480</t>
  </si>
  <si>
    <t>Panasonic KX TS208W Corded phone</t>
  </si>
  <si>
    <t>EH-14125</t>
  </si>
  <si>
    <t>Eugene Hildebrand</t>
  </si>
  <si>
    <t>RCA Visys Integrated PBX 8-Line Router</t>
  </si>
  <si>
    <t>SF-20965</t>
  </si>
  <si>
    <t>Sylvia Foulston</t>
  </si>
  <si>
    <t>Plastic Binding Combs</t>
  </si>
  <si>
    <t>Avery Premier Heavy-Duty Binder with Round Locking Rings</t>
  </si>
  <si>
    <t>GBC VeloBind Cover Sets</t>
  </si>
  <si>
    <t>AH-10585</t>
  </si>
  <si>
    <t>Angele Hood</t>
  </si>
  <si>
    <t>Tenex Chairmats For Use With Carpeted Floors</t>
  </si>
  <si>
    <t>Vtech CS6719</t>
  </si>
  <si>
    <t>TS-21370</t>
  </si>
  <si>
    <t>Todd Sumrall</t>
  </si>
  <si>
    <t>Serrated Blade or Curved Handle Hand Letter Openers</t>
  </si>
  <si>
    <t>Premier Automatic Letter Opener</t>
  </si>
  <si>
    <t>Eldon Portable Mobile Manager</t>
  </si>
  <si>
    <t>GG-14650</t>
  </si>
  <si>
    <t>Greg Guthrie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</si>
  <si>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</si>
  <si>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</si>
  <si>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</si>
  <si>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</si>
  <si>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Tennsco Regal Shelving Units</t>
  </si>
  <si>
    <t>Maxell LTO Ultrium - 800 GB</t>
  </si>
  <si>
    <t>Newell 325</t>
  </si>
  <si>
    <t>AC-10450</t>
  </si>
  <si>
    <t>Amy Cox</t>
  </si>
  <si>
    <t>NL-18310</t>
  </si>
  <si>
    <t>Nancy Lomonaco</t>
  </si>
  <si>
    <t>Motorola L804</t>
  </si>
  <si>
    <t>RA-19915</t>
  </si>
  <si>
    <t>Russell Applegate</t>
  </si>
  <si>
    <t>ClearOne CHATAttach 160 - speaker phone</t>
  </si>
  <si>
    <t>ND-18370</t>
  </si>
  <si>
    <t>Natalie DeCherney</t>
  </si>
  <si>
    <t>Carina Mini System Audio Rack, Model AR050B</t>
  </si>
  <si>
    <t>Plantronics Voyager Pro HD - Bluetooth Headset</t>
  </si>
  <si>
    <t>PL-18925</t>
  </si>
  <si>
    <t>Paul Lucas</t>
  </si>
  <si>
    <t>Avery 475</t>
  </si>
  <si>
    <t>Easy-staple paper</t>
  </si>
  <si>
    <t>SH-20395</t>
  </si>
  <si>
    <t>Shahid Hopkins</t>
  </si>
  <si>
    <t>AT&amp;T CL82213</t>
  </si>
  <si>
    <t>Adjustable Depth Letter/Legal Cart</t>
  </si>
  <si>
    <t>SW-20755</t>
  </si>
  <si>
    <t>Steven Ward</t>
  </si>
  <si>
    <t>Samsung Rugby III</t>
  </si>
  <si>
    <t>TC-21535</t>
  </si>
  <si>
    <t>Tracy Collins</t>
  </si>
  <si>
    <t>Prang Dustless Chalk Sticks</t>
  </si>
  <si>
    <t>MS-17530</t>
  </si>
  <si>
    <t>MaryBeth Skach</t>
  </si>
  <si>
    <t>WB-21850</t>
  </si>
  <si>
    <t>William Brown</t>
  </si>
  <si>
    <t>Polycom SoundPoint Pro SE-225 Corded phone</t>
  </si>
  <si>
    <t>Bevis Round Conference Table Top, X-Base</t>
  </si>
  <si>
    <t>Cardinal EasyOpen D-Ring Binders</t>
  </si>
  <si>
    <t>Xerox 2000</t>
  </si>
  <si>
    <t>Hewlett-Packard Deskjet D4360 Printer</t>
  </si>
  <si>
    <t>TH-21235</t>
  </si>
  <si>
    <t>Tiffany House</t>
  </si>
  <si>
    <t>Newell 343</t>
  </si>
  <si>
    <t>DE-13255</t>
  </si>
  <si>
    <t>Deanra Eno</t>
  </si>
  <si>
    <t>OIC Stacking Trays</t>
  </si>
  <si>
    <t>LH-16900</t>
  </si>
  <si>
    <t>Lena Hernandez</t>
  </si>
  <si>
    <t>TB-21595</t>
  </si>
  <si>
    <t>Troy Blackwell</t>
  </si>
  <si>
    <t>Xerox 1995</t>
  </si>
  <si>
    <t>Panasonic KP-150 Electric Pencil Sharpener</t>
  </si>
  <si>
    <t>EB-13870</t>
  </si>
  <si>
    <t>Emily Burns</t>
  </si>
  <si>
    <t>Toshiba IPT2010-SD IP Telephone</t>
  </si>
  <si>
    <t>JP-15520</t>
  </si>
  <si>
    <t>Jeremy Pistek</t>
  </si>
  <si>
    <t>SAFCO Boltless Steel Shelving</t>
  </si>
  <si>
    <t>Sauder Mission Library with Doors, Fruitwood Finish</t>
  </si>
  <si>
    <t>Samsung Galaxy Note 3</t>
  </si>
  <si>
    <t>Recycled Desk Saver Line "While You Were Out" Book, 5 1/2" X 4"</t>
  </si>
  <si>
    <t>Xerox 1912</t>
  </si>
  <si>
    <t>RD-19900</t>
  </si>
  <si>
    <t>Ruben Dartt</t>
  </si>
  <si>
    <t>Jabra SPEAK 410</t>
  </si>
  <si>
    <t>Memorex Froggy Flash Drive 4 GB</t>
  </si>
  <si>
    <t>Luxo Economy Swing Arm Lamp</t>
  </si>
  <si>
    <t>Southworth 100% Résumé Paper, 24lb.</t>
  </si>
  <si>
    <t>Eldon Expressions Punched Metal &amp; Wood Desk Accessories, Pewter &amp; Cherry</t>
  </si>
  <si>
    <t>Avery White Multi-Purpose Labels</t>
  </si>
  <si>
    <t>TZ-21580</t>
  </si>
  <si>
    <t>Tracy Zic</t>
  </si>
  <si>
    <t>Samsung Galaxy S III - 16GB - pebble blue (T-Mobile)</t>
  </si>
  <si>
    <t>Global Airflow Leather Mesh Back Chair, Black</t>
  </si>
  <si>
    <t>50 Colored Long Pencils</t>
  </si>
  <si>
    <t>MA-17560</t>
  </si>
  <si>
    <t>Matt Abelman</t>
  </si>
  <si>
    <t>Mophie Juice Pack Helium for iPhone</t>
  </si>
  <si>
    <t>Commercial WindTunnel Clean Air Upright Vacuum, Replacement Belts, Filtration Bags</t>
  </si>
  <si>
    <t>Xerox 1979</t>
  </si>
  <si>
    <t>Belkin Standard 104 key USB Keyboard</t>
  </si>
  <si>
    <t>Fellowes PB500 Electric Punch Plastic Comb Binding Machine with Manual Bind</t>
  </si>
  <si>
    <t>Xerox 1974</t>
  </si>
  <si>
    <t>Bevis Boat-Shaped Conference Table</t>
  </si>
  <si>
    <t>SS-20410</t>
  </si>
  <si>
    <t>Shahid Shariari</t>
  </si>
  <si>
    <t>Eldon 100 Class Desk Accessories</t>
  </si>
  <si>
    <t>Logitech P710e Mobile Speakerphone</t>
  </si>
  <si>
    <t>Acme Box Cutter Scissors</t>
  </si>
  <si>
    <t>AH-10075</t>
  </si>
  <si>
    <t>Adam Hart</t>
  </si>
  <si>
    <t>Permanent Self-Adhesive File Folder Labels for Typewriters by Universal</t>
  </si>
  <si>
    <t>JD-16150</t>
  </si>
  <si>
    <t>Justin Deggeller</t>
  </si>
  <si>
    <t>OtterBox Commuter Series Case - Samsung Galaxy S4</t>
  </si>
  <si>
    <t>Bush Andora Bookcase, Maple/Graphite Gray Finish</t>
  </si>
  <si>
    <t>Space Solutions HD Industrial Steel Shelving.</t>
  </si>
  <si>
    <t>Case Logic 2.4GHz Wireless Keyboard</t>
  </si>
  <si>
    <t>Xerox 1941</t>
  </si>
  <si>
    <t>APC 7 Outlet Network SurgeArrest Surge Protector</t>
  </si>
  <si>
    <t>PW-19240</t>
  </si>
  <si>
    <t>Pierre Wener</t>
  </si>
  <si>
    <t>Bevis Rectangular Conference Tables</t>
  </si>
  <si>
    <t>Geographics Note Cards, Blank, White, 8 1/2" x 11"</t>
  </si>
  <si>
    <t>JG-15805</t>
  </si>
  <si>
    <t>John Grady</t>
  </si>
  <si>
    <t>Adams "While You Were Out" Message Pads</t>
  </si>
  <si>
    <t>Howard Miller 13-1/2" Diameter Rosebrook Wall Clock</t>
  </si>
  <si>
    <t>Lesro Round Back Collection Coffee Table, End Table</t>
  </si>
  <si>
    <t>DB-13360</t>
  </si>
  <si>
    <t>Dennis Bolton</t>
  </si>
  <si>
    <t>Xerox 1888</t>
  </si>
  <si>
    <t>GR-14560</t>
  </si>
  <si>
    <t>Georgia Rosenberg</t>
  </si>
  <si>
    <t>SC-20680</t>
  </si>
  <si>
    <t>Steve Carroll</t>
  </si>
  <si>
    <t>Tops Wirebound Message Log Books</t>
  </si>
  <si>
    <t>Kensington Expert Mouse Optical USB Trackball for PC or Mac</t>
  </si>
  <si>
    <t>SP-20920</t>
  </si>
  <si>
    <t>Susan Pistek</t>
  </si>
  <si>
    <t>Xerox 1895</t>
  </si>
  <si>
    <t>Novimex Swivel Fabric Task Chair</t>
  </si>
  <si>
    <t>Pastel Pink Envelopes</t>
  </si>
  <si>
    <t>Belkin F8E887 USB Wired Ergonomic Keyboard</t>
  </si>
  <si>
    <t>Safco Contoured Stacking Chairs</t>
  </si>
  <si>
    <t>SM-20005</t>
  </si>
  <si>
    <t>Sally Matthias</t>
  </si>
  <si>
    <t>VG-21790</t>
  </si>
  <si>
    <t>Vivek Gonzalez</t>
  </si>
  <si>
    <t>HR-14830</t>
  </si>
  <si>
    <t>Harold Ryan</t>
  </si>
  <si>
    <t>Peel &amp; Stick Add-On Corner Pockets</t>
  </si>
  <si>
    <t>Recycled Data-Pak for Archival Bound Computer Printouts, 12-1/2 x 12-1/2 x 16</t>
  </si>
  <si>
    <t>Global Leather &amp; Oak Executive Chair, Burgundy</t>
  </si>
  <si>
    <t>LW-16825</t>
  </si>
  <si>
    <t>Laurel Workman</t>
  </si>
  <si>
    <t>Wirebound Message Books, Four 2 3/4 x 5 White Forms per Page</t>
  </si>
  <si>
    <t>Logitech Mobile Speakerphone P710e - speaker phone</t>
  </si>
  <si>
    <t>Hon GuestStacker Chair</t>
  </si>
  <si>
    <t>NW-18400</t>
  </si>
  <si>
    <t>Natalie Webber</t>
  </si>
  <si>
    <t>Xerox 2</t>
  </si>
  <si>
    <t>Office Impressions Heavy Duty Welded Shelving &amp; Multimedia Storage Drawers</t>
  </si>
  <si>
    <t>LS-16975</t>
  </si>
  <si>
    <t>Lindsay Shagiari</t>
  </si>
  <si>
    <t>Xerox 1893</t>
  </si>
  <si>
    <t>LS-17200</t>
  </si>
  <si>
    <t>Luke Schmidt</t>
  </si>
  <si>
    <t>Wilson Jones Easy Flow II Sheet Lifters</t>
  </si>
  <si>
    <t>Xerox 1970</t>
  </si>
  <si>
    <t>DH-13675</t>
  </si>
  <si>
    <t>Duane Huffman</t>
  </si>
  <si>
    <t>Avery 489</t>
  </si>
  <si>
    <t>Sauder Camden County Barrister Bookcase, Planked Cherry Finish</t>
  </si>
  <si>
    <t>SG-20470</t>
  </si>
  <si>
    <t>Sheri Gordon</t>
  </si>
  <si>
    <t>Acco 6 Outlet Guardian Premium Surge Suppressor</t>
  </si>
  <si>
    <t>Micropad Numeric Keypads</t>
  </si>
  <si>
    <t>AH-10210</t>
  </si>
  <si>
    <t>Alan Hwang</t>
  </si>
  <si>
    <t>Wilson SignalBoost 841262 DB PRO Amplifier Kit</t>
  </si>
  <si>
    <t>Acme Office Executive Series Stainless Steel Trimmers</t>
  </si>
  <si>
    <t>Memorex 25GB 6X Branded Blu-Ray Recordable Disc, 30/Pack</t>
  </si>
  <si>
    <t>TR-21325</t>
  </si>
  <si>
    <t>Toby Ritter</t>
  </si>
  <si>
    <t>Floodlight Indoor Halogen Bulbs, 1 Bulb per Pack, 60 Watts</t>
  </si>
  <si>
    <t>BS-11590</t>
  </si>
  <si>
    <t>Brendan Sweed</t>
  </si>
  <si>
    <t>Hunt BOSTON Model 1606 High-Volume Electric Pencil Sharpener, Beige</t>
  </si>
  <si>
    <t>RL-19615</t>
  </si>
  <si>
    <t>Rob Lucas</t>
  </si>
  <si>
    <t>Xerox 1933</t>
  </si>
  <si>
    <t>Advantus Plastic Paper Clips</t>
  </si>
  <si>
    <t>JB-15925</t>
  </si>
  <si>
    <t>Joni Blumstein</t>
  </si>
  <si>
    <t>Fellowes 8 Outlet Superior Workstation Surge Protector</t>
  </si>
  <si>
    <t>RC-19960</t>
  </si>
  <si>
    <t>Ryan Crowe</t>
  </si>
  <si>
    <t>File Shuttle I and Handi-File</t>
  </si>
  <si>
    <t>Chromcraft Bull-Nose Wood 48" x 96" Rectangular Conference Tables</t>
  </si>
  <si>
    <t>RS-19765</t>
  </si>
  <si>
    <t>Roland Schwarz</t>
  </si>
  <si>
    <t>Standard Rollaway File with Lock</t>
  </si>
  <si>
    <t>FP-14320</t>
  </si>
  <si>
    <t>Frank Preis</t>
  </si>
  <si>
    <t>AS-10630</t>
  </si>
  <si>
    <t>Ann Steele</t>
  </si>
  <si>
    <t>EH-14005</t>
  </si>
  <si>
    <t>Erica Hernandez</t>
  </si>
  <si>
    <t>Green Bar Computer Printout Paper</t>
  </si>
  <si>
    <t>TB-21250</t>
  </si>
  <si>
    <t>Tim Brockman</t>
  </si>
  <si>
    <t>Acco PRESSTEX Data Binder with Storage Hooks, Dark Blue, 9 1/2" X 11"</t>
  </si>
  <si>
    <t>Samsung HM1900 Bluetooth Headset</t>
  </si>
  <si>
    <t>Acco Side-Punched Conventional Columnar Pads</t>
  </si>
  <si>
    <t>SanDisk Ultra 16 GB MicroSDHC Class 10 Memory Card</t>
  </si>
  <si>
    <t>Avery 492</t>
  </si>
  <si>
    <t>Xerox 232</t>
  </si>
  <si>
    <t>Adjustable Personal File Tote</t>
  </si>
  <si>
    <t>JK-15625</t>
  </si>
  <si>
    <t>Jim Karlsson</t>
  </si>
  <si>
    <t>Xerox 1964</t>
  </si>
  <si>
    <t>DJ-13420</t>
  </si>
  <si>
    <t>Denny Joy</t>
  </si>
  <si>
    <t>DAX Natural Wood-Tone Poster Frame</t>
  </si>
  <si>
    <t>CK-12760</t>
  </si>
  <si>
    <t>Cyma Kinney</t>
  </si>
  <si>
    <t>Xerox 1987</t>
  </si>
  <si>
    <t>DM-12955</t>
  </si>
  <si>
    <t>Dario Medina</t>
  </si>
  <si>
    <t>Acco Perma 3000 Stacking Storage Drawers</t>
  </si>
  <si>
    <t>SH-19975</t>
  </si>
  <si>
    <t>Sally Hughsby</t>
  </si>
  <si>
    <t>Office Star - Contemporary Swivel Chair with Padded Adjustable Arms and Flex Back</t>
  </si>
  <si>
    <t>Xerox Color Copier Paper, 11" x 17", Ream</t>
  </si>
  <si>
    <t>NP-18700</t>
  </si>
  <si>
    <t>Nora Preis</t>
  </si>
  <si>
    <t>Hon Non-Folding Utility Tables</t>
  </si>
  <si>
    <t>Bretford Rectangular Conference Table Tops</t>
  </si>
  <si>
    <t>Bestar Classic Bookcase</t>
  </si>
  <si>
    <t>Eldon Advantage Chair Mats for Low to Medium Pile Carpets</t>
  </si>
  <si>
    <t>LH-17155</t>
  </si>
  <si>
    <t>Logan Haushalter</t>
  </si>
  <si>
    <t>Eldon Image Series Desk Accessories, Burgundy</t>
  </si>
  <si>
    <t>Woodgrain Magazine Files by Perma</t>
  </si>
  <si>
    <t>KD-16345</t>
  </si>
  <si>
    <t>Katherine Ducich</t>
  </si>
  <si>
    <t>White GlueTop Scratch Pads</t>
  </si>
  <si>
    <t>RF-19345</t>
  </si>
  <si>
    <t>Randy Ferguson</t>
  </si>
  <si>
    <t>Electrix Incandescent Magnifying Lamp, Black</t>
  </si>
  <si>
    <t>Cardinal Slant-D Ring Binder, Heavy Gauge Vinyl</t>
  </si>
  <si>
    <t>JO-15280</t>
  </si>
  <si>
    <t>Jas O'Carroll</t>
  </si>
  <si>
    <t>Stackable Trays</t>
  </si>
  <si>
    <t>CC-12100</t>
  </si>
  <si>
    <t>Chad Cunningham</t>
  </si>
  <si>
    <t>Executive Impressions 14" Contract Wall Clock</t>
  </si>
  <si>
    <t>First Data FD10 PIN Pad</t>
  </si>
  <si>
    <t>GE 30524EE4</t>
  </si>
  <si>
    <t>SH-20635</t>
  </si>
  <si>
    <t>Stefanie Holloman</t>
  </si>
  <si>
    <t>Office Star - Professional Matrix Back Chair with 2-to-1 Synchro Tilt and Mesh Fabric Seat</t>
  </si>
  <si>
    <t>BP-11095</t>
  </si>
  <si>
    <t>Bart Pistole</t>
  </si>
  <si>
    <t>Advantus T-Pin Paper Clips</t>
  </si>
  <si>
    <t>Wi-Ex zBoost YX540 Cellular Phone Signal Booster</t>
  </si>
  <si>
    <t>Clarity 53712</t>
  </si>
  <si>
    <t>MC-17845</t>
  </si>
  <si>
    <t>Michael Chen</t>
  </si>
  <si>
    <t>Ibico Hi-Tech Manual Binding System</t>
  </si>
  <si>
    <t>Newell 31</t>
  </si>
  <si>
    <t>TC-21295</t>
  </si>
  <si>
    <t>Toby Carlisle</t>
  </si>
  <si>
    <t>Logitech G430 Surround Sound Gaming Headset with Dolby 7.1 Technology</t>
  </si>
  <si>
    <t>CT-11995</t>
  </si>
  <si>
    <t>Carol Triggs</t>
  </si>
  <si>
    <t>Computer Room Manger, 14"</t>
  </si>
  <si>
    <t>Logitech 910-002974 M325 Wireless Mouse for Web Scrolling</t>
  </si>
  <si>
    <t>Global Low Back Tilter Chair</t>
  </si>
  <si>
    <t>Xerox 1954</t>
  </si>
  <si>
    <t>GM-14440</t>
  </si>
  <si>
    <t>Gary McGarr</t>
  </si>
  <si>
    <t>SAFCO Arco Folding Chair</t>
  </si>
  <si>
    <t>KM-16660</t>
  </si>
  <si>
    <t>Khloe Miller</t>
  </si>
  <si>
    <t>Newell 332</t>
  </si>
  <si>
    <t>JC-16105</t>
  </si>
  <si>
    <t>Julie Creighton</t>
  </si>
  <si>
    <t>Letter Size Cart</t>
  </si>
  <si>
    <t>Global Value Mid-Back Manager's Chair, Gray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</si>
  <si>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</si>
  <si>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</si>
  <si>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</si>
  <si>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</si>
  <si>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AS-10090</t>
  </si>
  <si>
    <t>Adam Shillingsburg</t>
  </si>
  <si>
    <t>Belkin 7-Outlet SurgeMaster Home Series</t>
  </si>
  <si>
    <t>KL-16555</t>
  </si>
  <si>
    <t>Kelly Lampkin</t>
  </si>
  <si>
    <t>Global Deluxe Office Fabric Chairs</t>
  </si>
  <si>
    <t>Eldon ClusterMat Chair Mat with Cordless Antistatic Protection</t>
  </si>
  <si>
    <t>CK-12595</t>
  </si>
  <si>
    <t>Clytie Kelty</t>
  </si>
  <si>
    <t>Acme Rosewood Handle Letter Opener</t>
  </si>
  <si>
    <t>AT-10435</t>
  </si>
  <si>
    <t>Alyssa Tate</t>
  </si>
  <si>
    <t>Xerox 1927</t>
  </si>
  <si>
    <t>Advantus Rolling Storage Box</t>
  </si>
  <si>
    <t>GBC DocuBind 300 Electric Binding Machine</t>
  </si>
  <si>
    <t>MD-17350</t>
  </si>
  <si>
    <t>Maribeth Dona</t>
  </si>
  <si>
    <t>AJ-10795</t>
  </si>
  <si>
    <t>Anthony Johnson</t>
  </si>
  <si>
    <t>Stacking Trays by OIC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</si>
  <si>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</si>
  <si>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</si>
  <si>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</si>
  <si>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</si>
  <si>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</si>
  <si>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ST-20530</t>
  </si>
  <si>
    <t>Shui Tom</t>
  </si>
  <si>
    <t>Mediabridge Sport Armband iPhone 5s</t>
  </si>
  <si>
    <t>Fellowes Bases and Tops For Staxonsteel/High-Stak Systems</t>
  </si>
  <si>
    <t>Alphabetical Labels for Top Tab Filing</t>
  </si>
  <si>
    <t>HTC One</t>
  </si>
  <si>
    <t>MF-17665</t>
  </si>
  <si>
    <t>Maureen Fritzler</t>
  </si>
  <si>
    <t>JL-15175</t>
  </si>
  <si>
    <t>James Lanier</t>
  </si>
  <si>
    <t>Panasonic KX TS3282W Corded phone</t>
  </si>
  <si>
    <t>Global Deluxe Steno Chair</t>
  </si>
  <si>
    <t>Fellowes Binding Cases</t>
  </si>
  <si>
    <t>SP-20620</t>
  </si>
  <si>
    <t>Stefania Perrino</t>
  </si>
  <si>
    <t>It's Hot Message Books with Stickers, 2 3/4" x 5"</t>
  </si>
  <si>
    <t>Binding Machine Supplies</t>
  </si>
  <si>
    <t>Deflect-o EconoMat Nonstudded, No Bevel Mat</t>
  </si>
  <si>
    <t>CW-11905</t>
  </si>
  <si>
    <t>Carl Weiss</t>
  </si>
  <si>
    <t>Avery 500</t>
  </si>
  <si>
    <t>EM-13825</t>
  </si>
  <si>
    <t>Elizabeth Moffitt</t>
  </si>
  <si>
    <t>Xerox 1991</t>
  </si>
  <si>
    <t>SC-20305</t>
  </si>
  <si>
    <t>Sean Christensen</t>
  </si>
  <si>
    <t>HON 5400 Series Task Chairs for Big and Tall</t>
  </si>
  <si>
    <t>Bady BDG101FRU Card Printer</t>
  </si>
  <si>
    <t>RW-19540</t>
  </si>
  <si>
    <t>Rick Wilson</t>
  </si>
  <si>
    <t>Hand-Finished Solid Wood Document Frame</t>
  </si>
  <si>
    <t>KH-16630</t>
  </si>
  <si>
    <t>Ken Heidel</t>
  </si>
  <si>
    <t>Wilson Jones Standard D-Ring Binders</t>
  </si>
  <si>
    <t>VW-21775</t>
  </si>
  <si>
    <t>Victoria Wilson</t>
  </si>
  <si>
    <t>Newell 310</t>
  </si>
  <si>
    <t>SJ-20215</t>
  </si>
  <si>
    <t>Sarah Jordon</t>
  </si>
  <si>
    <t>JM-16195</t>
  </si>
  <si>
    <t>Justin MacKendrick</t>
  </si>
  <si>
    <t>Xerox 1959</t>
  </si>
  <si>
    <t>Acco Data Flex Cable Posts For Top &amp; Bottom Load Binders, 6" Capacity</t>
  </si>
  <si>
    <t>Avery Durable Binders</t>
  </si>
  <si>
    <t>Xerox 22</t>
  </si>
  <si>
    <t>RD-19585</t>
  </si>
  <si>
    <t>Rob Dowd</t>
  </si>
  <si>
    <t>Xerox 1881</t>
  </si>
  <si>
    <t>Avery 485</t>
  </si>
  <si>
    <t>AB-10600</t>
  </si>
  <si>
    <t>Ann Blume</t>
  </si>
  <si>
    <t>Smead Alpha-Z Color-Coded Second Alphabetical Labels and Starter Set</t>
  </si>
  <si>
    <t>GT-14755</t>
  </si>
  <si>
    <t>Guy Thornton</t>
  </si>
  <si>
    <t>Avery 4027 File Folder Labels for Dot Matrix Printers, 5000 Labels per Box, White</t>
  </si>
  <si>
    <t>Hon 61000 Series Interactive Training Tables</t>
  </si>
  <si>
    <t>JE-15715</t>
  </si>
  <si>
    <t>Joe Elijah</t>
  </si>
  <si>
    <t>NP-18670</t>
  </si>
  <si>
    <t>Nora Paige</t>
  </si>
  <si>
    <t>DH-13075</t>
  </si>
  <si>
    <t>Dave Hallsten</t>
  </si>
  <si>
    <t>Square Credit Card Reader</t>
  </si>
  <si>
    <t>DK-13090</t>
  </si>
  <si>
    <t>Dave Kipp</t>
  </si>
  <si>
    <t>Hon Racetrack Conference Tables</t>
  </si>
  <si>
    <t>JL-15850</t>
  </si>
  <si>
    <t>John Lucas</t>
  </si>
  <si>
    <t>Deflect-o Glass Clear Studded Chair Mats</t>
  </si>
  <si>
    <t>Canon PC1060 Personal Laser Copier</t>
  </si>
  <si>
    <t>Dixon Prang Watercolor Pencils, 10-Color Set with Brush</t>
  </si>
  <si>
    <t>Safco Value Mate Series Steel Bookcases, Baked Enamel Finish on Steel, Gray</t>
  </si>
  <si>
    <t>KS-16300</t>
  </si>
  <si>
    <t>Karen Seio</t>
  </si>
  <si>
    <t>SmartStand Mobile Device Holder, Assorted Colors</t>
  </si>
  <si>
    <t>JE-15475</t>
  </si>
  <si>
    <t>Jeremy Ellison</t>
  </si>
  <si>
    <t>MF-18250</t>
  </si>
  <si>
    <t>Monica Federle</t>
  </si>
  <si>
    <t>Howard Miller 11-1/2" Diameter Brentwood Wall Clock</t>
  </si>
  <si>
    <t>JO-15550</t>
  </si>
  <si>
    <t>Jesus Ocampo</t>
  </si>
  <si>
    <t>Wireless Extenders zBoost YX545 SOHO Signal Booster</t>
  </si>
  <si>
    <t>FH-14365</t>
  </si>
  <si>
    <t>Fred Hopkins</t>
  </si>
  <si>
    <t>Deluxe Rollaway Locking File with Drawer</t>
  </si>
  <si>
    <t>Canon PC940 Copier</t>
  </si>
  <si>
    <t>Multicolor Computer Printout Paper</t>
  </si>
  <si>
    <t>BK-11260</t>
  </si>
  <si>
    <t>Berenike Kampe</t>
  </si>
  <si>
    <t>GBC Imprintable Covers</t>
  </si>
  <si>
    <t>Self-Adhesive Address Labels for Typewriters by Universal</t>
  </si>
  <si>
    <t>Acme Elite Stainless Steel Scissors</t>
  </si>
  <si>
    <t>Wirebound Message Books, 5-1/2 x 4 Forms, 2 or 4 Forms per Page</t>
  </si>
  <si>
    <t>BM-11785</t>
  </si>
  <si>
    <t>Bryan Mills</t>
  </si>
  <si>
    <t>REDIFORM Incoming/Outgoing Call Register, 11" X 8 1/2", 100 Messages</t>
  </si>
  <si>
    <t>AM-10360</t>
  </si>
  <si>
    <t>Alice McCarthy</t>
  </si>
  <si>
    <t>CP-12085</t>
  </si>
  <si>
    <t>Cathy Prescott</t>
  </si>
  <si>
    <t>Eldon Expressions Punched Metal &amp; Wood Desk Accessories, Black &amp; Cherry</t>
  </si>
  <si>
    <t>EB-13840</t>
  </si>
  <si>
    <t>Ellis Ballard</t>
  </si>
  <si>
    <t>Bush Advantage Collection Racetrack Conference Table</t>
  </si>
  <si>
    <t>Rogers Profile Extra Capacity Storage Tub</t>
  </si>
  <si>
    <t>AB-10165</t>
  </si>
  <si>
    <t>Alan Barnes</t>
  </si>
  <si>
    <t>Imation Bio 8GB USB Flash Drive Imation Corp</t>
  </si>
  <si>
    <t>Xerox 1977</t>
  </si>
  <si>
    <t>DO-13435</t>
  </si>
  <si>
    <t>Denny Ordway</t>
  </si>
  <si>
    <t>Acco 6 Outlet Guardian Premium Plus Surge Suppressor</t>
  </si>
  <si>
    <t>Xerox 1880</t>
  </si>
  <si>
    <t>Memorex Froggy Flash Drive 8 GB</t>
  </si>
  <si>
    <t>G.E. Longer-Life Indoor Recessed Floodlight Bulbs</t>
  </si>
  <si>
    <t>JD-15790</t>
  </si>
  <si>
    <t>John Dryer</t>
  </si>
  <si>
    <t>Vtech AT&amp;T CL2940 Corded Speakerphone, Black</t>
  </si>
  <si>
    <t>CA-11965</t>
  </si>
  <si>
    <t>Carol Adams</t>
  </si>
  <si>
    <t>JF-15415</t>
  </si>
  <si>
    <t>Jennifer Ferguson</t>
  </si>
  <si>
    <t>Dixon Ticonderoga Pencils</t>
  </si>
  <si>
    <t>JK-15370</t>
  </si>
  <si>
    <t>Jay Kimmel</t>
  </si>
  <si>
    <t>Laminate Occasional Tables</t>
  </si>
  <si>
    <t>Insertable Tab Post Binder Dividers</t>
  </si>
  <si>
    <t>AR-10540</t>
  </si>
  <si>
    <t>Andy Reiter</t>
  </si>
  <si>
    <t>Canon PC-428 Personal Copier</t>
  </si>
  <si>
    <t>RD-19660</t>
  </si>
  <si>
    <t>Robert Dilbeck</t>
  </si>
  <si>
    <t>Rogers Jumbo File, Granite</t>
  </si>
  <si>
    <t>Hon 94000 Series Round Tables</t>
  </si>
  <si>
    <t>AW-10840</t>
  </si>
  <si>
    <t>Anthony Witt</t>
  </si>
  <si>
    <t>Martin-Yale Premier Letter Opener</t>
  </si>
  <si>
    <t>HJ-14875</t>
  </si>
  <si>
    <t>Heather Jas</t>
  </si>
  <si>
    <t>Xerox 210</t>
  </si>
  <si>
    <t>Xerox 1973</t>
  </si>
  <si>
    <t>BT-11395</t>
  </si>
  <si>
    <t>Bill Tyler</t>
  </si>
  <si>
    <t>Flat Face Poster Frame</t>
  </si>
  <si>
    <t>Aastra 57i VoIP phone</t>
  </si>
  <si>
    <t>3M Replacement Filter for Office Air Cleaner for 20' x 33' Room</t>
  </si>
  <si>
    <t>EB-14110</t>
  </si>
  <si>
    <t>Eugene Barchas</t>
  </si>
  <si>
    <t>Iceberg OfficeWorks 42" Round Tables</t>
  </si>
  <si>
    <t>Polycom CX600 IP Phone VoIP phone</t>
  </si>
  <si>
    <t>Neat Ideas Personal Hanging Folder Files, Black</t>
  </si>
  <si>
    <t>TP-21130</t>
  </si>
  <si>
    <t>Theone Pippenger</t>
  </si>
  <si>
    <t>Acco Smartsocket Color-Coded Six-Outlet AC Adapter Model Surge Protectors</t>
  </si>
  <si>
    <t>GA-14515</t>
  </si>
  <si>
    <t>George Ashbrook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</si>
  <si>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</si>
  <si>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</si>
  <si>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</si>
  <si>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</si>
  <si>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Tennsco Stur-D-Stor Boltless Shelving, 5 Shelves, 24" Deep, Sand</t>
  </si>
  <si>
    <t>Xerox 19</t>
  </si>
  <si>
    <t>NC-18415</t>
  </si>
  <si>
    <t>Nathan Cano</t>
  </si>
  <si>
    <t>AZ-10750</t>
  </si>
  <si>
    <t>Annie Zypern</t>
  </si>
  <si>
    <t>Logitech B530 USB Headset - headset - Full size, Binaural</t>
  </si>
  <si>
    <t>Boston 1730 StandUp Electric Pencil Sharpener</t>
  </si>
  <si>
    <t>JS-15595</t>
  </si>
  <si>
    <t>Jill Stevenson</t>
  </si>
  <si>
    <t>Fellowes Black Plastic Comb Bindings</t>
  </si>
  <si>
    <t>LS-16945</t>
  </si>
  <si>
    <t>Linda Southworth</t>
  </si>
  <si>
    <t>Laser &amp; Ink Jet Business Envelopes</t>
  </si>
  <si>
    <t>BW-11110</t>
  </si>
  <si>
    <t>Bart Watters</t>
  </si>
  <si>
    <t>SAFCO Optional Arm Kit for Workspace Cribbage Stacking Chair</t>
  </si>
  <si>
    <t>Newell 345</t>
  </si>
  <si>
    <t>RCA ViSYS 25825 Wireless digital phone</t>
  </si>
  <si>
    <t>GBC Premium Transparent Covers with Diagonal Lined Pattern</t>
  </si>
  <si>
    <t>TC-21475</t>
  </si>
  <si>
    <t>Tony Chapman</t>
  </si>
  <si>
    <t>Belkin 6 Outlet Metallic Surge Strip</t>
  </si>
  <si>
    <t>KB-16585</t>
  </si>
  <si>
    <t>Ken Black</t>
  </si>
  <si>
    <t>Cush Cases Heavy Duty Rugged Cover Case for Samsung Galaxy S5 - Purple</t>
  </si>
  <si>
    <t>JB-15400</t>
  </si>
  <si>
    <t>Jennifer Braxton</t>
  </si>
  <si>
    <t>OtterBox Defender Series Case - iPhone 5c</t>
  </si>
  <si>
    <t>PO-18850</t>
  </si>
  <si>
    <t>Patrick O'Brill</t>
  </si>
  <si>
    <t>GBC Twin Loop Wire Binding Elements, 9/16" Spine, Black</t>
  </si>
  <si>
    <t>Acme 10" Easy Grip Assistive Scissors</t>
  </si>
  <si>
    <t>JB-16045</t>
  </si>
  <si>
    <t>Julia Barnett</t>
  </si>
  <si>
    <t>Rubbermaid ClusterMat Chairmats, Mat Size- 66" x 60", Lip 20" x 11" -90 Degree Angle</t>
  </si>
  <si>
    <t>LC-16870</t>
  </si>
  <si>
    <t>Lena Cacioppo</t>
  </si>
  <si>
    <t>Newell 317</t>
  </si>
  <si>
    <t>Ibico Recycled Linen-Style Covers</t>
  </si>
  <si>
    <t>Logitech Gaming G510s - Keyboard</t>
  </si>
  <si>
    <t>Avery Binding System Hidden Tab Executive Style Index Sets</t>
  </si>
  <si>
    <t>Newell 321</t>
  </si>
  <si>
    <t>Global Chrome Stack Chair</t>
  </si>
  <si>
    <t>Xerox 1962</t>
  </si>
  <si>
    <t>Xerox 1953</t>
  </si>
  <si>
    <t>RO-19780</t>
  </si>
  <si>
    <t>Rose O'Brian</t>
  </si>
  <si>
    <t>Prestige Round Ring Binders</t>
  </si>
  <si>
    <t>HG-15025</t>
  </si>
  <si>
    <t>Hunter Glantz</t>
  </si>
  <si>
    <t>Tennsco Snap-Together Open Shelving Units, Starter Sets and Add-On Units</t>
  </si>
  <si>
    <t>CB-12535</t>
  </si>
  <si>
    <t>Claudia Bergmann</t>
  </si>
  <si>
    <t>AJ-10780</t>
  </si>
  <si>
    <t>Anthony Jacobs</t>
  </si>
  <si>
    <t>SB-20185</t>
  </si>
  <si>
    <t>Sarah Brown</t>
  </si>
  <si>
    <t>Avery 476</t>
  </si>
  <si>
    <t>Zebra GX420t Direct Thermal/Thermal Transfer Printer</t>
  </si>
  <si>
    <t>JH-16180</t>
  </si>
  <si>
    <t>Justin Hirsh</t>
  </si>
  <si>
    <t>Kensington 4 Outlet MasterPiece Compact Power Control Center</t>
  </si>
  <si>
    <t>Ultra Door Push Plate</t>
  </si>
  <si>
    <t>DAX Metal Frame, Desktop, Stepped-Edge</t>
  </si>
  <si>
    <t>NK-18490</t>
  </si>
  <si>
    <t>Neil Knudson</t>
  </si>
  <si>
    <t>Newell 311</t>
  </si>
  <si>
    <t>Xerox 1894</t>
  </si>
  <si>
    <t>SP-20650</t>
  </si>
  <si>
    <t>Stephanie Phelps</t>
  </si>
  <si>
    <t>Southworth 25% Cotton Antique Laid Paper &amp; Envelopes</t>
  </si>
  <si>
    <t>Xerox 1883</t>
  </si>
  <si>
    <t>Tenex Personal Project File with Scoop Front Design, Black</t>
  </si>
  <si>
    <t>O'Sullivan Living Dimensions 3-Shelf Bookcases</t>
  </si>
  <si>
    <t>Self-Adhesive Removable Labels</t>
  </si>
  <si>
    <t>CG-12040</t>
  </si>
  <si>
    <t>Catherine Glotzbach</t>
  </si>
  <si>
    <t>LL-16840</t>
  </si>
  <si>
    <t>Lauren Leatherbury</t>
  </si>
  <si>
    <t>Avery 501</t>
  </si>
  <si>
    <t>Binney &amp; Smith Crayola Metallic Colored Pencils, 8-Color Set</t>
  </si>
  <si>
    <t>BP-11155</t>
  </si>
  <si>
    <t>Becky Pak</t>
  </si>
  <si>
    <t>Logitech Wireless Anywhere Mouse MX for PC and Mac</t>
  </si>
  <si>
    <t>Logitech Z-906 Speaker sys - home theater - 5.1-CH</t>
  </si>
  <si>
    <t>EM-13810</t>
  </si>
  <si>
    <t>Eleni McCrary</t>
  </si>
  <si>
    <t>3-ring staple pack</t>
  </si>
  <si>
    <t>TG-21640</t>
  </si>
  <si>
    <t>Trudy Glocke</t>
  </si>
  <si>
    <t>Luxo Adjustable Task Clamp Lamp</t>
  </si>
  <si>
    <t>Dexim XPower Skin Super-Thin Power Case for iPhone 5 - Black</t>
  </si>
  <si>
    <t>JJ-15445</t>
  </si>
  <si>
    <t>Jennifer Jackson</t>
  </si>
  <si>
    <t>Aluminum Screw Posts</t>
  </si>
  <si>
    <t>PF-19120</t>
  </si>
  <si>
    <t>Peter Fuller</t>
  </si>
  <si>
    <t>Belkin 19" Vented Equipment Shelf, Black</t>
  </si>
  <si>
    <t>Eldon "L" Workstation Diamond Chairmat</t>
  </si>
  <si>
    <t>DAX Copper Panel Document Frame, 5 x 7 Size</t>
  </si>
  <si>
    <t>SN-20560</t>
  </si>
  <si>
    <t>Skye Norling</t>
  </si>
  <si>
    <t>Xerox 1922</t>
  </si>
  <si>
    <t>BG-11740</t>
  </si>
  <si>
    <t>Bruce Geld</t>
  </si>
  <si>
    <t>Eldon 200 Class Desk Accessories</t>
  </si>
  <si>
    <t>Xerox 231</t>
  </si>
  <si>
    <t>Cameo Buff Policy Envelopes</t>
  </si>
  <si>
    <t>SC-20770</t>
  </si>
  <si>
    <t>Stewart Carmichael</t>
  </si>
  <si>
    <t>Howard Miller 13" Diameter Pewter Finish Round Wall Clock</t>
  </si>
  <si>
    <t>Griffin GC36547 PowerJolt SE Lightning Charger</t>
  </si>
  <si>
    <t>OIC Binder Clips, Mini, 1/4" Capacity, Black</t>
  </si>
  <si>
    <t>RD-19480</t>
  </si>
  <si>
    <t>Rick Duston</t>
  </si>
  <si>
    <t>Pyle PRT45 Retro Home Telephone</t>
  </si>
  <si>
    <t>CS-12355</t>
  </si>
  <si>
    <t>Christine Sundaresam</t>
  </si>
  <si>
    <t>Plantronics CS 50-USB - headset - Convertible, Monaural</t>
  </si>
  <si>
    <t>Assorted Color Push Pins</t>
  </si>
  <si>
    <t>JBL Micro Wireless Portable Bluetooth Speaker</t>
  </si>
  <si>
    <t>JF-15565</t>
  </si>
  <si>
    <t>Jill Fjeld</t>
  </si>
  <si>
    <t>GBC Velobind Prepunched Cover Sets, Regency Series</t>
  </si>
  <si>
    <t>CY-12745</t>
  </si>
  <si>
    <t>Craig Yedwab</t>
  </si>
  <si>
    <t>Electrix Halogen Magnifier Lamp</t>
  </si>
  <si>
    <t>JP-16135</t>
  </si>
  <si>
    <t>Julie Prescott</t>
  </si>
  <si>
    <t>Novimex Turbo Task Chair</t>
  </si>
  <si>
    <t>EH-13945</t>
  </si>
  <si>
    <t>Eric Hoffmann</t>
  </si>
  <si>
    <t>MV-18190</t>
  </si>
  <si>
    <t>Mike Vittorini</t>
  </si>
  <si>
    <t>Large Capacity Hanging Post Binders</t>
  </si>
  <si>
    <t>SC-20380</t>
  </si>
  <si>
    <t>Shahid Collister</t>
  </si>
  <si>
    <t>Xerox 1896</t>
  </si>
  <si>
    <t>TG-21310</t>
  </si>
  <si>
    <t>Toby Gnade</t>
  </si>
  <si>
    <t>Xerox 1899</t>
  </si>
  <si>
    <t>Hon Metal Bookcases, Black</t>
  </si>
  <si>
    <t>Hon 4070 Series Pagoda Armless Upholstered Stacking Chairs</t>
  </si>
  <si>
    <t>JM-15535</t>
  </si>
  <si>
    <t>Jessica Myrick</t>
  </si>
  <si>
    <t>Sauder Camden County Collection Libraries, Planked Cherry Finish</t>
  </si>
  <si>
    <t>RF-19735</t>
  </si>
  <si>
    <t>Roland Fjeld</t>
  </si>
  <si>
    <t>Logitech G35 7.1-Channel Surround Sound Headset</t>
  </si>
  <si>
    <t>TS-21085</t>
  </si>
  <si>
    <t>Thais Sissman</t>
  </si>
  <si>
    <t>Wilson Jones DublLock D-Ring Binders</t>
  </si>
  <si>
    <t>MH-18025</t>
  </si>
  <si>
    <t>Michelle Huthwaite</t>
  </si>
  <si>
    <t>Plymouth Boxed Rubber Bands by Plymouth</t>
  </si>
  <si>
    <t>Xerox 228</t>
  </si>
  <si>
    <t>Sauder Forest Hills Library, Woodland Oak Finish</t>
  </si>
  <si>
    <t>RD-19930</t>
  </si>
  <si>
    <t>Russell D'Ascenzo</t>
  </si>
  <si>
    <t>Motorola L703CM</t>
  </si>
  <si>
    <t>CA-12775</t>
  </si>
  <si>
    <t>Cynthia Arntzen</t>
  </si>
  <si>
    <t>Airmail Envelopes</t>
  </si>
  <si>
    <t>Acco Pressboard Covers with Storage Hooks, 9 1/2" x 11", Executive Red</t>
  </si>
  <si>
    <t>Office Star - Contemporary Task Swivel Chair</t>
  </si>
  <si>
    <t>Presstex Flexible Ring Binders</t>
  </si>
  <si>
    <t>Co-12640</t>
  </si>
  <si>
    <t>Corey-Lock</t>
  </si>
  <si>
    <t>Ibico Presentation Index for Binding Systems</t>
  </si>
  <si>
    <t>Okidata C331dn Printer</t>
  </si>
  <si>
    <t>DK-12985</t>
  </si>
  <si>
    <t>Darren Koutras</t>
  </si>
  <si>
    <t>ACCOHIDE 3-Ring Binder, Blue, 1"</t>
  </si>
  <si>
    <t>PN-18775</t>
  </si>
  <si>
    <t>Parhena Norris</t>
  </si>
  <si>
    <t>Cardinal Hold-It CD Pocket</t>
  </si>
  <si>
    <t>TT-21220</t>
  </si>
  <si>
    <t>Thomas Thornton</t>
  </si>
  <si>
    <t>Global Ergonomic Managers Chair</t>
  </si>
  <si>
    <t>SF-20065</t>
  </si>
  <si>
    <t>Sandra Flanagan</t>
  </si>
  <si>
    <t>Ultra Door Pull Handle</t>
  </si>
  <si>
    <t>TT-21265</t>
  </si>
  <si>
    <t>Tim Taslimi</t>
  </si>
  <si>
    <t>RE-19450</t>
  </si>
  <si>
    <t>Richard Eichhorn</t>
  </si>
  <si>
    <t>Mobile Personal File Cube</t>
  </si>
  <si>
    <t>JM-15865</t>
  </si>
  <si>
    <t>John Murray</t>
  </si>
  <si>
    <t>Newell 346</t>
  </si>
  <si>
    <t>Samsung Galaxy S4 Mini</t>
  </si>
  <si>
    <t>Avery 488</t>
  </si>
  <si>
    <t>Xerox 21</t>
  </si>
  <si>
    <t>Newell 336</t>
  </si>
  <si>
    <t>NZ-18565</t>
  </si>
  <si>
    <t>Nick Zandusky</t>
  </si>
  <si>
    <t>Xerox 191</t>
  </si>
  <si>
    <t>DS-13180</t>
  </si>
  <si>
    <t>David Smith</t>
  </si>
  <si>
    <t>Sauder Camden County Collection Library</t>
  </si>
  <si>
    <t>RA-19945</t>
  </si>
  <si>
    <t>Ryan Akin</t>
  </si>
  <si>
    <t>PF-19165</t>
  </si>
  <si>
    <t>Philip Fox</t>
  </si>
  <si>
    <t>Fiskars Softgrip Scissors</t>
  </si>
  <si>
    <t>Avery 511</t>
  </si>
  <si>
    <t>Avery Heavy-Duty EZD View Binder with Locking Rings</t>
  </si>
  <si>
    <t>CB-12025</t>
  </si>
  <si>
    <t>Cassandra Brandow</t>
  </si>
  <si>
    <t>O'Sullivan 2-Door Barrister Bookcase in Odessa Pine</t>
  </si>
  <si>
    <t>invisibleSHIELD by ZAGG Smudge-Free Screen Protector</t>
  </si>
  <si>
    <t>AR-10510</t>
  </si>
  <si>
    <t>Andrew Roberts</t>
  </si>
  <si>
    <t>Xerox 226</t>
  </si>
  <si>
    <t>Atlantic Metals Mobile 3-Shelf Bookcases, Custom Colors</t>
  </si>
  <si>
    <t>Memorex Micro Travel Drive 32 GB</t>
  </si>
  <si>
    <t>Lexmark S315 Color Inkjet Printer</t>
  </si>
  <si>
    <t>RH-19510</t>
  </si>
  <si>
    <t>Rick Huthwaite</t>
  </si>
  <si>
    <t>Storex Dura Pro Binders</t>
  </si>
  <si>
    <t>Hewlett Packard LaserJet 3310 Copier</t>
  </si>
  <si>
    <t>DB-13120</t>
  </si>
  <si>
    <t>David Bremer</t>
  </si>
  <si>
    <t>Sterilite Officeware Hinged File Box</t>
  </si>
  <si>
    <t>TRENDnet 56K USB 2.0 Phone, Internet and Fax Modem</t>
  </si>
  <si>
    <t>Avery Durable Slant Ring Binders, No Labels</t>
  </si>
  <si>
    <t>GE 48" Fluorescent Tube, Cool White Energy Saver, 34 Watts, 30/Box</t>
  </si>
  <si>
    <t>Acco Flexible ACCOHIDE Square Ring Data Binder, Dark Blue, 11 1/2" X 14" 7/8"</t>
  </si>
  <si>
    <t>DXL Angle-View Binders with Locking Rings, Black</t>
  </si>
  <si>
    <t>Acco Hanging Data Binders</t>
  </si>
  <si>
    <t>Howard Miller 16" Diameter Gallery Wall Clock</t>
  </si>
  <si>
    <t>LO-17170</t>
  </si>
  <si>
    <t>Lori Olson</t>
  </si>
  <si>
    <t>Memorex Mini Travel Drive 8 GB USB 2.0 Flash Drive</t>
  </si>
  <si>
    <t>Safco Industrial Wire Shelving</t>
  </si>
  <si>
    <t>NM-18520</t>
  </si>
  <si>
    <t>Neoma Murray</t>
  </si>
  <si>
    <t>Xerox 1928</t>
  </si>
  <si>
    <t>Eldon Shelf Savers Cubes and Bins</t>
  </si>
  <si>
    <t>MC-17575</t>
  </si>
  <si>
    <t>Matt Collins</t>
  </si>
  <si>
    <t>Belkin 19" Center-Weighted Shelf, Gray</t>
  </si>
  <si>
    <t>Seth Thomas 13 1/2" Wall Clock</t>
  </si>
  <si>
    <t>Boston 19500 Mighty Mite Electric Pencil Sharpener</t>
  </si>
  <si>
    <t>Avery 474</t>
  </si>
  <si>
    <t>SB-20290</t>
  </si>
  <si>
    <t>Sean Braxton</t>
  </si>
  <si>
    <t>GB-14530</t>
  </si>
  <si>
    <t>George Bell</t>
  </si>
  <si>
    <t>Deflect-O Glasstique Clear Desk Accessories</t>
  </si>
  <si>
    <t>CC-12670</t>
  </si>
  <si>
    <t>Craig Carreira</t>
  </si>
  <si>
    <t>KD-16615</t>
  </si>
  <si>
    <t>Ken Dana</t>
  </si>
  <si>
    <t>Eldon Econocleat Chair Mats for Low Pile Carpets</t>
  </si>
  <si>
    <t>Xerox 1915</t>
  </si>
  <si>
    <t>MO-17800</t>
  </si>
  <si>
    <t>Meg O'Connel</t>
  </si>
  <si>
    <t>Xerox 216</t>
  </si>
  <si>
    <t>CS-11845</t>
  </si>
  <si>
    <t>Cari Sayre</t>
  </si>
  <si>
    <t>Personal Creations Ink Jet Cards and Labels</t>
  </si>
  <si>
    <t>Rediform S.O.S. Phone Message Books</t>
  </si>
  <si>
    <t>Quartet Omega Colored Chalk, 12/Pack</t>
  </si>
  <si>
    <t>Elite 5" Scissors</t>
  </si>
  <si>
    <t>Advantus Panel Wall Certificate Holder - 8.5x11</t>
  </si>
  <si>
    <t>AB-10060</t>
  </si>
  <si>
    <t>Adam Bellavance</t>
  </si>
  <si>
    <t>Wirebound Message Books, Four 2 3/4" x 5" Forms per Page, 600 Sets per Book</t>
  </si>
  <si>
    <t>CM-12190</t>
  </si>
  <si>
    <t>Charlotte Melton</t>
  </si>
  <si>
    <t>Stur-D-Stor Shelving, Vertical 5-Shelf: 72"H x 36"W x 18 1/2"D</t>
  </si>
  <si>
    <t>Newell 323</t>
  </si>
  <si>
    <t>FC-14245</t>
  </si>
  <si>
    <t>Frank Carlisle</t>
  </si>
  <si>
    <t>Seth Thomas 8 1/2" Cubicle Clock</t>
  </si>
  <si>
    <t>AM-10705</t>
  </si>
  <si>
    <t>Anne McFarland</t>
  </si>
  <si>
    <t>Wilson Jones Impact Binders</t>
  </si>
  <si>
    <t>Hon Every-Day Series Multi-Task Chairs</t>
  </si>
  <si>
    <t>Advantus Map Pennant Flags and Round Head Tacks</t>
  </si>
  <si>
    <t>DL-12925</t>
  </si>
  <si>
    <t>Daniel Lacy</t>
  </si>
  <si>
    <t>MM-18280</t>
  </si>
  <si>
    <t>Muhammed MacIntyre</t>
  </si>
  <si>
    <t>Kensington 6 Outlet Guardian Standard Surge Protector</t>
  </si>
  <si>
    <t>ME-17725</t>
  </si>
  <si>
    <t>Max Engle</t>
  </si>
  <si>
    <t>SC-20440</t>
  </si>
  <si>
    <t>Shaun Chance</t>
  </si>
  <si>
    <t>DAX Value U-Channel Document Frames, Easel Back</t>
  </si>
  <si>
    <t>CM-11935</t>
  </si>
  <si>
    <t>Carlos Meador</t>
  </si>
  <si>
    <t>HP Standard 104 key PS/2 Keyboard</t>
  </si>
  <si>
    <t>Bretford CR4500 Series Slim Rectangular Table</t>
  </si>
  <si>
    <t>#10- 4 1/8" x 9 1/2" Recycled Envelopes</t>
  </si>
  <si>
    <t>Global Super Steno Chair</t>
  </si>
  <si>
    <t>Permanent Self-Adhesive File Folder Labels for Typewriters, 1 1/8 x 3 1/2, White</t>
  </si>
  <si>
    <t>Logitech G602 Wireless Gaming Mouse</t>
  </si>
  <si>
    <t>TB-21520</t>
  </si>
  <si>
    <t>Tracy Blumstein</t>
  </si>
  <si>
    <t>Microsoft Arc Touch Mouse</t>
  </si>
  <si>
    <t>Petty Cash Envelope</t>
  </si>
  <si>
    <t>GBC VeloBinder Electric Binding Machine</t>
  </si>
  <si>
    <t>Lock-Up Easel 'Spel-Binder'</t>
  </si>
  <si>
    <t>2300 Heavy-Duty Transfer File Systems by Perma</t>
  </si>
  <si>
    <t>BS-11800</t>
  </si>
  <si>
    <t>Bryan Spruell</t>
  </si>
  <si>
    <t>Personal Filing Tote with Lid, Black/Gray</t>
  </si>
  <si>
    <t>Xerox 1916</t>
  </si>
  <si>
    <t>SS-20140</t>
  </si>
  <si>
    <t>Saphhira Shifley</t>
  </si>
  <si>
    <t>Holmes HEPA Air Purifier</t>
  </si>
  <si>
    <t>RP-19855</t>
  </si>
  <si>
    <t>Roy Phan</t>
  </si>
  <si>
    <t>Acco Smartsocket Table Surge Protector, 6 Color-Coded Adapter Outlets</t>
  </si>
  <si>
    <t>GBC Recycled VeloBinder Covers</t>
  </si>
  <si>
    <t>Acme Galleria Hot Forged Steel Scissors with Colored Handles</t>
  </si>
  <si>
    <t>Motorola HK250 Universal Bluetooth Headset</t>
  </si>
  <si>
    <t>Trav-L-File Heavy-Duty Shuttle II, Black</t>
  </si>
  <si>
    <t>EM-13960</t>
  </si>
  <si>
    <t>Eric Murdock</t>
  </si>
  <si>
    <t>HM-14980</t>
  </si>
  <si>
    <t>Henry MacAllister</t>
  </si>
  <si>
    <t>Pressboard Hanging Data Binders for Unburst Sheets</t>
  </si>
  <si>
    <t>GBC Poly Designer Binding Covers</t>
  </si>
  <si>
    <t>HTC One Mini</t>
  </si>
  <si>
    <t>CK-12205</t>
  </si>
  <si>
    <t>Chloris Kastensmidt</t>
  </si>
  <si>
    <t>9-3/4 Diameter Round Wall Clock</t>
  </si>
  <si>
    <t>Bush Cubix Collection Bookcases, Fully Assembled</t>
  </si>
  <si>
    <t>Global Highback Leather Tilter in Burgundy</t>
  </si>
  <si>
    <t>Deflect-o SuperTray Unbreakable Stackable Tray, Letter, Black</t>
  </si>
  <si>
    <t>KN-16390</t>
  </si>
  <si>
    <t>Katherine Nockton</t>
  </si>
  <si>
    <t>Avery 503</t>
  </si>
  <si>
    <t>KA-16525</t>
  </si>
  <si>
    <t>Kelly Andreada</t>
  </si>
  <si>
    <t>Eldon Base for stackable storage shelf, platinum</t>
  </si>
  <si>
    <t>JC-15775</t>
  </si>
  <si>
    <t>John Castell</t>
  </si>
  <si>
    <t>RM-19675</t>
  </si>
  <si>
    <t>Robert Marley</t>
  </si>
  <si>
    <t>Sanyo Counter Height Refrigerator with Crisper, 3.6 Cubic Foot, Stainless Steel/Black</t>
  </si>
  <si>
    <t>NETGEAR N750 Dual Band Wi-Fi Gigabit Router</t>
  </si>
  <si>
    <t>Nu-Dell Oak Frame</t>
  </si>
  <si>
    <t>SAFCO PlanMaster Boards, 60w x 37-1/2d, White Melamine</t>
  </si>
  <si>
    <t>JF-15355</t>
  </si>
  <si>
    <t>Jay Fein</t>
  </si>
  <si>
    <t>Maxell DVD-RAM Discs</t>
  </si>
  <si>
    <t>Xerox 196</t>
  </si>
  <si>
    <t>Redi-Strip #10 Envelopes, 4 1/8 x 9 1/2</t>
  </si>
  <si>
    <t>AG-10495</t>
  </si>
  <si>
    <t>Andrew Gjertsen</t>
  </si>
  <si>
    <t>Novimex High-Tech Fabric Mesh Task Chair</t>
  </si>
  <si>
    <t>TB-21625</t>
  </si>
  <si>
    <t>Trudy Brown</t>
  </si>
  <si>
    <t>Balt Solid Wood Rectangular Table</t>
  </si>
  <si>
    <t>Newell 319</t>
  </si>
  <si>
    <t>DG-13300</t>
  </si>
  <si>
    <t>Deirdre Greer</t>
  </si>
  <si>
    <t>MY-17380</t>
  </si>
  <si>
    <t>Maribeth Yedwab</t>
  </si>
  <si>
    <t>Avery 507</t>
  </si>
  <si>
    <t>Panasonic KX-TG6844B Expandable Digital Cordless Telephone</t>
  </si>
  <si>
    <t>Plantronics MX500i Earset</t>
  </si>
  <si>
    <t>KH-16690</t>
  </si>
  <si>
    <t>Kristen Hastings</t>
  </si>
  <si>
    <t>Xerox 1914</t>
  </si>
  <si>
    <t>Avery Self-Adhesive Photo Pockets for Polaroid Photos</t>
  </si>
  <si>
    <t>NB-18655</t>
  </si>
  <si>
    <t>Nona Balk</t>
  </si>
  <si>
    <t>Xerox 1898</t>
  </si>
  <si>
    <t>Sharp 1540cs Digital Laser Copier</t>
  </si>
  <si>
    <t>OtterBox Commuter Series Case - iPhone 5 &amp; 5s</t>
  </si>
  <si>
    <t>Eldon Regeneration Recycled Desk Accessories, Black</t>
  </si>
  <si>
    <t>Poly String Tie Envelopes</t>
  </si>
  <si>
    <t>Acco Four Pocket Poly Ring Binder with Label Holder, Smoke, 1"</t>
  </si>
  <si>
    <t>SG-20080</t>
  </si>
  <si>
    <t>Sandra Glassco</t>
  </si>
  <si>
    <t>GBC DocuBind P100 Manual Binding Machine</t>
  </si>
  <si>
    <t>OIC Bulk Pack Metal Binder Clips</t>
  </si>
  <si>
    <t>Global Fabric Manager's Chair, Dark Gray</t>
  </si>
  <si>
    <t>Acme Tagit Stainless Steel Antibacterial Scissors</t>
  </si>
  <si>
    <t>Polycom SoundStation2 EX Conference phone</t>
  </si>
  <si>
    <t>DMI Eclipse Executive Suite Bookcases</t>
  </si>
  <si>
    <t>Lumber Crayons</t>
  </si>
  <si>
    <t>KC-16540</t>
  </si>
  <si>
    <t>Kelly Collister</t>
  </si>
  <si>
    <t>Logitech K350 2.4Ghz Wireless Keyboard</t>
  </si>
  <si>
    <t>LT-17110</t>
  </si>
  <si>
    <t>Liz Thompson</t>
  </si>
  <si>
    <t>Contemporary Wood/Metal Frame</t>
  </si>
  <si>
    <t>CM-12655</t>
  </si>
  <si>
    <t>Corinna Mitchell</t>
  </si>
  <si>
    <t>Cisco IP Phone 7961G-GE VoIP phone</t>
  </si>
  <si>
    <t>Logitech Trackman Marble Mouse</t>
  </si>
  <si>
    <t>Coloredge Poster Frame</t>
  </si>
  <si>
    <t>Hanging Personal Folder File</t>
  </si>
  <si>
    <t>MT-17815</t>
  </si>
  <si>
    <t>Meg Tillman</t>
  </si>
  <si>
    <t>UniKeep View Case Binders</t>
  </si>
  <si>
    <t>KB-16240</t>
  </si>
  <si>
    <t>Karen Bern</t>
  </si>
  <si>
    <t>MZ-17335</t>
  </si>
  <si>
    <t>Maria Zettner</t>
  </si>
  <si>
    <t>Logitech G19 Programmable Gaming Keyboard</t>
  </si>
  <si>
    <t>Alliance Rubber Bands</t>
  </si>
  <si>
    <t>Deluxe Heavy-Duty Vinyl Round Ring Binder</t>
  </si>
  <si>
    <t>SW-20455</t>
  </si>
  <si>
    <t>Shaun Weien</t>
  </si>
  <si>
    <t>Microsoft Sculpt Comfort Mouse</t>
  </si>
  <si>
    <t>YC-21895</t>
  </si>
  <si>
    <t>Yoseph Carroll</t>
  </si>
  <si>
    <t>AW-10930</t>
  </si>
  <si>
    <t>Arthur Wiediger</t>
  </si>
  <si>
    <t>Eldon Stackable Tray, Side-Load, Legal, Smoke</t>
  </si>
  <si>
    <t>Universal Recycled Hanging Pressboard Report Binders, Letter Size</t>
  </si>
  <si>
    <t>Advantus Push Pins</t>
  </si>
  <si>
    <t>Imation Secure Drive + Hardware Encrypted USB flash drive - 16 GB</t>
  </si>
  <si>
    <t>HK-14890</t>
  </si>
  <si>
    <t>Heather Kirkland</t>
  </si>
  <si>
    <t>Jabra BIZ 2300 Duo QD Duo Corded Headset</t>
  </si>
  <si>
    <t>Avery 51</t>
  </si>
  <si>
    <t>BS-11665</t>
  </si>
  <si>
    <t>Brian Stugart</t>
  </si>
  <si>
    <t>Carina Media Storage Towers in Natural &amp; Black</t>
  </si>
  <si>
    <t>Fellowes Recycled Storage Drawers</t>
  </si>
  <si>
    <t>Xerox 203</t>
  </si>
  <si>
    <t>Tenex V2T-RE Standard Weight Series Chair Mat, 45" x 53", Lip 25" x 12"</t>
  </si>
  <si>
    <t>Hoover Commercial Soft Guard Upright Vacuum And Disposable Filtration Bags</t>
  </si>
  <si>
    <t>Newell 333</t>
  </si>
  <si>
    <t>Gear Head AU3700S Headset</t>
  </si>
  <si>
    <t>PB-18805</t>
  </si>
  <si>
    <t>Patrick Bzostek</t>
  </si>
  <si>
    <t>Cardinal Poly Pocket Divider Pockets for Ring Binders</t>
  </si>
  <si>
    <t>KB-16405</t>
  </si>
  <si>
    <t>Katrina Bavinger</t>
  </si>
  <si>
    <t>Eldon Expressions Wood Desk Accessories, Oak</t>
  </si>
  <si>
    <t>AmazonBasics 3-Button USB Wired Mouse</t>
  </si>
  <si>
    <t>Sauder Barrister Bookcases</t>
  </si>
  <si>
    <t>Wilson Jones 14 Line Acrylic Coated Pressboard Data Binders</t>
  </si>
  <si>
    <t>CS-12250</t>
  </si>
  <si>
    <t>Chris Selesnick</t>
  </si>
  <si>
    <t>Performers Binder/Pad Holder, Black</t>
  </si>
  <si>
    <t>KW-16570</t>
  </si>
  <si>
    <t>Kelly Williams</t>
  </si>
  <si>
    <t>Dana Swing-Arm Lamps</t>
  </si>
  <si>
    <t>Hon Metal Bookcases, Putty</t>
  </si>
  <si>
    <t>Square Ring Data Binders, Rigid 75 Pt. Covers, 11" x 14-7/8"</t>
  </si>
  <si>
    <t>EM-14095</t>
  </si>
  <si>
    <t>Eudokia Martin</t>
  </si>
  <si>
    <t>Fellowes Command Center 5-outlet power strip</t>
  </si>
  <si>
    <t>Avery 506</t>
  </si>
  <si>
    <t>NG-18430</t>
  </si>
  <si>
    <t>Nathan Gelder</t>
  </si>
  <si>
    <t>Xerox 1887</t>
  </si>
  <si>
    <t>Personal Folder Holder, Ebony</t>
  </si>
  <si>
    <t>Acco PRESSTEX Data Binder with Storage Hooks, Dark Blue, 14 7/8" X 11"</t>
  </si>
  <si>
    <t>Xerox 1943</t>
  </si>
  <si>
    <t>DP-13000</t>
  </si>
  <si>
    <t>Darren Powers</t>
  </si>
  <si>
    <t>Avery Reinforcements for Hole-Punch Pages</t>
  </si>
  <si>
    <t>Fellowes Bankers Box Staxonsteel Drawer File/Stacking System</t>
  </si>
  <si>
    <t>CD-11920</t>
  </si>
  <si>
    <t>Carlos Daly</t>
  </si>
  <si>
    <t>Situations Contoured Folding Chairs, 4/Set</t>
  </si>
  <si>
    <t>Sony 64GB Class 10 Micro SDHC R40 Memory Card</t>
  </si>
  <si>
    <t>Snap-A-Way Black Print Carbonless Ruled Speed Letter, Triplicate</t>
  </si>
  <si>
    <t>BIC Brite Liner Highlighters</t>
  </si>
  <si>
    <t>AJ-10945</t>
  </si>
  <si>
    <t>Ashley Jarboe</t>
  </si>
  <si>
    <t>Holmes Visible Mist Ultrasonic Humidifier with 2.3-Gallon Output per Day, Replacement Filter</t>
  </si>
  <si>
    <t>PO-19195</t>
  </si>
  <si>
    <t>Phillina Ober</t>
  </si>
  <si>
    <t>Boston Electric Pencil Sharpener, Model 1818, Charcoal Black</t>
  </si>
  <si>
    <t>Xerox 1997</t>
  </si>
  <si>
    <t>LC-17140</t>
  </si>
  <si>
    <t>Logan Currie</t>
  </si>
  <si>
    <t>Wilson Jones Heavy-Duty Casebound Ring Binders with Metal Hinges</t>
  </si>
  <si>
    <t>TW-21025</t>
  </si>
  <si>
    <t>Tamara Willingham</t>
  </si>
  <si>
    <t>Xerox 219</t>
  </si>
  <si>
    <t>Bush Advantage Collection Round Conference Table</t>
  </si>
  <si>
    <t>Tennsco Industrial Shelving</t>
  </si>
  <si>
    <t>LC-16960</t>
  </si>
  <si>
    <t>Lindsay Castell</t>
  </si>
  <si>
    <t>HM-14860</t>
  </si>
  <si>
    <t>Harry Marie</t>
  </si>
  <si>
    <t>Tyvek Side-Opening Peel &amp; Seel Expanding Envelopes</t>
  </si>
  <si>
    <t>Jensen SMPS-640 - speaker phone</t>
  </si>
  <si>
    <t>MH-17620</t>
  </si>
  <si>
    <t>Matt Hagelstein</t>
  </si>
  <si>
    <t>Memorex Micro Travel Drive 8 GB</t>
  </si>
  <si>
    <t>Stanley Contemporary Battery Pencil Sharpeners</t>
  </si>
  <si>
    <t>KM-16375</t>
  </si>
  <si>
    <t>Katherine Murray</t>
  </si>
  <si>
    <t>Message Book, Phone, Wirebound Standard Line Memo, 2 3/4" X 5"</t>
  </si>
  <si>
    <t>Xerox 20</t>
  </si>
  <si>
    <t>Avery 483</t>
  </si>
  <si>
    <t>AF-10870</t>
  </si>
  <si>
    <t>Art Ferguson</t>
  </si>
  <si>
    <t>Alliance Big Bands Rubber Bands, 12/Pack</t>
  </si>
  <si>
    <t>Avery 509</t>
  </si>
  <si>
    <t>MS-17830</t>
  </si>
  <si>
    <t>Melanie Seite</t>
  </si>
  <si>
    <t>12-1/2 Diameter Round Wall Clock</t>
  </si>
  <si>
    <t>Xerox 218</t>
  </si>
  <si>
    <t>YS-21880</t>
  </si>
  <si>
    <t>Yana Sorensen</t>
  </si>
  <si>
    <t>Southworth Parchment Paper &amp; Envelopes</t>
  </si>
  <si>
    <t>Avery File Folder Labels</t>
  </si>
  <si>
    <t>IM-15070</t>
  </si>
  <si>
    <t>Irene Maddox</t>
  </si>
  <si>
    <t>Bush Westfield Collection Bookcases, Dark Cherry Finish</t>
  </si>
  <si>
    <t>Newell 326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</si>
  <si>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</si>
  <si>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</si>
  <si>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</si>
  <si>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</si>
  <si>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</si>
  <si>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Lifetime Advantage Folding Chairs, 4/Carton</t>
  </si>
  <si>
    <t>DK-13375</t>
  </si>
  <si>
    <t>Dennis Kane</t>
  </si>
  <si>
    <t>Recycled Premium Regency Composition Covers</t>
  </si>
  <si>
    <t>Black Print Carbonless Snap-Off Rapid Letter, 8 1/2" x 7"</t>
  </si>
  <si>
    <t>HA-14905</t>
  </si>
  <si>
    <t>Helen Abelman</t>
  </si>
  <si>
    <t>Xerox 1930</t>
  </si>
  <si>
    <t>KD-16270</t>
  </si>
  <si>
    <t>Karen Daniels</t>
  </si>
  <si>
    <t>Logitech Wireless Marathon Mouse M705</t>
  </si>
  <si>
    <t>Xerox 213</t>
  </si>
  <si>
    <t>Fellowes 8 Outlet Superior Workstation Surge Protector w/o Phone/Fax/Modem Protection</t>
  </si>
  <si>
    <t>Avery 513</t>
  </si>
  <si>
    <t>Plantronics Voyager Pro Legend</t>
  </si>
  <si>
    <t>Angle-D Binders with Locking Rings, Label Holders</t>
  </si>
  <si>
    <t>DJ-13630</t>
  </si>
  <si>
    <t>Doug Jacobs</t>
  </si>
  <si>
    <t>Master Caster Door Stop, Gray</t>
  </si>
  <si>
    <t>Micro Innovations USB RF Wireless Keyboard with Mouse</t>
  </si>
  <si>
    <t>DB-12970</t>
  </si>
  <si>
    <t>Darren Budd</t>
  </si>
  <si>
    <t>Ibico Recycled Grain-Textured Covers</t>
  </si>
  <si>
    <t>GBC Laser Imprintable Binding System Covers, Desert Sand</t>
  </si>
  <si>
    <t>Bush Andora Conference Table, Maple/Graphite Gray Finish</t>
  </si>
  <si>
    <t>3M Office Air Cleaner</t>
  </si>
  <si>
    <t>Logitech G700s Rechargeable Gaming Mouse</t>
  </si>
  <si>
    <t>Acco D-Ring Binder w/DublLock</t>
  </si>
  <si>
    <t>Xerox 190</t>
  </si>
  <si>
    <t>PG-18895</t>
  </si>
  <si>
    <t>Paul Gonzalez</t>
  </si>
  <si>
    <t>Sanford Colorific Eraseable Coloring Pencils, 12 Count</t>
  </si>
  <si>
    <t>Avery Arch Ring Binders</t>
  </si>
  <si>
    <t>MK-17905</t>
  </si>
  <si>
    <t>Michael Kennedy</t>
  </si>
  <si>
    <t>Newell 320</t>
  </si>
  <si>
    <t>JG-15160</t>
  </si>
  <si>
    <t>James Galang</t>
  </si>
  <si>
    <t>ShoreTel ShorePhone IP 230 VoIP phone</t>
  </si>
  <si>
    <t>Plantronics Savi W720 Multi-Device Wireless Headset System</t>
  </si>
  <si>
    <t>#6 3/4 Gummed Flap White Envelopes</t>
  </si>
  <si>
    <t>Nu-Dell Float Frame 11 x 14 1/2</t>
  </si>
  <si>
    <t>JS-15880</t>
  </si>
  <si>
    <t>John Stevenson</t>
  </si>
  <si>
    <t>Enermax Acrylux Wireless Keyboard</t>
  </si>
  <si>
    <t>ER-13855</t>
  </si>
  <si>
    <t>Elpida Rittenbach</t>
  </si>
  <si>
    <t>JR-15670</t>
  </si>
  <si>
    <t>Jim Radford</t>
  </si>
  <si>
    <t>Atlantic Metals Mobile 4-Shelf Bookcases, Custom Colors</t>
  </si>
  <si>
    <t>Dixon My First Ticonderoga Pencil, #2</t>
  </si>
  <si>
    <t>MS-17365</t>
  </si>
  <si>
    <t>Maribeth Schnelling</t>
  </si>
  <si>
    <t>Computer Printout Paper with Letter-Trim Perforations</t>
  </si>
  <si>
    <t>ClearSounds CSC500 Amplified Spirit Phone Corded phone</t>
  </si>
  <si>
    <t>Magna Visual Magnetic Picture Hangers</t>
  </si>
  <si>
    <t>RA-19285</t>
  </si>
  <si>
    <t>Ralph Arnett</t>
  </si>
  <si>
    <t>Brother DCP1000 Digital 3 in 1 Multifunction Machine</t>
  </si>
  <si>
    <t>Important Message Pads, 50 4-1/4 x 5-1/2 Forms per Pad</t>
  </si>
  <si>
    <t>SM-20320</t>
  </si>
  <si>
    <t>Sean Miller</t>
  </si>
  <si>
    <t>Xerox 1949</t>
  </si>
  <si>
    <t>Avery 497</t>
  </si>
  <si>
    <t>Maxell 4.7GB DVD-R 5/Pack</t>
  </si>
  <si>
    <t>Geemarc AmpliPOWER60</t>
  </si>
  <si>
    <t>Xerox 1929</t>
  </si>
  <si>
    <t>Cisco SPA 502G IP Phone</t>
  </si>
  <si>
    <t>DW-13480</t>
  </si>
  <si>
    <t>Dianna Wilson</t>
  </si>
  <si>
    <t>Panasonic KP-350BK Electric Pencil Sharpener with Auto Stop</t>
  </si>
  <si>
    <t>LA-16780</t>
  </si>
  <si>
    <t>Laura Armstrong</t>
  </si>
  <si>
    <t>Logitech G500s Laser Gaming Mouse with Adjustable Weight Tuning</t>
  </si>
  <si>
    <t>24-Hour Round Wall Clock</t>
  </si>
  <si>
    <t>Logitech Media Keyboard K200</t>
  </si>
  <si>
    <t>JB-16000</t>
  </si>
  <si>
    <t>Joy Bell-</t>
  </si>
  <si>
    <t>Wilson Jones Active Use Binders</t>
  </si>
  <si>
    <t>Imation 8GB Mini TravelDrive USB 2.0 Flash Drive</t>
  </si>
  <si>
    <t>TD-20995</t>
  </si>
  <si>
    <t>Tamara Dahlen</t>
  </si>
  <si>
    <t>Contract Clock, 14", Brown</t>
  </si>
  <si>
    <t>CB-12415</t>
  </si>
  <si>
    <t>Christy Brittain</t>
  </si>
  <si>
    <t>DAX Cubicle Frames, 8-1/2 x 11</t>
  </si>
  <si>
    <t>Heavy-Duty E-Z-D Binders</t>
  </si>
  <si>
    <t>GBC Wire Binding Strips</t>
  </si>
  <si>
    <t>Global Deluxe High-Back Office Chair in Storm</t>
  </si>
  <si>
    <t>O'Sullivan 2-Shelf Heavy-Duty Bookcases</t>
  </si>
  <si>
    <t>AT&amp;T 1080 Phone</t>
  </si>
  <si>
    <t>SM-20950</t>
  </si>
  <si>
    <t>Suzanne McNair</t>
  </si>
  <si>
    <t>Safco Commercial Shelving</t>
  </si>
  <si>
    <t>Avery 508</t>
  </si>
  <si>
    <t>Chromcraft Round Conference Tables</t>
  </si>
  <si>
    <t>Anker Astro 15000mAh USB Portable Charger</t>
  </si>
  <si>
    <t>EB-13975</t>
  </si>
  <si>
    <t>Erica Bern</t>
  </si>
  <si>
    <t>JR-16210</t>
  </si>
  <si>
    <t>Justin Ritter</t>
  </si>
  <si>
    <t>Maxell 4.7GB DVD+RW 3/Pack</t>
  </si>
  <si>
    <t>RD-19810</t>
  </si>
  <si>
    <t>Ross DeVincentis</t>
  </si>
  <si>
    <t>Tops Green Bar Computer Printout Paper</t>
  </si>
  <si>
    <t>GT-14710</t>
  </si>
  <si>
    <t>Greg Tran</t>
  </si>
  <si>
    <t>MC-17635</t>
  </si>
  <si>
    <t>Matthew Clasen</t>
  </si>
  <si>
    <t>Wilson Jones Clip &amp; Carry Folder Binder Tool for Ring Binders, Clear</t>
  </si>
  <si>
    <t>Acco Clips to Go Binder Clips, 24 Clips in Two Sizes</t>
  </si>
  <si>
    <t>RCA ViSYS 25423RE1 Corded phone</t>
  </si>
  <si>
    <t>TS-21160</t>
  </si>
  <si>
    <t>Theresa Swint</t>
  </si>
  <si>
    <t>MG-17890</t>
  </si>
  <si>
    <t>Michael Granlund</t>
  </si>
  <si>
    <t>Berol Giant Pencil Sharpener</t>
  </si>
  <si>
    <t>Rediform Voice Mail Log Books</t>
  </si>
  <si>
    <t>Apple iPhone 5</t>
  </si>
  <si>
    <t>Okidata MB760 Printer</t>
  </si>
  <si>
    <t>Mini 13-1/2 Capacity Data Binder Rack, Pearl</t>
  </si>
  <si>
    <t>Euro-Pro Shark Turbo Vacuum</t>
  </si>
  <si>
    <t>Security-Tint Envelopes</t>
  </si>
  <si>
    <t>Hon 4070 Series Pagoda Round Back Stacking Chairs</t>
  </si>
  <si>
    <t>SW-20245</t>
  </si>
  <si>
    <t>Scot Wooten</t>
  </si>
  <si>
    <t>Hammermill Color Copier Paper (28Lb. and 96 Bright)</t>
  </si>
  <si>
    <t>Belkin 7 Outlet SurgeMaster Surge Protector with Phone Protection</t>
  </si>
  <si>
    <t>Westinghouse Mesh Shade Clip-On Gooseneck Lamp, Black</t>
  </si>
  <si>
    <t>Global High-Back Leather Tilter, Burgundy</t>
  </si>
  <si>
    <t>Avery Round Ring Poly Binders</t>
  </si>
  <si>
    <t>Global Comet Stacking Arm Chair</t>
  </si>
  <si>
    <t>AC-10660</t>
  </si>
  <si>
    <t>Anna Chung</t>
  </si>
  <si>
    <t>i.Sound Portable Power - 8000 mAh</t>
  </si>
  <si>
    <t>BT-11440</t>
  </si>
  <si>
    <t>Bobby Trafton</t>
  </si>
  <si>
    <t>Atlantic Metals Mobile 2-Shelf Bookcases, Custom Colors</t>
  </si>
  <si>
    <t>Logitech ClearChat Comfort/USB Headset H390</t>
  </si>
  <si>
    <t>Global Stack Chair with Arms, Black</t>
  </si>
  <si>
    <t>DR-12880</t>
  </si>
  <si>
    <t>Dan Reichenbach</t>
  </si>
  <si>
    <t>CC-12220</t>
  </si>
  <si>
    <t>Chris Cortes</t>
  </si>
  <si>
    <t>Rogers Deluxe File Chest</t>
  </si>
  <si>
    <t>Xerox 1983</t>
  </si>
  <si>
    <t>Belkin F9H710-06 7 Outlet SurgeMaster Surge Protector</t>
  </si>
  <si>
    <t>Hewlett Packard 610 Color Digital Copier / Printer</t>
  </si>
  <si>
    <t>Xerox 1923</t>
  </si>
  <si>
    <t>Fellowes Neat Ideas Storage Cubes</t>
  </si>
  <si>
    <t>C-Line Magnetic Cubicle Keepers, Clear Polypropylene</t>
  </si>
  <si>
    <t>EB-13750</t>
  </si>
  <si>
    <t>Edward Becker</t>
  </si>
  <si>
    <t>Acco Pressboard Covers with Storage Hooks, 14 7/8" x 11", Light Blue</t>
  </si>
  <si>
    <t>Bush Somerset Collection Bookcase</t>
  </si>
  <si>
    <t>Xerox 227</t>
  </si>
  <si>
    <t>BT-11680</t>
  </si>
  <si>
    <t>Brian Thompson</t>
  </si>
  <si>
    <t>Fellowes Staxonsteel Drawer Files</t>
  </si>
  <si>
    <t>GBC Prepunched Paper, 19-Hole, for Binding Systems, 24-lb</t>
  </si>
  <si>
    <t>BP-11290</t>
  </si>
  <si>
    <t>Beth Paige</t>
  </si>
  <si>
    <t>Hon Comfortask Task/Swivel Chairs</t>
  </si>
  <si>
    <t>JM Magazine Binder</t>
  </si>
  <si>
    <t>Xerox 206</t>
  </si>
  <si>
    <t>BD-11320</t>
  </si>
  <si>
    <t>Bill Donatelli</t>
  </si>
  <si>
    <t>JK-16120</t>
  </si>
  <si>
    <t>Julie Kriz</t>
  </si>
  <si>
    <t>Xerox 1911</t>
  </si>
  <si>
    <t>Bush Westfield Collection Bookcases, Fully Assembled</t>
  </si>
  <si>
    <t>PowerGen Dual USB Car Charger</t>
  </si>
  <si>
    <t>Newell 307</t>
  </si>
  <si>
    <t>Panasonic KP-4ABK Battery-Operated Pencil Sharpener</t>
  </si>
  <si>
    <t>Adams Telephone Message Book W/Dividers/Space For Phone Numbers, 5 1/4"X8 1/2", 200/Messages</t>
  </si>
  <si>
    <t>Avery Binder Labels</t>
  </si>
  <si>
    <t>Round Ring Binders</t>
  </si>
  <si>
    <t>Poly Designer Cover &amp; Back</t>
  </si>
  <si>
    <t>Premier Electric Letter Opener</t>
  </si>
  <si>
    <t>Fellowes Premier Superior Surge Suppressor, 10-Outlet, With Phone and Remote</t>
  </si>
  <si>
    <t>Recycled Interoffice Envelopes with String and Button Closure, 10 x 13</t>
  </si>
  <si>
    <t>JL-15130</t>
  </si>
  <si>
    <t>Jack Lebron</t>
  </si>
  <si>
    <t>CL-12700</t>
  </si>
  <si>
    <t>Craig Leslie</t>
  </si>
  <si>
    <t>BO-11350</t>
  </si>
  <si>
    <t>Bill Overfelt</t>
  </si>
  <si>
    <t>Global Stack Chair without Arms, Black</t>
  </si>
  <si>
    <t>Cisco Small Business SPA 502G VoIP phone</t>
  </si>
  <si>
    <t>DM-13015</t>
  </si>
  <si>
    <t>Darrin Martin</t>
  </si>
  <si>
    <t>AH-10465</t>
  </si>
  <si>
    <t>Amy Hunt</t>
  </si>
  <si>
    <t>LW-16990</t>
  </si>
  <si>
    <t>Lindsay Williams</t>
  </si>
  <si>
    <t>Global Adaptabilities Conference Tables</t>
  </si>
  <si>
    <t>Avery Poly Binder Pockets</t>
  </si>
  <si>
    <t>Executive Impressions 8-1/2" Career Panel/Partition Cubicle Clock</t>
  </si>
  <si>
    <t>Xerox 1920</t>
  </si>
  <si>
    <t>Sony Micro Vault Click 8 GB USB 2.0 Flash Drive</t>
  </si>
  <si>
    <t>RS-19420</t>
  </si>
  <si>
    <t>Ricardo Sperren</t>
  </si>
  <si>
    <t>TOPS Money Receipt Book, Consecutively Numbered in Red,</t>
  </si>
  <si>
    <t>TT-21070</t>
  </si>
  <si>
    <t>Ted Trevino</t>
  </si>
  <si>
    <t>JM-15580</t>
  </si>
  <si>
    <t>Jill Matthias</t>
  </si>
  <si>
    <t>Manila Recycled Extra-Heavyweight Clasp Envelopes, 6" x 9"</t>
  </si>
  <si>
    <t>VM-21835</t>
  </si>
  <si>
    <t>Vivian Mathis</t>
  </si>
  <si>
    <t>Memorex Mini Travel Drive 32 GB USB 2.0 Flash Drive</t>
  </si>
  <si>
    <t>Imation 16GB Mini TravelDrive USB 2.0 Flash Drive</t>
  </si>
  <si>
    <t>Tenex Carpeted, Granite-Look or Clear Contemporary Contour Shape Chair Mats</t>
  </si>
  <si>
    <t>Avery 481</t>
  </si>
  <si>
    <t>EB-13930</t>
  </si>
  <si>
    <t>Eric Barreto</t>
  </si>
  <si>
    <t>Home/Office Personal File Carts</t>
  </si>
  <si>
    <t>Universal Premium White Copier/Laser Paper (20Lb. and 87 Bright)</t>
  </si>
  <si>
    <t>AH-10690</t>
  </si>
  <si>
    <t>Anna Häberlin</t>
  </si>
  <si>
    <t>RB-19465</t>
  </si>
  <si>
    <t>Rick Bensley</t>
  </si>
  <si>
    <t>Luxo Professional Fluorescent Magnifier Lamp with Clamp-Mount Base</t>
  </si>
  <si>
    <t>Wilson Jones Turn Tabs Binder Tool for Ring Binders</t>
  </si>
  <si>
    <t>LC-16930</t>
  </si>
  <si>
    <t>Linda Cazamias</t>
  </si>
  <si>
    <t>Panasonic KX MB2061 Multifunction Printer</t>
  </si>
  <si>
    <t>JE-15610</t>
  </si>
  <si>
    <t>Jim Epp</t>
  </si>
  <si>
    <t>Nortel Business Series Terminal T7208 Digital phone</t>
  </si>
  <si>
    <t>LD-17005</t>
  </si>
  <si>
    <t>Lisa DeCherney</t>
  </si>
  <si>
    <t>Xerox 1946</t>
  </si>
  <si>
    <t>Cisco SPA508G</t>
  </si>
  <si>
    <t>Fellowes Powershred HS-440 4-Sheet High Security Shredder</t>
  </si>
  <si>
    <t>Kensington 7 Outlet MasterPiece HOMEOFFICE Power Control Center</t>
  </si>
  <si>
    <t>Storex Flexible Poly Binders with Double Pockets</t>
  </si>
  <si>
    <t>White Dual Perf Computer Printout Paper, 2700 Sheets, 1 Part, Heavyweight, 20 lbs., 14 7/8 x 11</t>
  </si>
  <si>
    <t>JG-15310</t>
  </si>
  <si>
    <t>Jason Gross</t>
  </si>
  <si>
    <t>36X48 HARDFLOOR CHAIRMAT</t>
  </si>
  <si>
    <t>Acco Translucent Poly Ring Binders</t>
  </si>
  <si>
    <t>CP-12340</t>
  </si>
  <si>
    <t>Christine Phan</t>
  </si>
  <si>
    <t>KB-16600</t>
  </si>
  <si>
    <t>Ken Brennan</t>
  </si>
  <si>
    <t>RB-19795</t>
  </si>
  <si>
    <t>Ross Baird</t>
  </si>
  <si>
    <t>Xerox Blank Computer Paper</t>
  </si>
  <si>
    <t>ME-17320</t>
  </si>
  <si>
    <t>Maria Etezadi</t>
  </si>
  <si>
    <t>Rosewill 107 Normal Keys USB Wired Standard Keyboard</t>
  </si>
  <si>
    <t>While You Were Out Pads, 50 per Pad, 4 x 5 1/4, Green Cycle</t>
  </si>
  <si>
    <t>Avaya 4621SW VoIP phone</t>
  </si>
  <si>
    <t>DB-13210</t>
  </si>
  <si>
    <t>Dean Braden</t>
  </si>
  <si>
    <t>OT-18730</t>
  </si>
  <si>
    <t>Olvera Toch</t>
  </si>
  <si>
    <t>Avery 473</t>
  </si>
  <si>
    <t>Bretford “Just In Time” Height-Adjustable Multi-Task Work Tables</t>
  </si>
  <si>
    <t>Avery 486</t>
  </si>
  <si>
    <t>SV-20365</t>
  </si>
  <si>
    <t>Seth Vernon</t>
  </si>
  <si>
    <t>DV-13045</t>
  </si>
  <si>
    <t>Darrin Van Huff</t>
  </si>
  <si>
    <t>EA-14035</t>
  </si>
  <si>
    <t>Erin Ashbrook</t>
  </si>
  <si>
    <t>IBM Multi-Purpose Copy Paper, 8 1/2 x 11", Case</t>
  </si>
  <si>
    <t>PV-18985</t>
  </si>
  <si>
    <t>Paul Van Hugh</t>
  </si>
  <si>
    <t>GE General Purpose, Extra Long Life, Showcase &amp; Floodlight Incandescent Bulbs</t>
  </si>
  <si>
    <t>Bush Cubix Conference Tables, Fully Assembled</t>
  </si>
  <si>
    <t>Avery 496</t>
  </si>
  <si>
    <t>Global Manager's Adjustable Task Chair, Storm</t>
  </si>
  <si>
    <t>KC-16255</t>
  </si>
  <si>
    <t>Karen Carlisle</t>
  </si>
  <si>
    <t>DP-13105</t>
  </si>
  <si>
    <t>Dave Poirier</t>
  </si>
  <si>
    <t>Xerox 202</t>
  </si>
  <si>
    <t>RC-19825</t>
  </si>
  <si>
    <t>Roy Collins</t>
  </si>
  <si>
    <t>GBC Plastic Binding Combs</t>
  </si>
  <si>
    <t>Fellowes Bankers Box Recycled Super Stor/Drawer</t>
  </si>
  <si>
    <t>Hon Valutask Swivel Chairs</t>
  </si>
  <si>
    <t>Xerox 1884</t>
  </si>
  <si>
    <t>Macally Suction Cup Mount</t>
  </si>
  <si>
    <t>MJ-17740</t>
  </si>
  <si>
    <t>Max Jones</t>
  </si>
  <si>
    <t>Ampad Phone Message Book, Recycled, 400 Message Capacity, 5 ¾” x 11”</t>
  </si>
  <si>
    <t>Hewlett Packard 310 Color Digital Copier</t>
  </si>
  <si>
    <t>Zipper Ring Binder Pockets</t>
  </si>
  <si>
    <t>Hon Deluxe Fabric Upholstered Stacking Chairs</t>
  </si>
  <si>
    <t>Xerox 200</t>
  </si>
  <si>
    <t>Brites Rubber Bands, 1 1/2 oz. Box</t>
  </si>
  <si>
    <t>AA-10645</t>
  </si>
  <si>
    <t>Anna Andreadi</t>
  </si>
  <si>
    <t>Master Caster Door Stop, Brown</t>
  </si>
  <si>
    <t>Inter-Office Recycled Envelopes, Brown Kraft, Button-String,10" x 13" , 100/Box</t>
  </si>
  <si>
    <t>Atlantic Metals Mobile 5-Shelf Bookcases, Custom Colors</t>
  </si>
  <si>
    <t>OtterBox Defender Series Case - Samsung Galaxy S4</t>
  </si>
  <si>
    <t>RM-19375</t>
  </si>
  <si>
    <t>Raymond Messe</t>
  </si>
  <si>
    <t>Howard Miller 11-1/2" Diameter Grantwood Wall Clock</t>
  </si>
  <si>
    <t>CC-12370</t>
  </si>
  <si>
    <t>Christopher Conant</t>
  </si>
  <si>
    <t>Global Leather Task Chair, Black</t>
  </si>
  <si>
    <t>GBC Twin Loop Wire Binding Elements</t>
  </si>
  <si>
    <t>LG Electronics Tone+ HBS-730 Bluetooth Headset</t>
  </si>
  <si>
    <t>RB-19360</t>
  </si>
  <si>
    <t>Raymond Buch</t>
  </si>
  <si>
    <t>Panasonic Kx-TS550</t>
  </si>
  <si>
    <t>Holmes 99% HEPA Air Purifier</t>
  </si>
  <si>
    <t>Fiskars Home &amp; Office Scissors</t>
  </si>
  <si>
    <t>MC-17425</t>
  </si>
  <si>
    <t>Mark Cousins</t>
  </si>
  <si>
    <t>RA-19885</t>
  </si>
  <si>
    <t>Ruben Ausman</t>
  </si>
  <si>
    <t>Eldon Image Series Black Desk Accessories</t>
  </si>
  <si>
    <t>First Data TMFD35 PIN Pad</t>
  </si>
  <si>
    <t>Eldon 300 Class Desk Accessories, Black</t>
  </si>
  <si>
    <t>Round Specialty Laser Printer Labels</t>
  </si>
  <si>
    <t>Cyber Acoustics AC-202b Speech Recognition Stereo Headset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</si>
  <si>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</si>
  <si>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</si>
  <si>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</si>
  <si>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JP-15460</t>
  </si>
  <si>
    <t>Jennifer Patt</t>
  </si>
  <si>
    <t>iHome FM Clock Radio with Lightning Dock</t>
  </si>
  <si>
    <t>Ames Color-File Green Diamond Border X-ray Mailers</t>
  </si>
  <si>
    <t>DL-13495</t>
  </si>
  <si>
    <t>Dionis Lloyd</t>
  </si>
  <si>
    <t>KN-16705</t>
  </si>
  <si>
    <t>Kristina Nunn</t>
  </si>
  <si>
    <t>Fiskars 8" Scissors, 2/Pack</t>
  </si>
  <si>
    <t>Howard Miller 14-1/2" Diameter Chrome Round Wall Clock</t>
  </si>
  <si>
    <t>LB-16735</t>
  </si>
  <si>
    <t>Larry Blacks</t>
  </si>
  <si>
    <t>RW-19630</t>
  </si>
  <si>
    <t>Rob Williams</t>
  </si>
  <si>
    <t>Hoover Shoulder Vac Commercial Portable Vacuum</t>
  </si>
  <si>
    <t>Barricks Non-Folding Utility Table with Steel Legs, Laminate Tops</t>
  </si>
  <si>
    <t>XtraLife ClearVue Slant-D Ring Binders by Cardinal</t>
  </si>
  <si>
    <t>Pressboard Covers with Storage Hooks, 9 1/2" x 11", Light Blue</t>
  </si>
  <si>
    <t>DW-13585</t>
  </si>
  <si>
    <t>Dorothy Wardle</t>
  </si>
  <si>
    <t>CA-12055</t>
  </si>
  <si>
    <t>Cathy Armstrong</t>
  </si>
  <si>
    <t>Chromcraft 48" x 96" Racetrack Double Pedestal Table</t>
  </si>
  <si>
    <t>Array Memo Cubes</t>
  </si>
  <si>
    <t>Texas Instruments TI-34 Scientific Calculator</t>
  </si>
  <si>
    <t>Premium Transparent Presentation Covers by GBC</t>
  </si>
  <si>
    <t>Nokia Lumia 521 (T-Mobile)</t>
  </si>
  <si>
    <t>Luxo Professional Magnifying Clamp-On Fluorescent Lamps</t>
  </si>
  <si>
    <t>AT&amp;T 841000 Phone</t>
  </si>
  <si>
    <t>Rediform S.O.S. 1-Up Phone Message Bk, 4-1/4x3-1/16 Bk, 1 Form/Pg, 40 Messages/Bk, 3/Pk</t>
  </si>
  <si>
    <t>PK-19075</t>
  </si>
  <si>
    <t>Pete Kriz</t>
  </si>
  <si>
    <t>Convenience Packs of Business Envelopes</t>
  </si>
  <si>
    <t>AO-10810</t>
  </si>
  <si>
    <t>Anthony O'Donnell</t>
  </si>
  <si>
    <t>Barricks 18" x 48" Non-Folding Utility Table with Bottom Storage Shelf</t>
  </si>
  <si>
    <t>SC-20230</t>
  </si>
  <si>
    <t>Scot Coram</t>
  </si>
  <si>
    <t>Avery Durable Slant Ring Binders</t>
  </si>
  <si>
    <t>Anker Astro Mini 3000mAh Ultra-Compact Portable Charger</t>
  </si>
  <si>
    <t>Bretford CR8500 Series Meeting Room Furniture</t>
  </si>
  <si>
    <t>MS-17770</t>
  </si>
  <si>
    <t>Maxwell Schwartz</t>
  </si>
  <si>
    <t>Xerox 1978</t>
  </si>
  <si>
    <t>Office Star Flex Back Scooter Chair with White Frame</t>
  </si>
  <si>
    <t>Acco Six-Outlet Power Strip, 4' Cord Length</t>
  </si>
  <si>
    <t>Advantus SlideClip Paper Clips</t>
  </si>
  <si>
    <t>DJ-13510</t>
  </si>
  <si>
    <t>Don Jones</t>
  </si>
  <si>
    <t>AT&amp;T 17929 Lendline Telephone</t>
  </si>
  <si>
    <t>CV-12805</t>
  </si>
  <si>
    <t>Cynthia Voltz</t>
  </si>
  <si>
    <t>White Business Envelopes with Contemporary Seam, Recycled White Business Envelopes</t>
  </si>
  <si>
    <t>LB-16795</t>
  </si>
  <si>
    <t>Laurel Beltran</t>
  </si>
  <si>
    <t>Globe Weis Peel &amp; Seel First Class Envelopes</t>
  </si>
  <si>
    <t>SZ-20035</t>
  </si>
  <si>
    <t>Sam Zeldin</t>
  </si>
  <si>
    <t>Tenex File Box, Personal Filing Tote with Lid, Black</t>
  </si>
  <si>
    <t>BM-11140</t>
  </si>
  <si>
    <t>Becky Martin</t>
  </si>
  <si>
    <t>Blackstonian Pencils</t>
  </si>
  <si>
    <t>6" Cubicle Wall Clock, Black</t>
  </si>
  <si>
    <t>14-7/8 x 11 Blue Bar Computer Printout Paper</t>
  </si>
  <si>
    <t>VM-21685</t>
  </si>
  <si>
    <t>Valerie Mitchum</t>
  </si>
  <si>
    <t>PJ-19015</t>
  </si>
  <si>
    <t>Pauline Johnson</t>
  </si>
  <si>
    <t>Ampad Gold Fibre Wirebound Steno Books, 6" x 9", Gregg Ruled</t>
  </si>
  <si>
    <t>LP-17095</t>
  </si>
  <si>
    <t>Liz Preis</t>
  </si>
  <si>
    <t>AT-10735</t>
  </si>
  <si>
    <t>Annie Thurman</t>
  </si>
  <si>
    <t>VariCap6 Expandable Binder</t>
  </si>
  <si>
    <t>BD-11770</t>
  </si>
  <si>
    <t>Bryan Davis</t>
  </si>
  <si>
    <t>Avery 487</t>
  </si>
  <si>
    <t>Xerox 1945</t>
  </si>
  <si>
    <t>DV-13465</t>
  </si>
  <si>
    <t>Dianna Vittorini</t>
  </si>
  <si>
    <t>Ibico EB-19 Dual Function Manual Binding System</t>
  </si>
  <si>
    <t>Crayola Anti Dust Chalk, 12/Pack</t>
  </si>
  <si>
    <t>BP-11185</t>
  </si>
  <si>
    <t>Ben Peterman</t>
  </si>
  <si>
    <t>Eldon Expressions Desk Accessory, Wood Photo Frame, Mahogany</t>
  </si>
  <si>
    <t>SF-20200</t>
  </si>
  <si>
    <t>Sarah Foster</t>
  </si>
  <si>
    <t>GBC Instant Report Kit</t>
  </si>
  <si>
    <t>PO-19180</t>
  </si>
  <si>
    <t>Philisse Overcash</t>
  </si>
  <si>
    <t>Lunatik TT5L-002 Taktik Strike Impact Protection System for iPhone 5</t>
  </si>
  <si>
    <t>RB-19570</t>
  </si>
  <si>
    <t>Rob Beeghly</t>
  </si>
  <si>
    <t>TOPS "Important Message" Pads, Canary, 4-1/4 x 5-1/2, 50 Sheets per Pad</t>
  </si>
  <si>
    <t>SANFORD Major Accent Highlighters</t>
  </si>
  <si>
    <t>KD-16495</t>
  </si>
  <si>
    <t>Keith Dawkins</t>
  </si>
  <si>
    <t>Sauder Forest Hills Library with Doors, Woodland Oak Finish</t>
  </si>
  <si>
    <t>Eureka Sanitaire  Multi-Pro Heavy-Duty Upright, Disposable Bags</t>
  </si>
  <si>
    <t>JS-15685</t>
  </si>
  <si>
    <t>Jim Sink</t>
  </si>
  <si>
    <t>Turquoise Lead Holder with Pocket Clip</t>
  </si>
  <si>
    <t>SJ-20125</t>
  </si>
  <si>
    <t>Sanjit Jacobs</t>
  </si>
  <si>
    <t>Harbour Creations 67200 Series Stacking Chairs</t>
  </si>
  <si>
    <t>CC-12430</t>
  </si>
  <si>
    <t>Chuck Clark</t>
  </si>
  <si>
    <t>JW-15220</t>
  </si>
  <si>
    <t>Jane Waco</t>
  </si>
  <si>
    <t>Kleencut Forged Office Shears by Acme United Corporation</t>
  </si>
  <si>
    <t>GM-14695</t>
  </si>
  <si>
    <t>Greg Maxwell</t>
  </si>
  <si>
    <t>Strathmore Photo Frame Cards</t>
  </si>
  <si>
    <t>Fellowes PB200 Plastic Comb Binding Machine</t>
  </si>
  <si>
    <t>Xerox 1944</t>
  </si>
  <si>
    <t>Ibico Plastic Spiral Binding Combs</t>
  </si>
  <si>
    <t>O'Sullivan 5-Shelf Heavy-Duty Bookcases</t>
  </si>
  <si>
    <t>CM-11815</t>
  </si>
  <si>
    <t>Candace McMahon</t>
  </si>
  <si>
    <t>Tennsco Lockers, Gray</t>
  </si>
  <si>
    <t>Nu-Dell Executive Frame</t>
  </si>
  <si>
    <t>Electrix 20W Halogen Replacement Bulb for Zoom-In Desk Lamp</t>
  </si>
  <si>
    <t>Sensible Storage WireTech Storage Systems</t>
  </si>
  <si>
    <t>AB-10105</t>
  </si>
  <si>
    <t>Adrian Barton</t>
  </si>
  <si>
    <t>JW-16075</t>
  </si>
  <si>
    <t>Julia West</t>
  </si>
  <si>
    <t>AS-10045</t>
  </si>
  <si>
    <t>Aaron Smayling</t>
  </si>
  <si>
    <t>DL-12865</t>
  </si>
  <si>
    <t>Dan Lawera</t>
  </si>
  <si>
    <t>Ampad Evidence Wirebond Steno Books, 6" x 9"</t>
  </si>
  <si>
    <t>Belkin 7 Outlet SurgeMaster II</t>
  </si>
  <si>
    <t>Xerox 1905</t>
  </si>
  <si>
    <t>Samsung Galaxy S4</t>
  </si>
  <si>
    <t>PS-18760</t>
  </si>
  <si>
    <t>Pamela Stobb</t>
  </si>
  <si>
    <t>ML-17410</t>
  </si>
  <si>
    <t>Maris LaWare</t>
  </si>
  <si>
    <t>BD-11620</t>
  </si>
  <si>
    <t>Brian DeCherney</t>
  </si>
  <si>
    <t>Premier Elliptical Ring Binder, Black</t>
  </si>
  <si>
    <t>DB-12910</t>
  </si>
  <si>
    <t>Daniel Byrd</t>
  </si>
  <si>
    <t>Zebra GK420t Direct Thermal/Thermal Transfer Printer</t>
  </si>
  <si>
    <t>Recycled Easel Ring Binders</t>
  </si>
  <si>
    <t>Memorex 25GB 6X Branded Blu-Ray Recordable Disc, 15/Pack</t>
  </si>
  <si>
    <t>Astroparche Fine Business Paper</t>
  </si>
  <si>
    <t>Tenex 46" x 60" Computer Anti-Static Chairmat, Rectangular Shaped</t>
  </si>
  <si>
    <t>CC-12610</t>
  </si>
  <si>
    <t>Corey Catlett</t>
  </si>
  <si>
    <t>Bush Westfield Collection Bookcases, Dark Cherry Finish, Fully Assembled</t>
  </si>
  <si>
    <t>Sanford Colorific Colored Pencils, 12/Box</t>
  </si>
  <si>
    <t>NC-18625</t>
  </si>
  <si>
    <t>Noah Childs</t>
  </si>
  <si>
    <t>Xerox 1982</t>
  </si>
  <si>
    <t>Avery Durable Plastic 1" Binders</t>
  </si>
  <si>
    <t>Safco Value Mate Steel Bookcase, Baked Enamel Finish on Steel, Black</t>
  </si>
  <si>
    <t>EP-13915</t>
  </si>
  <si>
    <t>Emily Phan</t>
  </si>
  <si>
    <t>MY-18295</t>
  </si>
  <si>
    <t>Muhammed Yedwab</t>
  </si>
  <si>
    <t>Hon Every-Day Chair Series Swivel Task Chairs</t>
  </si>
  <si>
    <t>Rediform Wirebound "Phone Memo" Message Book, 11 x 5-3/4</t>
  </si>
  <si>
    <t>Xerox 193</t>
  </si>
  <si>
    <t>Ibico EPK-21 Electric Binding System</t>
  </si>
  <si>
    <t>Office Star Flex Back Scooter Chair with Aluminum Finish Frame</t>
  </si>
  <si>
    <t>Eldon Expressions Wood and Plastic Desk Accessories, Oak</t>
  </si>
  <si>
    <t>Linden 12" Wall Clock With Oak Frame</t>
  </si>
  <si>
    <t>Logitech VX Revolution Cordless Laser Mouse for Notebooks (Black)</t>
  </si>
  <si>
    <t>Razer Tiamat Over Ear 7.1 Surround Sound PC Gaming Headset</t>
  </si>
  <si>
    <t>PA-19060</t>
  </si>
  <si>
    <t>Pete Armstrong</t>
  </si>
  <si>
    <t>JH-15910</t>
  </si>
  <si>
    <t>Jonathan Howell</t>
  </si>
  <si>
    <t>Adtran 1202752G1</t>
  </si>
  <si>
    <t>AS-10285</t>
  </si>
  <si>
    <t>Alejandro Savely</t>
  </si>
  <si>
    <t>Southworth Structures Collection</t>
  </si>
  <si>
    <t>XtraLife ClearVue Slant-D Ring Binder, White, 3"</t>
  </si>
  <si>
    <t>PF-19225</t>
  </si>
  <si>
    <t>Phillip Flathmann</t>
  </si>
  <si>
    <t>Kensington K72356US Mouse-in-a-Box USB Desktop Mouse</t>
  </si>
  <si>
    <t>Avery 50</t>
  </si>
  <si>
    <t>Honeywell Enviracaire Portable HEPA Air Cleaner for 16' x 20' Room</t>
  </si>
  <si>
    <t>Xerox 1892</t>
  </si>
  <si>
    <t>Okidata B401 Printer</t>
  </si>
  <si>
    <t>Tenex "The Solids" Textured Chair Mats</t>
  </si>
  <si>
    <t>LH-17020</t>
  </si>
  <si>
    <t>Lisa Hazard</t>
  </si>
  <si>
    <t>Advantus Panel Wall Acrylic Frame</t>
  </si>
  <si>
    <t>TP-21565</t>
  </si>
  <si>
    <t>Tracy Poddar</t>
  </si>
  <si>
    <t>Office Star - Contemporary Task Swivel chair with Loop Arms, Charcoal</t>
  </si>
  <si>
    <t>Dot Matrix Printer Tape Reel Labels, White, 5000/Box</t>
  </si>
  <si>
    <t>Acco Economy Flexible Poly Round Ring Binder</t>
  </si>
  <si>
    <t>Xerox 229</t>
  </si>
  <si>
    <t>Okidata B400 Printer</t>
  </si>
  <si>
    <t>Cardinal Holdit Data Disk Pockets</t>
  </si>
  <si>
    <t>Cherry 142-key Programmable Keyboard</t>
  </si>
  <si>
    <t>KeyTronic E03601U1 - Keyboard - Beige</t>
  </si>
  <si>
    <t>Global Task Chair, Black</t>
  </si>
  <si>
    <t>Eldon Cleatmat Plus Chair Mats for High Pile Carpets</t>
  </si>
  <si>
    <t>Wilson Jones International Size A4 Ring Binders</t>
  </si>
  <si>
    <t>Acme Preferred Stainless Steel Scissors</t>
  </si>
  <si>
    <t>PS-19045</t>
  </si>
  <si>
    <t>Penelope Sewall</t>
  </si>
  <si>
    <t>Wyoming</t>
  </si>
  <si>
    <t>GBC VeloBinder Manual Binding System</t>
  </si>
  <si>
    <t>Logitech Wireless Gaming Headset G930</t>
  </si>
  <si>
    <t>PC-18745</t>
  </si>
  <si>
    <t>Pamela Coakley</t>
  </si>
  <si>
    <t>Xerox 1996</t>
  </si>
  <si>
    <t>Embossed Ink Jet Note Cards</t>
  </si>
  <si>
    <t>Belkin F9S820V06 8 Outlet Surge</t>
  </si>
  <si>
    <t>Howard Miller 11-1/2" Diameter Ridgewood Wall Clock</t>
  </si>
  <si>
    <t>Newell 338</t>
  </si>
  <si>
    <t>Acco Perma 2700 Stacking Storage Drawers</t>
  </si>
  <si>
    <t>Magnifier Swing Arm Lamp</t>
  </si>
  <si>
    <t>Boston 16801 Nautilus Battery Pencil Sharpener</t>
  </si>
  <si>
    <t>AS-10135</t>
  </si>
  <si>
    <t>Adrian Shami</t>
  </si>
  <si>
    <t>DAX Solid Wood Frames</t>
  </si>
  <si>
    <t>RR-19315</t>
  </si>
  <si>
    <t>Ralph Ritter</t>
  </si>
  <si>
    <t>Avery 52</t>
  </si>
  <si>
    <t>Polycom SoundPoint IP 450 VoIP phone</t>
  </si>
  <si>
    <t>Grandstream GXP2100 Mainstream Business Phone</t>
  </si>
  <si>
    <t>BE-11410</t>
  </si>
  <si>
    <t>Bobby Elias</t>
  </si>
  <si>
    <t>MC-17605</t>
  </si>
  <si>
    <t>Matt Connell</t>
  </si>
  <si>
    <t>BM-11575</t>
  </si>
  <si>
    <t>Brendan Murry</t>
  </si>
  <si>
    <t>Sony Micro Vault Click 4 GB USB 2.0 Flash Drive</t>
  </si>
  <si>
    <t>Xerox 222</t>
  </si>
  <si>
    <t>iKross Bluetooth Portable Keyboard + Cell Phone Stand Holder + Brush for Apple iPhone 5S 5C 5, 4S 4</t>
  </si>
  <si>
    <t>CD-11980</t>
  </si>
  <si>
    <t>Carol Darley</t>
  </si>
  <si>
    <t>SP-20860</t>
  </si>
  <si>
    <t>Sung Pak</t>
  </si>
  <si>
    <t>Plantronics CS510 - Over-the-Head monaural Wireless Headset System</t>
  </si>
  <si>
    <t>Global Leather Executive Chair</t>
  </si>
  <si>
    <t>CR-12580</t>
  </si>
  <si>
    <t>Clay Rozendal</t>
  </si>
  <si>
    <t>Howard Miller Distant Time Traveler Alarm Clock</t>
  </si>
  <si>
    <t>MH-17455</t>
  </si>
  <si>
    <t>Mark Hamilton</t>
  </si>
  <si>
    <t>Padded Folding Chairs, Black, 4/Carton</t>
  </si>
  <si>
    <t>TC-20980</t>
  </si>
  <si>
    <t>Tamara Chand</t>
  </si>
  <si>
    <t>Newell 3-Hole Punched Plastic Slotted Magazine Holders for Binders</t>
  </si>
  <si>
    <t>Motorola Moto X</t>
  </si>
  <si>
    <t>CM-12235</t>
  </si>
  <si>
    <t>Chris McAfee</t>
  </si>
  <si>
    <t>CL-11890</t>
  </si>
  <si>
    <t>Carl Ludwig</t>
  </si>
  <si>
    <t>Xerox 1886</t>
  </si>
  <si>
    <t>MK-18160</t>
  </si>
  <si>
    <t>Mike Kennedy</t>
  </si>
  <si>
    <t>Xerox 192</t>
  </si>
  <si>
    <t>HP Office Recycled Paper (20Lb. and 87 Bright)</t>
  </si>
  <si>
    <t>X-Rack File for Hanging Folders</t>
  </si>
  <si>
    <t>Holmes Cool Mist Humidifier for the Whole House with 8-Gallon Output per Day, Extended Life Filter</t>
  </si>
  <si>
    <t>AS-10225</t>
  </si>
  <si>
    <t>Alan Schoenberger</t>
  </si>
  <si>
    <t>3M Polarizing Light Filter Sleeves</t>
  </si>
  <si>
    <t>Rogers Handheld Barrel Pencil Sharpener</t>
  </si>
  <si>
    <t>Acco Perma 4000 Stacking Storage Drawers</t>
  </si>
  <si>
    <t>Google Nexus 5</t>
  </si>
  <si>
    <t>Jet-Pak Recycled Peel 'N' Seal Padded Mailers</t>
  </si>
  <si>
    <t>AP-10720</t>
  </si>
  <si>
    <t>Anne Pryor</t>
  </si>
  <si>
    <t>Avaya 5410 Digital phone</t>
  </si>
  <si>
    <t>Cisco SPA301</t>
  </si>
  <si>
    <t>SimpliFile Personal File, Black Granite, 15w x 6-15/16d x 11-1/4h</t>
  </si>
  <si>
    <t>Fellowes High-Stak Drawer Files</t>
  </si>
  <si>
    <t>Wilson Jones Elliptical Ring 3 1/2" Capacity Binders, 800 sheets</t>
  </si>
  <si>
    <t>Global Leather Highback Executive Chair with Pneumatic Height Adjustment, Black</t>
  </si>
  <si>
    <t>GBC DocuBind P50 Personal Binding Machine</t>
  </si>
  <si>
    <t>Harmony HEPA Quiet Air Purifiers</t>
  </si>
  <si>
    <t>FM-14380</t>
  </si>
  <si>
    <t>Fred McMath</t>
  </si>
  <si>
    <t>Imation 32GB Pocket Pro USB 3.0 Flash Drive - 32 GB - Black - 1 P ...</t>
  </si>
  <si>
    <t>3M Hangers With Command Adhesive</t>
  </si>
  <si>
    <t>Boston 16765 Mini Stand Up Battery Pencil Sharpener</t>
  </si>
  <si>
    <t>Microsoft Natural Ergonomic Keyboard 4000</t>
  </si>
  <si>
    <t>Global Wood Trimmed Manager's Task Chair, Khaki</t>
  </si>
  <si>
    <t>Black Avery Memo-Size 3-Ring Binder, 5 1/2" x 8 1/2"</t>
  </si>
  <si>
    <t>RF-19840</t>
  </si>
  <si>
    <t>Roy Französisch</t>
  </si>
  <si>
    <t>JC-15340</t>
  </si>
  <si>
    <t>Jasper Cacioppo</t>
  </si>
  <si>
    <t>MP-18175</t>
  </si>
  <si>
    <t>Mike Pelletier</t>
  </si>
  <si>
    <t>Belkin 5 Outlet SurgeMaster Power Centers</t>
  </si>
  <si>
    <t>CM-12160</t>
  </si>
  <si>
    <t>Charles McCrossin</t>
  </si>
  <si>
    <t>Eureka Recycled Copy Paper 8 1/2" x 11", Ream</t>
  </si>
  <si>
    <t>Seth Thomas 12" Clock w/ Goldtone Case</t>
  </si>
  <si>
    <t>SanDisk Cruzer 64 GB USB Flash Drive</t>
  </si>
  <si>
    <t>Newell 312</t>
  </si>
  <si>
    <t>Black Print Carbonless 8 1/2" x 8 1/4" Rapid Memo Book</t>
  </si>
  <si>
    <t>Avery 3 1/2" Diskette Storage Pages, 10/Pack</t>
  </si>
  <si>
    <t>Texas Instrument TI-15 Fraction Calculator</t>
  </si>
  <si>
    <t>Deflect-o DuraMat Antistatic Studded Beveled Mat for Medium Pile Carpeting</t>
  </si>
  <si>
    <t>Sanford EarthWrite Recycled Pencils, Medium Soft, #2</t>
  </si>
  <si>
    <t>BV-11245</t>
  </si>
  <si>
    <t>Benjamin Venier</t>
  </si>
  <si>
    <t>Samsung Galaxy Note 2</t>
  </si>
  <si>
    <t>Global Executive Mid-Back Manager's Chair</t>
  </si>
  <si>
    <t>SAFCO PlanMaster Heigh-Adjustable Drafting Table Base, 43w x 30d x 30-37h, Black</t>
  </si>
  <si>
    <t>Panasonic KX MC6040 Color Laser Multifunction Printer</t>
  </si>
  <si>
    <t>Hypercom P1300 Pinpad</t>
  </si>
  <si>
    <t>Strathmore Photo Mount Cards</t>
  </si>
  <si>
    <t>Global Armless Task Chair, Royal Blue</t>
  </si>
  <si>
    <t>Hoover Replacement Belts For Soft Guard &amp; Commercial Ltweight Upright Vacs, 2/Pk</t>
  </si>
  <si>
    <t>Peel &amp; Seel Recycled Catalog Envelopes, Brown</t>
  </si>
  <si>
    <t>FO-14305</t>
  </si>
  <si>
    <t>Frank Olsen</t>
  </si>
  <si>
    <t>Project Tote Personal File</t>
  </si>
  <si>
    <t>Fiskars Spring-Action Scissors</t>
  </si>
  <si>
    <t xml:space="preserve">Iceberg Mobile Mega Data/Printer Cart </t>
  </si>
  <si>
    <t>GBC Pre-Punched Binding Paper, Plastic, White, 8-1/2" x 11"</t>
  </si>
  <si>
    <t>FW-14395</t>
  </si>
  <si>
    <t>Fred Wasserman</t>
  </si>
  <si>
    <t>DL-13315</t>
  </si>
  <si>
    <t>Delfina Latchford</t>
  </si>
  <si>
    <t>CM-12385</t>
  </si>
  <si>
    <t>Christopher Martinez</t>
  </si>
  <si>
    <t>GBC ProClick 150 Presentation Binding System</t>
  </si>
  <si>
    <t>Manco Dry-Lighter Erasable Highlighter</t>
  </si>
  <si>
    <t>JF-15190</t>
  </si>
  <si>
    <t>Jamie Frazer</t>
  </si>
  <si>
    <t>Balt Solid Wood Round Tables</t>
  </si>
  <si>
    <t>SO-20335</t>
  </si>
  <si>
    <t>Sean O'Donnell</t>
  </si>
  <si>
    <t>TT-21460</t>
  </si>
  <si>
    <t>Tonja Turnell</t>
  </si>
  <si>
    <t>Lesro Sheffield Collection Coffee Table, End Table, Center Table, Corner Table</t>
  </si>
  <si>
    <t>Panasonic KX-TG9541B DECT 6.0 Digital 2-Line Expandable Cordless Phone With Digital Answering System</t>
  </si>
  <si>
    <t>Wilson Jones Century Plastic Molded Ring Binders</t>
  </si>
  <si>
    <t>O'Sullivan Cherrywood Estates Traditional Bookcase</t>
  </si>
  <si>
    <t>AD-10180</t>
  </si>
  <si>
    <t>Alan Dominguez</t>
  </si>
  <si>
    <t>Canon Image Class D660 Copier</t>
  </si>
  <si>
    <t>Tennsco Single-Tier Lockers</t>
  </si>
  <si>
    <t>Xerox 212</t>
  </si>
  <si>
    <t>CJ-12010</t>
  </si>
  <si>
    <t>Caroline Jumper</t>
  </si>
  <si>
    <t>Logitech G13 Programmable Gameboard with LCD Display</t>
  </si>
  <si>
    <t>DAX Executive Solid Wood Document Frame, Desktop or Hang, Mahogany, 5 x 7</t>
  </si>
  <si>
    <t>Newell 339</t>
  </si>
  <si>
    <t>MM-17920</t>
  </si>
  <si>
    <t>Michael Moore</t>
  </si>
  <si>
    <t>Space Solutions Commercial Steel Shelving</t>
  </si>
  <si>
    <t>Multi-Use Personal File Cart and Caster Set, Three Stacking Bins</t>
  </si>
  <si>
    <t>Eldon Antistatic Chair Mats for Low to Medium Pile Carpets</t>
  </si>
  <si>
    <t>HP Officejet Pro 8600 e-All-In-One Printer, Copier, Scanner, Fax</t>
  </si>
  <si>
    <t>Xerox 1947</t>
  </si>
  <si>
    <t>Master Big Foot Doorstop, Beige</t>
  </si>
  <si>
    <t>SB-20170</t>
  </si>
  <si>
    <t>Sarah Bern</t>
  </si>
  <si>
    <t>FH-14350</t>
  </si>
  <si>
    <t>Fred Harton</t>
  </si>
  <si>
    <t>Tenex Contemporary Contur Chairmats for Low and Medium Pile Carpet, Computer, 39" x 49"</t>
  </si>
  <si>
    <t>Avery 493</t>
  </si>
  <si>
    <t>Rubber Band Ball</t>
  </si>
  <si>
    <t>HW-14935</t>
  </si>
  <si>
    <t>Helen Wasserman</t>
  </si>
  <si>
    <t>Microsoft Wireless Mobile Mouse 4000</t>
  </si>
  <si>
    <t>Fellowes Bankers Box Stor/Drawer Steel Plus</t>
  </si>
  <si>
    <t>AC-10615</t>
  </si>
  <si>
    <t>Ann Chong</t>
  </si>
  <si>
    <t>Xerox 1908</t>
  </si>
  <si>
    <t>Xerox 1924</t>
  </si>
  <si>
    <t>Panasonic KX TS3282B Corded phone</t>
  </si>
  <si>
    <t>Imation Bio 2GB USB Flash Drive Imation Corp</t>
  </si>
  <si>
    <t>American Pencil</t>
  </si>
  <si>
    <t>White Envelopes, White Envelopes with Clear Poly Window</t>
  </si>
  <si>
    <t>Economy Binders</t>
  </si>
  <si>
    <t>Fluorescent Highlighters by Dixon</t>
  </si>
  <si>
    <t>Digium D40 VoIP phone</t>
  </si>
  <si>
    <t>KB-16315</t>
  </si>
  <si>
    <t>Karl Braun</t>
  </si>
  <si>
    <t>BS-11380</t>
  </si>
  <si>
    <t>Bill Stewart</t>
  </si>
  <si>
    <t>BF-11215</t>
  </si>
  <si>
    <t>Benjamin Farhat</t>
  </si>
  <si>
    <t>Logitech Wireless Headset H600 Over-The-Head Design</t>
  </si>
  <si>
    <t>Xerox 230</t>
  </si>
  <si>
    <t>Xerox 1885</t>
  </si>
  <si>
    <t>Martin Yale Chadless Opener Electric Letter Opener</t>
  </si>
  <si>
    <t>Xerox 214</t>
  </si>
  <si>
    <t>Mitel MiVoice 5330e IP Phone</t>
  </si>
  <si>
    <t>Bionaire Personal Warm Mist Humidifier/Vaporizer</t>
  </si>
  <si>
    <t>SW-20275</t>
  </si>
  <si>
    <t>Scott Williamson</t>
  </si>
  <si>
    <t>BP-11050</t>
  </si>
  <si>
    <t>Barry Pond</t>
  </si>
  <si>
    <t>JK-15325</t>
  </si>
  <si>
    <t>Jason Klamczynski</t>
  </si>
  <si>
    <t>Fellowes Basic Home/Office Series Surge Protectors</t>
  </si>
  <si>
    <t>Advantus Employee of the Month Certificate Frame, 11 x 13-1/2</t>
  </si>
  <si>
    <t>GZ-14545</t>
  </si>
  <si>
    <t>George Zrebassa</t>
  </si>
  <si>
    <t>C-Line Peel &amp; Stick Add-On Filing Pockets, 8-3/4 x 5-1/8, 10/Pack</t>
  </si>
  <si>
    <t>BE-11335</t>
  </si>
  <si>
    <t>Bill Eplett</t>
  </si>
  <si>
    <t>Canon imageCLASS 2200 Advanced Copier</t>
  </si>
  <si>
    <t>CV-12295</t>
  </si>
  <si>
    <t>Christina VanderZanden</t>
  </si>
  <si>
    <t>Clearsounds A400</t>
  </si>
  <si>
    <t>Newell 309</t>
  </si>
  <si>
    <t>Boston 1827 Commercial Additional Cutter, Drive Gear &amp; Gear Rack for 1606</t>
  </si>
  <si>
    <t>BD-11560</t>
  </si>
  <si>
    <t>Brendan Dodson</t>
  </si>
  <si>
    <t>Unpadded Memo Slips</t>
  </si>
  <si>
    <t>Xerox 1975</t>
  </si>
  <si>
    <t>DAX Black Cherry Wood-Tone Poster Frame</t>
  </si>
  <si>
    <t>StarTech.com 10/100 VDSL2 Ethernet Extender Kit</t>
  </si>
  <si>
    <t>Xerox 1968</t>
  </si>
  <si>
    <t>AT&amp;T CL83451 4-Handset Telephone</t>
  </si>
  <si>
    <t>Avery 498</t>
  </si>
  <si>
    <t>Cubify CubeX 3D Printer Double Head Print</t>
  </si>
  <si>
    <t>LW-17215</t>
  </si>
  <si>
    <t>Luke Weiss</t>
  </si>
  <si>
    <t>Dixon Ticonderoga Erasable Colored Pencil Set, 12-Color</t>
  </si>
  <si>
    <t>Xerox 4200 Series MultiUse Premium Copy Paper (20Lb. and 84 Bright)</t>
  </si>
  <si>
    <t>GBC DocuBind TL200 Manual Binding Machine</t>
  </si>
  <si>
    <t>Howard Miller 12" Round Wall Clock</t>
  </si>
  <si>
    <t>Hoover Commercial SteamVac</t>
  </si>
  <si>
    <t>SR-20425</t>
  </si>
  <si>
    <t>Sharelle Roach</t>
  </si>
  <si>
    <t>Lexmark MX611dhe Monochrome Laser Printer</t>
  </si>
  <si>
    <t>Avery 517</t>
  </si>
  <si>
    <t>JW-15955</t>
  </si>
  <si>
    <t>Joni Wasserman</t>
  </si>
  <si>
    <t>Verbatim Slim CD and DVD Storage Cases, 50/Pack</t>
  </si>
  <si>
    <t>Eldon Advantage Foldable Chair Mats for Low Pile Carpets</t>
  </si>
  <si>
    <t>DAX Two-Tone Rosewood/Black Document Frame, Desktop, 5 x 7</t>
  </si>
  <si>
    <t>Eldon 500 Class Desk Accessories</t>
  </si>
  <si>
    <t>Eldon Imàge Series Desk Accessories, Clear</t>
  </si>
  <si>
    <t>Colored Push Pins</t>
  </si>
  <si>
    <t>SV-20935</t>
  </si>
  <si>
    <t>Susan Vittorini</t>
  </si>
  <si>
    <t>MB-18085</t>
  </si>
  <si>
    <t>Mick Brown</t>
  </si>
  <si>
    <t>LH-16750</t>
  </si>
  <si>
    <t>Larry Hughes</t>
  </si>
  <si>
    <t>Newell 318</t>
  </si>
  <si>
    <t>Telephone Message Books with Fax/Mobile Section, 5 1/2" x 3 3/16"</t>
  </si>
  <si>
    <t>Surelock Post Binders</t>
  </si>
  <si>
    <t>SG-20605</t>
  </si>
  <si>
    <t>Speros Goranitis</t>
  </si>
  <si>
    <t>Bush Westfield Collection Bookcases, Medium Cherry Finish</t>
  </si>
  <si>
    <t>Avery 478</t>
  </si>
  <si>
    <t>Boston School Pro Electric Pencil Sharpener, 1670</t>
  </si>
  <si>
    <t>Seth Thomas 16" Steel Case Clock</t>
  </si>
  <si>
    <t>Faber Castell Col-Erase Pencils</t>
  </si>
  <si>
    <t>Logitech MX Performance Wireless Mouse</t>
  </si>
  <si>
    <t>DD-13570</t>
  </si>
  <si>
    <t>Dorothy Dickinson</t>
  </si>
  <si>
    <t>Adams Phone Message Book, 200 Message Capacity, 8 1/16” x 11”</t>
  </si>
  <si>
    <t>Fellowes Stor/Drawer Steel Plus Storage Drawers</t>
  </si>
  <si>
    <t>Newell 350</t>
  </si>
  <si>
    <t>Things To Do Today Pad</t>
  </si>
  <si>
    <t>Acco 7-Outlet Masterpiece Power Center, Wihtout Fax/Phone Line Protection</t>
  </si>
  <si>
    <t>TS-21655</t>
  </si>
  <si>
    <t>Trudy Schmidt</t>
  </si>
  <si>
    <t>Eureka The Boss Cordless Rechargeable Stick Vac</t>
  </si>
  <si>
    <t>Blue Parrot B250XT Professional Grade Wireless Bluetooth Headset with</t>
  </si>
  <si>
    <t>Canon Imageclass D680 Copier / Fax</t>
  </si>
  <si>
    <t>Riverside Furniture Oval Coffee Table, Oval End Table, End Table with Drawer</t>
  </si>
  <si>
    <t>CS-12175</t>
  </si>
  <si>
    <t>Charles Sheldon</t>
  </si>
  <si>
    <t>Universal Ultra Bright White Copier/Laser Paper, 8 1/2" x 11", Ream</t>
  </si>
  <si>
    <t>Aastra 6757i CT Wireless VoIP phone</t>
  </si>
  <si>
    <t>Belkin Premiere Surge Master II 8-outlet surge protector</t>
  </si>
  <si>
    <t>Newell 314</t>
  </si>
  <si>
    <t>G.E. Halogen Desk Lamp Bulbs</t>
  </si>
  <si>
    <t>Maxell 74 Minute CDR, 10/Pack</t>
  </si>
  <si>
    <t>VS-21820</t>
  </si>
  <si>
    <t>Vivek Sundaresam</t>
  </si>
  <si>
    <t>Xerox 201</t>
  </si>
  <si>
    <t>Eldon 400 Class Desk Accessories, Black Carbon</t>
  </si>
  <si>
    <t>Nokia Lumia 925</t>
  </si>
  <si>
    <t>LG G3</t>
  </si>
  <si>
    <t>Tensor Brushed Steel Torchiere Floor Lamp</t>
  </si>
  <si>
    <t>GD-14590</t>
  </si>
  <si>
    <t>Giulietta Dortch</t>
  </si>
  <si>
    <t>Plantronics Audio 995 Wireless Stereo Headset</t>
  </si>
  <si>
    <t>MG-17680</t>
  </si>
  <si>
    <t>Maureen Gastineau</t>
  </si>
  <si>
    <t>Riverside Palais Royal Lawyers Bookcase, Royale Cherry Finish</t>
  </si>
  <si>
    <t>Shocksock Galaxy S4 Armband</t>
  </si>
  <si>
    <t>MT-18070</t>
  </si>
  <si>
    <t>Michelle Tran</t>
  </si>
  <si>
    <t>Personal File Boxes with Fold-Down Carry Handle</t>
  </si>
  <si>
    <t>Xerox 1939</t>
  </si>
  <si>
    <t>Cisco Desktop Collaboration Experience DX650 IP Video Phone</t>
  </si>
  <si>
    <t>O'Sullivan 3-Shelf Heavy-Duty Bookcases</t>
  </si>
  <si>
    <t>CC-12550</t>
  </si>
  <si>
    <t>Clay Cheatham</t>
  </si>
  <si>
    <t>Anker 36W 4-Port USB Wall Charger Travel Power Adapter for iPhone 5s 5c 5</t>
  </si>
  <si>
    <t>SC-20800</t>
  </si>
  <si>
    <t>Stuart Calhoun</t>
  </si>
  <si>
    <t>Panasonic KX T7736-B Digital phone</t>
  </si>
  <si>
    <t>TS-21610</t>
  </si>
  <si>
    <t>Troy Staebel</t>
  </si>
  <si>
    <t>Hon Multipurpose Stacking Arm Chairs</t>
  </si>
  <si>
    <t>Xerox 215</t>
  </si>
  <si>
    <t>Trimflex Flexible Post Binders</t>
  </si>
  <si>
    <t>Howard Miller 13-3/4" Diameter Brushed Chrome Round Wall Clock</t>
  </si>
  <si>
    <t>Xerox 1907</t>
  </si>
  <si>
    <t>Bulldog Vacuum Base Pencil Sharpener</t>
  </si>
  <si>
    <t>NH-18610</t>
  </si>
  <si>
    <t>Nicole Hansen</t>
  </si>
  <si>
    <t>Acco Banker's Clasps, 5 3/4"-Long</t>
  </si>
  <si>
    <t>ML-17755</t>
  </si>
  <si>
    <t>Max Ludwig</t>
  </si>
  <si>
    <t>Eldon Spacemaker Box, Quick-Snap Lid, Clear</t>
  </si>
  <si>
    <t>Kensington Orbit Wireless Mobile Trackball for PC and Mac</t>
  </si>
  <si>
    <t>Executive Impressions Supervisor Wall Clock</t>
  </si>
  <si>
    <t>Tennsco 16-Compartment Lockers with Coat Rack</t>
  </si>
  <si>
    <t>Newell 328</t>
  </si>
  <si>
    <t>VP-21730</t>
  </si>
  <si>
    <t>Victor Preis</t>
  </si>
  <si>
    <t>Tuf-Vin Binders</t>
  </si>
  <si>
    <t>Okidata MB491 Multifunction Printer</t>
  </si>
  <si>
    <t>Square Credit Card Reader, 4 1/2" x 4 1/2" x 1", White</t>
  </si>
  <si>
    <t>JC-15385</t>
  </si>
  <si>
    <t>Jenna Caffey</t>
  </si>
  <si>
    <t>GBC White Gloss Covers, Plain Front</t>
  </si>
  <si>
    <t>Zebra Zazzle Fluorescent Highlighters</t>
  </si>
  <si>
    <t>MR-17545</t>
  </si>
  <si>
    <t>Mathew Reese</t>
  </si>
  <si>
    <t>Avery 482</t>
  </si>
  <si>
    <t>Belkin iPhone and iPad Lightning Cable</t>
  </si>
  <si>
    <t>Acco Suede Grain Vinyl Round Ring Binder</t>
  </si>
  <si>
    <t>Deflect-o RollaMat Studded, Beveled Mat for Medium Pile Carpeting</t>
  </si>
  <si>
    <t>Eldon 200 Class Desk Accessories, Burgundy</t>
  </si>
  <si>
    <t>Xerox 221</t>
  </si>
  <si>
    <t>Acco Expandable Hanging Binders</t>
  </si>
  <si>
    <t>High-Back Leather Manager's Chair</t>
  </si>
  <si>
    <t>PayAnywhere Card Reader</t>
  </si>
  <si>
    <t>Wirebound Message Forms, Four 2 3/4 x 5 Forms per Page, Pink Paper</t>
  </si>
  <si>
    <t>Nontoxic Chalk</t>
  </si>
  <si>
    <t>Cardinal HOLDit! Binder Insert Strips,Extra Strips</t>
  </si>
  <si>
    <t>Weyerhaeuser First Choice Laser/Copy Paper (20Lb. and 88 Bright)</t>
  </si>
  <si>
    <t>Super Decoflex Portable Personal File</t>
  </si>
  <si>
    <t>EC-14050</t>
  </si>
  <si>
    <t>Erin Creighton</t>
  </si>
  <si>
    <t>BD-11725</t>
  </si>
  <si>
    <t>Bruce Degenhardt</t>
  </si>
  <si>
    <t>Hammermill CopyPlus Copy Paper (20Lb. and 84 Bright)</t>
  </si>
  <si>
    <t>Avery Printable Repositionable Plastic Tabs</t>
  </si>
  <si>
    <t>JL-15505</t>
  </si>
  <si>
    <t>Jeremy Lonsdale</t>
  </si>
  <si>
    <t>Polycom VoiceStation 500 Conference phone</t>
  </si>
  <si>
    <t>Mead 1st Gear 2" Zipper Binder, Asst. Colors</t>
  </si>
  <si>
    <t>Global Enterprise Series Seating Low-Back Swivel/Tilt Chairs</t>
  </si>
  <si>
    <t>3.6 Cubic Foot Counter Height Office Refrigerator</t>
  </si>
  <si>
    <t>DK-12895</t>
  </si>
  <si>
    <t>Dana Kaydos</t>
  </si>
  <si>
    <t>Xerox 1937</t>
  </si>
  <si>
    <t>Grandstream GXP1160 VoIP phone</t>
  </si>
  <si>
    <t>Perixx PERIBOARD-512B, Ergonomic Split Keyboard</t>
  </si>
  <si>
    <t>JM-15250</t>
  </si>
  <si>
    <t>Janet Martin</t>
  </si>
  <si>
    <t>Sanyo 2.5 Cubic Foot Mid-Size Office Refrigerators</t>
  </si>
  <si>
    <t>Fellowes PB300 Plastic Comb Binding Machine</t>
  </si>
  <si>
    <t>Acme Kleencut Forged Steel Scissors</t>
  </si>
  <si>
    <t>Companion Letter/Legal File, Black</t>
  </si>
  <si>
    <t>Plantronics Encore H101 Dual Earpieces Headset</t>
  </si>
  <si>
    <t>PR-18880</t>
  </si>
  <si>
    <t>Patrick Ryan</t>
  </si>
  <si>
    <t>Cisco 8x8 Inc. 6753i IP Business Phone System</t>
  </si>
  <si>
    <t>Tenex Chairmats For Use with Hard Floors</t>
  </si>
  <si>
    <t>Avery Address/Shipping Labels for Typewriters, 4" x 2"</t>
  </si>
  <si>
    <t>SC-20845</t>
  </si>
  <si>
    <t>Sung Chung</t>
  </si>
  <si>
    <t>DAX Charcoal/Nickel-Tone Document Frame, 5 x 7</t>
  </si>
  <si>
    <t>TM-21490</t>
  </si>
  <si>
    <t>Tony Molinari</t>
  </si>
  <si>
    <t>Anker 24W Portable Micro USB Car Charger</t>
  </si>
  <si>
    <t>Hon Practical Foundations 30 x 60 Training Table, Light Gray/Charcoal</t>
  </si>
  <si>
    <t>Newell 344</t>
  </si>
  <si>
    <t>Electrix Fluorescent Magnifier Lamps &amp; Weighted Base</t>
  </si>
  <si>
    <t>SS-20875</t>
  </si>
  <si>
    <t>Sung Shariari</t>
  </si>
  <si>
    <t>Logitech LS21 Speaker System - PC Multimedia - 2.1-CH - Wired</t>
  </si>
  <si>
    <t>Avery Metallic Poly Binders</t>
  </si>
  <si>
    <t>Honeywell Quietcare HEPA Air Cleaner</t>
  </si>
  <si>
    <t>Pencil and Crayon Sharpener</t>
  </si>
  <si>
    <t>OIC #2 Pencils, Medium Soft</t>
  </si>
  <si>
    <t>Avery 505</t>
  </si>
  <si>
    <t>JL-15235</t>
  </si>
  <si>
    <t>Janet Lee</t>
  </si>
  <si>
    <t>SU-20665</t>
  </si>
  <si>
    <t>Stephanie Ulpright</t>
  </si>
  <si>
    <t>JK-15730</t>
  </si>
  <si>
    <t>Joe Kamberova</t>
  </si>
  <si>
    <t>Chromcraft Bull-Nose Wood Oval Conference Tables &amp; Bases</t>
  </si>
  <si>
    <t>QVS USB Car Charger 2-Port 2.1Amp for iPod/iPhone/iPad/iPad 2/iPad 3</t>
  </si>
  <si>
    <t>24 Capacity Maxi Data Binder Racks, Pearl</t>
  </si>
  <si>
    <t>Motorla HX550 Universal Bluetooth Headset</t>
  </si>
  <si>
    <t>AG-10390</t>
  </si>
  <si>
    <t>Allen Goldenen</t>
  </si>
  <si>
    <t>DAX Two-Tone Silver Metal Document Frame</t>
  </si>
  <si>
    <t>Boston 1799 Powerhouse Electric Pencil Sharpener</t>
  </si>
  <si>
    <t>#10 Self-Seal White Envelopes</t>
  </si>
  <si>
    <t>iOttie XL Car Mount</t>
  </si>
  <si>
    <t>Eaton Premium Continuous-Feed Paper, 25% Cotton, Letter Size, White, 1000 Shts/Box</t>
  </si>
  <si>
    <t>Avery 48</t>
  </si>
  <si>
    <t>Peel-Off China Markers</t>
  </si>
  <si>
    <t>DO-13645</t>
  </si>
  <si>
    <t>Doug O'Connell</t>
  </si>
  <si>
    <t>OIC Colored Binder Clips, Assorted Sizes</t>
  </si>
  <si>
    <t>TP-21415</t>
  </si>
  <si>
    <t>Tom Prescott</t>
  </si>
  <si>
    <t>Xerox 1984</t>
  </si>
  <si>
    <t>Global Adaptabilites Bookcase, Cherry/Storm Gray Finish</t>
  </si>
  <si>
    <t>Avery 514</t>
  </si>
  <si>
    <t>TS-21505</t>
  </si>
  <si>
    <t>Tony Sayre</t>
  </si>
  <si>
    <t>Kingston Digital DataTraveler 64GB USB 2.0</t>
  </si>
  <si>
    <t>Newell 33</t>
  </si>
  <si>
    <t>ML-18265</t>
  </si>
  <si>
    <t>Muhammed Lee</t>
  </si>
  <si>
    <t>Logitech M510 Wireless Mouse</t>
  </si>
  <si>
    <t>Tenex Personal Filing Tote With Secure Closure Lid, Black/Frost</t>
  </si>
  <si>
    <t>Adams Telephone Message Book w/Frequently-Called Numbers Space, 400 Messages per Book</t>
  </si>
  <si>
    <t>Southworth 25% Cotton Linen-Finish Paper &amp; Envelopes</t>
  </si>
  <si>
    <t>DW-13540</t>
  </si>
  <si>
    <t>Don Weiss</t>
  </si>
  <si>
    <t>Belkin 8 Outlet SurgeMaster II Gold Surge Protector</t>
  </si>
  <si>
    <t>BG-11695</t>
  </si>
  <si>
    <t>Brooke Gillingham</t>
  </si>
  <si>
    <t>Wausau Papers Astrobrights Colored Envelopes</t>
  </si>
  <si>
    <t>DB-13660</t>
  </si>
  <si>
    <t>Duane Benoit</t>
  </si>
  <si>
    <t>Socket Bluetooth Cordless Hand Scanner (CHS)</t>
  </si>
  <si>
    <t>SL-20155</t>
  </si>
  <si>
    <t>Sara Luxemburg</t>
  </si>
  <si>
    <t>Gould Plastics 18-Pocket Panel Bin, 34w x 5-1/4d x 20-1/2h</t>
  </si>
  <si>
    <t>Lenovo 17-Key USB Numeric Keypad</t>
  </si>
  <si>
    <t>Xerox 1992</t>
  </si>
  <si>
    <t>SC-20575</t>
  </si>
  <si>
    <t>Sonia Cooley</t>
  </si>
  <si>
    <t>Acme Hot Forged Carbon Steel Scissors with Nickel-Plated Handles, 3 7/8" Cut, 8"L</t>
  </si>
  <si>
    <t>Xerox 1882</t>
  </si>
  <si>
    <t>Razer Kraken PRO Over Ear PC and Music Headset</t>
  </si>
  <si>
    <t>NS-18505</t>
  </si>
  <si>
    <t>Neola Schneider</t>
  </si>
  <si>
    <t>Belkin 325VA UPS Surge Protector, 6'</t>
  </si>
  <si>
    <t>Metal Folding Chairs, Beige, 4/Carton</t>
  </si>
  <si>
    <t>FG-14260</t>
  </si>
  <si>
    <t>Frank Gastineau</t>
  </si>
  <si>
    <t>Tennsco Double-Tier Lockers</t>
  </si>
  <si>
    <t>JK-16090</t>
  </si>
  <si>
    <t>Juliana Krohn</t>
  </si>
  <si>
    <t>CM-12115</t>
  </si>
  <si>
    <t>Chad McGuire</t>
  </si>
  <si>
    <t>Dax Clear Box Frame</t>
  </si>
  <si>
    <t>Ricoh - Ink Collector Unit for GX3000 Series Printers</t>
  </si>
  <si>
    <t>DAX Clear Channel Poster Frame</t>
  </si>
  <si>
    <t>Conquest 14 Commercial Heavy-Duty Upright Vacuum, Collection System, Accessory Kit</t>
  </si>
  <si>
    <t>Avery Hi-Liter Smear-Safe Highlighters</t>
  </si>
  <si>
    <t>DC-13285</t>
  </si>
  <si>
    <t>Debra Catini</t>
  </si>
  <si>
    <t>O'Sullivan Manor Hill 2-Door Library in Brianna Oak</t>
  </si>
  <si>
    <t>MG-18145</t>
  </si>
  <si>
    <t>Mike Gockenbach</t>
  </si>
  <si>
    <t>Wirebound Message Books, 2 7/8" x 5", 3 Forms per Page</t>
  </si>
  <si>
    <t>ML-18040</t>
  </si>
  <si>
    <t>Michelle Lonsdale</t>
  </si>
  <si>
    <t>Canvas Sectional Post Binders</t>
  </si>
  <si>
    <t>RW-19690</t>
  </si>
  <si>
    <t>Robert Waldorf</t>
  </si>
  <si>
    <t>Verbatim 25 GB 6x Blu-ray Single Layer Recordable Disc, 10/Pack</t>
  </si>
  <si>
    <t>Panasonic KP-310 Heavy-Duty Electric Pencil Sharpener</t>
  </si>
  <si>
    <t>Executive Impressions 14" Two-Color Numerals Wall Clock</t>
  </si>
  <si>
    <t>SV-20815</t>
  </si>
  <si>
    <t>Stuart Van</t>
  </si>
  <si>
    <t>AJ-10960</t>
  </si>
  <si>
    <t>Astrea Jones</t>
  </si>
  <si>
    <t>Ampad #10 Peel &amp; Seel Holiday Envelopes</t>
  </si>
  <si>
    <t>Linden 10" Round Wall Clock, Black</t>
  </si>
  <si>
    <t>Anderson Hickey Conga Table Tops &amp; Accessories</t>
  </si>
  <si>
    <t>JS-16030</t>
  </si>
  <si>
    <t>Joy Smith</t>
  </si>
  <si>
    <t>JE-16165</t>
  </si>
  <si>
    <t>Justin Ellison</t>
  </si>
  <si>
    <t>Avery 510</t>
  </si>
  <si>
    <t>Wilson Jones Four-Pocket Poly Binders</t>
  </si>
  <si>
    <t>Office Star - Ergonomic Mid Back Chair with 2-Way Adjustable Arms</t>
  </si>
  <si>
    <t>Jackery Bar Premium Fast-charging Portable Charger</t>
  </si>
  <si>
    <t>Cardinal Slant-D Ring Binders</t>
  </si>
  <si>
    <t>JK-15205</t>
  </si>
  <si>
    <t>Jamie Kunitz</t>
  </si>
  <si>
    <t>"While you Were Out" Message Book, One Form per Page</t>
  </si>
  <si>
    <t>Wirebound Message Books, Four 2 3/4 x 5 Forms per Page, 200 Sets per Book</t>
  </si>
  <si>
    <t>GBC Therma-A-Bind 250T Electric Binding System</t>
  </si>
  <si>
    <t>Document Clip Frames</t>
  </si>
  <si>
    <t>KC-16675</t>
  </si>
  <si>
    <t>Kimberly Carter</t>
  </si>
  <si>
    <t>DL-13330</t>
  </si>
  <si>
    <t>Denise Leinenbach</t>
  </si>
  <si>
    <t>Binder Posts</t>
  </si>
  <si>
    <t>RB-19705</t>
  </si>
  <si>
    <t>Roger Barcio</t>
  </si>
  <si>
    <t>Flexible Leather- Look Classic Collection Ring Binder</t>
  </si>
  <si>
    <t>SANFORD Liquid Accent Tank-Style Highlighters</t>
  </si>
  <si>
    <t>Anker Ultra-Slim Mini Bluetooth 3.0 Wireless Keyboard</t>
  </si>
  <si>
    <t>MC-17590</t>
  </si>
  <si>
    <t>Matt Collister</t>
  </si>
  <si>
    <t>TB-21190</t>
  </si>
  <si>
    <t>Thomas Brumley</t>
  </si>
  <si>
    <t>12 Colored Short Pencils</t>
  </si>
  <si>
    <t>Eureka The Boss Lite 10-Amp Upright Vacuum, Blue</t>
  </si>
  <si>
    <t>Memorex Mini Travel Drive 16 GB USB 2.0 Flash Drive</t>
  </si>
  <si>
    <t>Dixon Ticonderoga Maple Cedar Pencil, #2</t>
  </si>
  <si>
    <t>Acme Forged Steel Scissors with Black Enamel Handles</t>
  </si>
  <si>
    <t>Acco 3-Hole Punch</t>
  </si>
  <si>
    <t>Samsung Replacement EH64AVFWE Premium Headset</t>
  </si>
  <si>
    <t>MW-18235</t>
  </si>
  <si>
    <t>Mitch Willingham</t>
  </si>
  <si>
    <t>Eldon Radial Chair Mat for Low to Medium Pile Carpets</t>
  </si>
  <si>
    <t>KH-16330</t>
  </si>
  <si>
    <t>Katharine Harms</t>
  </si>
  <si>
    <t>CD-12280</t>
  </si>
  <si>
    <t>Christina DeMoss</t>
  </si>
  <si>
    <t>3D Systems Cube Printer, 2nd Generation, White</t>
  </si>
  <si>
    <t>Xerox 209</t>
  </si>
  <si>
    <t>BIC Liqua Brite Liner</t>
  </si>
  <si>
    <t>BD-11500</t>
  </si>
  <si>
    <t>Bradley Drucker</t>
  </si>
  <si>
    <t>Tops White Computer Printout Paper</t>
  </si>
  <si>
    <t>RH-19495</t>
  </si>
  <si>
    <t>Rick Hansen</t>
  </si>
  <si>
    <t>Contemporary Borderless Frame</t>
  </si>
  <si>
    <t>BB-11545</t>
  </si>
  <si>
    <t>Brenda Bowman</t>
  </si>
  <si>
    <t>Office Star - Mid Back Dual function Ergonomic High Back Chair with 2-Way Adjustable Arms</t>
  </si>
  <si>
    <t>Panasonic KP-380BK Classic Electric Pencil Sharpener</t>
  </si>
  <si>
    <t>Hon 4-Shelf Metal Bookcases</t>
  </si>
  <si>
    <t>BN-11470</t>
  </si>
  <si>
    <t>Brad Norvell</t>
  </si>
  <si>
    <t>LF-17185</t>
  </si>
  <si>
    <t>Luke Foster</t>
  </si>
  <si>
    <t>Akro-Mils 12-Gallon Tote</t>
  </si>
  <si>
    <t>Tenex Traditional Chairmats for Hard Floors, Average Lip, 36" x 48"</t>
  </si>
  <si>
    <t>Belkin 8-Outlet Premiere SurgeMaster II Surge Protectors</t>
  </si>
  <si>
    <t>DM-13345</t>
  </si>
  <si>
    <t>Denise Monton</t>
  </si>
  <si>
    <t>Standard Line “While You Were Out” Hardbound Telephone Message Book</t>
  </si>
  <si>
    <t>SAFCO Mobile Desk Side File, Wire Frame</t>
  </si>
  <si>
    <t>LE-16810</t>
  </si>
  <si>
    <t>Laurel Elliston</t>
  </si>
  <si>
    <t>Harmony Air Purifier</t>
  </si>
  <si>
    <t>Acco Recycled 2" Capacity Laser Printer Hanging Data Binders</t>
  </si>
  <si>
    <t>Col-Erase Pencils with Erasers</t>
  </si>
  <si>
    <t>AG-10330</t>
  </si>
  <si>
    <t>Alex Grayson</t>
  </si>
  <si>
    <t>Eldon Executive Woodline II Desk Accessories, Mahogany</t>
  </si>
  <si>
    <t>Master Giant Foot Doorstop, Safety Yellow</t>
  </si>
  <si>
    <t>KM-16225</t>
  </si>
  <si>
    <t>Kalyca Meade</t>
  </si>
  <si>
    <t>Bulldog Table or Wall-Mount Pencil Sharpener</t>
  </si>
  <si>
    <t>HR-14770</t>
  </si>
  <si>
    <t>Hallie Redmond</t>
  </si>
  <si>
    <t>CA-12310</t>
  </si>
  <si>
    <t>Christine Abelman</t>
  </si>
  <si>
    <t>Bush Saratoga Collection 5-Shelf Bookcase, Hanover Cherry, *Special Order</t>
  </si>
  <si>
    <t>Newell 327</t>
  </si>
  <si>
    <t>Newell 335</t>
  </si>
  <si>
    <t>Design Ebony Sketching Pencil</t>
  </si>
  <si>
    <t>Binney &amp; Smith Crayola Metallic Crayons, 16-Color Pack</t>
  </si>
  <si>
    <t>GBC Instant Index System for Binding Systems</t>
  </si>
  <si>
    <t>Acco Glide Clips</t>
  </si>
  <si>
    <t>GBC Binding covers</t>
  </si>
  <si>
    <t>Bagged Rubber Bands</t>
  </si>
  <si>
    <t>Valor_Venda</t>
  </si>
  <si>
    <t>Qte_Vendida</t>
  </si>
  <si>
    <t>Categoria</t>
  </si>
  <si>
    <t>Sub-Categoria</t>
  </si>
  <si>
    <t>Tipo_Entrega</t>
  </si>
  <si>
    <t>Data_Pedido</t>
  </si>
  <si>
    <t>Data_Entrega</t>
  </si>
  <si>
    <t>ID_Cliente</t>
  </si>
  <si>
    <t>Nome_Cliente</t>
  </si>
  <si>
    <t>Estado</t>
  </si>
  <si>
    <t>Nome_Produto</t>
  </si>
  <si>
    <t>Rótulos de Linha</t>
  </si>
  <si>
    <t>Total Geral</t>
  </si>
  <si>
    <t>2014</t>
  </si>
  <si>
    <t>Soma de Valor_Venda</t>
  </si>
  <si>
    <t>05/jan</t>
  </si>
  <si>
    <t>06/jan</t>
  </si>
  <si>
    <t>13/jan</t>
  </si>
  <si>
    <t>23/jan</t>
  </si>
  <si>
    <t>26/jan</t>
  </si>
  <si>
    <t>27/jan</t>
  </si>
  <si>
    <t>30/jan</t>
  </si>
  <si>
    <t>03/fev</t>
  </si>
  <si>
    <t>06/fev</t>
  </si>
  <si>
    <t>09/fev</t>
  </si>
  <si>
    <t>15/fev</t>
  </si>
  <si>
    <t>16/fev</t>
  </si>
  <si>
    <t>18/fev</t>
  </si>
  <si>
    <t>21/fev</t>
  </si>
  <si>
    <t>27/fev</t>
  </si>
  <si>
    <t>01/mar</t>
  </si>
  <si>
    <t>02/mar</t>
  </si>
  <si>
    <t>06/mar</t>
  </si>
  <si>
    <t>08/mar</t>
  </si>
  <si>
    <t>13/mar</t>
  </si>
  <si>
    <t>14/mar</t>
  </si>
  <si>
    <t>15/mar</t>
  </si>
  <si>
    <t>16/mar</t>
  </si>
  <si>
    <t>19/mar</t>
  </si>
  <si>
    <t>20/mar</t>
  </si>
  <si>
    <t>22/mar</t>
  </si>
  <si>
    <t>23/mar</t>
  </si>
  <si>
    <t>24/mar</t>
  </si>
  <si>
    <t>26/mar</t>
  </si>
  <si>
    <t>27/mar</t>
  </si>
  <si>
    <t>28/mar</t>
  </si>
  <si>
    <t>29/mar</t>
  </si>
  <si>
    <t>02/abr</t>
  </si>
  <si>
    <t>05/abr</t>
  </si>
  <si>
    <t>09/abr</t>
  </si>
  <si>
    <t>10/abr</t>
  </si>
  <si>
    <t>11/abr</t>
  </si>
  <si>
    <t>12/abr</t>
  </si>
  <si>
    <t>13/abr</t>
  </si>
  <si>
    <t>14/abr</t>
  </si>
  <si>
    <t>17/abr</t>
  </si>
  <si>
    <t>18/abr</t>
  </si>
  <si>
    <t>22/abr</t>
  </si>
  <si>
    <t>25/abr</t>
  </si>
  <si>
    <t>26/abr</t>
  </si>
  <si>
    <t>27/abr</t>
  </si>
  <si>
    <t>30/abr</t>
  </si>
  <si>
    <t>01/mai</t>
  </si>
  <si>
    <t>03/mai</t>
  </si>
  <si>
    <t>08/mai</t>
  </si>
  <si>
    <t>10/mai</t>
  </si>
  <si>
    <t>11/mai</t>
  </si>
  <si>
    <t>12/mai</t>
  </si>
  <si>
    <t>14/mai</t>
  </si>
  <si>
    <t>18/mai</t>
  </si>
  <si>
    <t>21/mai</t>
  </si>
  <si>
    <t>22/mai</t>
  </si>
  <si>
    <t>23/mai</t>
  </si>
  <si>
    <t>25/mai</t>
  </si>
  <si>
    <t>26/mai</t>
  </si>
  <si>
    <t>28/mai</t>
  </si>
  <si>
    <t>29/mai</t>
  </si>
  <si>
    <t>31/mai</t>
  </si>
  <si>
    <t>01/jun</t>
  </si>
  <si>
    <t>04/jun</t>
  </si>
  <si>
    <t>07/jun</t>
  </si>
  <si>
    <t>09/jun</t>
  </si>
  <si>
    <t>13/jun</t>
  </si>
  <si>
    <t>15/jun</t>
  </si>
  <si>
    <t>18/jun</t>
  </si>
  <si>
    <t>19/jun</t>
  </si>
  <si>
    <t>20/jun</t>
  </si>
  <si>
    <t>22/jun</t>
  </si>
  <si>
    <t>23/jun</t>
  </si>
  <si>
    <t>25/jun</t>
  </si>
  <si>
    <t>28/jun</t>
  </si>
  <si>
    <t>04/jul</t>
  </si>
  <si>
    <t>06/jul</t>
  </si>
  <si>
    <t>10/jul</t>
  </si>
  <si>
    <t>11/jul</t>
  </si>
  <si>
    <t>14/jul</t>
  </si>
  <si>
    <t>16/jul</t>
  </si>
  <si>
    <t>17/jul</t>
  </si>
  <si>
    <t>18/jul</t>
  </si>
  <si>
    <t>19/jul</t>
  </si>
  <si>
    <t>25/jul</t>
  </si>
  <si>
    <t>26/jul</t>
  </si>
  <si>
    <t>30/jul</t>
  </si>
  <si>
    <t>01/ago</t>
  </si>
  <si>
    <t>02/ago</t>
  </si>
  <si>
    <t>07/ago</t>
  </si>
  <si>
    <t>08/ago</t>
  </si>
  <si>
    <t>10/ago</t>
  </si>
  <si>
    <t>13/ago</t>
  </si>
  <si>
    <t>15/ago</t>
  </si>
  <si>
    <t>16/ago</t>
  </si>
  <si>
    <t>17/ago</t>
  </si>
  <si>
    <t>21/ago</t>
  </si>
  <si>
    <t>24/ago</t>
  </si>
  <si>
    <t>25/ago</t>
  </si>
  <si>
    <t>27/ago</t>
  </si>
  <si>
    <t>28/ago</t>
  </si>
  <si>
    <t>31/ago</t>
  </si>
  <si>
    <t>01/set</t>
  </si>
  <si>
    <t>03/set</t>
  </si>
  <si>
    <t>04/set</t>
  </si>
  <si>
    <t>05/set</t>
  </si>
  <si>
    <t>06/set</t>
  </si>
  <si>
    <t>07/set</t>
  </si>
  <si>
    <t>08/set</t>
  </si>
  <si>
    <t>10/set</t>
  </si>
  <si>
    <t>11/set</t>
  </si>
  <si>
    <t>12/set</t>
  </si>
  <si>
    <t>13/set</t>
  </si>
  <si>
    <t>14/set</t>
  </si>
  <si>
    <t>17/set</t>
  </si>
  <si>
    <t>18/set</t>
  </si>
  <si>
    <t>19/set</t>
  </si>
  <si>
    <t>20/set</t>
  </si>
  <si>
    <t>21/set</t>
  </si>
  <si>
    <t>22/set</t>
  </si>
  <si>
    <t>24/set</t>
  </si>
  <si>
    <t>25/set</t>
  </si>
  <si>
    <t>26/set</t>
  </si>
  <si>
    <t>27/set</t>
  </si>
  <si>
    <t>28/set</t>
  </si>
  <si>
    <t>01/out</t>
  </si>
  <si>
    <t>02/out</t>
  </si>
  <si>
    <t>03/out</t>
  </si>
  <si>
    <t>04/out</t>
  </si>
  <si>
    <t>05/out</t>
  </si>
  <si>
    <t>08/out</t>
  </si>
  <si>
    <t>10/out</t>
  </si>
  <si>
    <t>12/out</t>
  </si>
  <si>
    <t>17/out</t>
  </si>
  <si>
    <t>18/out</t>
  </si>
  <si>
    <t>19/out</t>
  </si>
  <si>
    <t>20/out</t>
  </si>
  <si>
    <t>23/out</t>
  </si>
  <si>
    <t>24/out</t>
  </si>
  <si>
    <t>25/out</t>
  </si>
  <si>
    <t>26/out</t>
  </si>
  <si>
    <t>29/out</t>
  </si>
  <si>
    <t>30/out</t>
  </si>
  <si>
    <t>31/out</t>
  </si>
  <si>
    <t>01/nov</t>
  </si>
  <si>
    <t>02/nov</t>
  </si>
  <si>
    <t>03/nov</t>
  </si>
  <si>
    <t>05/nov</t>
  </si>
  <si>
    <t>06/nov</t>
  </si>
  <si>
    <t>07/nov</t>
  </si>
  <si>
    <t>08/nov</t>
  </si>
  <si>
    <t>09/nov</t>
  </si>
  <si>
    <t>10/nov</t>
  </si>
  <si>
    <t>12/nov</t>
  </si>
  <si>
    <t>13/nov</t>
  </si>
  <si>
    <t>14/nov</t>
  </si>
  <si>
    <t>16/nov</t>
  </si>
  <si>
    <t>17/nov</t>
  </si>
  <si>
    <t>19/nov</t>
  </si>
  <si>
    <t>20/nov</t>
  </si>
  <si>
    <t>21/nov</t>
  </si>
  <si>
    <t>22/nov</t>
  </si>
  <si>
    <t>24/nov</t>
  </si>
  <si>
    <t>27/nov</t>
  </si>
  <si>
    <t>28/nov</t>
  </si>
  <si>
    <t>29/nov</t>
  </si>
  <si>
    <t>30/nov</t>
  </si>
  <si>
    <t>01/dez</t>
  </si>
  <si>
    <t>03/dez</t>
  </si>
  <si>
    <t>04/dez</t>
  </si>
  <si>
    <t>05/dez</t>
  </si>
  <si>
    <t>06/dez</t>
  </si>
  <si>
    <t>07/dez</t>
  </si>
  <si>
    <t>08/dez</t>
  </si>
  <si>
    <t>10/dez</t>
  </si>
  <si>
    <t>11/dez</t>
  </si>
  <si>
    <t>12/dez</t>
  </si>
  <si>
    <t>13/dez</t>
  </si>
  <si>
    <t>14/dez</t>
  </si>
  <si>
    <t>15/dez</t>
  </si>
  <si>
    <t>16/dez</t>
  </si>
  <si>
    <t>17/dez</t>
  </si>
  <si>
    <t>18/dez</t>
  </si>
  <si>
    <t>19/dez</t>
  </si>
  <si>
    <t>20/dez</t>
  </si>
  <si>
    <t>21/dez</t>
  </si>
  <si>
    <t>24/dez</t>
  </si>
  <si>
    <t>25/dez</t>
  </si>
  <si>
    <t>27/dez</t>
  </si>
  <si>
    <t>30/dez</t>
  </si>
  <si>
    <t>31/dez</t>
  </si>
  <si>
    <t>Total de Vendas</t>
  </si>
  <si>
    <t>Qte de Clientes</t>
  </si>
  <si>
    <t>Qte de Produtos</t>
  </si>
  <si>
    <t>(vazio)</t>
  </si>
  <si>
    <t>Ticket Médio</t>
  </si>
  <si>
    <t>Dashboard Operacional - Vendas</t>
  </si>
  <si>
    <t xml:space="preserve"> Qte_Vendida</t>
  </si>
  <si>
    <t>Nome do Cliente</t>
  </si>
  <si>
    <t>TOP 20 Maiores Clientes</t>
  </si>
  <si>
    <t>TOP 20 Produtos Mais Vendidos</t>
  </si>
  <si>
    <t>01/jan</t>
  </si>
  <si>
    <t>02/jan</t>
  </si>
  <si>
    <t>03/jan</t>
  </si>
  <si>
    <t>04/jan</t>
  </si>
  <si>
    <t>07/jan</t>
  </si>
  <si>
    <t>08/jan</t>
  </si>
  <si>
    <t>09/jan</t>
  </si>
  <si>
    <t>10/jan</t>
  </si>
  <si>
    <t>15/jan</t>
  </si>
  <si>
    <t>16/jan</t>
  </si>
  <si>
    <t>17/jan</t>
  </si>
  <si>
    <t>18/jan</t>
  </si>
  <si>
    <t>19/jan</t>
  </si>
  <si>
    <t>20/jan</t>
  </si>
  <si>
    <t>21/jan</t>
  </si>
  <si>
    <t>22/jan</t>
  </si>
  <si>
    <t>24/jan</t>
  </si>
  <si>
    <t>25/jan</t>
  </si>
  <si>
    <t>28/jan</t>
  </si>
  <si>
    <t>29/jan</t>
  </si>
  <si>
    <t>31/jan</t>
  </si>
  <si>
    <t>01/fev</t>
  </si>
  <si>
    <t>02/fev</t>
  </si>
  <si>
    <t>04/fev</t>
  </si>
  <si>
    <t>05/fev</t>
  </si>
  <si>
    <t>07/fev</t>
  </si>
  <si>
    <t>08/fev</t>
  </si>
  <si>
    <t>10/fev</t>
  </si>
  <si>
    <t>11/fev</t>
  </si>
  <si>
    <t>12/fev</t>
  </si>
  <si>
    <t>13/fev</t>
  </si>
  <si>
    <t>14/fev</t>
  </si>
  <si>
    <t>19/fev</t>
  </si>
  <si>
    <t>20/fev</t>
  </si>
  <si>
    <t>22/fev</t>
  </si>
  <si>
    <t>24/fev</t>
  </si>
  <si>
    <t>03/mar</t>
  </si>
  <si>
    <t>04/mar</t>
  </si>
  <si>
    <t>05/mar</t>
  </si>
  <si>
    <t>07/mar</t>
  </si>
  <si>
    <t>09/mar</t>
  </si>
  <si>
    <t>10/mar</t>
  </si>
  <si>
    <t>11/mar</t>
  </si>
  <si>
    <t>12/mar</t>
  </si>
  <si>
    <t>17/mar</t>
  </si>
  <si>
    <t>18/mar</t>
  </si>
  <si>
    <t>21/mar</t>
  </si>
  <si>
    <t>25/mar</t>
  </si>
  <si>
    <t>30/mar</t>
  </si>
  <si>
    <t>31/mar</t>
  </si>
  <si>
    <t>01/abr</t>
  </si>
  <si>
    <t>03/abr</t>
  </si>
  <si>
    <t>04/abr</t>
  </si>
  <si>
    <t>06/abr</t>
  </si>
  <si>
    <t>08/abr</t>
  </si>
  <si>
    <t>15/abr</t>
  </si>
  <si>
    <t>16/abr</t>
  </si>
  <si>
    <t>19/abr</t>
  </si>
  <si>
    <t>20/abr</t>
  </si>
  <si>
    <t>21/abr</t>
  </si>
  <si>
    <t>23/abr</t>
  </si>
  <si>
    <t>24/abr</t>
  </si>
  <si>
    <t>28/abr</t>
  </si>
  <si>
    <t>29/abr</t>
  </si>
  <si>
    <t>02/mai</t>
  </si>
  <si>
    <t>04/mai</t>
  </si>
  <si>
    <t>05/mai</t>
  </si>
  <si>
    <t>06/mai</t>
  </si>
  <si>
    <t>07/mai</t>
  </si>
  <si>
    <t>09/mai</t>
  </si>
  <si>
    <t>13/mai</t>
  </si>
  <si>
    <t>15/mai</t>
  </si>
  <si>
    <t>16/mai</t>
  </si>
  <si>
    <t>17/mai</t>
  </si>
  <si>
    <t>19/mai</t>
  </si>
  <si>
    <t>20/mai</t>
  </si>
  <si>
    <t>24/mai</t>
  </si>
  <si>
    <t>27/mai</t>
  </si>
  <si>
    <t>30/mai</t>
  </si>
  <si>
    <t>02/jun</t>
  </si>
  <si>
    <t>03/jun</t>
  </si>
  <si>
    <t>06/jun</t>
  </si>
  <si>
    <t>08/jun</t>
  </si>
  <si>
    <t>10/jun</t>
  </si>
  <si>
    <t>11/jun</t>
  </si>
  <si>
    <t>12/jun</t>
  </si>
  <si>
    <t>16/jun</t>
  </si>
  <si>
    <t>17/jun</t>
  </si>
  <si>
    <t>21/jun</t>
  </si>
  <si>
    <t>24/jun</t>
  </si>
  <si>
    <t>26/jun</t>
  </si>
  <si>
    <t>27/jun</t>
  </si>
  <si>
    <t>29/jun</t>
  </si>
  <si>
    <t>30/jun</t>
  </si>
  <si>
    <t>01/jul</t>
  </si>
  <si>
    <t>02/jul</t>
  </si>
  <si>
    <t>03/jul</t>
  </si>
  <si>
    <t>05/jul</t>
  </si>
  <si>
    <t>07/jul</t>
  </si>
  <si>
    <t>08/jul</t>
  </si>
  <si>
    <t>09/jul</t>
  </si>
  <si>
    <t>12/jul</t>
  </si>
  <si>
    <t>13/jul</t>
  </si>
  <si>
    <t>15/jul</t>
  </si>
  <si>
    <t>20/jul</t>
  </si>
  <si>
    <t>21/jul</t>
  </si>
  <si>
    <t>22/jul</t>
  </si>
  <si>
    <t>23/jul</t>
  </si>
  <si>
    <t>24/jul</t>
  </si>
  <si>
    <t>27/jul</t>
  </si>
  <si>
    <t>28/jul</t>
  </si>
  <si>
    <t>29/jul</t>
  </si>
  <si>
    <t>31/jul</t>
  </si>
  <si>
    <t>03/ago</t>
  </si>
  <si>
    <t>04/ago</t>
  </si>
  <si>
    <t>05/ago</t>
  </si>
  <si>
    <t>09/ago</t>
  </si>
  <si>
    <t>11/ago</t>
  </si>
  <si>
    <t>12/ago</t>
  </si>
  <si>
    <t>14/ago</t>
  </si>
  <si>
    <t>18/ago</t>
  </si>
  <si>
    <t>19/ago</t>
  </si>
  <si>
    <t>20/ago</t>
  </si>
  <si>
    <t>22/ago</t>
  </si>
  <si>
    <t>23/ago</t>
  </si>
  <si>
    <t>26/ago</t>
  </si>
  <si>
    <t>29/ago</t>
  </si>
  <si>
    <t>02/set</t>
  </si>
  <si>
    <t>09/set</t>
  </si>
  <si>
    <t>15/set</t>
  </si>
  <si>
    <t>16/set</t>
  </si>
  <si>
    <t>23/set</t>
  </si>
  <si>
    <t>29/set</t>
  </si>
  <si>
    <t>30/set</t>
  </si>
  <si>
    <t>06/out</t>
  </si>
  <si>
    <t>07/out</t>
  </si>
  <si>
    <t>09/out</t>
  </si>
  <si>
    <t>11/out</t>
  </si>
  <si>
    <t>13/out</t>
  </si>
  <si>
    <t>14/out</t>
  </si>
  <si>
    <t>15/out</t>
  </si>
  <si>
    <t>16/out</t>
  </si>
  <si>
    <t>21/out</t>
  </si>
  <si>
    <t>22/out</t>
  </si>
  <si>
    <t>27/out</t>
  </si>
  <si>
    <t>28/out</t>
  </si>
  <si>
    <t>04/nov</t>
  </si>
  <si>
    <t>11/nov</t>
  </si>
  <si>
    <t>15/nov</t>
  </si>
  <si>
    <t>18/nov</t>
  </si>
  <si>
    <t>23/nov</t>
  </si>
  <si>
    <t>25/nov</t>
  </si>
  <si>
    <t>26/nov</t>
  </si>
  <si>
    <t>02/dez</t>
  </si>
  <si>
    <t>09/dez</t>
  </si>
  <si>
    <t>22/dez</t>
  </si>
  <si>
    <t>23/dez</t>
  </si>
  <si>
    <t>26/dez</t>
  </si>
  <si>
    <t>28/dez</t>
  </si>
  <si>
    <t>29/dez</t>
  </si>
  <si>
    <t>2013</t>
  </si>
  <si>
    <t>2015</t>
  </si>
  <si>
    <t>2016</t>
  </si>
  <si>
    <t>DASHBOARDS DE VENDAS</t>
  </si>
  <si>
    <t>TOTAL DE VENDAS</t>
  </si>
  <si>
    <t>QTDE DE CLIENTES</t>
  </si>
  <si>
    <t>QTDE DE PRODUTOS</t>
  </si>
  <si>
    <t>TICKET MÉDIO</t>
  </si>
  <si>
    <t>TOP 20
Maiores Clientes</t>
  </si>
  <si>
    <t>Soma de Qte_Vendida</t>
  </si>
  <si>
    <t>Clientes</t>
  </si>
  <si>
    <t>TOP 20
Produtos Mais Vendidos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</si>
</sst>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"/>
    <numFmt numFmtId="165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9" fontId="0" fillId="0" borderId="0" xfId="3" applyFont="1"/>
    <xf numFmtId="0" fontId="2" fillId="2" borderId="0" xfId="0" applyFont="1" applyFill="1"/>
    <xf numFmtId="43" fontId="2" fillId="2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4" fontId="0" fillId="0" borderId="0" xfId="0" applyNumberFormat="1"/>
    <xf numFmtId="0" fontId="0" fillId="0" borderId="0" xfId="0" applyAlignment="1">
      <alignment horizontal="center"/>
    </xf>
    <xf numFmtId="44" fontId="4" fillId="0" borderId="0" xfId="2" applyFont="1" applyAlignment="1">
      <alignment horizontal="center"/>
    </xf>
    <xf numFmtId="1" fontId="4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4" fontId="0" fillId="0" borderId="0" xfId="0" applyNumberFormat="1"/>
    <xf numFmtId="0" fontId="3" fillId="0" borderId="0" xfId="0" applyFont="1" applyAlignment="1">
      <alignment vertical="center"/>
    </xf>
    <xf numFmtId="0" fontId="11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5" fontId="0" fillId="0" borderId="0" xfId="2" applyNumberFormat="1" applyFont="1"/>
    <xf numFmtId="44" fontId="11" fillId="0" borderId="1" xfId="2" applyFont="1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/>
    <xf numFmtId="0" fontId="7" fillId="3" borderId="1" xfId="0" applyFont="1" applyFill="1" applyBorder="1"/>
    <xf numFmtId="0" fontId="8" fillId="0" borderId="1" xfId="0" applyFont="1" applyBorder="1"/>
    <xf numFmtId="0" fontId="7" fillId="3" borderId="1" xfId="0" applyFont="1" applyFill="1" applyBorder="1" applyAlignment="1">
      <alignment horizontal="left"/>
    </xf>
    <xf numFmtId="44" fontId="7" fillId="3" borderId="1" xfId="0" applyNumberFormat="1" applyFont="1" applyFill="1" applyBorder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0" fillId="0" borderId="1" xfId="0" applyNumberFormat="1" applyBorder="1"/>
    <xf numFmtId="43" fontId="0" fillId="0" borderId="1" xfId="0" applyNumberFormat="1" applyBorder="1"/>
    <xf numFmtId="0" fontId="8" fillId="0" borderId="1" xfId="0" applyFont="1" applyBorder="1" applyAlignment="1">
      <alignment horizontal="left"/>
    </xf>
    <xf numFmtId="0" fontId="8" fillId="0" borderId="1" xfId="0" applyNumberFormat="1" applyFont="1" applyBorder="1"/>
    <xf numFmtId="43" fontId="8" fillId="0" borderId="1" xfId="0" applyNumberFormat="1" applyFont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12"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0" formatCode="General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Estilo de Linha do Tempo 1" pivot="0" table="0" count="9" xr9:uid="{4DA51FCA-F024-4870-8275-5295671D2A6F}">
      <tableStyleElement type="wholeTable" dxfId="111"/>
      <tableStyleElement type="headerRow" dxfId="1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>
              <bgColor theme="1"/>
            </patternFill>
          </fill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sz val="9"/>
            <color auto="1"/>
            <name val="Calibri"/>
            <family val="2"/>
            <scheme val="minor"/>
          </font>
        </dxf>
        <dxf>
          <font>
            <sz val="10"/>
            <color theme="1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1/relationships/timelineCache" Target="timelineCaches/timelineCache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 - Dashboard.xlsx]Tabelas_Dinamicas!Tabela dinâmica14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Vendas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Tabelas_Dinamicas!$C$3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Tabelas_Dinamicas!$B$4:$B$389</c:f>
              <c:multiLvlStrCache>
                <c:ptCount val="192"/>
                <c:lvl>
                  <c:pt idx="0">
                    <c:v>05/01/2014</c:v>
                  </c:pt>
                  <c:pt idx="1">
                    <c:v>06/01/2014</c:v>
                  </c:pt>
                  <c:pt idx="2">
                    <c:v>13/01/2014</c:v>
                  </c:pt>
                  <c:pt idx="3">
                    <c:v>23/01/2014</c:v>
                  </c:pt>
                  <c:pt idx="4">
                    <c:v>26/01/2014</c:v>
                  </c:pt>
                  <c:pt idx="5">
                    <c:v>27/01/2014</c:v>
                  </c:pt>
                  <c:pt idx="6">
                    <c:v>30/01/2014</c:v>
                  </c:pt>
                  <c:pt idx="7">
                    <c:v>03/02/2014</c:v>
                  </c:pt>
                  <c:pt idx="8">
                    <c:v>06/02/2014</c:v>
                  </c:pt>
                  <c:pt idx="9">
                    <c:v>09/02/2014</c:v>
                  </c:pt>
                  <c:pt idx="10">
                    <c:v>15/02/2014</c:v>
                  </c:pt>
                  <c:pt idx="11">
                    <c:v>16/02/2014</c:v>
                  </c:pt>
                  <c:pt idx="12">
                    <c:v>18/02/2014</c:v>
                  </c:pt>
                  <c:pt idx="13">
                    <c:v>21/02/2014</c:v>
                  </c:pt>
                  <c:pt idx="14">
                    <c:v>27/02/2014</c:v>
                  </c:pt>
                  <c:pt idx="15">
                    <c:v>01/03/2014</c:v>
                  </c:pt>
                  <c:pt idx="16">
                    <c:v>02/03/2014</c:v>
                  </c:pt>
                  <c:pt idx="17">
                    <c:v>06/03/2014</c:v>
                  </c:pt>
                  <c:pt idx="18">
                    <c:v>08/03/2014</c:v>
                  </c:pt>
                  <c:pt idx="19">
                    <c:v>13/03/2014</c:v>
                  </c:pt>
                  <c:pt idx="20">
                    <c:v>14/03/2014</c:v>
                  </c:pt>
                  <c:pt idx="21">
                    <c:v>15/03/2014</c:v>
                  </c:pt>
                  <c:pt idx="22">
                    <c:v>16/03/2014</c:v>
                  </c:pt>
                  <c:pt idx="23">
                    <c:v>19/03/2014</c:v>
                  </c:pt>
                  <c:pt idx="24">
                    <c:v>20/03/2014</c:v>
                  </c:pt>
                  <c:pt idx="25">
                    <c:v>22/03/2014</c:v>
                  </c:pt>
                  <c:pt idx="26">
                    <c:v>23/03/2014</c:v>
                  </c:pt>
                  <c:pt idx="27">
                    <c:v>24/03/2014</c:v>
                  </c:pt>
                  <c:pt idx="28">
                    <c:v>26/03/2014</c:v>
                  </c:pt>
                  <c:pt idx="29">
                    <c:v>27/03/2014</c:v>
                  </c:pt>
                  <c:pt idx="30">
                    <c:v>28/03/2014</c:v>
                  </c:pt>
                  <c:pt idx="31">
                    <c:v>29/03/2014</c:v>
                  </c:pt>
                  <c:pt idx="32">
                    <c:v>02/04/2014</c:v>
                  </c:pt>
                  <c:pt idx="33">
                    <c:v>05/04/2014</c:v>
                  </c:pt>
                  <c:pt idx="34">
                    <c:v>09/04/2014</c:v>
                  </c:pt>
                  <c:pt idx="35">
                    <c:v>10/04/2014</c:v>
                  </c:pt>
                  <c:pt idx="36">
                    <c:v>11/04/2014</c:v>
                  </c:pt>
                  <c:pt idx="37">
                    <c:v>12/04/2014</c:v>
                  </c:pt>
                  <c:pt idx="38">
                    <c:v>13/04/2014</c:v>
                  </c:pt>
                  <c:pt idx="39">
                    <c:v>14/04/2014</c:v>
                  </c:pt>
                  <c:pt idx="40">
                    <c:v>17/04/2014</c:v>
                  </c:pt>
                  <c:pt idx="41">
                    <c:v>18/04/2014</c:v>
                  </c:pt>
                  <c:pt idx="42">
                    <c:v>22/04/2014</c:v>
                  </c:pt>
                  <c:pt idx="43">
                    <c:v>25/04/2014</c:v>
                  </c:pt>
                  <c:pt idx="44">
                    <c:v>26/04/2014</c:v>
                  </c:pt>
                  <c:pt idx="45">
                    <c:v>27/04/2014</c:v>
                  </c:pt>
                  <c:pt idx="46">
                    <c:v>30/04/2014</c:v>
                  </c:pt>
                  <c:pt idx="47">
                    <c:v>01/05/2014</c:v>
                  </c:pt>
                  <c:pt idx="48">
                    <c:v>03/05/2014</c:v>
                  </c:pt>
                  <c:pt idx="49">
                    <c:v>08/05/2014</c:v>
                  </c:pt>
                  <c:pt idx="50">
                    <c:v>10/05/2014</c:v>
                  </c:pt>
                  <c:pt idx="51">
                    <c:v>11/05/2014</c:v>
                  </c:pt>
                  <c:pt idx="52">
                    <c:v>12/05/2014</c:v>
                  </c:pt>
                  <c:pt idx="53">
                    <c:v>14/05/2014</c:v>
                  </c:pt>
                  <c:pt idx="54">
                    <c:v>18/05/2014</c:v>
                  </c:pt>
                  <c:pt idx="55">
                    <c:v>21/05/2014</c:v>
                  </c:pt>
                  <c:pt idx="56">
                    <c:v>22/05/2014</c:v>
                  </c:pt>
                  <c:pt idx="57">
                    <c:v>23/05/2014</c:v>
                  </c:pt>
                  <c:pt idx="58">
                    <c:v>25/05/2014</c:v>
                  </c:pt>
                  <c:pt idx="59">
                    <c:v>26/05/2014</c:v>
                  </c:pt>
                  <c:pt idx="60">
                    <c:v>28/05/2014</c:v>
                  </c:pt>
                  <c:pt idx="61">
                    <c:v>29/05/2014</c:v>
                  </c:pt>
                  <c:pt idx="62">
                    <c:v>31/05/2014</c:v>
                  </c:pt>
                  <c:pt idx="63">
                    <c:v>01/06/2014</c:v>
                  </c:pt>
                  <c:pt idx="64">
                    <c:v>04/06/2014</c:v>
                  </c:pt>
                  <c:pt idx="65">
                    <c:v>07/06/2014</c:v>
                  </c:pt>
                  <c:pt idx="66">
                    <c:v>09/06/2014</c:v>
                  </c:pt>
                  <c:pt idx="67">
                    <c:v>13/06/2014</c:v>
                  </c:pt>
                  <c:pt idx="68">
                    <c:v>15/06/2014</c:v>
                  </c:pt>
                  <c:pt idx="69">
                    <c:v>18/06/2014</c:v>
                  </c:pt>
                  <c:pt idx="70">
                    <c:v>19/06/2014</c:v>
                  </c:pt>
                  <c:pt idx="71">
                    <c:v>20/06/2014</c:v>
                  </c:pt>
                  <c:pt idx="72">
                    <c:v>22/06/2014</c:v>
                  </c:pt>
                  <c:pt idx="73">
                    <c:v>23/06/2014</c:v>
                  </c:pt>
                  <c:pt idx="74">
                    <c:v>25/06/2014</c:v>
                  </c:pt>
                  <c:pt idx="75">
                    <c:v>28/06/2014</c:v>
                  </c:pt>
                  <c:pt idx="76">
                    <c:v>04/07/2014</c:v>
                  </c:pt>
                  <c:pt idx="77">
                    <c:v>06/07/2014</c:v>
                  </c:pt>
                  <c:pt idx="78">
                    <c:v>10/07/2014</c:v>
                  </c:pt>
                  <c:pt idx="79">
                    <c:v>11/07/2014</c:v>
                  </c:pt>
                  <c:pt idx="80">
                    <c:v>14/07/2014</c:v>
                  </c:pt>
                  <c:pt idx="81">
                    <c:v>16/07/2014</c:v>
                  </c:pt>
                  <c:pt idx="82">
                    <c:v>17/07/2014</c:v>
                  </c:pt>
                  <c:pt idx="83">
                    <c:v>18/07/2014</c:v>
                  </c:pt>
                  <c:pt idx="84">
                    <c:v>19/07/2014</c:v>
                  </c:pt>
                  <c:pt idx="85">
                    <c:v>25/07/2014</c:v>
                  </c:pt>
                  <c:pt idx="86">
                    <c:v>26/07/2014</c:v>
                  </c:pt>
                  <c:pt idx="87">
                    <c:v>30/07/2014</c:v>
                  </c:pt>
                  <c:pt idx="88">
                    <c:v>01/08/2014</c:v>
                  </c:pt>
                  <c:pt idx="89">
                    <c:v>02/08/2014</c:v>
                  </c:pt>
                  <c:pt idx="90">
                    <c:v>07/08/2014</c:v>
                  </c:pt>
                  <c:pt idx="91">
                    <c:v>08/08/2014</c:v>
                  </c:pt>
                  <c:pt idx="92">
                    <c:v>10/08/2014</c:v>
                  </c:pt>
                  <c:pt idx="93">
                    <c:v>13/08/2014</c:v>
                  </c:pt>
                  <c:pt idx="94">
                    <c:v>15/08/2014</c:v>
                  </c:pt>
                  <c:pt idx="95">
                    <c:v>16/08/2014</c:v>
                  </c:pt>
                  <c:pt idx="96">
                    <c:v>17/08/2014</c:v>
                  </c:pt>
                  <c:pt idx="97">
                    <c:v>21/08/2014</c:v>
                  </c:pt>
                  <c:pt idx="98">
                    <c:v>24/08/2014</c:v>
                  </c:pt>
                  <c:pt idx="99">
                    <c:v>25/08/2014</c:v>
                  </c:pt>
                  <c:pt idx="100">
                    <c:v>27/08/2014</c:v>
                  </c:pt>
                  <c:pt idx="101">
                    <c:v>28/08/2014</c:v>
                  </c:pt>
                  <c:pt idx="102">
                    <c:v>31/08/2014</c:v>
                  </c:pt>
                  <c:pt idx="103">
                    <c:v>01/09/2014</c:v>
                  </c:pt>
                  <c:pt idx="104">
                    <c:v>03/09/2014</c:v>
                  </c:pt>
                  <c:pt idx="105">
                    <c:v>04/09/2014</c:v>
                  </c:pt>
                  <c:pt idx="106">
                    <c:v>05/09/2014</c:v>
                  </c:pt>
                  <c:pt idx="107">
                    <c:v>06/09/2014</c:v>
                  </c:pt>
                  <c:pt idx="108">
                    <c:v>07/09/2014</c:v>
                  </c:pt>
                  <c:pt idx="109">
                    <c:v>08/09/2014</c:v>
                  </c:pt>
                  <c:pt idx="110">
                    <c:v>10/09/2014</c:v>
                  </c:pt>
                  <c:pt idx="111">
                    <c:v>11/09/2014</c:v>
                  </c:pt>
                  <c:pt idx="112">
                    <c:v>12/09/2014</c:v>
                  </c:pt>
                  <c:pt idx="113">
                    <c:v>13/09/2014</c:v>
                  </c:pt>
                  <c:pt idx="114">
                    <c:v>14/09/2014</c:v>
                  </c:pt>
                  <c:pt idx="115">
                    <c:v>17/09/2014</c:v>
                  </c:pt>
                  <c:pt idx="116">
                    <c:v>18/09/2014</c:v>
                  </c:pt>
                  <c:pt idx="117">
                    <c:v>19/09/2014</c:v>
                  </c:pt>
                  <c:pt idx="118">
                    <c:v>20/09/2014</c:v>
                  </c:pt>
                  <c:pt idx="119">
                    <c:v>21/09/2014</c:v>
                  </c:pt>
                  <c:pt idx="120">
                    <c:v>22/09/2014</c:v>
                  </c:pt>
                  <c:pt idx="121">
                    <c:v>24/09/2014</c:v>
                  </c:pt>
                  <c:pt idx="122">
                    <c:v>25/09/2014</c:v>
                  </c:pt>
                  <c:pt idx="123">
                    <c:v>26/09/2014</c:v>
                  </c:pt>
                  <c:pt idx="124">
                    <c:v>27/09/2014</c:v>
                  </c:pt>
                  <c:pt idx="125">
                    <c:v>28/09/2014</c:v>
                  </c:pt>
                  <c:pt idx="126">
                    <c:v>01/10/2014</c:v>
                  </c:pt>
                  <c:pt idx="127">
                    <c:v>02/10/2014</c:v>
                  </c:pt>
                  <c:pt idx="128">
                    <c:v>03/10/2014</c:v>
                  </c:pt>
                  <c:pt idx="129">
                    <c:v>04/10/2014</c:v>
                  </c:pt>
                  <c:pt idx="130">
                    <c:v>05/10/2014</c:v>
                  </c:pt>
                  <c:pt idx="131">
                    <c:v>08/10/2014</c:v>
                  </c:pt>
                  <c:pt idx="132">
                    <c:v>10/10/2014</c:v>
                  </c:pt>
                  <c:pt idx="133">
                    <c:v>12/10/2014</c:v>
                  </c:pt>
                  <c:pt idx="134">
                    <c:v>17/10/2014</c:v>
                  </c:pt>
                  <c:pt idx="135">
                    <c:v>18/10/2014</c:v>
                  </c:pt>
                  <c:pt idx="136">
                    <c:v>19/10/2014</c:v>
                  </c:pt>
                  <c:pt idx="137">
                    <c:v>20/10/2014</c:v>
                  </c:pt>
                  <c:pt idx="138">
                    <c:v>23/10/2014</c:v>
                  </c:pt>
                  <c:pt idx="139">
                    <c:v>24/10/2014</c:v>
                  </c:pt>
                  <c:pt idx="140">
                    <c:v>25/10/2014</c:v>
                  </c:pt>
                  <c:pt idx="141">
                    <c:v>26/10/2014</c:v>
                  </c:pt>
                  <c:pt idx="142">
                    <c:v>29/10/2014</c:v>
                  </c:pt>
                  <c:pt idx="143">
                    <c:v>30/10/2014</c:v>
                  </c:pt>
                  <c:pt idx="144">
                    <c:v>31/10/2014</c:v>
                  </c:pt>
                  <c:pt idx="145">
                    <c:v>01/11/2014</c:v>
                  </c:pt>
                  <c:pt idx="146">
                    <c:v>02/11/2014</c:v>
                  </c:pt>
                  <c:pt idx="147">
                    <c:v>03/11/2014</c:v>
                  </c:pt>
                  <c:pt idx="148">
                    <c:v>05/11/2014</c:v>
                  </c:pt>
                  <c:pt idx="149">
                    <c:v>06/11/2014</c:v>
                  </c:pt>
                  <c:pt idx="150">
                    <c:v>07/11/2014</c:v>
                  </c:pt>
                  <c:pt idx="151">
                    <c:v>08/11/2014</c:v>
                  </c:pt>
                  <c:pt idx="152">
                    <c:v>09/11/2014</c:v>
                  </c:pt>
                  <c:pt idx="153">
                    <c:v>10/11/2014</c:v>
                  </c:pt>
                  <c:pt idx="154">
                    <c:v>12/11/2014</c:v>
                  </c:pt>
                  <c:pt idx="155">
                    <c:v>13/11/2014</c:v>
                  </c:pt>
                  <c:pt idx="156">
                    <c:v>14/11/2014</c:v>
                  </c:pt>
                  <c:pt idx="157">
                    <c:v>16/11/2014</c:v>
                  </c:pt>
                  <c:pt idx="158">
                    <c:v>17/11/2014</c:v>
                  </c:pt>
                  <c:pt idx="159">
                    <c:v>19/11/2014</c:v>
                  </c:pt>
                  <c:pt idx="160">
                    <c:v>20/11/2014</c:v>
                  </c:pt>
                  <c:pt idx="161">
                    <c:v>21/11/2014</c:v>
                  </c:pt>
                  <c:pt idx="162">
                    <c:v>22/11/2014</c:v>
                  </c:pt>
                  <c:pt idx="163">
                    <c:v>24/11/2014</c:v>
                  </c:pt>
                  <c:pt idx="164">
                    <c:v>27/11/2014</c:v>
                  </c:pt>
                  <c:pt idx="165">
                    <c:v>28/11/2014</c:v>
                  </c:pt>
                  <c:pt idx="166">
                    <c:v>29/11/2014</c:v>
                  </c:pt>
                  <c:pt idx="167">
                    <c:v>30/11/2014</c:v>
                  </c:pt>
                  <c:pt idx="168">
                    <c:v>01/12/2014</c:v>
                  </c:pt>
                  <c:pt idx="169">
                    <c:v>03/12/2014</c:v>
                  </c:pt>
                  <c:pt idx="170">
                    <c:v>04/12/2014</c:v>
                  </c:pt>
                  <c:pt idx="171">
                    <c:v>05/12/2014</c:v>
                  </c:pt>
                  <c:pt idx="172">
                    <c:v>06/12/2014</c:v>
                  </c:pt>
                  <c:pt idx="173">
                    <c:v>07/12/2014</c:v>
                  </c:pt>
                  <c:pt idx="174">
                    <c:v>08/12/2014</c:v>
                  </c:pt>
                  <c:pt idx="175">
                    <c:v>10/12/2014</c:v>
                  </c:pt>
                  <c:pt idx="176">
                    <c:v>11/12/2014</c:v>
                  </c:pt>
                  <c:pt idx="177">
                    <c:v>12/12/2014</c:v>
                  </c:pt>
                  <c:pt idx="178">
                    <c:v>13/12/2014</c:v>
                  </c:pt>
                  <c:pt idx="179">
                    <c:v>14/12/2014</c:v>
                  </c:pt>
                  <c:pt idx="180">
                    <c:v>15/12/2014</c:v>
                  </c:pt>
                  <c:pt idx="181">
                    <c:v>16/12/2014</c:v>
                  </c:pt>
                  <c:pt idx="182">
                    <c:v>17/12/2014</c:v>
                  </c:pt>
                  <c:pt idx="183">
                    <c:v>18/12/2014</c:v>
                  </c:pt>
                  <c:pt idx="184">
                    <c:v>19/12/2014</c:v>
                  </c:pt>
                  <c:pt idx="185">
                    <c:v>20/12/2014</c:v>
                  </c:pt>
                  <c:pt idx="186">
                    <c:v>21/12/2014</c:v>
                  </c:pt>
                  <c:pt idx="187">
                    <c:v>24/12/2014</c:v>
                  </c:pt>
                  <c:pt idx="188">
                    <c:v>25/12/2014</c:v>
                  </c:pt>
                  <c:pt idx="189">
                    <c:v>27/12/2014</c:v>
                  </c:pt>
                  <c:pt idx="190">
                    <c:v>30/12/2014</c:v>
                  </c:pt>
                  <c:pt idx="191">
                    <c:v>31/12/2014</c:v>
                  </c:pt>
                </c:lvl>
                <c:lvl>
                  <c:pt idx="0">
                    <c:v>05/jan</c:v>
                  </c:pt>
                  <c:pt idx="1">
                    <c:v>06/jan</c:v>
                  </c:pt>
                  <c:pt idx="2">
                    <c:v>13/jan</c:v>
                  </c:pt>
                  <c:pt idx="3">
                    <c:v>23/jan</c:v>
                  </c:pt>
                  <c:pt idx="4">
                    <c:v>26/jan</c:v>
                  </c:pt>
                  <c:pt idx="5">
                    <c:v>27/jan</c:v>
                  </c:pt>
                  <c:pt idx="6">
                    <c:v>30/jan</c:v>
                  </c:pt>
                  <c:pt idx="7">
                    <c:v>03/fev</c:v>
                  </c:pt>
                  <c:pt idx="8">
                    <c:v>06/fev</c:v>
                  </c:pt>
                  <c:pt idx="9">
                    <c:v>09/fev</c:v>
                  </c:pt>
                  <c:pt idx="10">
                    <c:v>15/fev</c:v>
                  </c:pt>
                  <c:pt idx="11">
                    <c:v>16/fev</c:v>
                  </c:pt>
                  <c:pt idx="12">
                    <c:v>18/fev</c:v>
                  </c:pt>
                  <c:pt idx="13">
                    <c:v>21/fev</c:v>
                  </c:pt>
                  <c:pt idx="14">
                    <c:v>27/fev</c:v>
                  </c:pt>
                  <c:pt idx="15">
                    <c:v>01/mar</c:v>
                  </c:pt>
                  <c:pt idx="16">
                    <c:v>02/mar</c:v>
                  </c:pt>
                  <c:pt idx="17">
                    <c:v>06/mar</c:v>
                  </c:pt>
                  <c:pt idx="18">
                    <c:v>08/mar</c:v>
                  </c:pt>
                  <c:pt idx="19">
                    <c:v>13/mar</c:v>
                  </c:pt>
                  <c:pt idx="20">
                    <c:v>14/mar</c:v>
                  </c:pt>
                  <c:pt idx="21">
                    <c:v>15/mar</c:v>
                  </c:pt>
                  <c:pt idx="22">
                    <c:v>16/mar</c:v>
                  </c:pt>
                  <c:pt idx="23">
                    <c:v>19/mar</c:v>
                  </c:pt>
                  <c:pt idx="24">
                    <c:v>20/mar</c:v>
                  </c:pt>
                  <c:pt idx="25">
                    <c:v>22/mar</c:v>
                  </c:pt>
                  <c:pt idx="26">
                    <c:v>23/mar</c:v>
                  </c:pt>
                  <c:pt idx="27">
                    <c:v>24/mar</c:v>
                  </c:pt>
                  <c:pt idx="28">
                    <c:v>26/mar</c:v>
                  </c:pt>
                  <c:pt idx="29">
                    <c:v>27/mar</c:v>
                  </c:pt>
                  <c:pt idx="30">
                    <c:v>28/mar</c:v>
                  </c:pt>
                  <c:pt idx="31">
                    <c:v>29/mar</c:v>
                  </c:pt>
                  <c:pt idx="32">
                    <c:v>02/abr</c:v>
                  </c:pt>
                  <c:pt idx="33">
                    <c:v>05/abr</c:v>
                  </c:pt>
                  <c:pt idx="34">
                    <c:v>09/abr</c:v>
                  </c:pt>
                  <c:pt idx="35">
                    <c:v>10/abr</c:v>
                  </c:pt>
                  <c:pt idx="36">
                    <c:v>11/abr</c:v>
                  </c:pt>
                  <c:pt idx="37">
                    <c:v>12/abr</c:v>
                  </c:pt>
                  <c:pt idx="38">
                    <c:v>13/abr</c:v>
                  </c:pt>
                  <c:pt idx="39">
                    <c:v>14/abr</c:v>
                  </c:pt>
                  <c:pt idx="40">
                    <c:v>17/abr</c:v>
                  </c:pt>
                  <c:pt idx="41">
                    <c:v>18/abr</c:v>
                  </c:pt>
                  <c:pt idx="42">
                    <c:v>22/abr</c:v>
                  </c:pt>
                  <c:pt idx="43">
                    <c:v>25/abr</c:v>
                  </c:pt>
                  <c:pt idx="44">
                    <c:v>26/abr</c:v>
                  </c:pt>
                  <c:pt idx="45">
                    <c:v>27/abr</c:v>
                  </c:pt>
                  <c:pt idx="46">
                    <c:v>30/abr</c:v>
                  </c:pt>
                  <c:pt idx="47">
                    <c:v>01/mai</c:v>
                  </c:pt>
                  <c:pt idx="48">
                    <c:v>03/mai</c:v>
                  </c:pt>
                  <c:pt idx="49">
                    <c:v>08/mai</c:v>
                  </c:pt>
                  <c:pt idx="50">
                    <c:v>10/mai</c:v>
                  </c:pt>
                  <c:pt idx="51">
                    <c:v>11/mai</c:v>
                  </c:pt>
                  <c:pt idx="52">
                    <c:v>12/mai</c:v>
                  </c:pt>
                  <c:pt idx="53">
                    <c:v>14/mai</c:v>
                  </c:pt>
                  <c:pt idx="54">
                    <c:v>18/mai</c:v>
                  </c:pt>
                  <c:pt idx="55">
                    <c:v>21/mai</c:v>
                  </c:pt>
                  <c:pt idx="56">
                    <c:v>22/mai</c:v>
                  </c:pt>
                  <c:pt idx="57">
                    <c:v>23/mai</c:v>
                  </c:pt>
                  <c:pt idx="58">
                    <c:v>25/mai</c:v>
                  </c:pt>
                  <c:pt idx="59">
                    <c:v>26/mai</c:v>
                  </c:pt>
                  <c:pt idx="60">
                    <c:v>28/mai</c:v>
                  </c:pt>
                  <c:pt idx="61">
                    <c:v>29/mai</c:v>
                  </c:pt>
                  <c:pt idx="62">
                    <c:v>31/mai</c:v>
                  </c:pt>
                  <c:pt idx="63">
                    <c:v>01/jun</c:v>
                  </c:pt>
                  <c:pt idx="64">
                    <c:v>04/jun</c:v>
                  </c:pt>
                  <c:pt idx="65">
                    <c:v>07/jun</c:v>
                  </c:pt>
                  <c:pt idx="66">
                    <c:v>09/jun</c:v>
                  </c:pt>
                  <c:pt idx="67">
                    <c:v>13/jun</c:v>
                  </c:pt>
                  <c:pt idx="68">
                    <c:v>15/jun</c:v>
                  </c:pt>
                  <c:pt idx="69">
                    <c:v>18/jun</c:v>
                  </c:pt>
                  <c:pt idx="70">
                    <c:v>19/jun</c:v>
                  </c:pt>
                  <c:pt idx="71">
                    <c:v>20/jun</c:v>
                  </c:pt>
                  <c:pt idx="72">
                    <c:v>22/jun</c:v>
                  </c:pt>
                  <c:pt idx="73">
                    <c:v>23/jun</c:v>
                  </c:pt>
                  <c:pt idx="74">
                    <c:v>25/jun</c:v>
                  </c:pt>
                  <c:pt idx="75">
                    <c:v>28/jun</c:v>
                  </c:pt>
                  <c:pt idx="76">
                    <c:v>04/jul</c:v>
                  </c:pt>
                  <c:pt idx="77">
                    <c:v>06/jul</c:v>
                  </c:pt>
                  <c:pt idx="78">
                    <c:v>10/jul</c:v>
                  </c:pt>
                  <c:pt idx="79">
                    <c:v>11/jul</c:v>
                  </c:pt>
                  <c:pt idx="80">
                    <c:v>14/jul</c:v>
                  </c:pt>
                  <c:pt idx="81">
                    <c:v>16/jul</c:v>
                  </c:pt>
                  <c:pt idx="82">
                    <c:v>17/jul</c:v>
                  </c:pt>
                  <c:pt idx="83">
                    <c:v>18/jul</c:v>
                  </c:pt>
                  <c:pt idx="84">
                    <c:v>19/jul</c:v>
                  </c:pt>
                  <c:pt idx="85">
                    <c:v>25/jul</c:v>
                  </c:pt>
                  <c:pt idx="86">
                    <c:v>26/jul</c:v>
                  </c:pt>
                  <c:pt idx="87">
                    <c:v>30/jul</c:v>
                  </c:pt>
                  <c:pt idx="88">
                    <c:v>01/ago</c:v>
                  </c:pt>
                  <c:pt idx="89">
                    <c:v>02/ago</c:v>
                  </c:pt>
                  <c:pt idx="90">
                    <c:v>07/ago</c:v>
                  </c:pt>
                  <c:pt idx="91">
                    <c:v>08/ago</c:v>
                  </c:pt>
                  <c:pt idx="92">
                    <c:v>10/ago</c:v>
                  </c:pt>
                  <c:pt idx="93">
                    <c:v>13/ago</c:v>
                  </c:pt>
                  <c:pt idx="94">
                    <c:v>15/ago</c:v>
                  </c:pt>
                  <c:pt idx="95">
                    <c:v>16/ago</c:v>
                  </c:pt>
                  <c:pt idx="96">
                    <c:v>17/ago</c:v>
                  </c:pt>
                  <c:pt idx="97">
                    <c:v>21/ago</c:v>
                  </c:pt>
                  <c:pt idx="98">
                    <c:v>24/ago</c:v>
                  </c:pt>
                  <c:pt idx="99">
                    <c:v>25/ago</c:v>
                  </c:pt>
                  <c:pt idx="100">
                    <c:v>27/ago</c:v>
                  </c:pt>
                  <c:pt idx="101">
                    <c:v>28/ago</c:v>
                  </c:pt>
                  <c:pt idx="102">
                    <c:v>31/ago</c:v>
                  </c:pt>
                  <c:pt idx="103">
                    <c:v>01/set</c:v>
                  </c:pt>
                  <c:pt idx="104">
                    <c:v>03/set</c:v>
                  </c:pt>
                  <c:pt idx="105">
                    <c:v>04/set</c:v>
                  </c:pt>
                  <c:pt idx="106">
                    <c:v>05/set</c:v>
                  </c:pt>
                  <c:pt idx="107">
                    <c:v>06/set</c:v>
                  </c:pt>
                  <c:pt idx="108">
                    <c:v>07/set</c:v>
                  </c:pt>
                  <c:pt idx="109">
                    <c:v>08/set</c:v>
                  </c:pt>
                  <c:pt idx="110">
                    <c:v>10/set</c:v>
                  </c:pt>
                  <c:pt idx="111">
                    <c:v>11/set</c:v>
                  </c:pt>
                  <c:pt idx="112">
                    <c:v>12/set</c:v>
                  </c:pt>
                  <c:pt idx="113">
                    <c:v>13/set</c:v>
                  </c:pt>
                  <c:pt idx="114">
                    <c:v>14/set</c:v>
                  </c:pt>
                  <c:pt idx="115">
                    <c:v>17/set</c:v>
                  </c:pt>
                  <c:pt idx="116">
                    <c:v>18/set</c:v>
                  </c:pt>
                  <c:pt idx="117">
                    <c:v>19/set</c:v>
                  </c:pt>
                  <c:pt idx="118">
                    <c:v>20/set</c:v>
                  </c:pt>
                  <c:pt idx="119">
                    <c:v>21/set</c:v>
                  </c:pt>
                  <c:pt idx="120">
                    <c:v>22/set</c:v>
                  </c:pt>
                  <c:pt idx="121">
                    <c:v>24/set</c:v>
                  </c:pt>
                  <c:pt idx="122">
                    <c:v>25/set</c:v>
                  </c:pt>
                  <c:pt idx="123">
                    <c:v>26/set</c:v>
                  </c:pt>
                  <c:pt idx="124">
                    <c:v>27/set</c:v>
                  </c:pt>
                  <c:pt idx="125">
                    <c:v>28/set</c:v>
                  </c:pt>
                  <c:pt idx="126">
                    <c:v>01/out</c:v>
                  </c:pt>
                  <c:pt idx="127">
                    <c:v>02/out</c:v>
                  </c:pt>
                  <c:pt idx="128">
                    <c:v>03/out</c:v>
                  </c:pt>
                  <c:pt idx="129">
                    <c:v>04/out</c:v>
                  </c:pt>
                  <c:pt idx="130">
                    <c:v>05/out</c:v>
                  </c:pt>
                  <c:pt idx="131">
                    <c:v>08/out</c:v>
                  </c:pt>
                  <c:pt idx="132">
                    <c:v>10/out</c:v>
                  </c:pt>
                  <c:pt idx="133">
                    <c:v>12/out</c:v>
                  </c:pt>
                  <c:pt idx="134">
                    <c:v>17/out</c:v>
                  </c:pt>
                  <c:pt idx="135">
                    <c:v>18/out</c:v>
                  </c:pt>
                  <c:pt idx="136">
                    <c:v>19/out</c:v>
                  </c:pt>
                  <c:pt idx="137">
                    <c:v>20/out</c:v>
                  </c:pt>
                  <c:pt idx="138">
                    <c:v>23/out</c:v>
                  </c:pt>
                  <c:pt idx="139">
                    <c:v>24/out</c:v>
                  </c:pt>
                  <c:pt idx="140">
                    <c:v>25/out</c:v>
                  </c:pt>
                  <c:pt idx="141">
                    <c:v>26/out</c:v>
                  </c:pt>
                  <c:pt idx="142">
                    <c:v>29/out</c:v>
                  </c:pt>
                  <c:pt idx="143">
                    <c:v>30/out</c:v>
                  </c:pt>
                  <c:pt idx="144">
                    <c:v>31/out</c:v>
                  </c:pt>
                  <c:pt idx="145">
                    <c:v>01/nov</c:v>
                  </c:pt>
                  <c:pt idx="146">
                    <c:v>02/nov</c:v>
                  </c:pt>
                  <c:pt idx="147">
                    <c:v>03/nov</c:v>
                  </c:pt>
                  <c:pt idx="148">
                    <c:v>05/nov</c:v>
                  </c:pt>
                  <c:pt idx="149">
                    <c:v>06/nov</c:v>
                  </c:pt>
                  <c:pt idx="150">
                    <c:v>07/nov</c:v>
                  </c:pt>
                  <c:pt idx="151">
                    <c:v>08/nov</c:v>
                  </c:pt>
                  <c:pt idx="152">
                    <c:v>09/nov</c:v>
                  </c:pt>
                  <c:pt idx="153">
                    <c:v>10/nov</c:v>
                  </c:pt>
                  <c:pt idx="154">
                    <c:v>12/nov</c:v>
                  </c:pt>
                  <c:pt idx="155">
                    <c:v>13/nov</c:v>
                  </c:pt>
                  <c:pt idx="156">
                    <c:v>14/nov</c:v>
                  </c:pt>
                  <c:pt idx="157">
                    <c:v>16/nov</c:v>
                  </c:pt>
                  <c:pt idx="158">
                    <c:v>17/nov</c:v>
                  </c:pt>
                  <c:pt idx="159">
                    <c:v>19/nov</c:v>
                  </c:pt>
                  <c:pt idx="160">
                    <c:v>20/nov</c:v>
                  </c:pt>
                  <c:pt idx="161">
                    <c:v>21/nov</c:v>
                  </c:pt>
                  <c:pt idx="162">
                    <c:v>22/nov</c:v>
                  </c:pt>
                  <c:pt idx="163">
                    <c:v>24/nov</c:v>
                  </c:pt>
                  <c:pt idx="164">
                    <c:v>27/nov</c:v>
                  </c:pt>
                  <c:pt idx="165">
                    <c:v>28/nov</c:v>
                  </c:pt>
                  <c:pt idx="166">
                    <c:v>29/nov</c:v>
                  </c:pt>
                  <c:pt idx="167">
                    <c:v>30/nov</c:v>
                  </c:pt>
                  <c:pt idx="168">
                    <c:v>01/dez</c:v>
                  </c:pt>
                  <c:pt idx="169">
                    <c:v>03/dez</c:v>
                  </c:pt>
                  <c:pt idx="170">
                    <c:v>04/dez</c:v>
                  </c:pt>
                  <c:pt idx="171">
                    <c:v>05/dez</c:v>
                  </c:pt>
                  <c:pt idx="172">
                    <c:v>06/dez</c:v>
                  </c:pt>
                  <c:pt idx="173">
                    <c:v>07/dez</c:v>
                  </c:pt>
                  <c:pt idx="174">
                    <c:v>08/dez</c:v>
                  </c:pt>
                  <c:pt idx="175">
                    <c:v>10/dez</c:v>
                  </c:pt>
                  <c:pt idx="176">
                    <c:v>11/dez</c:v>
                  </c:pt>
                  <c:pt idx="177">
                    <c:v>12/dez</c:v>
                  </c:pt>
                  <c:pt idx="178">
                    <c:v>13/dez</c:v>
                  </c:pt>
                  <c:pt idx="179">
                    <c:v>14/dez</c:v>
                  </c:pt>
                  <c:pt idx="180">
                    <c:v>15/dez</c:v>
                  </c:pt>
                  <c:pt idx="181">
                    <c:v>16/dez</c:v>
                  </c:pt>
                  <c:pt idx="182">
                    <c:v>17/dez</c:v>
                  </c:pt>
                  <c:pt idx="183">
                    <c:v>18/dez</c:v>
                  </c:pt>
                  <c:pt idx="184">
                    <c:v>19/dez</c:v>
                  </c:pt>
                  <c:pt idx="185">
                    <c:v>20/dez</c:v>
                  </c:pt>
                  <c:pt idx="186">
                    <c:v>21/dez</c:v>
                  </c:pt>
                  <c:pt idx="187">
                    <c:v>24/dez</c:v>
                  </c:pt>
                  <c:pt idx="188">
                    <c:v>25/dez</c:v>
                  </c:pt>
                  <c:pt idx="189">
                    <c:v>27/dez</c:v>
                  </c:pt>
                  <c:pt idx="190">
                    <c:v>30/dez</c:v>
                  </c:pt>
                  <c:pt idx="191">
                    <c:v>31/dez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Tabelas_Dinamicas!$C$4:$C$389</c:f>
              <c:numCache>
                <c:formatCode>#,##0.00</c:formatCode>
                <c:ptCount val="192"/>
                <c:pt idx="0">
                  <c:v>205.10399999999998</c:v>
                </c:pt>
                <c:pt idx="1">
                  <c:v>31.538000000000004</c:v>
                </c:pt>
                <c:pt idx="2">
                  <c:v>612.45799999999997</c:v>
                </c:pt>
                <c:pt idx="3">
                  <c:v>43.66</c:v>
                </c:pt>
                <c:pt idx="4">
                  <c:v>182.72</c:v>
                </c:pt>
                <c:pt idx="5">
                  <c:v>2803.92</c:v>
                </c:pt>
                <c:pt idx="6">
                  <c:v>2147.3360000000002</c:v>
                </c:pt>
                <c:pt idx="7">
                  <c:v>149.06399999999999</c:v>
                </c:pt>
                <c:pt idx="8">
                  <c:v>5.28</c:v>
                </c:pt>
                <c:pt idx="9">
                  <c:v>203.92</c:v>
                </c:pt>
                <c:pt idx="10">
                  <c:v>627.48</c:v>
                </c:pt>
                <c:pt idx="11">
                  <c:v>124.54999999999998</c:v>
                </c:pt>
                <c:pt idx="12">
                  <c:v>105.84400000000001</c:v>
                </c:pt>
                <c:pt idx="13">
                  <c:v>49.12</c:v>
                </c:pt>
                <c:pt idx="14">
                  <c:v>538.92000000000007</c:v>
                </c:pt>
                <c:pt idx="15">
                  <c:v>200.73600000000002</c:v>
                </c:pt>
                <c:pt idx="16">
                  <c:v>787.53</c:v>
                </c:pt>
                <c:pt idx="17">
                  <c:v>1555.2440000000001</c:v>
                </c:pt>
                <c:pt idx="18">
                  <c:v>3.4079999999999999</c:v>
                </c:pt>
                <c:pt idx="19">
                  <c:v>1384.8560000000002</c:v>
                </c:pt>
                <c:pt idx="20">
                  <c:v>19.440000000000001</c:v>
                </c:pt>
                <c:pt idx="21">
                  <c:v>16.776000000000003</c:v>
                </c:pt>
                <c:pt idx="22">
                  <c:v>215.09</c:v>
                </c:pt>
                <c:pt idx="23">
                  <c:v>5189.3940000000002</c:v>
                </c:pt>
                <c:pt idx="24">
                  <c:v>29.304000000000002</c:v>
                </c:pt>
                <c:pt idx="25">
                  <c:v>1701.44</c:v>
                </c:pt>
                <c:pt idx="26">
                  <c:v>466.04999999999995</c:v>
                </c:pt>
                <c:pt idx="27">
                  <c:v>46.900000000000006</c:v>
                </c:pt>
                <c:pt idx="28">
                  <c:v>3393.68</c:v>
                </c:pt>
                <c:pt idx="29">
                  <c:v>83.699999999999989</c:v>
                </c:pt>
                <c:pt idx="30">
                  <c:v>199.64000000000001</c:v>
                </c:pt>
                <c:pt idx="31">
                  <c:v>368.96000000000004</c:v>
                </c:pt>
                <c:pt idx="32">
                  <c:v>159.77600000000001</c:v>
                </c:pt>
                <c:pt idx="33">
                  <c:v>1156.0039999999999</c:v>
                </c:pt>
                <c:pt idx="34">
                  <c:v>369.91200000000003</c:v>
                </c:pt>
                <c:pt idx="35">
                  <c:v>12.832000000000001</c:v>
                </c:pt>
                <c:pt idx="36">
                  <c:v>692.72800000000007</c:v>
                </c:pt>
                <c:pt idx="37">
                  <c:v>40.74</c:v>
                </c:pt>
                <c:pt idx="38">
                  <c:v>2113.9200000000005</c:v>
                </c:pt>
                <c:pt idx="39">
                  <c:v>35.207999999999998</c:v>
                </c:pt>
                <c:pt idx="40">
                  <c:v>2572.5</c:v>
                </c:pt>
                <c:pt idx="41">
                  <c:v>1124.5700000000002</c:v>
                </c:pt>
                <c:pt idx="42">
                  <c:v>152.916</c:v>
                </c:pt>
                <c:pt idx="43">
                  <c:v>35.283999999999999</c:v>
                </c:pt>
                <c:pt idx="44">
                  <c:v>485.78400000000011</c:v>
                </c:pt>
                <c:pt idx="45">
                  <c:v>49.400000000000006</c:v>
                </c:pt>
                <c:pt idx="46">
                  <c:v>54.45</c:v>
                </c:pt>
                <c:pt idx="47">
                  <c:v>173.30799999999999</c:v>
                </c:pt>
                <c:pt idx="48">
                  <c:v>1140.5719999999999</c:v>
                </c:pt>
                <c:pt idx="49">
                  <c:v>5.2480000000000002</c:v>
                </c:pt>
                <c:pt idx="50">
                  <c:v>46.688000000000002</c:v>
                </c:pt>
                <c:pt idx="51">
                  <c:v>191.96800000000002</c:v>
                </c:pt>
                <c:pt idx="52">
                  <c:v>254.69600000000003</c:v>
                </c:pt>
                <c:pt idx="53">
                  <c:v>2570.7075</c:v>
                </c:pt>
                <c:pt idx="54">
                  <c:v>10.86</c:v>
                </c:pt>
                <c:pt idx="55">
                  <c:v>26.975999999999999</c:v>
                </c:pt>
                <c:pt idx="56">
                  <c:v>3862.0980000000004</c:v>
                </c:pt>
                <c:pt idx="57">
                  <c:v>140.98600000000002</c:v>
                </c:pt>
                <c:pt idx="58">
                  <c:v>860.45799999999997</c:v>
                </c:pt>
                <c:pt idx="59">
                  <c:v>20.239999999999998</c:v>
                </c:pt>
                <c:pt idx="60">
                  <c:v>6.63</c:v>
                </c:pt>
                <c:pt idx="61">
                  <c:v>740.7299999999999</c:v>
                </c:pt>
                <c:pt idx="62">
                  <c:v>1990.4900000000002</c:v>
                </c:pt>
                <c:pt idx="63">
                  <c:v>11.76</c:v>
                </c:pt>
                <c:pt idx="64">
                  <c:v>1126.5900000000001</c:v>
                </c:pt>
                <c:pt idx="65">
                  <c:v>7.52</c:v>
                </c:pt>
                <c:pt idx="66">
                  <c:v>495.73599999999999</c:v>
                </c:pt>
                <c:pt idx="67">
                  <c:v>36.624000000000002</c:v>
                </c:pt>
                <c:pt idx="68">
                  <c:v>722.47199999999998</c:v>
                </c:pt>
                <c:pt idx="69">
                  <c:v>152.98400000000001</c:v>
                </c:pt>
                <c:pt idx="70">
                  <c:v>205.73</c:v>
                </c:pt>
                <c:pt idx="71">
                  <c:v>509.56</c:v>
                </c:pt>
                <c:pt idx="72">
                  <c:v>4.96</c:v>
                </c:pt>
                <c:pt idx="73">
                  <c:v>568.55799999999999</c:v>
                </c:pt>
                <c:pt idx="74">
                  <c:v>618.79200000000003</c:v>
                </c:pt>
                <c:pt idx="75">
                  <c:v>627.6640000000001</c:v>
                </c:pt>
                <c:pt idx="76">
                  <c:v>22.847999999999999</c:v>
                </c:pt>
                <c:pt idx="77">
                  <c:v>170.35200000000003</c:v>
                </c:pt>
                <c:pt idx="78">
                  <c:v>43.286000000000001</c:v>
                </c:pt>
                <c:pt idx="79">
                  <c:v>128.322</c:v>
                </c:pt>
                <c:pt idx="80">
                  <c:v>860.91600000000005</c:v>
                </c:pt>
                <c:pt idx="81">
                  <c:v>2048.8560000000002</c:v>
                </c:pt>
                <c:pt idx="82">
                  <c:v>195.46600000000001</c:v>
                </c:pt>
                <c:pt idx="83">
                  <c:v>519.96</c:v>
                </c:pt>
                <c:pt idx="84">
                  <c:v>2.0250000000000004</c:v>
                </c:pt>
                <c:pt idx="85">
                  <c:v>1912.8080000000004</c:v>
                </c:pt>
                <c:pt idx="86">
                  <c:v>958.85699999999997</c:v>
                </c:pt>
                <c:pt idx="87">
                  <c:v>226.12999999999997</c:v>
                </c:pt>
                <c:pt idx="88">
                  <c:v>1011.6960000000001</c:v>
                </c:pt>
                <c:pt idx="89">
                  <c:v>842.26800000000003</c:v>
                </c:pt>
                <c:pt idx="90">
                  <c:v>22.456000000000003</c:v>
                </c:pt>
                <c:pt idx="91">
                  <c:v>158.672</c:v>
                </c:pt>
                <c:pt idx="92">
                  <c:v>711.78400000000011</c:v>
                </c:pt>
                <c:pt idx="93">
                  <c:v>82.36</c:v>
                </c:pt>
                <c:pt idx="94">
                  <c:v>497.59000000000003</c:v>
                </c:pt>
                <c:pt idx="95">
                  <c:v>2200.328</c:v>
                </c:pt>
                <c:pt idx="96">
                  <c:v>329.44</c:v>
                </c:pt>
                <c:pt idx="97">
                  <c:v>1299.5260000000001</c:v>
                </c:pt>
                <c:pt idx="98">
                  <c:v>7.1519999999999992</c:v>
                </c:pt>
                <c:pt idx="99">
                  <c:v>146.744</c:v>
                </c:pt>
                <c:pt idx="100">
                  <c:v>639.97400000000005</c:v>
                </c:pt>
                <c:pt idx="101">
                  <c:v>2017.5320000000002</c:v>
                </c:pt>
                <c:pt idx="102">
                  <c:v>2580.837</c:v>
                </c:pt>
                <c:pt idx="103">
                  <c:v>979.10400000000004</c:v>
                </c:pt>
                <c:pt idx="104">
                  <c:v>552.87800000000016</c:v>
                </c:pt>
                <c:pt idx="105">
                  <c:v>9.7620000000000005</c:v>
                </c:pt>
                <c:pt idx="106">
                  <c:v>733.28300000000002</c:v>
                </c:pt>
                <c:pt idx="107">
                  <c:v>244.23599999999999</c:v>
                </c:pt>
                <c:pt idx="108">
                  <c:v>671.93</c:v>
                </c:pt>
                <c:pt idx="109">
                  <c:v>68.28</c:v>
                </c:pt>
                <c:pt idx="110">
                  <c:v>512.08000000000004</c:v>
                </c:pt>
                <c:pt idx="111">
                  <c:v>480.4899999999999</c:v>
                </c:pt>
                <c:pt idx="112">
                  <c:v>21.98</c:v>
                </c:pt>
                <c:pt idx="113">
                  <c:v>1336.3519999999999</c:v>
                </c:pt>
                <c:pt idx="114">
                  <c:v>1082.886</c:v>
                </c:pt>
                <c:pt idx="115">
                  <c:v>57.432000000000002</c:v>
                </c:pt>
                <c:pt idx="116">
                  <c:v>703.37999999999988</c:v>
                </c:pt>
                <c:pt idx="117">
                  <c:v>92.200000000000017</c:v>
                </c:pt>
                <c:pt idx="118">
                  <c:v>45.584000000000003</c:v>
                </c:pt>
                <c:pt idx="119">
                  <c:v>809.17599999999993</c:v>
                </c:pt>
                <c:pt idx="120">
                  <c:v>266.03999999999996</c:v>
                </c:pt>
                <c:pt idx="121">
                  <c:v>1313.3019999999999</c:v>
                </c:pt>
                <c:pt idx="122">
                  <c:v>1541.826</c:v>
                </c:pt>
                <c:pt idx="123">
                  <c:v>1645.3689999999999</c:v>
                </c:pt>
                <c:pt idx="124">
                  <c:v>274.49</c:v>
                </c:pt>
                <c:pt idx="125">
                  <c:v>456.86399999999992</c:v>
                </c:pt>
                <c:pt idx="126">
                  <c:v>712.22400000000005</c:v>
                </c:pt>
                <c:pt idx="127">
                  <c:v>972.19600000000003</c:v>
                </c:pt>
                <c:pt idx="128">
                  <c:v>120.666</c:v>
                </c:pt>
                <c:pt idx="129">
                  <c:v>26.96</c:v>
                </c:pt>
                <c:pt idx="130">
                  <c:v>357.46199999999999</c:v>
                </c:pt>
                <c:pt idx="131">
                  <c:v>145.9</c:v>
                </c:pt>
                <c:pt idx="132">
                  <c:v>438.54599999999999</c:v>
                </c:pt>
                <c:pt idx="133">
                  <c:v>99.859999999999985</c:v>
                </c:pt>
                <c:pt idx="134">
                  <c:v>77.88</c:v>
                </c:pt>
                <c:pt idx="135">
                  <c:v>277.63400000000001</c:v>
                </c:pt>
                <c:pt idx="136">
                  <c:v>1910.6999999999998</c:v>
                </c:pt>
                <c:pt idx="137">
                  <c:v>695.52600000000007</c:v>
                </c:pt>
                <c:pt idx="138">
                  <c:v>1450.376</c:v>
                </c:pt>
                <c:pt idx="139">
                  <c:v>454.27200000000005</c:v>
                </c:pt>
                <c:pt idx="140">
                  <c:v>975.32200000000012</c:v>
                </c:pt>
                <c:pt idx="141">
                  <c:v>1395.3330000000003</c:v>
                </c:pt>
                <c:pt idx="142">
                  <c:v>244.24</c:v>
                </c:pt>
                <c:pt idx="143">
                  <c:v>603.43400000000008</c:v>
                </c:pt>
                <c:pt idx="144">
                  <c:v>3058.1490000000003</c:v>
                </c:pt>
                <c:pt idx="145">
                  <c:v>7.88</c:v>
                </c:pt>
                <c:pt idx="146">
                  <c:v>2225.6689999999999</c:v>
                </c:pt>
                <c:pt idx="147">
                  <c:v>1345.4179999999999</c:v>
                </c:pt>
                <c:pt idx="148">
                  <c:v>161.15199999999999</c:v>
                </c:pt>
                <c:pt idx="149">
                  <c:v>11.481000000000002</c:v>
                </c:pt>
                <c:pt idx="150">
                  <c:v>190.72000000000003</c:v>
                </c:pt>
                <c:pt idx="151">
                  <c:v>753.22</c:v>
                </c:pt>
                <c:pt idx="152">
                  <c:v>2.48</c:v>
                </c:pt>
                <c:pt idx="153">
                  <c:v>79.900000000000006</c:v>
                </c:pt>
                <c:pt idx="154">
                  <c:v>15.700000000000001</c:v>
                </c:pt>
                <c:pt idx="155">
                  <c:v>1505.242</c:v>
                </c:pt>
                <c:pt idx="156">
                  <c:v>1374.056</c:v>
                </c:pt>
                <c:pt idx="157">
                  <c:v>1020.096</c:v>
                </c:pt>
                <c:pt idx="158">
                  <c:v>1873.606</c:v>
                </c:pt>
                <c:pt idx="159">
                  <c:v>173.04000000000002</c:v>
                </c:pt>
                <c:pt idx="160">
                  <c:v>1175.8440000000001</c:v>
                </c:pt>
                <c:pt idx="161">
                  <c:v>573.50400000000013</c:v>
                </c:pt>
                <c:pt idx="162">
                  <c:v>114.37</c:v>
                </c:pt>
                <c:pt idx="163">
                  <c:v>1218.7640000000001</c:v>
                </c:pt>
                <c:pt idx="164">
                  <c:v>505.71000000000004</c:v>
                </c:pt>
                <c:pt idx="165">
                  <c:v>53.56</c:v>
                </c:pt>
                <c:pt idx="166">
                  <c:v>60.603999999999999</c:v>
                </c:pt>
                <c:pt idx="167">
                  <c:v>106.88</c:v>
                </c:pt>
                <c:pt idx="168">
                  <c:v>6956.6459999999988</c:v>
                </c:pt>
                <c:pt idx="169">
                  <c:v>359.49899999999997</c:v>
                </c:pt>
                <c:pt idx="170">
                  <c:v>460.17200000000003</c:v>
                </c:pt>
                <c:pt idx="171">
                  <c:v>96.06</c:v>
                </c:pt>
                <c:pt idx="172">
                  <c:v>2493.8060000000005</c:v>
                </c:pt>
                <c:pt idx="173">
                  <c:v>99.449999999999989</c:v>
                </c:pt>
                <c:pt idx="174">
                  <c:v>473.65600000000001</c:v>
                </c:pt>
                <c:pt idx="175">
                  <c:v>62.059999999999995</c:v>
                </c:pt>
                <c:pt idx="176">
                  <c:v>840.56600000000014</c:v>
                </c:pt>
                <c:pt idx="177">
                  <c:v>1418.2660000000001</c:v>
                </c:pt>
                <c:pt idx="178">
                  <c:v>966.06600000000026</c:v>
                </c:pt>
                <c:pt idx="179">
                  <c:v>792.08400000000006</c:v>
                </c:pt>
                <c:pt idx="180">
                  <c:v>1055.1420000000001</c:v>
                </c:pt>
                <c:pt idx="181">
                  <c:v>4.9800000000000004</c:v>
                </c:pt>
                <c:pt idx="182">
                  <c:v>450.19400000000002</c:v>
                </c:pt>
                <c:pt idx="183">
                  <c:v>6.8480000000000008</c:v>
                </c:pt>
                <c:pt idx="184">
                  <c:v>1941.81</c:v>
                </c:pt>
                <c:pt idx="185">
                  <c:v>39.408000000000001</c:v>
                </c:pt>
                <c:pt idx="186">
                  <c:v>1778.954</c:v>
                </c:pt>
                <c:pt idx="187">
                  <c:v>1779.7220000000002</c:v>
                </c:pt>
                <c:pt idx="188">
                  <c:v>1240.46</c:v>
                </c:pt>
                <c:pt idx="189">
                  <c:v>1127.7</c:v>
                </c:pt>
                <c:pt idx="190">
                  <c:v>3251.34</c:v>
                </c:pt>
                <c:pt idx="191">
                  <c:v>487.98400000000004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A-1A45-8C50-89A1215CC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506287"/>
        <c:axId val="1998507935"/>
      </c:lineChart>
      <c:catAx>
        <c:axId val="199850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507935"/>
        <c:crosses val="autoZero"/>
        <c:auto val="1"/>
        <c:lblAlgn val="ctr"/>
        <c:lblOffset val="100"/>
        <c:noMultiLvlLbl val="0"/>
      </c:catAx>
      <c:valAx>
        <c:axId val="199850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50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 - Dashboard.xlsx]Tabelas_Dinamicas!Tabela dinâmica18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1"/>
              <a:t>Volume</a:t>
            </a:r>
            <a:r>
              <a:rPr lang="pt-BR" sz="2000" b="1" baseline="0"/>
              <a:t> de Vendas por Categorias</a:t>
            </a:r>
            <a:endParaRPr lang="pt-B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9360454943132108E-2"/>
              <c:y val="-5.45384951881014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65179352580923E-3"/>
              <c:y val="-0.118414260717410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773840769903762E-3"/>
              <c:y val="1.61413677456984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260292859084187E-3"/>
              <c:y val="-7.31968746274621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778339883700726"/>
              <c:y val="-6.38231916276148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745980701612775E-2"/>
              <c:y val="-0.126410606856879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67090681468257"/>
          <c:y val="0.26395894233659123"/>
          <c:w val="0.31396544472322446"/>
          <c:h val="0.58625018259603723"/>
        </c:manualLayout>
      </c:layout>
      <c:pieChart>
        <c:varyColors val="1"/>
        <c:ser>
          <c:idx val="0"/>
          <c:order val="0"/>
          <c:tx>
            <c:strRef>
              <c:f>Tabelas_Dinamicas!$H$12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46-064D-BFDF-161C8B3D8D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46-064D-BFDF-161C8B3D8D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46-064D-BFDF-161C8B3D8D4C}"/>
              </c:ext>
            </c:extLst>
          </c:dPt>
          <c:dLbls>
            <c:dLbl>
              <c:idx val="0"/>
              <c:layout>
                <c:manualLayout>
                  <c:x val="2.6260292859084187E-3"/>
                  <c:y val="-7.319687462746210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6-064D-BFDF-161C8B3D8D4C}"/>
                </c:ext>
              </c:extLst>
            </c:dLbl>
            <c:dLbl>
              <c:idx val="1"/>
              <c:layout>
                <c:manualLayout>
                  <c:x val="-0.21778339883700726"/>
                  <c:y val="-6.382319162761480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6-064D-BFDF-161C8B3D8D4C}"/>
                </c:ext>
              </c:extLst>
            </c:dLbl>
            <c:dLbl>
              <c:idx val="2"/>
              <c:layout>
                <c:manualLayout>
                  <c:x val="1.6745980701612775E-2"/>
                  <c:y val="-0.126410606856879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6-064D-BFDF-161C8B3D8D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Tabelas_Dinamicas!$G$13:$G$16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Tabelas_Dinamicas!$H$13:$H$16</c:f>
              <c:numCache>
                <c:formatCode>#,##0.0</c:formatCode>
                <c:ptCount val="3"/>
                <c:pt idx="0">
                  <c:v>252612.74350000013</c:v>
                </c:pt>
                <c:pt idx="1">
                  <c:v>220853.24899999998</c:v>
                </c:pt>
                <c:pt idx="2">
                  <c:v>251991.83199999999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46-064D-BFDF-161C8B3D8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24343832021"/>
          <c:y val="0.43223206474190728"/>
          <c:w val="0.19908989501312335"/>
          <c:h val="0.23778105861767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 - Dashboard.xlsx]Planilha1!Tabela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</a:t>
            </a:r>
            <a:r>
              <a:rPr lang="en-US" baseline="0"/>
              <a:t> de vendas ao longo do tempo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Planilha1!$C$2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multiLvlStrRef>
              <c:f>Planilha1!$B$3:$B$852</c:f>
              <c:multiLvlStrCache>
                <c:ptCount val="845"/>
                <c:lvl>
                  <c:pt idx="0">
                    <c:v>06/jan</c:v>
                  </c:pt>
                  <c:pt idx="1">
                    <c:v>13/jan</c:v>
                  </c:pt>
                  <c:pt idx="2">
                    <c:v>18/jan</c:v>
                  </c:pt>
                  <c:pt idx="3">
                    <c:v>19/jan</c:v>
                  </c:pt>
                  <c:pt idx="4">
                    <c:v>20/jan</c:v>
                  </c:pt>
                  <c:pt idx="5">
                    <c:v>23/jan</c:v>
                  </c:pt>
                  <c:pt idx="6">
                    <c:v>27/jan</c:v>
                  </c:pt>
                  <c:pt idx="7">
                    <c:v>31/jan</c:v>
                  </c:pt>
                  <c:pt idx="8">
                    <c:v>02/fev</c:v>
                  </c:pt>
                  <c:pt idx="9">
                    <c:v>03/fev</c:v>
                  </c:pt>
                  <c:pt idx="10">
                    <c:v>04/fev</c:v>
                  </c:pt>
                  <c:pt idx="11">
                    <c:v>08/fev</c:v>
                  </c:pt>
                  <c:pt idx="12">
                    <c:v>12/fev</c:v>
                  </c:pt>
                  <c:pt idx="13">
                    <c:v>14/fev</c:v>
                  </c:pt>
                  <c:pt idx="14">
                    <c:v>15/fev</c:v>
                  </c:pt>
                  <c:pt idx="15">
                    <c:v>20/fev</c:v>
                  </c:pt>
                  <c:pt idx="16">
                    <c:v>22/fev</c:v>
                  </c:pt>
                  <c:pt idx="17">
                    <c:v>24/fev</c:v>
                  </c:pt>
                  <c:pt idx="18">
                    <c:v>01/mar</c:v>
                  </c:pt>
                  <c:pt idx="19">
                    <c:v>03/mar</c:v>
                  </c:pt>
                  <c:pt idx="20">
                    <c:v>07/mar</c:v>
                  </c:pt>
                  <c:pt idx="21">
                    <c:v>10/mar</c:v>
                  </c:pt>
                  <c:pt idx="22">
                    <c:v>11/mar</c:v>
                  </c:pt>
                  <c:pt idx="23">
                    <c:v>14/mar</c:v>
                  </c:pt>
                  <c:pt idx="24">
                    <c:v>18/mar</c:v>
                  </c:pt>
                  <c:pt idx="25">
                    <c:v>22/mar</c:v>
                  </c:pt>
                  <c:pt idx="26">
                    <c:v>23/mar</c:v>
                  </c:pt>
                  <c:pt idx="27">
                    <c:v>24/mar</c:v>
                  </c:pt>
                  <c:pt idx="28">
                    <c:v>25/mar</c:v>
                  </c:pt>
                  <c:pt idx="29">
                    <c:v>26/mar</c:v>
                  </c:pt>
                  <c:pt idx="30">
                    <c:v>28/mar</c:v>
                  </c:pt>
                  <c:pt idx="31">
                    <c:v>30/mar</c:v>
                  </c:pt>
                  <c:pt idx="32">
                    <c:v>31/mar</c:v>
                  </c:pt>
                  <c:pt idx="33">
                    <c:v>01/abr</c:v>
                  </c:pt>
                  <c:pt idx="34">
                    <c:v>03/abr</c:v>
                  </c:pt>
                  <c:pt idx="35">
                    <c:v>04/abr</c:v>
                  </c:pt>
                  <c:pt idx="36">
                    <c:v>06/abr</c:v>
                  </c:pt>
                  <c:pt idx="37">
                    <c:v>08/abr</c:v>
                  </c:pt>
                  <c:pt idx="38">
                    <c:v>11/abr</c:v>
                  </c:pt>
                  <c:pt idx="39">
                    <c:v>12/abr</c:v>
                  </c:pt>
                  <c:pt idx="40">
                    <c:v>15/abr</c:v>
                  </c:pt>
                  <c:pt idx="41">
                    <c:v>18/abr</c:v>
                  </c:pt>
                  <c:pt idx="42">
                    <c:v>19/abr</c:v>
                  </c:pt>
                  <c:pt idx="43">
                    <c:v>20/abr</c:v>
                  </c:pt>
                  <c:pt idx="44">
                    <c:v>21/abr</c:v>
                  </c:pt>
                  <c:pt idx="45">
                    <c:v>23/abr</c:v>
                  </c:pt>
                  <c:pt idx="46">
                    <c:v>25/abr</c:v>
                  </c:pt>
                  <c:pt idx="47">
                    <c:v>26/abr</c:v>
                  </c:pt>
                  <c:pt idx="48">
                    <c:v>28/abr</c:v>
                  </c:pt>
                  <c:pt idx="49">
                    <c:v>04/mai</c:v>
                  </c:pt>
                  <c:pt idx="50">
                    <c:v>06/mai</c:v>
                  </c:pt>
                  <c:pt idx="51">
                    <c:v>09/mai</c:v>
                  </c:pt>
                  <c:pt idx="52">
                    <c:v>10/mai</c:v>
                  </c:pt>
                  <c:pt idx="53">
                    <c:v>13/mai</c:v>
                  </c:pt>
                  <c:pt idx="54">
                    <c:v>16/mai</c:v>
                  </c:pt>
                  <c:pt idx="55">
                    <c:v>21/mai</c:v>
                  </c:pt>
                  <c:pt idx="56">
                    <c:v>23/mai</c:v>
                  </c:pt>
                  <c:pt idx="57">
                    <c:v>26/mai</c:v>
                  </c:pt>
                  <c:pt idx="58">
                    <c:v>27/mai</c:v>
                  </c:pt>
                  <c:pt idx="59">
                    <c:v>28/mai</c:v>
                  </c:pt>
                  <c:pt idx="60">
                    <c:v>02/jun</c:v>
                  </c:pt>
                  <c:pt idx="61">
                    <c:v>03/jun</c:v>
                  </c:pt>
                  <c:pt idx="62">
                    <c:v>08/jun</c:v>
                  </c:pt>
                  <c:pt idx="63">
                    <c:v>09/jun</c:v>
                  </c:pt>
                  <c:pt idx="64">
                    <c:v>13/jun</c:v>
                  </c:pt>
                  <c:pt idx="65">
                    <c:v>17/jun</c:v>
                  </c:pt>
                  <c:pt idx="66">
                    <c:v>18/jun</c:v>
                  </c:pt>
                  <c:pt idx="67">
                    <c:v>21/jun</c:v>
                  </c:pt>
                  <c:pt idx="68">
                    <c:v>22/jun</c:v>
                  </c:pt>
                  <c:pt idx="69">
                    <c:v>24/jun</c:v>
                  </c:pt>
                  <c:pt idx="70">
                    <c:v>25/jun</c:v>
                  </c:pt>
                  <c:pt idx="71">
                    <c:v>30/jun</c:v>
                  </c:pt>
                  <c:pt idx="72">
                    <c:v>01/jul</c:v>
                  </c:pt>
                  <c:pt idx="73">
                    <c:v>04/jul</c:v>
                  </c:pt>
                  <c:pt idx="74">
                    <c:v>05/jul</c:v>
                  </c:pt>
                  <c:pt idx="75">
                    <c:v>06/jul</c:v>
                  </c:pt>
                  <c:pt idx="76">
                    <c:v>08/jul</c:v>
                  </c:pt>
                  <c:pt idx="77">
                    <c:v>09/jul</c:v>
                  </c:pt>
                  <c:pt idx="78">
                    <c:v>12/jul</c:v>
                  </c:pt>
                  <c:pt idx="79">
                    <c:v>13/jul</c:v>
                  </c:pt>
                  <c:pt idx="80">
                    <c:v>14/jul</c:v>
                  </c:pt>
                  <c:pt idx="81">
                    <c:v>18/jul</c:v>
                  </c:pt>
                  <c:pt idx="82">
                    <c:v>19/jul</c:v>
                  </c:pt>
                  <c:pt idx="83">
                    <c:v>20/jul</c:v>
                  </c:pt>
                  <c:pt idx="84">
                    <c:v>21/jul</c:v>
                  </c:pt>
                  <c:pt idx="85">
                    <c:v>22/jul</c:v>
                  </c:pt>
                  <c:pt idx="86">
                    <c:v>23/jul</c:v>
                  </c:pt>
                  <c:pt idx="87">
                    <c:v>25/jul</c:v>
                  </c:pt>
                  <c:pt idx="88">
                    <c:v>26/jul</c:v>
                  </c:pt>
                  <c:pt idx="89">
                    <c:v>27/jul</c:v>
                  </c:pt>
                  <c:pt idx="90">
                    <c:v>30/jul</c:v>
                  </c:pt>
                  <c:pt idx="91">
                    <c:v>01/ago</c:v>
                  </c:pt>
                  <c:pt idx="92">
                    <c:v>03/ago</c:v>
                  </c:pt>
                  <c:pt idx="93">
                    <c:v>04/ago</c:v>
                  </c:pt>
                  <c:pt idx="94">
                    <c:v>05/ago</c:v>
                  </c:pt>
                  <c:pt idx="95">
                    <c:v>08/ago</c:v>
                  </c:pt>
                  <c:pt idx="96">
                    <c:v>09/ago</c:v>
                  </c:pt>
                  <c:pt idx="97">
                    <c:v>11/ago</c:v>
                  </c:pt>
                  <c:pt idx="98">
                    <c:v>12/ago</c:v>
                  </c:pt>
                  <c:pt idx="99">
                    <c:v>15/ago</c:v>
                  </c:pt>
                  <c:pt idx="100">
                    <c:v>19/ago</c:v>
                  </c:pt>
                  <c:pt idx="101">
                    <c:v>23/ago</c:v>
                  </c:pt>
                  <c:pt idx="102">
                    <c:v>24/ago</c:v>
                  </c:pt>
                  <c:pt idx="103">
                    <c:v>25/ago</c:v>
                  </c:pt>
                  <c:pt idx="104">
                    <c:v>26/ago</c:v>
                  </c:pt>
                  <c:pt idx="105">
                    <c:v>27/ago</c:v>
                  </c:pt>
                  <c:pt idx="106">
                    <c:v>29/ago</c:v>
                  </c:pt>
                  <c:pt idx="107">
                    <c:v>31/ago</c:v>
                  </c:pt>
                  <c:pt idx="108">
                    <c:v>01/set</c:v>
                  </c:pt>
                  <c:pt idx="109">
                    <c:v>06/set</c:v>
                  </c:pt>
                  <c:pt idx="110">
                    <c:v>07/set</c:v>
                  </c:pt>
                  <c:pt idx="111">
                    <c:v>08/set</c:v>
                  </c:pt>
                  <c:pt idx="112">
                    <c:v>10/set</c:v>
                  </c:pt>
                  <c:pt idx="113">
                    <c:v>11/set</c:v>
                  </c:pt>
                  <c:pt idx="114">
                    <c:v>13/set</c:v>
                  </c:pt>
                  <c:pt idx="115">
                    <c:v>17/set</c:v>
                  </c:pt>
                  <c:pt idx="116">
                    <c:v>19/set</c:v>
                  </c:pt>
                  <c:pt idx="117">
                    <c:v>20/set</c:v>
                  </c:pt>
                  <c:pt idx="118">
                    <c:v>21/set</c:v>
                  </c:pt>
                  <c:pt idx="119">
                    <c:v>22/set</c:v>
                  </c:pt>
                  <c:pt idx="120">
                    <c:v>23/set</c:v>
                  </c:pt>
                  <c:pt idx="121">
                    <c:v>24/set</c:v>
                  </c:pt>
                  <c:pt idx="122">
                    <c:v>25/set</c:v>
                  </c:pt>
                  <c:pt idx="123">
                    <c:v>26/set</c:v>
                  </c:pt>
                  <c:pt idx="124">
                    <c:v>27/set</c:v>
                  </c:pt>
                  <c:pt idx="125">
                    <c:v>29/set</c:v>
                  </c:pt>
                  <c:pt idx="126">
                    <c:v>30/set</c:v>
                  </c:pt>
                  <c:pt idx="127">
                    <c:v>01/out</c:v>
                  </c:pt>
                  <c:pt idx="128">
                    <c:v>02/out</c:v>
                  </c:pt>
                  <c:pt idx="129">
                    <c:v>03/out</c:v>
                  </c:pt>
                  <c:pt idx="130">
                    <c:v>04/out</c:v>
                  </c:pt>
                  <c:pt idx="131">
                    <c:v>05/out</c:v>
                  </c:pt>
                  <c:pt idx="132">
                    <c:v>06/out</c:v>
                  </c:pt>
                  <c:pt idx="133">
                    <c:v>09/out</c:v>
                  </c:pt>
                  <c:pt idx="134">
                    <c:v>10/out</c:v>
                  </c:pt>
                  <c:pt idx="135">
                    <c:v>11/out</c:v>
                  </c:pt>
                  <c:pt idx="136">
                    <c:v>12/out</c:v>
                  </c:pt>
                  <c:pt idx="137">
                    <c:v>13/out</c:v>
                  </c:pt>
                  <c:pt idx="138">
                    <c:v>16/out</c:v>
                  </c:pt>
                  <c:pt idx="139">
                    <c:v>18/out</c:v>
                  </c:pt>
                  <c:pt idx="140">
                    <c:v>19/out</c:v>
                  </c:pt>
                  <c:pt idx="141">
                    <c:v>21/out</c:v>
                  </c:pt>
                  <c:pt idx="142">
                    <c:v>24/out</c:v>
                  </c:pt>
                  <c:pt idx="143">
                    <c:v>25/out</c:v>
                  </c:pt>
                  <c:pt idx="144">
                    <c:v>26/out</c:v>
                  </c:pt>
                  <c:pt idx="145">
                    <c:v>28/out</c:v>
                  </c:pt>
                  <c:pt idx="146">
                    <c:v>31/out</c:v>
                  </c:pt>
                  <c:pt idx="147">
                    <c:v>01/nov</c:v>
                  </c:pt>
                  <c:pt idx="148">
                    <c:v>02/nov</c:v>
                  </c:pt>
                  <c:pt idx="149">
                    <c:v>03/nov</c:v>
                  </c:pt>
                  <c:pt idx="150">
                    <c:v>04/nov</c:v>
                  </c:pt>
                  <c:pt idx="151">
                    <c:v>05/nov</c:v>
                  </c:pt>
                  <c:pt idx="152">
                    <c:v>07/nov</c:v>
                  </c:pt>
                  <c:pt idx="153">
                    <c:v>08/nov</c:v>
                  </c:pt>
                  <c:pt idx="154">
                    <c:v>09/nov</c:v>
                  </c:pt>
                  <c:pt idx="155">
                    <c:v>10/nov</c:v>
                  </c:pt>
                  <c:pt idx="156">
                    <c:v>11/nov</c:v>
                  </c:pt>
                  <c:pt idx="157">
                    <c:v>12/nov</c:v>
                  </c:pt>
                  <c:pt idx="158">
                    <c:v>15/nov</c:v>
                  </c:pt>
                  <c:pt idx="159">
                    <c:v>16/nov</c:v>
                  </c:pt>
                  <c:pt idx="160">
                    <c:v>17/nov</c:v>
                  </c:pt>
                  <c:pt idx="161">
                    <c:v>18/nov</c:v>
                  </c:pt>
                  <c:pt idx="162">
                    <c:v>19/nov</c:v>
                  </c:pt>
                  <c:pt idx="163">
                    <c:v>21/nov</c:v>
                  </c:pt>
                  <c:pt idx="164">
                    <c:v>22/nov</c:v>
                  </c:pt>
                  <c:pt idx="165">
                    <c:v>23/nov</c:v>
                  </c:pt>
                  <c:pt idx="166">
                    <c:v>24/nov</c:v>
                  </c:pt>
                  <c:pt idx="167">
                    <c:v>25/nov</c:v>
                  </c:pt>
                  <c:pt idx="168">
                    <c:v>26/nov</c:v>
                  </c:pt>
                  <c:pt idx="169">
                    <c:v>28/nov</c:v>
                  </c:pt>
                  <c:pt idx="170">
                    <c:v>29/nov</c:v>
                  </c:pt>
                  <c:pt idx="171">
                    <c:v>30/nov</c:v>
                  </c:pt>
                  <c:pt idx="172">
                    <c:v>01/dez</c:v>
                  </c:pt>
                  <c:pt idx="173">
                    <c:v>05/dez</c:v>
                  </c:pt>
                  <c:pt idx="174">
                    <c:v>06/dez</c:v>
                  </c:pt>
                  <c:pt idx="175">
                    <c:v>07/dez</c:v>
                  </c:pt>
                  <c:pt idx="176">
                    <c:v>08/dez</c:v>
                  </c:pt>
                  <c:pt idx="177">
                    <c:v>09/dez</c:v>
                  </c:pt>
                  <c:pt idx="178">
                    <c:v>10/dez</c:v>
                  </c:pt>
                  <c:pt idx="179">
                    <c:v>12/dez</c:v>
                  </c:pt>
                  <c:pt idx="180">
                    <c:v>13/dez</c:v>
                  </c:pt>
                  <c:pt idx="181">
                    <c:v>15/dez</c:v>
                  </c:pt>
                  <c:pt idx="182">
                    <c:v>16/dez</c:v>
                  </c:pt>
                  <c:pt idx="183">
                    <c:v>19/dez</c:v>
                  </c:pt>
                  <c:pt idx="184">
                    <c:v>20/dez</c:v>
                  </c:pt>
                  <c:pt idx="185">
                    <c:v>21/dez</c:v>
                  </c:pt>
                  <c:pt idx="186">
                    <c:v>22/dez</c:v>
                  </c:pt>
                  <c:pt idx="187">
                    <c:v>24/dez</c:v>
                  </c:pt>
                  <c:pt idx="188">
                    <c:v>26/dez</c:v>
                  </c:pt>
                  <c:pt idx="189">
                    <c:v>27/dez</c:v>
                  </c:pt>
                  <c:pt idx="190">
                    <c:v>28/dez</c:v>
                  </c:pt>
                  <c:pt idx="191">
                    <c:v>29/dez</c:v>
                  </c:pt>
                  <c:pt idx="192">
                    <c:v>30/dez</c:v>
                  </c:pt>
                  <c:pt idx="193">
                    <c:v>31/dez</c:v>
                  </c:pt>
                  <c:pt idx="194">
                    <c:v>05/jan</c:v>
                  </c:pt>
                  <c:pt idx="195">
                    <c:v>06/jan</c:v>
                  </c:pt>
                  <c:pt idx="196">
                    <c:v>13/jan</c:v>
                  </c:pt>
                  <c:pt idx="197">
                    <c:v>23/jan</c:v>
                  </c:pt>
                  <c:pt idx="198">
                    <c:v>26/jan</c:v>
                  </c:pt>
                  <c:pt idx="199">
                    <c:v>27/jan</c:v>
                  </c:pt>
                  <c:pt idx="200">
                    <c:v>30/jan</c:v>
                  </c:pt>
                  <c:pt idx="201">
                    <c:v>03/fev</c:v>
                  </c:pt>
                  <c:pt idx="202">
                    <c:v>06/fev</c:v>
                  </c:pt>
                  <c:pt idx="203">
                    <c:v>09/fev</c:v>
                  </c:pt>
                  <c:pt idx="204">
                    <c:v>15/fev</c:v>
                  </c:pt>
                  <c:pt idx="205">
                    <c:v>16/fev</c:v>
                  </c:pt>
                  <c:pt idx="206">
                    <c:v>18/fev</c:v>
                  </c:pt>
                  <c:pt idx="207">
                    <c:v>21/fev</c:v>
                  </c:pt>
                  <c:pt idx="208">
                    <c:v>27/fev</c:v>
                  </c:pt>
                  <c:pt idx="209">
                    <c:v>01/mar</c:v>
                  </c:pt>
                  <c:pt idx="210">
                    <c:v>02/mar</c:v>
                  </c:pt>
                  <c:pt idx="211">
                    <c:v>06/mar</c:v>
                  </c:pt>
                  <c:pt idx="212">
                    <c:v>08/mar</c:v>
                  </c:pt>
                  <c:pt idx="213">
                    <c:v>13/mar</c:v>
                  </c:pt>
                  <c:pt idx="214">
                    <c:v>14/mar</c:v>
                  </c:pt>
                  <c:pt idx="215">
                    <c:v>15/mar</c:v>
                  </c:pt>
                  <c:pt idx="216">
                    <c:v>16/mar</c:v>
                  </c:pt>
                  <c:pt idx="217">
                    <c:v>19/mar</c:v>
                  </c:pt>
                  <c:pt idx="218">
                    <c:v>20/mar</c:v>
                  </c:pt>
                  <c:pt idx="219">
                    <c:v>22/mar</c:v>
                  </c:pt>
                  <c:pt idx="220">
                    <c:v>23/mar</c:v>
                  </c:pt>
                  <c:pt idx="221">
                    <c:v>24/mar</c:v>
                  </c:pt>
                  <c:pt idx="222">
                    <c:v>26/mar</c:v>
                  </c:pt>
                  <c:pt idx="223">
                    <c:v>27/mar</c:v>
                  </c:pt>
                  <c:pt idx="224">
                    <c:v>28/mar</c:v>
                  </c:pt>
                  <c:pt idx="225">
                    <c:v>29/mar</c:v>
                  </c:pt>
                  <c:pt idx="226">
                    <c:v>02/abr</c:v>
                  </c:pt>
                  <c:pt idx="227">
                    <c:v>05/abr</c:v>
                  </c:pt>
                  <c:pt idx="228">
                    <c:v>09/abr</c:v>
                  </c:pt>
                  <c:pt idx="229">
                    <c:v>10/abr</c:v>
                  </c:pt>
                  <c:pt idx="230">
                    <c:v>11/abr</c:v>
                  </c:pt>
                  <c:pt idx="231">
                    <c:v>12/abr</c:v>
                  </c:pt>
                  <c:pt idx="232">
                    <c:v>13/abr</c:v>
                  </c:pt>
                  <c:pt idx="233">
                    <c:v>14/abr</c:v>
                  </c:pt>
                  <c:pt idx="234">
                    <c:v>17/abr</c:v>
                  </c:pt>
                  <c:pt idx="235">
                    <c:v>18/abr</c:v>
                  </c:pt>
                  <c:pt idx="236">
                    <c:v>22/abr</c:v>
                  </c:pt>
                  <c:pt idx="237">
                    <c:v>25/abr</c:v>
                  </c:pt>
                  <c:pt idx="238">
                    <c:v>26/abr</c:v>
                  </c:pt>
                  <c:pt idx="239">
                    <c:v>27/abr</c:v>
                  </c:pt>
                  <c:pt idx="240">
                    <c:v>30/abr</c:v>
                  </c:pt>
                  <c:pt idx="241">
                    <c:v>01/mai</c:v>
                  </c:pt>
                  <c:pt idx="242">
                    <c:v>03/mai</c:v>
                  </c:pt>
                  <c:pt idx="243">
                    <c:v>08/mai</c:v>
                  </c:pt>
                  <c:pt idx="244">
                    <c:v>10/mai</c:v>
                  </c:pt>
                  <c:pt idx="245">
                    <c:v>11/mai</c:v>
                  </c:pt>
                  <c:pt idx="246">
                    <c:v>12/mai</c:v>
                  </c:pt>
                  <c:pt idx="247">
                    <c:v>14/mai</c:v>
                  </c:pt>
                  <c:pt idx="248">
                    <c:v>18/mai</c:v>
                  </c:pt>
                  <c:pt idx="249">
                    <c:v>21/mai</c:v>
                  </c:pt>
                  <c:pt idx="250">
                    <c:v>22/mai</c:v>
                  </c:pt>
                  <c:pt idx="251">
                    <c:v>23/mai</c:v>
                  </c:pt>
                  <c:pt idx="252">
                    <c:v>25/mai</c:v>
                  </c:pt>
                  <c:pt idx="253">
                    <c:v>26/mai</c:v>
                  </c:pt>
                  <c:pt idx="254">
                    <c:v>28/mai</c:v>
                  </c:pt>
                  <c:pt idx="255">
                    <c:v>29/mai</c:v>
                  </c:pt>
                  <c:pt idx="256">
                    <c:v>31/mai</c:v>
                  </c:pt>
                  <c:pt idx="257">
                    <c:v>01/jun</c:v>
                  </c:pt>
                  <c:pt idx="258">
                    <c:v>04/jun</c:v>
                  </c:pt>
                  <c:pt idx="259">
                    <c:v>07/jun</c:v>
                  </c:pt>
                  <c:pt idx="260">
                    <c:v>09/jun</c:v>
                  </c:pt>
                  <c:pt idx="261">
                    <c:v>13/jun</c:v>
                  </c:pt>
                  <c:pt idx="262">
                    <c:v>15/jun</c:v>
                  </c:pt>
                  <c:pt idx="263">
                    <c:v>18/jun</c:v>
                  </c:pt>
                  <c:pt idx="264">
                    <c:v>19/jun</c:v>
                  </c:pt>
                  <c:pt idx="265">
                    <c:v>20/jun</c:v>
                  </c:pt>
                  <c:pt idx="266">
                    <c:v>22/jun</c:v>
                  </c:pt>
                  <c:pt idx="267">
                    <c:v>23/jun</c:v>
                  </c:pt>
                  <c:pt idx="268">
                    <c:v>25/jun</c:v>
                  </c:pt>
                  <c:pt idx="269">
                    <c:v>28/jun</c:v>
                  </c:pt>
                  <c:pt idx="270">
                    <c:v>04/jul</c:v>
                  </c:pt>
                  <c:pt idx="271">
                    <c:v>06/jul</c:v>
                  </c:pt>
                  <c:pt idx="272">
                    <c:v>10/jul</c:v>
                  </c:pt>
                  <c:pt idx="273">
                    <c:v>11/jul</c:v>
                  </c:pt>
                  <c:pt idx="274">
                    <c:v>14/jul</c:v>
                  </c:pt>
                  <c:pt idx="275">
                    <c:v>16/jul</c:v>
                  </c:pt>
                  <c:pt idx="276">
                    <c:v>17/jul</c:v>
                  </c:pt>
                  <c:pt idx="277">
                    <c:v>18/jul</c:v>
                  </c:pt>
                  <c:pt idx="278">
                    <c:v>19/jul</c:v>
                  </c:pt>
                  <c:pt idx="279">
                    <c:v>25/jul</c:v>
                  </c:pt>
                  <c:pt idx="280">
                    <c:v>26/jul</c:v>
                  </c:pt>
                  <c:pt idx="281">
                    <c:v>30/jul</c:v>
                  </c:pt>
                  <c:pt idx="282">
                    <c:v>01/ago</c:v>
                  </c:pt>
                  <c:pt idx="283">
                    <c:v>02/ago</c:v>
                  </c:pt>
                  <c:pt idx="284">
                    <c:v>07/ago</c:v>
                  </c:pt>
                  <c:pt idx="285">
                    <c:v>08/ago</c:v>
                  </c:pt>
                  <c:pt idx="286">
                    <c:v>10/ago</c:v>
                  </c:pt>
                  <c:pt idx="287">
                    <c:v>13/ago</c:v>
                  </c:pt>
                  <c:pt idx="288">
                    <c:v>15/ago</c:v>
                  </c:pt>
                  <c:pt idx="289">
                    <c:v>16/ago</c:v>
                  </c:pt>
                  <c:pt idx="290">
                    <c:v>17/ago</c:v>
                  </c:pt>
                  <c:pt idx="291">
                    <c:v>21/ago</c:v>
                  </c:pt>
                  <c:pt idx="292">
                    <c:v>24/ago</c:v>
                  </c:pt>
                  <c:pt idx="293">
                    <c:v>25/ago</c:v>
                  </c:pt>
                  <c:pt idx="294">
                    <c:v>27/ago</c:v>
                  </c:pt>
                  <c:pt idx="295">
                    <c:v>28/ago</c:v>
                  </c:pt>
                  <c:pt idx="296">
                    <c:v>31/ago</c:v>
                  </c:pt>
                  <c:pt idx="297">
                    <c:v>01/set</c:v>
                  </c:pt>
                  <c:pt idx="298">
                    <c:v>03/set</c:v>
                  </c:pt>
                  <c:pt idx="299">
                    <c:v>04/set</c:v>
                  </c:pt>
                  <c:pt idx="300">
                    <c:v>05/set</c:v>
                  </c:pt>
                  <c:pt idx="301">
                    <c:v>06/set</c:v>
                  </c:pt>
                  <c:pt idx="302">
                    <c:v>07/set</c:v>
                  </c:pt>
                  <c:pt idx="303">
                    <c:v>08/set</c:v>
                  </c:pt>
                  <c:pt idx="304">
                    <c:v>10/set</c:v>
                  </c:pt>
                  <c:pt idx="305">
                    <c:v>11/set</c:v>
                  </c:pt>
                  <c:pt idx="306">
                    <c:v>12/set</c:v>
                  </c:pt>
                  <c:pt idx="307">
                    <c:v>13/set</c:v>
                  </c:pt>
                  <c:pt idx="308">
                    <c:v>14/set</c:v>
                  </c:pt>
                  <c:pt idx="309">
                    <c:v>17/set</c:v>
                  </c:pt>
                  <c:pt idx="310">
                    <c:v>18/set</c:v>
                  </c:pt>
                  <c:pt idx="311">
                    <c:v>19/set</c:v>
                  </c:pt>
                  <c:pt idx="312">
                    <c:v>20/set</c:v>
                  </c:pt>
                  <c:pt idx="313">
                    <c:v>21/set</c:v>
                  </c:pt>
                  <c:pt idx="314">
                    <c:v>22/set</c:v>
                  </c:pt>
                  <c:pt idx="315">
                    <c:v>24/set</c:v>
                  </c:pt>
                  <c:pt idx="316">
                    <c:v>25/set</c:v>
                  </c:pt>
                  <c:pt idx="317">
                    <c:v>26/set</c:v>
                  </c:pt>
                  <c:pt idx="318">
                    <c:v>27/set</c:v>
                  </c:pt>
                  <c:pt idx="319">
                    <c:v>28/set</c:v>
                  </c:pt>
                  <c:pt idx="320">
                    <c:v>01/out</c:v>
                  </c:pt>
                  <c:pt idx="321">
                    <c:v>02/out</c:v>
                  </c:pt>
                  <c:pt idx="322">
                    <c:v>03/out</c:v>
                  </c:pt>
                  <c:pt idx="323">
                    <c:v>04/out</c:v>
                  </c:pt>
                  <c:pt idx="324">
                    <c:v>05/out</c:v>
                  </c:pt>
                  <c:pt idx="325">
                    <c:v>08/out</c:v>
                  </c:pt>
                  <c:pt idx="326">
                    <c:v>10/out</c:v>
                  </c:pt>
                  <c:pt idx="327">
                    <c:v>12/out</c:v>
                  </c:pt>
                  <c:pt idx="328">
                    <c:v>17/out</c:v>
                  </c:pt>
                  <c:pt idx="329">
                    <c:v>18/out</c:v>
                  </c:pt>
                  <c:pt idx="330">
                    <c:v>19/out</c:v>
                  </c:pt>
                  <c:pt idx="331">
                    <c:v>20/out</c:v>
                  </c:pt>
                  <c:pt idx="332">
                    <c:v>23/out</c:v>
                  </c:pt>
                  <c:pt idx="333">
                    <c:v>24/out</c:v>
                  </c:pt>
                  <c:pt idx="334">
                    <c:v>25/out</c:v>
                  </c:pt>
                  <c:pt idx="335">
                    <c:v>26/out</c:v>
                  </c:pt>
                  <c:pt idx="336">
                    <c:v>29/out</c:v>
                  </c:pt>
                  <c:pt idx="337">
                    <c:v>30/out</c:v>
                  </c:pt>
                  <c:pt idx="338">
                    <c:v>31/out</c:v>
                  </c:pt>
                  <c:pt idx="339">
                    <c:v>01/nov</c:v>
                  </c:pt>
                  <c:pt idx="340">
                    <c:v>02/nov</c:v>
                  </c:pt>
                  <c:pt idx="341">
                    <c:v>03/nov</c:v>
                  </c:pt>
                  <c:pt idx="342">
                    <c:v>05/nov</c:v>
                  </c:pt>
                  <c:pt idx="343">
                    <c:v>06/nov</c:v>
                  </c:pt>
                  <c:pt idx="344">
                    <c:v>07/nov</c:v>
                  </c:pt>
                  <c:pt idx="345">
                    <c:v>08/nov</c:v>
                  </c:pt>
                  <c:pt idx="346">
                    <c:v>09/nov</c:v>
                  </c:pt>
                  <c:pt idx="347">
                    <c:v>10/nov</c:v>
                  </c:pt>
                  <c:pt idx="348">
                    <c:v>12/nov</c:v>
                  </c:pt>
                  <c:pt idx="349">
                    <c:v>13/nov</c:v>
                  </c:pt>
                  <c:pt idx="350">
                    <c:v>14/nov</c:v>
                  </c:pt>
                  <c:pt idx="351">
                    <c:v>16/nov</c:v>
                  </c:pt>
                  <c:pt idx="352">
                    <c:v>17/nov</c:v>
                  </c:pt>
                  <c:pt idx="353">
                    <c:v>19/nov</c:v>
                  </c:pt>
                  <c:pt idx="354">
                    <c:v>20/nov</c:v>
                  </c:pt>
                  <c:pt idx="355">
                    <c:v>21/nov</c:v>
                  </c:pt>
                  <c:pt idx="356">
                    <c:v>22/nov</c:v>
                  </c:pt>
                  <c:pt idx="357">
                    <c:v>24/nov</c:v>
                  </c:pt>
                  <c:pt idx="358">
                    <c:v>27/nov</c:v>
                  </c:pt>
                  <c:pt idx="359">
                    <c:v>28/nov</c:v>
                  </c:pt>
                  <c:pt idx="360">
                    <c:v>29/nov</c:v>
                  </c:pt>
                  <c:pt idx="361">
                    <c:v>30/nov</c:v>
                  </c:pt>
                  <c:pt idx="362">
                    <c:v>01/dez</c:v>
                  </c:pt>
                  <c:pt idx="363">
                    <c:v>03/dez</c:v>
                  </c:pt>
                  <c:pt idx="364">
                    <c:v>04/dez</c:v>
                  </c:pt>
                  <c:pt idx="365">
                    <c:v>05/dez</c:v>
                  </c:pt>
                  <c:pt idx="366">
                    <c:v>06/dez</c:v>
                  </c:pt>
                  <c:pt idx="367">
                    <c:v>07/dez</c:v>
                  </c:pt>
                  <c:pt idx="368">
                    <c:v>08/dez</c:v>
                  </c:pt>
                  <c:pt idx="369">
                    <c:v>10/dez</c:v>
                  </c:pt>
                  <c:pt idx="370">
                    <c:v>11/dez</c:v>
                  </c:pt>
                  <c:pt idx="371">
                    <c:v>12/dez</c:v>
                  </c:pt>
                  <c:pt idx="372">
                    <c:v>13/dez</c:v>
                  </c:pt>
                  <c:pt idx="373">
                    <c:v>14/dez</c:v>
                  </c:pt>
                  <c:pt idx="374">
                    <c:v>15/dez</c:v>
                  </c:pt>
                  <c:pt idx="375">
                    <c:v>16/dez</c:v>
                  </c:pt>
                  <c:pt idx="376">
                    <c:v>17/dez</c:v>
                  </c:pt>
                  <c:pt idx="377">
                    <c:v>18/dez</c:v>
                  </c:pt>
                  <c:pt idx="378">
                    <c:v>19/dez</c:v>
                  </c:pt>
                  <c:pt idx="379">
                    <c:v>20/dez</c:v>
                  </c:pt>
                  <c:pt idx="380">
                    <c:v>21/dez</c:v>
                  </c:pt>
                  <c:pt idx="381">
                    <c:v>24/dez</c:v>
                  </c:pt>
                  <c:pt idx="382">
                    <c:v>25/dez</c:v>
                  </c:pt>
                  <c:pt idx="383">
                    <c:v>27/dez</c:v>
                  </c:pt>
                  <c:pt idx="384">
                    <c:v>30/dez</c:v>
                  </c:pt>
                  <c:pt idx="385">
                    <c:v>31/dez</c:v>
                  </c:pt>
                  <c:pt idx="386">
                    <c:v>03/jan</c:v>
                  </c:pt>
                  <c:pt idx="387">
                    <c:v>07/jan</c:v>
                  </c:pt>
                  <c:pt idx="388">
                    <c:v>09/jan</c:v>
                  </c:pt>
                  <c:pt idx="389">
                    <c:v>10/jan</c:v>
                  </c:pt>
                  <c:pt idx="390">
                    <c:v>16/jan</c:v>
                  </c:pt>
                  <c:pt idx="391">
                    <c:v>21/jan</c:v>
                  </c:pt>
                  <c:pt idx="392">
                    <c:v>22/jan</c:v>
                  </c:pt>
                  <c:pt idx="393">
                    <c:v>23/jan</c:v>
                  </c:pt>
                  <c:pt idx="394">
                    <c:v>28/jan</c:v>
                  </c:pt>
                  <c:pt idx="395">
                    <c:v>30/jan</c:v>
                  </c:pt>
                  <c:pt idx="396">
                    <c:v>31/jan</c:v>
                  </c:pt>
                  <c:pt idx="397">
                    <c:v>01/fev</c:v>
                  </c:pt>
                  <c:pt idx="398">
                    <c:v>04/fev</c:v>
                  </c:pt>
                  <c:pt idx="399">
                    <c:v>05/fev</c:v>
                  </c:pt>
                  <c:pt idx="400">
                    <c:v>07/fev</c:v>
                  </c:pt>
                  <c:pt idx="401">
                    <c:v>09/fev</c:v>
                  </c:pt>
                  <c:pt idx="402">
                    <c:v>13/fev</c:v>
                  </c:pt>
                  <c:pt idx="403">
                    <c:v>19/fev</c:v>
                  </c:pt>
                  <c:pt idx="404">
                    <c:v>21/fev</c:v>
                  </c:pt>
                  <c:pt idx="405">
                    <c:v>22/fev</c:v>
                  </c:pt>
                  <c:pt idx="406">
                    <c:v>02/mar</c:v>
                  </c:pt>
                  <c:pt idx="407">
                    <c:v>04/mar</c:v>
                  </c:pt>
                  <c:pt idx="408">
                    <c:v>05/mar</c:v>
                  </c:pt>
                  <c:pt idx="409">
                    <c:v>09/mar</c:v>
                  </c:pt>
                  <c:pt idx="410">
                    <c:v>11/mar</c:v>
                  </c:pt>
                  <c:pt idx="411">
                    <c:v>13/mar</c:v>
                  </c:pt>
                  <c:pt idx="412">
                    <c:v>14/mar</c:v>
                  </c:pt>
                  <c:pt idx="413">
                    <c:v>15/mar</c:v>
                  </c:pt>
                  <c:pt idx="414">
                    <c:v>16/mar</c:v>
                  </c:pt>
                  <c:pt idx="415">
                    <c:v>18/mar</c:v>
                  </c:pt>
                  <c:pt idx="416">
                    <c:v>20/mar</c:v>
                  </c:pt>
                  <c:pt idx="417">
                    <c:v>21/mar</c:v>
                  </c:pt>
                  <c:pt idx="418">
                    <c:v>23/mar</c:v>
                  </c:pt>
                  <c:pt idx="419">
                    <c:v>25/mar</c:v>
                  </c:pt>
                  <c:pt idx="420">
                    <c:v>27/mar</c:v>
                  </c:pt>
                  <c:pt idx="421">
                    <c:v>29/mar</c:v>
                  </c:pt>
                  <c:pt idx="422">
                    <c:v>02/abr</c:v>
                  </c:pt>
                  <c:pt idx="423">
                    <c:v>08/abr</c:v>
                  </c:pt>
                  <c:pt idx="424">
                    <c:v>09/abr</c:v>
                  </c:pt>
                  <c:pt idx="425">
                    <c:v>10/abr</c:v>
                  </c:pt>
                  <c:pt idx="426">
                    <c:v>11/abr</c:v>
                  </c:pt>
                  <c:pt idx="427">
                    <c:v>13/abr</c:v>
                  </c:pt>
                  <c:pt idx="428">
                    <c:v>14/abr</c:v>
                  </c:pt>
                  <c:pt idx="429">
                    <c:v>15/abr</c:v>
                  </c:pt>
                  <c:pt idx="430">
                    <c:v>16/abr</c:v>
                  </c:pt>
                  <c:pt idx="431">
                    <c:v>17/abr</c:v>
                  </c:pt>
                  <c:pt idx="432">
                    <c:v>18/abr</c:v>
                  </c:pt>
                  <c:pt idx="433">
                    <c:v>20/abr</c:v>
                  </c:pt>
                  <c:pt idx="434">
                    <c:v>22/abr</c:v>
                  </c:pt>
                  <c:pt idx="435">
                    <c:v>23/abr</c:v>
                  </c:pt>
                  <c:pt idx="436">
                    <c:v>24/abr</c:v>
                  </c:pt>
                  <c:pt idx="437">
                    <c:v>25/abr</c:v>
                  </c:pt>
                  <c:pt idx="438">
                    <c:v>29/abr</c:v>
                  </c:pt>
                  <c:pt idx="439">
                    <c:v>01/mai</c:v>
                  </c:pt>
                  <c:pt idx="440">
                    <c:v>06/mai</c:v>
                  </c:pt>
                  <c:pt idx="441">
                    <c:v>07/mai</c:v>
                  </c:pt>
                  <c:pt idx="442">
                    <c:v>09/mai</c:v>
                  </c:pt>
                  <c:pt idx="443">
                    <c:v>10/mai</c:v>
                  </c:pt>
                  <c:pt idx="444">
                    <c:v>11/mai</c:v>
                  </c:pt>
                  <c:pt idx="445">
                    <c:v>12/mai</c:v>
                  </c:pt>
                  <c:pt idx="446">
                    <c:v>13/mai</c:v>
                  </c:pt>
                  <c:pt idx="447">
                    <c:v>15/mai</c:v>
                  </c:pt>
                  <c:pt idx="448">
                    <c:v>17/mai</c:v>
                  </c:pt>
                  <c:pt idx="449">
                    <c:v>19/mai</c:v>
                  </c:pt>
                  <c:pt idx="450">
                    <c:v>20/mai</c:v>
                  </c:pt>
                  <c:pt idx="451">
                    <c:v>21/mai</c:v>
                  </c:pt>
                  <c:pt idx="452">
                    <c:v>22/mai</c:v>
                  </c:pt>
                  <c:pt idx="453">
                    <c:v>23/mai</c:v>
                  </c:pt>
                  <c:pt idx="454">
                    <c:v>24/mai</c:v>
                  </c:pt>
                  <c:pt idx="455">
                    <c:v>27/mai</c:v>
                  </c:pt>
                  <c:pt idx="456">
                    <c:v>28/mai</c:v>
                  </c:pt>
                  <c:pt idx="457">
                    <c:v>29/mai</c:v>
                  </c:pt>
                  <c:pt idx="458">
                    <c:v>31/mai</c:v>
                  </c:pt>
                  <c:pt idx="459">
                    <c:v>03/jun</c:v>
                  </c:pt>
                  <c:pt idx="460">
                    <c:v>04/jun</c:v>
                  </c:pt>
                  <c:pt idx="461">
                    <c:v>06/jun</c:v>
                  </c:pt>
                  <c:pt idx="462">
                    <c:v>07/jun</c:v>
                  </c:pt>
                  <c:pt idx="463">
                    <c:v>08/jun</c:v>
                  </c:pt>
                  <c:pt idx="464">
                    <c:v>10/jun</c:v>
                  </c:pt>
                  <c:pt idx="465">
                    <c:v>11/jun</c:v>
                  </c:pt>
                  <c:pt idx="466">
                    <c:v>12/jun</c:v>
                  </c:pt>
                  <c:pt idx="467">
                    <c:v>13/jun</c:v>
                  </c:pt>
                  <c:pt idx="468">
                    <c:v>15/jun</c:v>
                  </c:pt>
                  <c:pt idx="469">
                    <c:v>17/jun</c:v>
                  </c:pt>
                  <c:pt idx="470">
                    <c:v>18/jun</c:v>
                  </c:pt>
                  <c:pt idx="471">
                    <c:v>20/jun</c:v>
                  </c:pt>
                  <c:pt idx="472">
                    <c:v>21/jun</c:v>
                  </c:pt>
                  <c:pt idx="473">
                    <c:v>24/jun</c:v>
                  </c:pt>
                  <c:pt idx="474">
                    <c:v>25/jun</c:v>
                  </c:pt>
                  <c:pt idx="475">
                    <c:v>26/jun</c:v>
                  </c:pt>
                  <c:pt idx="476">
                    <c:v>27/jun</c:v>
                  </c:pt>
                  <c:pt idx="477">
                    <c:v>28/jun</c:v>
                  </c:pt>
                  <c:pt idx="478">
                    <c:v>29/jun</c:v>
                  </c:pt>
                  <c:pt idx="479">
                    <c:v>02/jul</c:v>
                  </c:pt>
                  <c:pt idx="480">
                    <c:v>03/jul</c:v>
                  </c:pt>
                  <c:pt idx="481">
                    <c:v>04/jul</c:v>
                  </c:pt>
                  <c:pt idx="482">
                    <c:v>05/jul</c:v>
                  </c:pt>
                  <c:pt idx="483">
                    <c:v>08/jul</c:v>
                  </c:pt>
                  <c:pt idx="484">
                    <c:v>09/jul</c:v>
                  </c:pt>
                  <c:pt idx="485">
                    <c:v>11/jul</c:v>
                  </c:pt>
                  <c:pt idx="486">
                    <c:v>13/jul</c:v>
                  </c:pt>
                  <c:pt idx="487">
                    <c:v>15/jul</c:v>
                  </c:pt>
                  <c:pt idx="488">
                    <c:v>16/jul</c:v>
                  </c:pt>
                  <c:pt idx="489">
                    <c:v>18/jul</c:v>
                  </c:pt>
                  <c:pt idx="490">
                    <c:v>19/jul</c:v>
                  </c:pt>
                  <c:pt idx="491">
                    <c:v>20/jul</c:v>
                  </c:pt>
                  <c:pt idx="492">
                    <c:v>22/jul</c:v>
                  </c:pt>
                  <c:pt idx="493">
                    <c:v>23/jul</c:v>
                  </c:pt>
                  <c:pt idx="494">
                    <c:v>26/jul</c:v>
                  </c:pt>
                  <c:pt idx="495">
                    <c:v>29/jul</c:v>
                  </c:pt>
                  <c:pt idx="496">
                    <c:v>31/jul</c:v>
                  </c:pt>
                  <c:pt idx="497">
                    <c:v>01/ago</c:v>
                  </c:pt>
                  <c:pt idx="498">
                    <c:v>02/ago</c:v>
                  </c:pt>
                  <c:pt idx="499">
                    <c:v>03/ago</c:v>
                  </c:pt>
                  <c:pt idx="500">
                    <c:v>05/ago</c:v>
                  </c:pt>
                  <c:pt idx="501">
                    <c:v>07/ago</c:v>
                  </c:pt>
                  <c:pt idx="502">
                    <c:v>08/ago</c:v>
                  </c:pt>
                  <c:pt idx="503">
                    <c:v>09/ago</c:v>
                  </c:pt>
                  <c:pt idx="504">
                    <c:v>15/ago</c:v>
                  </c:pt>
                  <c:pt idx="505">
                    <c:v>16/ago</c:v>
                  </c:pt>
                  <c:pt idx="506">
                    <c:v>17/ago</c:v>
                  </c:pt>
                  <c:pt idx="507">
                    <c:v>18/ago</c:v>
                  </c:pt>
                  <c:pt idx="508">
                    <c:v>22/ago</c:v>
                  </c:pt>
                  <c:pt idx="509">
                    <c:v>23/ago</c:v>
                  </c:pt>
                  <c:pt idx="510">
                    <c:v>24/ago</c:v>
                  </c:pt>
                  <c:pt idx="511">
                    <c:v>27/ago</c:v>
                  </c:pt>
                  <c:pt idx="512">
                    <c:v>29/ago</c:v>
                  </c:pt>
                  <c:pt idx="513">
                    <c:v>31/ago</c:v>
                  </c:pt>
                  <c:pt idx="514">
                    <c:v>02/set</c:v>
                  </c:pt>
                  <c:pt idx="515">
                    <c:v>03/set</c:v>
                  </c:pt>
                  <c:pt idx="516">
                    <c:v>05/set</c:v>
                  </c:pt>
                  <c:pt idx="517">
                    <c:v>06/set</c:v>
                  </c:pt>
                  <c:pt idx="518">
                    <c:v>09/set</c:v>
                  </c:pt>
                  <c:pt idx="519">
                    <c:v>10/set</c:v>
                  </c:pt>
                  <c:pt idx="520">
                    <c:v>11/set</c:v>
                  </c:pt>
                  <c:pt idx="521">
                    <c:v>12/set</c:v>
                  </c:pt>
                  <c:pt idx="522">
                    <c:v>13/set</c:v>
                  </c:pt>
                  <c:pt idx="523">
                    <c:v>16/set</c:v>
                  </c:pt>
                  <c:pt idx="524">
                    <c:v>17/set</c:v>
                  </c:pt>
                  <c:pt idx="525">
                    <c:v>18/set</c:v>
                  </c:pt>
                  <c:pt idx="526">
                    <c:v>19/set</c:v>
                  </c:pt>
                  <c:pt idx="527">
                    <c:v>20/set</c:v>
                  </c:pt>
                  <c:pt idx="528">
                    <c:v>21/set</c:v>
                  </c:pt>
                  <c:pt idx="529">
                    <c:v>23/set</c:v>
                  </c:pt>
                  <c:pt idx="530">
                    <c:v>24/set</c:v>
                  </c:pt>
                  <c:pt idx="531">
                    <c:v>25/set</c:v>
                  </c:pt>
                  <c:pt idx="532">
                    <c:v>26/set</c:v>
                  </c:pt>
                  <c:pt idx="533">
                    <c:v>27/set</c:v>
                  </c:pt>
                  <c:pt idx="534">
                    <c:v>28/set</c:v>
                  </c:pt>
                  <c:pt idx="535">
                    <c:v>30/set</c:v>
                  </c:pt>
                  <c:pt idx="536">
                    <c:v>02/out</c:v>
                  </c:pt>
                  <c:pt idx="537">
                    <c:v>03/out</c:v>
                  </c:pt>
                  <c:pt idx="538">
                    <c:v>04/out</c:v>
                  </c:pt>
                  <c:pt idx="539">
                    <c:v>07/out</c:v>
                  </c:pt>
                  <c:pt idx="540">
                    <c:v>08/out</c:v>
                  </c:pt>
                  <c:pt idx="541">
                    <c:v>09/out</c:v>
                  </c:pt>
                  <c:pt idx="542">
                    <c:v>10/out</c:v>
                  </c:pt>
                  <c:pt idx="543">
                    <c:v>11/out</c:v>
                  </c:pt>
                  <c:pt idx="544">
                    <c:v>14/out</c:v>
                  </c:pt>
                  <c:pt idx="545">
                    <c:v>15/out</c:v>
                  </c:pt>
                  <c:pt idx="546">
                    <c:v>16/out</c:v>
                  </c:pt>
                  <c:pt idx="547">
                    <c:v>18/out</c:v>
                  </c:pt>
                  <c:pt idx="548">
                    <c:v>19/out</c:v>
                  </c:pt>
                  <c:pt idx="549">
                    <c:v>21/out</c:v>
                  </c:pt>
                  <c:pt idx="550">
                    <c:v>22/out</c:v>
                  </c:pt>
                  <c:pt idx="551">
                    <c:v>23/out</c:v>
                  </c:pt>
                  <c:pt idx="552">
                    <c:v>24/out</c:v>
                  </c:pt>
                  <c:pt idx="553">
                    <c:v>25/out</c:v>
                  </c:pt>
                  <c:pt idx="554">
                    <c:v>28/out</c:v>
                  </c:pt>
                  <c:pt idx="555">
                    <c:v>29/out</c:v>
                  </c:pt>
                  <c:pt idx="556">
                    <c:v>30/out</c:v>
                  </c:pt>
                  <c:pt idx="557">
                    <c:v>31/out</c:v>
                  </c:pt>
                  <c:pt idx="558">
                    <c:v>01/nov</c:v>
                  </c:pt>
                  <c:pt idx="559">
                    <c:v>04/nov</c:v>
                  </c:pt>
                  <c:pt idx="560">
                    <c:v>05/nov</c:v>
                  </c:pt>
                  <c:pt idx="561">
                    <c:v>06/nov</c:v>
                  </c:pt>
                  <c:pt idx="562">
                    <c:v>07/nov</c:v>
                  </c:pt>
                  <c:pt idx="563">
                    <c:v>08/nov</c:v>
                  </c:pt>
                  <c:pt idx="564">
                    <c:v>10/nov</c:v>
                  </c:pt>
                  <c:pt idx="565">
                    <c:v>11/nov</c:v>
                  </c:pt>
                  <c:pt idx="566">
                    <c:v>12/nov</c:v>
                  </c:pt>
                  <c:pt idx="567">
                    <c:v>13/nov</c:v>
                  </c:pt>
                  <c:pt idx="568">
                    <c:v>14/nov</c:v>
                  </c:pt>
                  <c:pt idx="569">
                    <c:v>15/nov</c:v>
                  </c:pt>
                  <c:pt idx="570">
                    <c:v>16/nov</c:v>
                  </c:pt>
                  <c:pt idx="571">
                    <c:v>17/nov</c:v>
                  </c:pt>
                  <c:pt idx="572">
                    <c:v>18/nov</c:v>
                  </c:pt>
                  <c:pt idx="573">
                    <c:v>19/nov</c:v>
                  </c:pt>
                  <c:pt idx="574">
                    <c:v>20/nov</c:v>
                  </c:pt>
                  <c:pt idx="575">
                    <c:v>21/nov</c:v>
                  </c:pt>
                  <c:pt idx="576">
                    <c:v>22/nov</c:v>
                  </c:pt>
                  <c:pt idx="577">
                    <c:v>25/nov</c:v>
                  </c:pt>
                  <c:pt idx="578">
                    <c:v>26/nov</c:v>
                  </c:pt>
                  <c:pt idx="579">
                    <c:v>27/nov</c:v>
                  </c:pt>
                  <c:pt idx="580">
                    <c:v>28/nov</c:v>
                  </c:pt>
                  <c:pt idx="581">
                    <c:v>02/dez</c:v>
                  </c:pt>
                  <c:pt idx="582">
                    <c:v>03/dez</c:v>
                  </c:pt>
                  <c:pt idx="583">
                    <c:v>04/dez</c:v>
                  </c:pt>
                  <c:pt idx="584">
                    <c:v>05/dez</c:v>
                  </c:pt>
                  <c:pt idx="585">
                    <c:v>06/dez</c:v>
                  </c:pt>
                  <c:pt idx="586">
                    <c:v>07/dez</c:v>
                  </c:pt>
                  <c:pt idx="587">
                    <c:v>09/dez</c:v>
                  </c:pt>
                  <c:pt idx="588">
                    <c:v>10/dez</c:v>
                  </c:pt>
                  <c:pt idx="589">
                    <c:v>11/dez</c:v>
                  </c:pt>
                  <c:pt idx="590">
                    <c:v>12/dez</c:v>
                  </c:pt>
                  <c:pt idx="591">
                    <c:v>13/dez</c:v>
                  </c:pt>
                  <c:pt idx="592">
                    <c:v>14/dez</c:v>
                  </c:pt>
                  <c:pt idx="593">
                    <c:v>15/dez</c:v>
                  </c:pt>
                  <c:pt idx="594">
                    <c:v>16/dez</c:v>
                  </c:pt>
                  <c:pt idx="595">
                    <c:v>17/dez</c:v>
                  </c:pt>
                  <c:pt idx="596">
                    <c:v>18/dez</c:v>
                  </c:pt>
                  <c:pt idx="597">
                    <c:v>19/dez</c:v>
                  </c:pt>
                  <c:pt idx="598">
                    <c:v>20/dez</c:v>
                  </c:pt>
                  <c:pt idx="599">
                    <c:v>23/dez</c:v>
                  </c:pt>
                  <c:pt idx="600">
                    <c:v>24/dez</c:v>
                  </c:pt>
                  <c:pt idx="601">
                    <c:v>25/dez</c:v>
                  </c:pt>
                  <c:pt idx="602">
                    <c:v>26/dez</c:v>
                  </c:pt>
                  <c:pt idx="603">
                    <c:v>27/dez</c:v>
                  </c:pt>
                  <c:pt idx="604">
                    <c:v>28/dez</c:v>
                  </c:pt>
                  <c:pt idx="605">
                    <c:v>30/dez</c:v>
                  </c:pt>
                  <c:pt idx="606">
                    <c:v>31/dez</c:v>
                  </c:pt>
                  <c:pt idx="607">
                    <c:v>01/jan</c:v>
                  </c:pt>
                  <c:pt idx="608">
                    <c:v>02/jan</c:v>
                  </c:pt>
                  <c:pt idx="609">
                    <c:v>03/jan</c:v>
                  </c:pt>
                  <c:pt idx="610">
                    <c:v>04/jan</c:v>
                  </c:pt>
                  <c:pt idx="611">
                    <c:v>08/jan</c:v>
                  </c:pt>
                  <c:pt idx="612">
                    <c:v>09/jan</c:v>
                  </c:pt>
                  <c:pt idx="613">
                    <c:v>13/jan</c:v>
                  </c:pt>
                  <c:pt idx="614">
                    <c:v>15/jan</c:v>
                  </c:pt>
                  <c:pt idx="615">
                    <c:v>16/jan</c:v>
                  </c:pt>
                  <c:pt idx="616">
                    <c:v>17/jan</c:v>
                  </c:pt>
                  <c:pt idx="617">
                    <c:v>21/jan</c:v>
                  </c:pt>
                  <c:pt idx="618">
                    <c:v>22/jan</c:v>
                  </c:pt>
                  <c:pt idx="619">
                    <c:v>23/jan</c:v>
                  </c:pt>
                  <c:pt idx="620">
                    <c:v>24/jan</c:v>
                  </c:pt>
                  <c:pt idx="621">
                    <c:v>25/jan</c:v>
                  </c:pt>
                  <c:pt idx="622">
                    <c:v>27/jan</c:v>
                  </c:pt>
                  <c:pt idx="623">
                    <c:v>29/jan</c:v>
                  </c:pt>
                  <c:pt idx="624">
                    <c:v>30/jan</c:v>
                  </c:pt>
                  <c:pt idx="625">
                    <c:v>31/jan</c:v>
                  </c:pt>
                  <c:pt idx="626">
                    <c:v>03/fev</c:v>
                  </c:pt>
                  <c:pt idx="627">
                    <c:v>06/fev</c:v>
                  </c:pt>
                  <c:pt idx="628">
                    <c:v>07/fev</c:v>
                  </c:pt>
                  <c:pt idx="629">
                    <c:v>10/fev</c:v>
                  </c:pt>
                  <c:pt idx="630">
                    <c:v>11/fev</c:v>
                  </c:pt>
                  <c:pt idx="631">
                    <c:v>12/fev</c:v>
                  </c:pt>
                  <c:pt idx="632">
                    <c:v>14/fev</c:v>
                  </c:pt>
                  <c:pt idx="633">
                    <c:v>19/fev</c:v>
                  </c:pt>
                  <c:pt idx="634">
                    <c:v>20/fev</c:v>
                  </c:pt>
                  <c:pt idx="635">
                    <c:v>21/fev</c:v>
                  </c:pt>
                  <c:pt idx="636">
                    <c:v>24/fev</c:v>
                  </c:pt>
                  <c:pt idx="637">
                    <c:v>27/fev</c:v>
                  </c:pt>
                  <c:pt idx="638">
                    <c:v>02/mar</c:v>
                  </c:pt>
                  <c:pt idx="639">
                    <c:v>03/mar</c:v>
                  </c:pt>
                  <c:pt idx="640">
                    <c:v>04/mar</c:v>
                  </c:pt>
                  <c:pt idx="641">
                    <c:v>06/mar</c:v>
                  </c:pt>
                  <c:pt idx="642">
                    <c:v>08/mar</c:v>
                  </c:pt>
                  <c:pt idx="643">
                    <c:v>09/mar</c:v>
                  </c:pt>
                  <c:pt idx="644">
                    <c:v>10/mar</c:v>
                  </c:pt>
                  <c:pt idx="645">
                    <c:v>12/mar</c:v>
                  </c:pt>
                  <c:pt idx="646">
                    <c:v>13/mar</c:v>
                  </c:pt>
                  <c:pt idx="647">
                    <c:v>16/mar</c:v>
                  </c:pt>
                  <c:pt idx="648">
                    <c:v>17/mar</c:v>
                  </c:pt>
                  <c:pt idx="649">
                    <c:v>18/mar</c:v>
                  </c:pt>
                  <c:pt idx="650">
                    <c:v>19/mar</c:v>
                  </c:pt>
                  <c:pt idx="651">
                    <c:v>20/mar</c:v>
                  </c:pt>
                  <c:pt idx="652">
                    <c:v>21/mar</c:v>
                  </c:pt>
                  <c:pt idx="653">
                    <c:v>23/mar</c:v>
                  </c:pt>
                  <c:pt idx="654">
                    <c:v>25/mar</c:v>
                  </c:pt>
                  <c:pt idx="655">
                    <c:v>26/mar</c:v>
                  </c:pt>
                  <c:pt idx="656">
                    <c:v>27/mar</c:v>
                  </c:pt>
                  <c:pt idx="657">
                    <c:v>28/mar</c:v>
                  </c:pt>
                  <c:pt idx="658">
                    <c:v>30/mar</c:v>
                  </c:pt>
                  <c:pt idx="659">
                    <c:v>31/mar</c:v>
                  </c:pt>
                  <c:pt idx="660">
                    <c:v>01/abr</c:v>
                  </c:pt>
                  <c:pt idx="661">
                    <c:v>02/abr</c:v>
                  </c:pt>
                  <c:pt idx="662">
                    <c:v>08/abr</c:v>
                  </c:pt>
                  <c:pt idx="663">
                    <c:v>11/abr</c:v>
                  </c:pt>
                  <c:pt idx="664">
                    <c:v>13/abr</c:v>
                  </c:pt>
                  <c:pt idx="665">
                    <c:v>15/abr</c:v>
                  </c:pt>
                  <c:pt idx="666">
                    <c:v>16/abr</c:v>
                  </c:pt>
                  <c:pt idx="667">
                    <c:v>17/abr</c:v>
                  </c:pt>
                  <c:pt idx="668">
                    <c:v>21/abr</c:v>
                  </c:pt>
                  <c:pt idx="669">
                    <c:v>22/abr</c:v>
                  </c:pt>
                  <c:pt idx="670">
                    <c:v>23/abr</c:v>
                  </c:pt>
                  <c:pt idx="671">
                    <c:v>24/abr</c:v>
                  </c:pt>
                  <c:pt idx="672">
                    <c:v>25/abr</c:v>
                  </c:pt>
                  <c:pt idx="673">
                    <c:v>26/abr</c:v>
                  </c:pt>
                  <c:pt idx="674">
                    <c:v>27/abr</c:v>
                  </c:pt>
                  <c:pt idx="675">
                    <c:v>30/abr</c:v>
                  </c:pt>
                  <c:pt idx="676">
                    <c:v>02/mai</c:v>
                  </c:pt>
                  <c:pt idx="677">
                    <c:v>03/mai</c:v>
                  </c:pt>
                  <c:pt idx="678">
                    <c:v>04/mai</c:v>
                  </c:pt>
                  <c:pt idx="679">
                    <c:v>05/mai</c:v>
                  </c:pt>
                  <c:pt idx="680">
                    <c:v>06/mai</c:v>
                  </c:pt>
                  <c:pt idx="681">
                    <c:v>07/mai</c:v>
                  </c:pt>
                  <c:pt idx="682">
                    <c:v>08/mai</c:v>
                  </c:pt>
                  <c:pt idx="683">
                    <c:v>09/mai</c:v>
                  </c:pt>
                  <c:pt idx="684">
                    <c:v>11/mai</c:v>
                  </c:pt>
                  <c:pt idx="685">
                    <c:v>12/mai</c:v>
                  </c:pt>
                  <c:pt idx="686">
                    <c:v>13/mai</c:v>
                  </c:pt>
                  <c:pt idx="687">
                    <c:v>14/mai</c:v>
                  </c:pt>
                  <c:pt idx="688">
                    <c:v>15/mai</c:v>
                  </c:pt>
                  <c:pt idx="689">
                    <c:v>18/mai</c:v>
                  </c:pt>
                  <c:pt idx="690">
                    <c:v>19/mai</c:v>
                  </c:pt>
                  <c:pt idx="691">
                    <c:v>20/mai</c:v>
                  </c:pt>
                  <c:pt idx="692">
                    <c:v>22/mai</c:v>
                  </c:pt>
                  <c:pt idx="693">
                    <c:v>23/mai</c:v>
                  </c:pt>
                  <c:pt idx="694">
                    <c:v>26/mai</c:v>
                  </c:pt>
                  <c:pt idx="695">
                    <c:v>27/mai</c:v>
                  </c:pt>
                  <c:pt idx="696">
                    <c:v>28/mai</c:v>
                  </c:pt>
                  <c:pt idx="697">
                    <c:v>30/mai</c:v>
                  </c:pt>
                  <c:pt idx="698">
                    <c:v>02/jun</c:v>
                  </c:pt>
                  <c:pt idx="699">
                    <c:v>03/jun</c:v>
                  </c:pt>
                  <c:pt idx="700">
                    <c:v>06/jun</c:v>
                  </c:pt>
                  <c:pt idx="701">
                    <c:v>08/jun</c:v>
                  </c:pt>
                  <c:pt idx="702">
                    <c:v>10/jun</c:v>
                  </c:pt>
                  <c:pt idx="703">
                    <c:v>11/jun</c:v>
                  </c:pt>
                  <c:pt idx="704">
                    <c:v>12/jun</c:v>
                  </c:pt>
                  <c:pt idx="705">
                    <c:v>13/jun</c:v>
                  </c:pt>
                  <c:pt idx="706">
                    <c:v>15/jun</c:v>
                  </c:pt>
                  <c:pt idx="707">
                    <c:v>16/jun</c:v>
                  </c:pt>
                  <c:pt idx="708">
                    <c:v>17/jun</c:v>
                  </c:pt>
                  <c:pt idx="709">
                    <c:v>18/jun</c:v>
                  </c:pt>
                  <c:pt idx="710">
                    <c:v>19/jun</c:v>
                  </c:pt>
                  <c:pt idx="711">
                    <c:v>24/jun</c:v>
                  </c:pt>
                  <c:pt idx="712">
                    <c:v>25/jun</c:v>
                  </c:pt>
                  <c:pt idx="713">
                    <c:v>26/jun</c:v>
                  </c:pt>
                  <c:pt idx="714">
                    <c:v>27/jun</c:v>
                  </c:pt>
                  <c:pt idx="715">
                    <c:v>29/jun</c:v>
                  </c:pt>
                  <c:pt idx="716">
                    <c:v>30/jun</c:v>
                  </c:pt>
                  <c:pt idx="717">
                    <c:v>03/jul</c:v>
                  </c:pt>
                  <c:pt idx="718">
                    <c:v>06/jul</c:v>
                  </c:pt>
                  <c:pt idx="719">
                    <c:v>07/jul</c:v>
                  </c:pt>
                  <c:pt idx="720">
                    <c:v>08/jul</c:v>
                  </c:pt>
                  <c:pt idx="721">
                    <c:v>09/jul</c:v>
                  </c:pt>
                  <c:pt idx="722">
                    <c:v>11/jul</c:v>
                  </c:pt>
                  <c:pt idx="723">
                    <c:v>14/jul</c:v>
                  </c:pt>
                  <c:pt idx="724">
                    <c:v>17/jul</c:v>
                  </c:pt>
                  <c:pt idx="725">
                    <c:v>18/jul</c:v>
                  </c:pt>
                  <c:pt idx="726">
                    <c:v>21/jul</c:v>
                  </c:pt>
                  <c:pt idx="727">
                    <c:v>23/jul</c:v>
                  </c:pt>
                  <c:pt idx="728">
                    <c:v>24/jul</c:v>
                  </c:pt>
                  <c:pt idx="729">
                    <c:v>26/jul</c:v>
                  </c:pt>
                  <c:pt idx="730">
                    <c:v>27/jul</c:v>
                  </c:pt>
                  <c:pt idx="731">
                    <c:v>28/jul</c:v>
                  </c:pt>
                  <c:pt idx="732">
                    <c:v>29/jul</c:v>
                  </c:pt>
                  <c:pt idx="733">
                    <c:v>30/jul</c:v>
                  </c:pt>
                  <c:pt idx="734">
                    <c:v>31/jul</c:v>
                  </c:pt>
                  <c:pt idx="735">
                    <c:v>01/ago</c:v>
                  </c:pt>
                  <c:pt idx="736">
                    <c:v>03/ago</c:v>
                  </c:pt>
                  <c:pt idx="737">
                    <c:v>04/ago</c:v>
                  </c:pt>
                  <c:pt idx="738">
                    <c:v>07/ago</c:v>
                  </c:pt>
                  <c:pt idx="739">
                    <c:v>12/ago</c:v>
                  </c:pt>
                  <c:pt idx="740">
                    <c:v>13/ago</c:v>
                  </c:pt>
                  <c:pt idx="741">
                    <c:v>14/ago</c:v>
                  </c:pt>
                  <c:pt idx="742">
                    <c:v>17/ago</c:v>
                  </c:pt>
                  <c:pt idx="743">
                    <c:v>18/ago</c:v>
                  </c:pt>
                  <c:pt idx="744">
                    <c:v>19/ago</c:v>
                  </c:pt>
                  <c:pt idx="745">
                    <c:v>20/ago</c:v>
                  </c:pt>
                  <c:pt idx="746">
                    <c:v>21/ago</c:v>
                  </c:pt>
                  <c:pt idx="747">
                    <c:v>22/ago</c:v>
                  </c:pt>
                  <c:pt idx="748">
                    <c:v>27/ago</c:v>
                  </c:pt>
                  <c:pt idx="749">
                    <c:v>28/ago</c:v>
                  </c:pt>
                  <c:pt idx="750">
                    <c:v>29/ago</c:v>
                  </c:pt>
                  <c:pt idx="751">
                    <c:v>31/ago</c:v>
                  </c:pt>
                  <c:pt idx="752">
                    <c:v>01/set</c:v>
                  </c:pt>
                  <c:pt idx="753">
                    <c:v>02/set</c:v>
                  </c:pt>
                  <c:pt idx="754">
                    <c:v>03/set</c:v>
                  </c:pt>
                  <c:pt idx="755">
                    <c:v>04/set</c:v>
                  </c:pt>
                  <c:pt idx="756">
                    <c:v>05/set</c:v>
                  </c:pt>
                  <c:pt idx="757">
                    <c:v>07/set</c:v>
                  </c:pt>
                  <c:pt idx="758">
                    <c:v>09/set</c:v>
                  </c:pt>
                  <c:pt idx="759">
                    <c:v>10/set</c:v>
                  </c:pt>
                  <c:pt idx="760">
                    <c:v>11/set</c:v>
                  </c:pt>
                  <c:pt idx="761">
                    <c:v>12/set</c:v>
                  </c:pt>
                  <c:pt idx="762">
                    <c:v>14/set</c:v>
                  </c:pt>
                  <c:pt idx="763">
                    <c:v>15/set</c:v>
                  </c:pt>
                  <c:pt idx="764">
                    <c:v>16/set</c:v>
                  </c:pt>
                  <c:pt idx="765">
                    <c:v>17/set</c:v>
                  </c:pt>
                  <c:pt idx="766">
                    <c:v>18/set</c:v>
                  </c:pt>
                  <c:pt idx="767">
                    <c:v>19/set</c:v>
                  </c:pt>
                  <c:pt idx="768">
                    <c:v>21/set</c:v>
                  </c:pt>
                  <c:pt idx="769">
                    <c:v>22/set</c:v>
                  </c:pt>
                  <c:pt idx="770">
                    <c:v>23/set</c:v>
                  </c:pt>
                  <c:pt idx="771">
                    <c:v>24/set</c:v>
                  </c:pt>
                  <c:pt idx="772">
                    <c:v>25/set</c:v>
                  </c:pt>
                  <c:pt idx="773">
                    <c:v>26/set</c:v>
                  </c:pt>
                  <c:pt idx="774">
                    <c:v>28/set</c:v>
                  </c:pt>
                  <c:pt idx="775">
                    <c:v>29/set</c:v>
                  </c:pt>
                  <c:pt idx="776">
                    <c:v>30/set</c:v>
                  </c:pt>
                  <c:pt idx="777">
                    <c:v>01/out</c:v>
                  </c:pt>
                  <c:pt idx="778">
                    <c:v>02/out</c:v>
                  </c:pt>
                  <c:pt idx="779">
                    <c:v>03/out</c:v>
                  </c:pt>
                  <c:pt idx="780">
                    <c:v>05/out</c:v>
                  </c:pt>
                  <c:pt idx="781">
                    <c:v>06/out</c:v>
                  </c:pt>
                  <c:pt idx="782">
                    <c:v>07/out</c:v>
                  </c:pt>
                  <c:pt idx="783">
                    <c:v>08/out</c:v>
                  </c:pt>
                  <c:pt idx="784">
                    <c:v>09/out</c:v>
                  </c:pt>
                  <c:pt idx="785">
                    <c:v>12/out</c:v>
                  </c:pt>
                  <c:pt idx="786">
                    <c:v>13/out</c:v>
                  </c:pt>
                  <c:pt idx="787">
                    <c:v>14/out</c:v>
                  </c:pt>
                  <c:pt idx="788">
                    <c:v>15/out</c:v>
                  </c:pt>
                  <c:pt idx="789">
                    <c:v>16/out</c:v>
                  </c:pt>
                  <c:pt idx="790">
                    <c:v>17/out</c:v>
                  </c:pt>
                  <c:pt idx="791">
                    <c:v>19/out</c:v>
                  </c:pt>
                  <c:pt idx="792">
                    <c:v>20/out</c:v>
                  </c:pt>
                  <c:pt idx="793">
                    <c:v>21/out</c:v>
                  </c:pt>
                  <c:pt idx="794">
                    <c:v>22/out</c:v>
                  </c:pt>
                  <c:pt idx="795">
                    <c:v>27/out</c:v>
                  </c:pt>
                  <c:pt idx="796">
                    <c:v>30/out</c:v>
                  </c:pt>
                  <c:pt idx="797">
                    <c:v>01/nov</c:v>
                  </c:pt>
                  <c:pt idx="798">
                    <c:v>02/nov</c:v>
                  </c:pt>
                  <c:pt idx="799">
                    <c:v>03/nov</c:v>
                  </c:pt>
                  <c:pt idx="800">
                    <c:v>05/nov</c:v>
                  </c:pt>
                  <c:pt idx="801">
                    <c:v>06/nov</c:v>
                  </c:pt>
                  <c:pt idx="802">
                    <c:v>07/nov</c:v>
                  </c:pt>
                  <c:pt idx="803">
                    <c:v>09/nov</c:v>
                  </c:pt>
                  <c:pt idx="804">
                    <c:v>10/nov</c:v>
                  </c:pt>
                  <c:pt idx="805">
                    <c:v>11/nov</c:v>
                  </c:pt>
                  <c:pt idx="806">
                    <c:v>12/nov</c:v>
                  </c:pt>
                  <c:pt idx="807">
                    <c:v>13/nov</c:v>
                  </c:pt>
                  <c:pt idx="808">
                    <c:v>14/nov</c:v>
                  </c:pt>
                  <c:pt idx="809">
                    <c:v>16/nov</c:v>
                  </c:pt>
                  <c:pt idx="810">
                    <c:v>17/nov</c:v>
                  </c:pt>
                  <c:pt idx="811">
                    <c:v>18/nov</c:v>
                  </c:pt>
                  <c:pt idx="812">
                    <c:v>19/nov</c:v>
                  </c:pt>
                  <c:pt idx="813">
                    <c:v>20/nov</c:v>
                  </c:pt>
                  <c:pt idx="814">
                    <c:v>21/nov</c:v>
                  </c:pt>
                  <c:pt idx="815">
                    <c:v>24/nov</c:v>
                  </c:pt>
                  <c:pt idx="816">
                    <c:v>25/nov</c:v>
                  </c:pt>
                  <c:pt idx="817">
                    <c:v>27/nov</c:v>
                  </c:pt>
                  <c:pt idx="818">
                    <c:v>28/nov</c:v>
                  </c:pt>
                  <c:pt idx="819">
                    <c:v>30/nov</c:v>
                  </c:pt>
                  <c:pt idx="820">
                    <c:v>01/dez</c:v>
                  </c:pt>
                  <c:pt idx="821">
                    <c:v>02/dez</c:v>
                  </c:pt>
                  <c:pt idx="822">
                    <c:v>03/dez</c:v>
                  </c:pt>
                  <c:pt idx="823">
                    <c:v>04/dez</c:v>
                  </c:pt>
                  <c:pt idx="824">
                    <c:v>05/dez</c:v>
                  </c:pt>
                  <c:pt idx="825">
                    <c:v>06/dez</c:v>
                  </c:pt>
                  <c:pt idx="826">
                    <c:v>07/dez</c:v>
                  </c:pt>
                  <c:pt idx="827">
                    <c:v>08/dez</c:v>
                  </c:pt>
                  <c:pt idx="828">
                    <c:v>09/dez</c:v>
                  </c:pt>
                  <c:pt idx="829">
                    <c:v>10/dez</c:v>
                  </c:pt>
                  <c:pt idx="830">
                    <c:v>13/dez</c:v>
                  </c:pt>
                  <c:pt idx="831">
                    <c:v>14/dez</c:v>
                  </c:pt>
                  <c:pt idx="832">
                    <c:v>15/dez</c:v>
                  </c:pt>
                  <c:pt idx="833">
                    <c:v>16/dez</c:v>
                  </c:pt>
                  <c:pt idx="834">
                    <c:v>17/dez</c:v>
                  </c:pt>
                  <c:pt idx="835">
                    <c:v>18/dez</c:v>
                  </c:pt>
                  <c:pt idx="836">
                    <c:v>19/dez</c:v>
                  </c:pt>
                  <c:pt idx="837">
                    <c:v>21/dez</c:v>
                  </c:pt>
                  <c:pt idx="838">
                    <c:v>22/dez</c:v>
                  </c:pt>
                  <c:pt idx="839">
                    <c:v>23/dez</c:v>
                  </c:pt>
                  <c:pt idx="840">
                    <c:v>24/dez</c:v>
                  </c:pt>
                  <c:pt idx="841">
                    <c:v>25/dez</c:v>
                  </c:pt>
                  <c:pt idx="842">
                    <c:v>28/dez</c:v>
                  </c:pt>
                  <c:pt idx="843">
                    <c:v>29/dez</c:v>
                  </c:pt>
                  <c:pt idx="844">
                    <c:v>30/dez</c:v>
                  </c:pt>
                </c:lvl>
                <c:lvl>
                  <c:pt idx="0">
                    <c:v>2013</c:v>
                  </c:pt>
                  <c:pt idx="194">
                    <c:v>2014</c:v>
                  </c:pt>
                  <c:pt idx="386">
                    <c:v>2015</c:v>
                  </c:pt>
                  <c:pt idx="607">
                    <c:v>2016</c:v>
                  </c:pt>
                </c:lvl>
              </c:multiLvlStrCache>
            </c:multiLvlStrRef>
          </c:cat>
          <c:val>
            <c:numRef>
              <c:f>Planilha1!$C$3:$C$852</c:f>
              <c:numCache>
                <c:formatCode>_(* #,##0.00_);_(* \(#,##0.00\);_(* "-"??_);_(@_)</c:formatCode>
                <c:ptCount val="845"/>
                <c:pt idx="0">
                  <c:v>19.440000000000001</c:v>
                </c:pt>
                <c:pt idx="1">
                  <c:v>1679.7490000000003</c:v>
                </c:pt>
                <c:pt idx="2">
                  <c:v>64.864000000000004</c:v>
                </c:pt>
                <c:pt idx="3">
                  <c:v>378.59400000000005</c:v>
                </c:pt>
                <c:pt idx="4">
                  <c:v>38.659999999999997</c:v>
                </c:pt>
                <c:pt idx="5">
                  <c:v>40.08</c:v>
                </c:pt>
                <c:pt idx="6">
                  <c:v>426.67</c:v>
                </c:pt>
                <c:pt idx="7">
                  <c:v>290.666</c:v>
                </c:pt>
                <c:pt idx="8">
                  <c:v>12.350000000000001</c:v>
                </c:pt>
                <c:pt idx="9">
                  <c:v>97.112000000000009</c:v>
                </c:pt>
                <c:pt idx="10">
                  <c:v>134.38399999999999</c:v>
                </c:pt>
                <c:pt idx="11">
                  <c:v>14.56</c:v>
                </c:pt>
                <c:pt idx="12">
                  <c:v>129.56800000000001</c:v>
                </c:pt>
                <c:pt idx="13">
                  <c:v>560.54999999999995</c:v>
                </c:pt>
                <c:pt idx="14">
                  <c:v>21.36</c:v>
                </c:pt>
                <c:pt idx="15">
                  <c:v>12.96</c:v>
                </c:pt>
                <c:pt idx="16">
                  <c:v>19.440000000000001</c:v>
                </c:pt>
                <c:pt idx="17">
                  <c:v>55.672000000000004</c:v>
                </c:pt>
                <c:pt idx="18">
                  <c:v>457.56800000000004</c:v>
                </c:pt>
                <c:pt idx="19">
                  <c:v>626.35200000000009</c:v>
                </c:pt>
                <c:pt idx="20">
                  <c:v>1561.0620000000001</c:v>
                </c:pt>
                <c:pt idx="21">
                  <c:v>719.57600000000014</c:v>
                </c:pt>
                <c:pt idx="22">
                  <c:v>7.98</c:v>
                </c:pt>
                <c:pt idx="23">
                  <c:v>294.21600000000001</c:v>
                </c:pt>
                <c:pt idx="24">
                  <c:v>4445.4879999999994</c:v>
                </c:pt>
                <c:pt idx="25">
                  <c:v>388.70399999999995</c:v>
                </c:pt>
                <c:pt idx="26">
                  <c:v>935.15199999999993</c:v>
                </c:pt>
                <c:pt idx="27">
                  <c:v>40.479999999999997</c:v>
                </c:pt>
                <c:pt idx="28">
                  <c:v>92.36</c:v>
                </c:pt>
                <c:pt idx="29">
                  <c:v>145.13000000000002</c:v>
                </c:pt>
                <c:pt idx="30">
                  <c:v>302.37599999999998</c:v>
                </c:pt>
                <c:pt idx="31">
                  <c:v>265.90600000000001</c:v>
                </c:pt>
                <c:pt idx="32">
                  <c:v>726.54800000000012</c:v>
                </c:pt>
                <c:pt idx="33">
                  <c:v>46.688000000000002</c:v>
                </c:pt>
                <c:pt idx="34">
                  <c:v>233.45</c:v>
                </c:pt>
                <c:pt idx="35">
                  <c:v>26.084</c:v>
                </c:pt>
                <c:pt idx="36">
                  <c:v>1323.9280000000001</c:v>
                </c:pt>
                <c:pt idx="37">
                  <c:v>570.72</c:v>
                </c:pt>
                <c:pt idx="38">
                  <c:v>419.68799999999999</c:v>
                </c:pt>
                <c:pt idx="39">
                  <c:v>1879.7230000000002</c:v>
                </c:pt>
                <c:pt idx="40">
                  <c:v>294.71999999999997</c:v>
                </c:pt>
                <c:pt idx="41">
                  <c:v>323.45800000000003</c:v>
                </c:pt>
                <c:pt idx="42">
                  <c:v>76.14</c:v>
                </c:pt>
                <c:pt idx="43">
                  <c:v>59.92</c:v>
                </c:pt>
                <c:pt idx="44">
                  <c:v>16.520000000000003</c:v>
                </c:pt>
                <c:pt idx="45">
                  <c:v>48.91</c:v>
                </c:pt>
                <c:pt idx="46">
                  <c:v>2061.0100000000002</c:v>
                </c:pt>
                <c:pt idx="47">
                  <c:v>282.56800000000004</c:v>
                </c:pt>
                <c:pt idx="48">
                  <c:v>1679.96</c:v>
                </c:pt>
                <c:pt idx="49">
                  <c:v>69.86</c:v>
                </c:pt>
                <c:pt idx="50">
                  <c:v>254.45599999999999</c:v>
                </c:pt>
                <c:pt idx="51">
                  <c:v>235.76999999999998</c:v>
                </c:pt>
                <c:pt idx="52">
                  <c:v>1971.5140000000004</c:v>
                </c:pt>
                <c:pt idx="53">
                  <c:v>492.92600000000004</c:v>
                </c:pt>
                <c:pt idx="54">
                  <c:v>289.27999999999997</c:v>
                </c:pt>
                <c:pt idx="55">
                  <c:v>31.84</c:v>
                </c:pt>
                <c:pt idx="56">
                  <c:v>12.96</c:v>
                </c:pt>
                <c:pt idx="57">
                  <c:v>849.93000000000006</c:v>
                </c:pt>
                <c:pt idx="58">
                  <c:v>2139.9339999999997</c:v>
                </c:pt>
                <c:pt idx="59">
                  <c:v>221.96800000000002</c:v>
                </c:pt>
                <c:pt idx="60">
                  <c:v>133.12800000000001</c:v>
                </c:pt>
                <c:pt idx="61">
                  <c:v>515.88</c:v>
                </c:pt>
                <c:pt idx="62">
                  <c:v>585.55200000000002</c:v>
                </c:pt>
                <c:pt idx="63">
                  <c:v>3879.364</c:v>
                </c:pt>
                <c:pt idx="64">
                  <c:v>14.52</c:v>
                </c:pt>
                <c:pt idx="65">
                  <c:v>3290.5160000000001</c:v>
                </c:pt>
                <c:pt idx="66">
                  <c:v>139.80000000000001</c:v>
                </c:pt>
                <c:pt idx="67">
                  <c:v>36.252000000000002</c:v>
                </c:pt>
                <c:pt idx="68">
                  <c:v>204.97800000000001</c:v>
                </c:pt>
                <c:pt idx="69">
                  <c:v>4.2720000000000002</c:v>
                </c:pt>
                <c:pt idx="70">
                  <c:v>792.76</c:v>
                </c:pt>
                <c:pt idx="71">
                  <c:v>32.400000000000006</c:v>
                </c:pt>
                <c:pt idx="72">
                  <c:v>19.920000000000002</c:v>
                </c:pt>
                <c:pt idx="73">
                  <c:v>209.96800000000002</c:v>
                </c:pt>
                <c:pt idx="74">
                  <c:v>180.96000000000004</c:v>
                </c:pt>
                <c:pt idx="75">
                  <c:v>478.48</c:v>
                </c:pt>
                <c:pt idx="76">
                  <c:v>699.19200000000001</c:v>
                </c:pt>
                <c:pt idx="77">
                  <c:v>240.80100000000002</c:v>
                </c:pt>
                <c:pt idx="78">
                  <c:v>1346.1499999999999</c:v>
                </c:pt>
                <c:pt idx="79">
                  <c:v>351.21600000000001</c:v>
                </c:pt>
                <c:pt idx="80">
                  <c:v>55.92</c:v>
                </c:pt>
                <c:pt idx="81">
                  <c:v>259.13600000000002</c:v>
                </c:pt>
                <c:pt idx="82">
                  <c:v>6.0960000000000001</c:v>
                </c:pt>
                <c:pt idx="83">
                  <c:v>891.46599999999989</c:v>
                </c:pt>
                <c:pt idx="84">
                  <c:v>1173.6160000000002</c:v>
                </c:pt>
                <c:pt idx="85">
                  <c:v>1155.7720000000002</c:v>
                </c:pt>
                <c:pt idx="86">
                  <c:v>2513.2039999999997</c:v>
                </c:pt>
                <c:pt idx="87">
                  <c:v>8341.2899999999991</c:v>
                </c:pt>
                <c:pt idx="88">
                  <c:v>2003.2460000000003</c:v>
                </c:pt>
                <c:pt idx="89">
                  <c:v>514.28</c:v>
                </c:pt>
                <c:pt idx="90">
                  <c:v>1367.84</c:v>
                </c:pt>
                <c:pt idx="91">
                  <c:v>19.752000000000002</c:v>
                </c:pt>
                <c:pt idx="92">
                  <c:v>314.37400000000002</c:v>
                </c:pt>
                <c:pt idx="93">
                  <c:v>2126.0340000000001</c:v>
                </c:pt>
                <c:pt idx="94">
                  <c:v>550.1640000000001</c:v>
                </c:pt>
                <c:pt idx="95">
                  <c:v>2690.4480000000003</c:v>
                </c:pt>
                <c:pt idx="96">
                  <c:v>3411.7490000000003</c:v>
                </c:pt>
                <c:pt idx="97">
                  <c:v>76.28</c:v>
                </c:pt>
                <c:pt idx="98">
                  <c:v>891.77600000000007</c:v>
                </c:pt>
                <c:pt idx="99">
                  <c:v>505.28200000000004</c:v>
                </c:pt>
                <c:pt idx="100">
                  <c:v>358.69600000000003</c:v>
                </c:pt>
                <c:pt idx="101">
                  <c:v>473.94400000000007</c:v>
                </c:pt>
                <c:pt idx="102">
                  <c:v>8.2880000000000003</c:v>
                </c:pt>
                <c:pt idx="103">
                  <c:v>1184.0840000000003</c:v>
                </c:pt>
                <c:pt idx="104">
                  <c:v>176.8</c:v>
                </c:pt>
                <c:pt idx="105">
                  <c:v>244.76000000000002</c:v>
                </c:pt>
                <c:pt idx="106">
                  <c:v>123.28</c:v>
                </c:pt>
                <c:pt idx="107">
                  <c:v>92.52</c:v>
                </c:pt>
                <c:pt idx="108">
                  <c:v>53.94</c:v>
                </c:pt>
                <c:pt idx="109">
                  <c:v>100.36</c:v>
                </c:pt>
                <c:pt idx="110">
                  <c:v>131.84000000000003</c:v>
                </c:pt>
                <c:pt idx="111">
                  <c:v>1905.7479999999998</c:v>
                </c:pt>
                <c:pt idx="112">
                  <c:v>1508.768</c:v>
                </c:pt>
                <c:pt idx="113">
                  <c:v>127.94999999999999</c:v>
                </c:pt>
                <c:pt idx="114">
                  <c:v>641.13</c:v>
                </c:pt>
                <c:pt idx="115">
                  <c:v>762.02300000000002</c:v>
                </c:pt>
                <c:pt idx="116">
                  <c:v>179.26499999999999</c:v>
                </c:pt>
                <c:pt idx="117">
                  <c:v>104.392</c:v>
                </c:pt>
                <c:pt idx="118">
                  <c:v>2497.6379999999999</c:v>
                </c:pt>
                <c:pt idx="119">
                  <c:v>210.13</c:v>
                </c:pt>
                <c:pt idx="120">
                  <c:v>519.98300000000006</c:v>
                </c:pt>
                <c:pt idx="121">
                  <c:v>211.96</c:v>
                </c:pt>
                <c:pt idx="122">
                  <c:v>14.576000000000001</c:v>
                </c:pt>
                <c:pt idx="123">
                  <c:v>1060.68</c:v>
                </c:pt>
                <c:pt idx="124">
                  <c:v>685.9</c:v>
                </c:pt>
                <c:pt idx="125">
                  <c:v>4141.0780000000004</c:v>
                </c:pt>
                <c:pt idx="126">
                  <c:v>43.176000000000002</c:v>
                </c:pt>
                <c:pt idx="127">
                  <c:v>4.71</c:v>
                </c:pt>
                <c:pt idx="128">
                  <c:v>598.14400000000001</c:v>
                </c:pt>
                <c:pt idx="129">
                  <c:v>265.78399999999999</c:v>
                </c:pt>
                <c:pt idx="130">
                  <c:v>139.33800000000002</c:v>
                </c:pt>
                <c:pt idx="131">
                  <c:v>99.98</c:v>
                </c:pt>
                <c:pt idx="132">
                  <c:v>9.09</c:v>
                </c:pt>
                <c:pt idx="133">
                  <c:v>160.59200000000001</c:v>
                </c:pt>
                <c:pt idx="134">
                  <c:v>440.35399999999998</c:v>
                </c:pt>
                <c:pt idx="135">
                  <c:v>881.59800000000007</c:v>
                </c:pt>
                <c:pt idx="136">
                  <c:v>36.29</c:v>
                </c:pt>
                <c:pt idx="137">
                  <c:v>1549.77</c:v>
                </c:pt>
                <c:pt idx="138">
                  <c:v>194.322</c:v>
                </c:pt>
                <c:pt idx="139">
                  <c:v>63.304000000000002</c:v>
                </c:pt>
                <c:pt idx="140">
                  <c:v>641.10400000000004</c:v>
                </c:pt>
                <c:pt idx="141">
                  <c:v>36.36</c:v>
                </c:pt>
                <c:pt idx="142">
                  <c:v>34.271999999999998</c:v>
                </c:pt>
                <c:pt idx="143">
                  <c:v>49.408000000000001</c:v>
                </c:pt>
                <c:pt idx="144">
                  <c:v>447.88000000000005</c:v>
                </c:pt>
                <c:pt idx="145">
                  <c:v>1252.6020000000001</c:v>
                </c:pt>
                <c:pt idx="146">
                  <c:v>1823.856</c:v>
                </c:pt>
                <c:pt idx="147">
                  <c:v>2692.84</c:v>
                </c:pt>
                <c:pt idx="148">
                  <c:v>504.03600000000006</c:v>
                </c:pt>
                <c:pt idx="149">
                  <c:v>6.72</c:v>
                </c:pt>
                <c:pt idx="150">
                  <c:v>1767.6960000000001</c:v>
                </c:pt>
                <c:pt idx="151">
                  <c:v>20.04</c:v>
                </c:pt>
                <c:pt idx="152">
                  <c:v>269.83199999999999</c:v>
                </c:pt>
                <c:pt idx="153">
                  <c:v>333.57600000000002</c:v>
                </c:pt>
                <c:pt idx="154">
                  <c:v>1517.5740000000001</c:v>
                </c:pt>
                <c:pt idx="155">
                  <c:v>807.68600000000004</c:v>
                </c:pt>
                <c:pt idx="156">
                  <c:v>4176.7460000000001</c:v>
                </c:pt>
                <c:pt idx="157">
                  <c:v>641.02400000000011</c:v>
                </c:pt>
                <c:pt idx="158">
                  <c:v>813.99000000000012</c:v>
                </c:pt>
                <c:pt idx="159">
                  <c:v>736.07249999999999</c:v>
                </c:pt>
                <c:pt idx="160">
                  <c:v>1075.3699999999999</c:v>
                </c:pt>
                <c:pt idx="161">
                  <c:v>1071.508</c:v>
                </c:pt>
                <c:pt idx="162">
                  <c:v>166.44</c:v>
                </c:pt>
                <c:pt idx="163">
                  <c:v>114.53</c:v>
                </c:pt>
                <c:pt idx="164">
                  <c:v>53.820000000000007</c:v>
                </c:pt>
                <c:pt idx="165">
                  <c:v>1060.662</c:v>
                </c:pt>
                <c:pt idx="166">
                  <c:v>993.90800000000002</c:v>
                </c:pt>
                <c:pt idx="167">
                  <c:v>1695.24</c:v>
                </c:pt>
                <c:pt idx="168">
                  <c:v>1272.06</c:v>
                </c:pt>
                <c:pt idx="169">
                  <c:v>643.702</c:v>
                </c:pt>
                <c:pt idx="170">
                  <c:v>606.31999999999994</c:v>
                </c:pt>
                <c:pt idx="171">
                  <c:v>150.23200000000003</c:v>
                </c:pt>
                <c:pt idx="172">
                  <c:v>58.199999999999996</c:v>
                </c:pt>
                <c:pt idx="173">
                  <c:v>1621.8320000000001</c:v>
                </c:pt>
                <c:pt idx="174">
                  <c:v>1590.2439999999999</c:v>
                </c:pt>
                <c:pt idx="175">
                  <c:v>442.87999999999994</c:v>
                </c:pt>
                <c:pt idx="176">
                  <c:v>1034.704</c:v>
                </c:pt>
                <c:pt idx="177">
                  <c:v>135.38400000000001</c:v>
                </c:pt>
                <c:pt idx="178">
                  <c:v>455.63200000000001</c:v>
                </c:pt>
                <c:pt idx="179">
                  <c:v>4704.5405000000001</c:v>
                </c:pt>
                <c:pt idx="180">
                  <c:v>183.41399999999999</c:v>
                </c:pt>
                <c:pt idx="181">
                  <c:v>6.16</c:v>
                </c:pt>
                <c:pt idx="182">
                  <c:v>2712.1160000000004</c:v>
                </c:pt>
                <c:pt idx="183">
                  <c:v>832.13799999999992</c:v>
                </c:pt>
                <c:pt idx="184">
                  <c:v>1770.192</c:v>
                </c:pt>
                <c:pt idx="185">
                  <c:v>1897.92</c:v>
                </c:pt>
                <c:pt idx="186">
                  <c:v>11.76</c:v>
                </c:pt>
                <c:pt idx="187">
                  <c:v>1910.2740000000001</c:v>
                </c:pt>
                <c:pt idx="188">
                  <c:v>870.66200000000015</c:v>
                </c:pt>
                <c:pt idx="189">
                  <c:v>1308.7900000000002</c:v>
                </c:pt>
                <c:pt idx="190">
                  <c:v>1049.97</c:v>
                </c:pt>
                <c:pt idx="191">
                  <c:v>1831.6640000000002</c:v>
                </c:pt>
                <c:pt idx="192">
                  <c:v>551.98500000000013</c:v>
                </c:pt>
                <c:pt idx="193">
                  <c:v>475.94400000000002</c:v>
                </c:pt>
                <c:pt idx="194">
                  <c:v>205.10400000000001</c:v>
                </c:pt>
                <c:pt idx="195">
                  <c:v>31.538000000000004</c:v>
                </c:pt>
                <c:pt idx="196">
                  <c:v>612.45799999999997</c:v>
                </c:pt>
                <c:pt idx="197">
                  <c:v>43.66</c:v>
                </c:pt>
                <c:pt idx="198">
                  <c:v>182.72</c:v>
                </c:pt>
                <c:pt idx="199">
                  <c:v>2803.92</c:v>
                </c:pt>
                <c:pt idx="200">
                  <c:v>2147.3360000000002</c:v>
                </c:pt>
                <c:pt idx="201">
                  <c:v>149.06399999999999</c:v>
                </c:pt>
                <c:pt idx="202">
                  <c:v>5.28</c:v>
                </c:pt>
                <c:pt idx="203">
                  <c:v>203.92</c:v>
                </c:pt>
                <c:pt idx="204">
                  <c:v>627.48</c:v>
                </c:pt>
                <c:pt idx="205">
                  <c:v>124.54999999999998</c:v>
                </c:pt>
                <c:pt idx="206">
                  <c:v>105.84399999999999</c:v>
                </c:pt>
                <c:pt idx="207">
                  <c:v>49.12</c:v>
                </c:pt>
                <c:pt idx="208">
                  <c:v>538.92000000000007</c:v>
                </c:pt>
                <c:pt idx="209">
                  <c:v>200.73600000000002</c:v>
                </c:pt>
                <c:pt idx="210">
                  <c:v>787.53</c:v>
                </c:pt>
                <c:pt idx="211">
                  <c:v>1555.2440000000001</c:v>
                </c:pt>
                <c:pt idx="212">
                  <c:v>3.4079999999999999</c:v>
                </c:pt>
                <c:pt idx="213">
                  <c:v>1384.856</c:v>
                </c:pt>
                <c:pt idx="214">
                  <c:v>19.440000000000001</c:v>
                </c:pt>
                <c:pt idx="215">
                  <c:v>16.776000000000003</c:v>
                </c:pt>
                <c:pt idx="216">
                  <c:v>215.09</c:v>
                </c:pt>
                <c:pt idx="217">
                  <c:v>5189.3940000000002</c:v>
                </c:pt>
                <c:pt idx="218">
                  <c:v>29.304000000000002</c:v>
                </c:pt>
                <c:pt idx="219">
                  <c:v>1701.44</c:v>
                </c:pt>
                <c:pt idx="220">
                  <c:v>466.04999999999995</c:v>
                </c:pt>
                <c:pt idx="221">
                  <c:v>46.900000000000006</c:v>
                </c:pt>
                <c:pt idx="222">
                  <c:v>3393.68</c:v>
                </c:pt>
                <c:pt idx="223">
                  <c:v>83.699999999999989</c:v>
                </c:pt>
                <c:pt idx="224">
                  <c:v>199.64000000000001</c:v>
                </c:pt>
                <c:pt idx="225">
                  <c:v>368.96</c:v>
                </c:pt>
                <c:pt idx="226">
                  <c:v>159.77600000000001</c:v>
                </c:pt>
                <c:pt idx="227">
                  <c:v>1156.0039999999999</c:v>
                </c:pt>
                <c:pt idx="228">
                  <c:v>369.91200000000003</c:v>
                </c:pt>
                <c:pt idx="229">
                  <c:v>12.832000000000001</c:v>
                </c:pt>
                <c:pt idx="230">
                  <c:v>692.72800000000007</c:v>
                </c:pt>
                <c:pt idx="231">
                  <c:v>40.74</c:v>
                </c:pt>
                <c:pt idx="232">
                  <c:v>2113.92</c:v>
                </c:pt>
                <c:pt idx="233">
                  <c:v>35.207999999999998</c:v>
                </c:pt>
                <c:pt idx="234">
                  <c:v>2572.5</c:v>
                </c:pt>
                <c:pt idx="235">
                  <c:v>1124.5700000000002</c:v>
                </c:pt>
                <c:pt idx="236">
                  <c:v>152.916</c:v>
                </c:pt>
                <c:pt idx="237">
                  <c:v>35.283999999999999</c:v>
                </c:pt>
                <c:pt idx="238">
                  <c:v>485.78400000000011</c:v>
                </c:pt>
                <c:pt idx="239">
                  <c:v>49.400000000000006</c:v>
                </c:pt>
                <c:pt idx="240">
                  <c:v>54.45</c:v>
                </c:pt>
                <c:pt idx="241">
                  <c:v>173.30799999999999</c:v>
                </c:pt>
                <c:pt idx="242">
                  <c:v>1140.5719999999999</c:v>
                </c:pt>
                <c:pt idx="243">
                  <c:v>5.2480000000000002</c:v>
                </c:pt>
                <c:pt idx="244">
                  <c:v>46.688000000000002</c:v>
                </c:pt>
                <c:pt idx="245">
                  <c:v>191.96800000000002</c:v>
                </c:pt>
                <c:pt idx="246">
                  <c:v>254.696</c:v>
                </c:pt>
                <c:pt idx="247">
                  <c:v>2570.7075000000004</c:v>
                </c:pt>
                <c:pt idx="248">
                  <c:v>10.86</c:v>
                </c:pt>
                <c:pt idx="249">
                  <c:v>26.975999999999999</c:v>
                </c:pt>
                <c:pt idx="250">
                  <c:v>3862.0980000000004</c:v>
                </c:pt>
                <c:pt idx="251">
                  <c:v>140.98600000000002</c:v>
                </c:pt>
                <c:pt idx="252">
                  <c:v>860.45799999999997</c:v>
                </c:pt>
                <c:pt idx="253">
                  <c:v>20.239999999999998</c:v>
                </c:pt>
                <c:pt idx="254">
                  <c:v>6.63</c:v>
                </c:pt>
                <c:pt idx="255">
                  <c:v>740.7299999999999</c:v>
                </c:pt>
                <c:pt idx="256">
                  <c:v>1990.4899999999998</c:v>
                </c:pt>
                <c:pt idx="257">
                  <c:v>11.76</c:v>
                </c:pt>
                <c:pt idx="258">
                  <c:v>1126.5900000000001</c:v>
                </c:pt>
                <c:pt idx="259">
                  <c:v>7.52</c:v>
                </c:pt>
                <c:pt idx="260">
                  <c:v>495.73599999999999</c:v>
                </c:pt>
                <c:pt idx="261">
                  <c:v>36.624000000000002</c:v>
                </c:pt>
                <c:pt idx="262">
                  <c:v>722.47199999999998</c:v>
                </c:pt>
                <c:pt idx="263">
                  <c:v>152.98400000000001</c:v>
                </c:pt>
                <c:pt idx="264">
                  <c:v>205.73</c:v>
                </c:pt>
                <c:pt idx="265">
                  <c:v>509.56</c:v>
                </c:pt>
                <c:pt idx="266">
                  <c:v>4.96</c:v>
                </c:pt>
                <c:pt idx="267">
                  <c:v>568.55799999999999</c:v>
                </c:pt>
                <c:pt idx="268">
                  <c:v>618.79200000000003</c:v>
                </c:pt>
                <c:pt idx="269">
                  <c:v>627.6640000000001</c:v>
                </c:pt>
                <c:pt idx="270">
                  <c:v>22.847999999999999</c:v>
                </c:pt>
                <c:pt idx="271">
                  <c:v>170.35200000000003</c:v>
                </c:pt>
                <c:pt idx="272">
                  <c:v>43.286000000000001</c:v>
                </c:pt>
                <c:pt idx="273">
                  <c:v>128.322</c:v>
                </c:pt>
                <c:pt idx="274">
                  <c:v>860.91600000000005</c:v>
                </c:pt>
                <c:pt idx="275">
                  <c:v>2048.8560000000002</c:v>
                </c:pt>
                <c:pt idx="276">
                  <c:v>195.46600000000001</c:v>
                </c:pt>
                <c:pt idx="277">
                  <c:v>519.96</c:v>
                </c:pt>
                <c:pt idx="278">
                  <c:v>2.0250000000000004</c:v>
                </c:pt>
                <c:pt idx="279">
                  <c:v>1912.808</c:v>
                </c:pt>
                <c:pt idx="280">
                  <c:v>958.8570000000002</c:v>
                </c:pt>
                <c:pt idx="281">
                  <c:v>226.12999999999997</c:v>
                </c:pt>
                <c:pt idx="282">
                  <c:v>1011.6960000000001</c:v>
                </c:pt>
                <c:pt idx="283">
                  <c:v>842.26800000000003</c:v>
                </c:pt>
                <c:pt idx="284">
                  <c:v>22.456000000000003</c:v>
                </c:pt>
                <c:pt idx="285">
                  <c:v>158.672</c:v>
                </c:pt>
                <c:pt idx="286">
                  <c:v>711.78400000000011</c:v>
                </c:pt>
                <c:pt idx="287">
                  <c:v>82.36</c:v>
                </c:pt>
                <c:pt idx="288">
                  <c:v>497.59000000000003</c:v>
                </c:pt>
                <c:pt idx="289">
                  <c:v>2200.328</c:v>
                </c:pt>
                <c:pt idx="290">
                  <c:v>329.44000000000005</c:v>
                </c:pt>
                <c:pt idx="291">
                  <c:v>1299.5260000000001</c:v>
                </c:pt>
                <c:pt idx="292">
                  <c:v>7.1519999999999992</c:v>
                </c:pt>
                <c:pt idx="293">
                  <c:v>146.744</c:v>
                </c:pt>
                <c:pt idx="294">
                  <c:v>639.97400000000016</c:v>
                </c:pt>
                <c:pt idx="295">
                  <c:v>2017.5320000000002</c:v>
                </c:pt>
                <c:pt idx="296">
                  <c:v>2580.837</c:v>
                </c:pt>
                <c:pt idx="297">
                  <c:v>979.10400000000004</c:v>
                </c:pt>
                <c:pt idx="298">
                  <c:v>552.87800000000004</c:v>
                </c:pt>
                <c:pt idx="299">
                  <c:v>9.7620000000000005</c:v>
                </c:pt>
                <c:pt idx="300">
                  <c:v>733.28300000000002</c:v>
                </c:pt>
                <c:pt idx="301">
                  <c:v>244.23599999999999</c:v>
                </c:pt>
                <c:pt idx="302">
                  <c:v>671.93</c:v>
                </c:pt>
                <c:pt idx="303">
                  <c:v>68.28</c:v>
                </c:pt>
                <c:pt idx="304">
                  <c:v>512.07999999999993</c:v>
                </c:pt>
                <c:pt idx="305">
                  <c:v>480.48999999999995</c:v>
                </c:pt>
                <c:pt idx="306">
                  <c:v>21.98</c:v>
                </c:pt>
                <c:pt idx="307">
                  <c:v>1336.3520000000001</c:v>
                </c:pt>
                <c:pt idx="308">
                  <c:v>1082.886</c:v>
                </c:pt>
                <c:pt idx="309">
                  <c:v>57.432000000000002</c:v>
                </c:pt>
                <c:pt idx="310">
                  <c:v>703.38000000000011</c:v>
                </c:pt>
                <c:pt idx="311">
                  <c:v>92.2</c:v>
                </c:pt>
                <c:pt idx="312">
                  <c:v>45.584000000000003</c:v>
                </c:pt>
                <c:pt idx="313">
                  <c:v>809.17599999999993</c:v>
                </c:pt>
                <c:pt idx="314">
                  <c:v>266.03999999999996</c:v>
                </c:pt>
                <c:pt idx="315">
                  <c:v>1313.3019999999999</c:v>
                </c:pt>
                <c:pt idx="316">
                  <c:v>1541.8259999999998</c:v>
                </c:pt>
                <c:pt idx="317">
                  <c:v>1645.3690000000001</c:v>
                </c:pt>
                <c:pt idx="318">
                  <c:v>274.49</c:v>
                </c:pt>
                <c:pt idx="319">
                  <c:v>456.86399999999998</c:v>
                </c:pt>
                <c:pt idx="320">
                  <c:v>712.22400000000005</c:v>
                </c:pt>
                <c:pt idx="321">
                  <c:v>972.19600000000003</c:v>
                </c:pt>
                <c:pt idx="322">
                  <c:v>120.666</c:v>
                </c:pt>
                <c:pt idx="323">
                  <c:v>26.96</c:v>
                </c:pt>
                <c:pt idx="324">
                  <c:v>357.46199999999999</c:v>
                </c:pt>
                <c:pt idx="325">
                  <c:v>145.9</c:v>
                </c:pt>
                <c:pt idx="326">
                  <c:v>438.54599999999999</c:v>
                </c:pt>
                <c:pt idx="327">
                  <c:v>99.859999999999985</c:v>
                </c:pt>
                <c:pt idx="328">
                  <c:v>77.88</c:v>
                </c:pt>
                <c:pt idx="329">
                  <c:v>277.63400000000007</c:v>
                </c:pt>
                <c:pt idx="330">
                  <c:v>1910.6999999999998</c:v>
                </c:pt>
                <c:pt idx="331">
                  <c:v>695.52600000000007</c:v>
                </c:pt>
                <c:pt idx="332">
                  <c:v>1450.3760000000002</c:v>
                </c:pt>
                <c:pt idx="333">
                  <c:v>454.27200000000005</c:v>
                </c:pt>
                <c:pt idx="334">
                  <c:v>975.322</c:v>
                </c:pt>
                <c:pt idx="335">
                  <c:v>1395.3330000000001</c:v>
                </c:pt>
                <c:pt idx="336">
                  <c:v>244.24</c:v>
                </c:pt>
                <c:pt idx="337">
                  <c:v>603.43399999999997</c:v>
                </c:pt>
                <c:pt idx="338">
                  <c:v>3058.1490000000003</c:v>
                </c:pt>
                <c:pt idx="339">
                  <c:v>7.88</c:v>
                </c:pt>
                <c:pt idx="340">
                  <c:v>2225.6689999999999</c:v>
                </c:pt>
                <c:pt idx="341">
                  <c:v>1345.4179999999999</c:v>
                </c:pt>
                <c:pt idx="342">
                  <c:v>161.15199999999999</c:v>
                </c:pt>
                <c:pt idx="343">
                  <c:v>11.481000000000002</c:v>
                </c:pt>
                <c:pt idx="344">
                  <c:v>190.72000000000003</c:v>
                </c:pt>
                <c:pt idx="345">
                  <c:v>753.21999999999991</c:v>
                </c:pt>
                <c:pt idx="346">
                  <c:v>2.48</c:v>
                </c:pt>
                <c:pt idx="347">
                  <c:v>79.900000000000006</c:v>
                </c:pt>
                <c:pt idx="348">
                  <c:v>15.700000000000001</c:v>
                </c:pt>
                <c:pt idx="349">
                  <c:v>1505.242</c:v>
                </c:pt>
                <c:pt idx="350">
                  <c:v>1374.0560000000003</c:v>
                </c:pt>
                <c:pt idx="351">
                  <c:v>1020.0959999999999</c:v>
                </c:pt>
                <c:pt idx="352">
                  <c:v>1873.606</c:v>
                </c:pt>
                <c:pt idx="353">
                  <c:v>173.04000000000002</c:v>
                </c:pt>
                <c:pt idx="354">
                  <c:v>1175.8439999999998</c:v>
                </c:pt>
                <c:pt idx="355">
                  <c:v>573.50400000000013</c:v>
                </c:pt>
                <c:pt idx="356">
                  <c:v>114.37</c:v>
                </c:pt>
                <c:pt idx="357">
                  <c:v>1218.7640000000001</c:v>
                </c:pt>
                <c:pt idx="358">
                  <c:v>505.71</c:v>
                </c:pt>
                <c:pt idx="359">
                  <c:v>53.56</c:v>
                </c:pt>
                <c:pt idx="360">
                  <c:v>60.603999999999999</c:v>
                </c:pt>
                <c:pt idx="361">
                  <c:v>106.88</c:v>
                </c:pt>
                <c:pt idx="362">
                  <c:v>6956.6459999999988</c:v>
                </c:pt>
                <c:pt idx="363">
                  <c:v>359.49899999999997</c:v>
                </c:pt>
                <c:pt idx="364">
                  <c:v>460.17199999999997</c:v>
                </c:pt>
                <c:pt idx="365">
                  <c:v>96.06</c:v>
                </c:pt>
                <c:pt idx="366">
                  <c:v>2493.8060000000005</c:v>
                </c:pt>
                <c:pt idx="367">
                  <c:v>99.450000000000017</c:v>
                </c:pt>
                <c:pt idx="368">
                  <c:v>473.65600000000006</c:v>
                </c:pt>
                <c:pt idx="369">
                  <c:v>62.059999999999995</c:v>
                </c:pt>
                <c:pt idx="370">
                  <c:v>840.56600000000014</c:v>
                </c:pt>
                <c:pt idx="371">
                  <c:v>1418.2659999999998</c:v>
                </c:pt>
                <c:pt idx="372">
                  <c:v>966.06600000000014</c:v>
                </c:pt>
                <c:pt idx="373">
                  <c:v>792.08400000000006</c:v>
                </c:pt>
                <c:pt idx="374">
                  <c:v>1055.1419999999998</c:v>
                </c:pt>
                <c:pt idx="375">
                  <c:v>4.9800000000000004</c:v>
                </c:pt>
                <c:pt idx="376">
                  <c:v>450.19399999999996</c:v>
                </c:pt>
                <c:pt idx="377">
                  <c:v>6.8480000000000008</c:v>
                </c:pt>
                <c:pt idx="378">
                  <c:v>1941.81</c:v>
                </c:pt>
                <c:pt idx="379">
                  <c:v>39.408000000000001</c:v>
                </c:pt>
                <c:pt idx="380">
                  <c:v>1778.9539999999997</c:v>
                </c:pt>
                <c:pt idx="381">
                  <c:v>1779.722</c:v>
                </c:pt>
                <c:pt idx="382">
                  <c:v>1240.46</c:v>
                </c:pt>
                <c:pt idx="383">
                  <c:v>1127.6999999999998</c:v>
                </c:pt>
                <c:pt idx="384">
                  <c:v>3251.3400000000006</c:v>
                </c:pt>
                <c:pt idx="385">
                  <c:v>487.98400000000004</c:v>
                </c:pt>
                <c:pt idx="386">
                  <c:v>114.46</c:v>
                </c:pt>
                <c:pt idx="387">
                  <c:v>34.58</c:v>
                </c:pt>
                <c:pt idx="388">
                  <c:v>727.87800000000004</c:v>
                </c:pt>
                <c:pt idx="389">
                  <c:v>174.75</c:v>
                </c:pt>
                <c:pt idx="390">
                  <c:v>102.218</c:v>
                </c:pt>
                <c:pt idx="391">
                  <c:v>1167.056</c:v>
                </c:pt>
                <c:pt idx="392">
                  <c:v>187.91000000000003</c:v>
                </c:pt>
                <c:pt idx="393">
                  <c:v>59.99</c:v>
                </c:pt>
                <c:pt idx="394">
                  <c:v>39.68</c:v>
                </c:pt>
                <c:pt idx="395">
                  <c:v>883.00800000000015</c:v>
                </c:pt>
                <c:pt idx="396">
                  <c:v>166.29200000000003</c:v>
                </c:pt>
                <c:pt idx="397">
                  <c:v>105.52</c:v>
                </c:pt>
                <c:pt idx="398">
                  <c:v>107.38800000000001</c:v>
                </c:pt>
                <c:pt idx="399">
                  <c:v>918.96599999999989</c:v>
                </c:pt>
                <c:pt idx="400">
                  <c:v>623.96</c:v>
                </c:pt>
                <c:pt idx="401">
                  <c:v>121.83</c:v>
                </c:pt>
                <c:pt idx="402">
                  <c:v>146.82</c:v>
                </c:pt>
                <c:pt idx="403">
                  <c:v>70.88</c:v>
                </c:pt>
                <c:pt idx="404">
                  <c:v>511.94799999999998</c:v>
                </c:pt>
                <c:pt idx="405">
                  <c:v>492.85</c:v>
                </c:pt>
                <c:pt idx="406">
                  <c:v>159.98400000000001</c:v>
                </c:pt>
                <c:pt idx="407">
                  <c:v>60.629999999999995</c:v>
                </c:pt>
                <c:pt idx="408">
                  <c:v>16.989999999999998</c:v>
                </c:pt>
                <c:pt idx="409">
                  <c:v>9.7020000000000017</c:v>
                </c:pt>
                <c:pt idx="410">
                  <c:v>7662.9580000000005</c:v>
                </c:pt>
                <c:pt idx="411">
                  <c:v>1652.3420000000001</c:v>
                </c:pt>
                <c:pt idx="412">
                  <c:v>5353.1580000000004</c:v>
                </c:pt>
                <c:pt idx="413">
                  <c:v>238.68799999999999</c:v>
                </c:pt>
                <c:pt idx="414">
                  <c:v>1356.5760000000002</c:v>
                </c:pt>
                <c:pt idx="415">
                  <c:v>84.784000000000006</c:v>
                </c:pt>
                <c:pt idx="416">
                  <c:v>72.294000000000011</c:v>
                </c:pt>
                <c:pt idx="417">
                  <c:v>132.709</c:v>
                </c:pt>
                <c:pt idx="418">
                  <c:v>226.46800000000002</c:v>
                </c:pt>
                <c:pt idx="419">
                  <c:v>403.16800000000001</c:v>
                </c:pt>
                <c:pt idx="420">
                  <c:v>34.68</c:v>
                </c:pt>
                <c:pt idx="421">
                  <c:v>93.9</c:v>
                </c:pt>
                <c:pt idx="422">
                  <c:v>61.704000000000008</c:v>
                </c:pt>
                <c:pt idx="423">
                  <c:v>1199.9760000000001</c:v>
                </c:pt>
                <c:pt idx="424">
                  <c:v>122.66000000000001</c:v>
                </c:pt>
                <c:pt idx="425">
                  <c:v>592.01699999999994</c:v>
                </c:pt>
                <c:pt idx="426">
                  <c:v>928.12200000000007</c:v>
                </c:pt>
                <c:pt idx="427">
                  <c:v>901.91200000000026</c:v>
                </c:pt>
                <c:pt idx="428">
                  <c:v>6.12</c:v>
                </c:pt>
                <c:pt idx="429">
                  <c:v>1360.3119999999999</c:v>
                </c:pt>
                <c:pt idx="430">
                  <c:v>1265.268</c:v>
                </c:pt>
                <c:pt idx="431">
                  <c:v>28.799999999999997</c:v>
                </c:pt>
                <c:pt idx="432">
                  <c:v>257.49900000000002</c:v>
                </c:pt>
                <c:pt idx="433">
                  <c:v>156.51600000000002</c:v>
                </c:pt>
                <c:pt idx="434">
                  <c:v>8.32</c:v>
                </c:pt>
                <c:pt idx="435">
                  <c:v>1619.8829999999996</c:v>
                </c:pt>
                <c:pt idx="436">
                  <c:v>441.56799999999998</c:v>
                </c:pt>
                <c:pt idx="437">
                  <c:v>1348.404</c:v>
                </c:pt>
                <c:pt idx="438">
                  <c:v>71.040000000000006</c:v>
                </c:pt>
                <c:pt idx="439">
                  <c:v>111.88800000000001</c:v>
                </c:pt>
                <c:pt idx="440">
                  <c:v>2320.34</c:v>
                </c:pt>
                <c:pt idx="441">
                  <c:v>41.6</c:v>
                </c:pt>
                <c:pt idx="442">
                  <c:v>17.940000000000001</c:v>
                </c:pt>
                <c:pt idx="443">
                  <c:v>126.02000000000001</c:v>
                </c:pt>
                <c:pt idx="444">
                  <c:v>11.96</c:v>
                </c:pt>
                <c:pt idx="445">
                  <c:v>5.98</c:v>
                </c:pt>
                <c:pt idx="446">
                  <c:v>183.57</c:v>
                </c:pt>
                <c:pt idx="447">
                  <c:v>185.52800000000002</c:v>
                </c:pt>
                <c:pt idx="448">
                  <c:v>327.9</c:v>
                </c:pt>
                <c:pt idx="449">
                  <c:v>122.22</c:v>
                </c:pt>
                <c:pt idx="450">
                  <c:v>97.424000000000007</c:v>
                </c:pt>
                <c:pt idx="451">
                  <c:v>1105.259</c:v>
                </c:pt>
                <c:pt idx="452">
                  <c:v>2517.8360000000002</c:v>
                </c:pt>
                <c:pt idx="453">
                  <c:v>222.38400000000001</c:v>
                </c:pt>
                <c:pt idx="454">
                  <c:v>37.049999999999997</c:v>
                </c:pt>
                <c:pt idx="455">
                  <c:v>1119.1480000000001</c:v>
                </c:pt>
                <c:pt idx="456">
                  <c:v>13.38</c:v>
                </c:pt>
                <c:pt idx="457">
                  <c:v>1157.68</c:v>
                </c:pt>
                <c:pt idx="458">
                  <c:v>1081.028</c:v>
                </c:pt>
                <c:pt idx="459">
                  <c:v>93.06</c:v>
                </c:pt>
                <c:pt idx="460">
                  <c:v>71.088000000000008</c:v>
                </c:pt>
                <c:pt idx="461">
                  <c:v>141.172</c:v>
                </c:pt>
                <c:pt idx="462">
                  <c:v>3650.4380000000001</c:v>
                </c:pt>
                <c:pt idx="463">
                  <c:v>9.5140000000000011</c:v>
                </c:pt>
                <c:pt idx="464">
                  <c:v>299.83199999999999</c:v>
                </c:pt>
                <c:pt idx="465">
                  <c:v>1388.7800000000002</c:v>
                </c:pt>
                <c:pt idx="466">
                  <c:v>1361.2860000000001</c:v>
                </c:pt>
                <c:pt idx="467">
                  <c:v>213.46</c:v>
                </c:pt>
                <c:pt idx="468">
                  <c:v>3061.5230000000001</c:v>
                </c:pt>
                <c:pt idx="469">
                  <c:v>46.349999999999994</c:v>
                </c:pt>
                <c:pt idx="470">
                  <c:v>1343.454</c:v>
                </c:pt>
                <c:pt idx="471">
                  <c:v>17.12</c:v>
                </c:pt>
                <c:pt idx="472">
                  <c:v>453.80000000000007</c:v>
                </c:pt>
                <c:pt idx="473">
                  <c:v>997.93400000000008</c:v>
                </c:pt>
                <c:pt idx="474">
                  <c:v>4861.33</c:v>
                </c:pt>
                <c:pt idx="475">
                  <c:v>60.81</c:v>
                </c:pt>
                <c:pt idx="476">
                  <c:v>284.24</c:v>
                </c:pt>
                <c:pt idx="477">
                  <c:v>201.584</c:v>
                </c:pt>
                <c:pt idx="478">
                  <c:v>41.320000000000007</c:v>
                </c:pt>
                <c:pt idx="479">
                  <c:v>1502.4460000000001</c:v>
                </c:pt>
                <c:pt idx="480">
                  <c:v>195.184</c:v>
                </c:pt>
                <c:pt idx="481">
                  <c:v>16.920000000000002</c:v>
                </c:pt>
                <c:pt idx="482">
                  <c:v>1651.3009999999999</c:v>
                </c:pt>
                <c:pt idx="483">
                  <c:v>3411.4580000000005</c:v>
                </c:pt>
                <c:pt idx="484">
                  <c:v>852.35200000000009</c:v>
                </c:pt>
                <c:pt idx="485">
                  <c:v>61.624000000000009</c:v>
                </c:pt>
                <c:pt idx="486">
                  <c:v>95.76</c:v>
                </c:pt>
                <c:pt idx="487">
                  <c:v>673.66</c:v>
                </c:pt>
                <c:pt idx="488">
                  <c:v>380.20000000000005</c:v>
                </c:pt>
                <c:pt idx="489">
                  <c:v>734.28000000000009</c:v>
                </c:pt>
                <c:pt idx="490">
                  <c:v>2421.6320000000005</c:v>
                </c:pt>
                <c:pt idx="491">
                  <c:v>425.95400000000001</c:v>
                </c:pt>
                <c:pt idx="492">
                  <c:v>423.05</c:v>
                </c:pt>
                <c:pt idx="493">
                  <c:v>92.499999999999986</c:v>
                </c:pt>
                <c:pt idx="494">
                  <c:v>744.89399999999989</c:v>
                </c:pt>
                <c:pt idx="495">
                  <c:v>18.899999999999999</c:v>
                </c:pt>
                <c:pt idx="496">
                  <c:v>715.64</c:v>
                </c:pt>
                <c:pt idx="497">
                  <c:v>863.12800000000004</c:v>
                </c:pt>
                <c:pt idx="498">
                  <c:v>1085.6880000000001</c:v>
                </c:pt>
                <c:pt idx="499">
                  <c:v>482.58400000000006</c:v>
                </c:pt>
                <c:pt idx="500">
                  <c:v>335.12</c:v>
                </c:pt>
                <c:pt idx="501">
                  <c:v>211.16800000000001</c:v>
                </c:pt>
                <c:pt idx="502">
                  <c:v>179.97</c:v>
                </c:pt>
                <c:pt idx="503">
                  <c:v>1016.184</c:v>
                </c:pt>
                <c:pt idx="504">
                  <c:v>121.09199999999998</c:v>
                </c:pt>
                <c:pt idx="505">
                  <c:v>749.42600000000004</c:v>
                </c:pt>
                <c:pt idx="506">
                  <c:v>204.54</c:v>
                </c:pt>
                <c:pt idx="507">
                  <c:v>15.712000000000002</c:v>
                </c:pt>
                <c:pt idx="508">
                  <c:v>3372.5620000000004</c:v>
                </c:pt>
                <c:pt idx="509">
                  <c:v>149.88</c:v>
                </c:pt>
                <c:pt idx="510">
                  <c:v>1599.864</c:v>
                </c:pt>
                <c:pt idx="511">
                  <c:v>1783.0060000000001</c:v>
                </c:pt>
                <c:pt idx="512">
                  <c:v>124.056</c:v>
                </c:pt>
                <c:pt idx="513">
                  <c:v>387.00000000000006</c:v>
                </c:pt>
                <c:pt idx="514">
                  <c:v>34.659999999999997</c:v>
                </c:pt>
                <c:pt idx="515">
                  <c:v>3132.6740000000004</c:v>
                </c:pt>
                <c:pt idx="516">
                  <c:v>2824.2300000000005</c:v>
                </c:pt>
                <c:pt idx="517">
                  <c:v>228.12</c:v>
                </c:pt>
                <c:pt idx="518">
                  <c:v>631.06000000000006</c:v>
                </c:pt>
                <c:pt idx="519">
                  <c:v>55.360000000000007</c:v>
                </c:pt>
                <c:pt idx="520">
                  <c:v>420.02400000000006</c:v>
                </c:pt>
                <c:pt idx="521">
                  <c:v>3761.0079999999998</c:v>
                </c:pt>
                <c:pt idx="522">
                  <c:v>775.73200000000008</c:v>
                </c:pt>
                <c:pt idx="523">
                  <c:v>1254.27</c:v>
                </c:pt>
                <c:pt idx="524">
                  <c:v>304.10599999999999</c:v>
                </c:pt>
                <c:pt idx="525">
                  <c:v>331.95600000000002</c:v>
                </c:pt>
                <c:pt idx="526">
                  <c:v>2295.9900000000002</c:v>
                </c:pt>
                <c:pt idx="527">
                  <c:v>187</c:v>
                </c:pt>
                <c:pt idx="528">
                  <c:v>639.57399999999996</c:v>
                </c:pt>
                <c:pt idx="529">
                  <c:v>68.432000000000016</c:v>
                </c:pt>
                <c:pt idx="530">
                  <c:v>234.62800000000001</c:v>
                </c:pt>
                <c:pt idx="531">
                  <c:v>1547.4960000000001</c:v>
                </c:pt>
                <c:pt idx="532">
                  <c:v>2011.5490000000002</c:v>
                </c:pt>
                <c:pt idx="533">
                  <c:v>929.27749999999992</c:v>
                </c:pt>
                <c:pt idx="534">
                  <c:v>1001.5840000000001</c:v>
                </c:pt>
                <c:pt idx="535">
                  <c:v>952.14600000000007</c:v>
                </c:pt>
                <c:pt idx="536">
                  <c:v>194.84800000000001</c:v>
                </c:pt>
                <c:pt idx="537">
                  <c:v>54.792000000000009</c:v>
                </c:pt>
                <c:pt idx="538">
                  <c:v>1027.6759999999999</c:v>
                </c:pt>
                <c:pt idx="539">
                  <c:v>801.55000000000007</c:v>
                </c:pt>
                <c:pt idx="540">
                  <c:v>968.78399999999988</c:v>
                </c:pt>
                <c:pt idx="541">
                  <c:v>61.96</c:v>
                </c:pt>
                <c:pt idx="542">
                  <c:v>170.976</c:v>
                </c:pt>
                <c:pt idx="543">
                  <c:v>227.65800000000002</c:v>
                </c:pt>
                <c:pt idx="544">
                  <c:v>1008.6060000000001</c:v>
                </c:pt>
                <c:pt idx="545">
                  <c:v>177</c:v>
                </c:pt>
                <c:pt idx="546">
                  <c:v>219.11999999999998</c:v>
                </c:pt>
                <c:pt idx="547">
                  <c:v>138.82599999999999</c:v>
                </c:pt>
                <c:pt idx="548">
                  <c:v>307.92</c:v>
                </c:pt>
                <c:pt idx="549">
                  <c:v>406.43200000000002</c:v>
                </c:pt>
                <c:pt idx="550">
                  <c:v>5477.8420000000015</c:v>
                </c:pt>
                <c:pt idx="551">
                  <c:v>116.96</c:v>
                </c:pt>
                <c:pt idx="552">
                  <c:v>17.05</c:v>
                </c:pt>
                <c:pt idx="553">
                  <c:v>1109.97</c:v>
                </c:pt>
                <c:pt idx="554">
                  <c:v>136.08800000000002</c:v>
                </c:pt>
                <c:pt idx="555">
                  <c:v>495.93199999999996</c:v>
                </c:pt>
                <c:pt idx="556">
                  <c:v>11.744</c:v>
                </c:pt>
                <c:pt idx="557">
                  <c:v>3.62</c:v>
                </c:pt>
                <c:pt idx="558">
                  <c:v>2489.34</c:v>
                </c:pt>
                <c:pt idx="559">
                  <c:v>2244.4230000000002</c:v>
                </c:pt>
                <c:pt idx="560">
                  <c:v>2643.17</c:v>
                </c:pt>
                <c:pt idx="561">
                  <c:v>906.10600000000011</c:v>
                </c:pt>
                <c:pt idx="562">
                  <c:v>404.82400000000007</c:v>
                </c:pt>
                <c:pt idx="563">
                  <c:v>2286.4859999999999</c:v>
                </c:pt>
                <c:pt idx="564">
                  <c:v>479.97</c:v>
                </c:pt>
                <c:pt idx="565">
                  <c:v>1778.298</c:v>
                </c:pt>
                <c:pt idx="566">
                  <c:v>531.57599999999991</c:v>
                </c:pt>
                <c:pt idx="567">
                  <c:v>920.95</c:v>
                </c:pt>
                <c:pt idx="568">
                  <c:v>67.740000000000009</c:v>
                </c:pt>
                <c:pt idx="569">
                  <c:v>17.22</c:v>
                </c:pt>
                <c:pt idx="570">
                  <c:v>1515.694</c:v>
                </c:pt>
                <c:pt idx="571">
                  <c:v>36.72</c:v>
                </c:pt>
                <c:pt idx="572">
                  <c:v>60.276000000000003</c:v>
                </c:pt>
                <c:pt idx="573">
                  <c:v>785.15200000000004</c:v>
                </c:pt>
                <c:pt idx="574">
                  <c:v>31.96</c:v>
                </c:pt>
                <c:pt idx="575">
                  <c:v>66.88</c:v>
                </c:pt>
                <c:pt idx="576">
                  <c:v>227.536</c:v>
                </c:pt>
                <c:pt idx="577">
                  <c:v>4300.3860000000004</c:v>
                </c:pt>
                <c:pt idx="578">
                  <c:v>194.35200000000003</c:v>
                </c:pt>
                <c:pt idx="579">
                  <c:v>4111.4859999999999</c:v>
                </c:pt>
                <c:pt idx="580">
                  <c:v>311.8</c:v>
                </c:pt>
                <c:pt idx="581">
                  <c:v>1255.5</c:v>
                </c:pt>
                <c:pt idx="582">
                  <c:v>468.95800000000003</c:v>
                </c:pt>
                <c:pt idx="583">
                  <c:v>3079.5400000000004</c:v>
                </c:pt>
                <c:pt idx="584">
                  <c:v>104.85</c:v>
                </c:pt>
                <c:pt idx="585">
                  <c:v>407.97600000000006</c:v>
                </c:pt>
                <c:pt idx="586">
                  <c:v>2207.1959999999999</c:v>
                </c:pt>
                <c:pt idx="587">
                  <c:v>1862.0140000000001</c:v>
                </c:pt>
                <c:pt idx="588">
                  <c:v>273.92</c:v>
                </c:pt>
                <c:pt idx="589">
                  <c:v>824.51</c:v>
                </c:pt>
                <c:pt idx="590">
                  <c:v>3638.9719999999998</c:v>
                </c:pt>
                <c:pt idx="591">
                  <c:v>440.15999999999997</c:v>
                </c:pt>
                <c:pt idx="592">
                  <c:v>1130.2079999999999</c:v>
                </c:pt>
                <c:pt idx="593">
                  <c:v>216.22400000000002</c:v>
                </c:pt>
                <c:pt idx="594">
                  <c:v>666.12299999999993</c:v>
                </c:pt>
                <c:pt idx="595">
                  <c:v>585.13</c:v>
                </c:pt>
                <c:pt idx="596">
                  <c:v>2074.9540000000002</c:v>
                </c:pt>
                <c:pt idx="597">
                  <c:v>2364.4440000000004</c:v>
                </c:pt>
                <c:pt idx="598">
                  <c:v>471.62400000000002</c:v>
                </c:pt>
                <c:pt idx="599">
                  <c:v>1017.5440000000001</c:v>
                </c:pt>
                <c:pt idx="600">
                  <c:v>1506.02</c:v>
                </c:pt>
                <c:pt idx="601">
                  <c:v>117.12</c:v>
                </c:pt>
                <c:pt idx="602">
                  <c:v>5820.4489999999996</c:v>
                </c:pt>
                <c:pt idx="603">
                  <c:v>1495.0260000000001</c:v>
                </c:pt>
                <c:pt idx="604">
                  <c:v>20.16</c:v>
                </c:pt>
                <c:pt idx="605">
                  <c:v>81.01400000000001</c:v>
                </c:pt>
                <c:pt idx="606">
                  <c:v>487.70400000000001</c:v>
                </c:pt>
                <c:pt idx="607">
                  <c:v>504.15999999999997</c:v>
                </c:pt>
                <c:pt idx="608">
                  <c:v>474.43</c:v>
                </c:pt>
                <c:pt idx="609">
                  <c:v>16.59</c:v>
                </c:pt>
                <c:pt idx="610">
                  <c:v>2070.2719999999999</c:v>
                </c:pt>
                <c:pt idx="611">
                  <c:v>332.8</c:v>
                </c:pt>
                <c:pt idx="612">
                  <c:v>892.98</c:v>
                </c:pt>
                <c:pt idx="613">
                  <c:v>9.7799999999999994</c:v>
                </c:pt>
                <c:pt idx="614">
                  <c:v>492.58799999999997</c:v>
                </c:pt>
                <c:pt idx="615">
                  <c:v>21.400000000000002</c:v>
                </c:pt>
                <c:pt idx="616">
                  <c:v>427.59200000000004</c:v>
                </c:pt>
                <c:pt idx="617">
                  <c:v>544.952</c:v>
                </c:pt>
                <c:pt idx="618">
                  <c:v>654.24200000000008</c:v>
                </c:pt>
                <c:pt idx="619">
                  <c:v>4189.3799999999992</c:v>
                </c:pt>
                <c:pt idx="620">
                  <c:v>239.35400000000001</c:v>
                </c:pt>
                <c:pt idx="621">
                  <c:v>412.99600000000009</c:v>
                </c:pt>
                <c:pt idx="622">
                  <c:v>11.84</c:v>
                </c:pt>
                <c:pt idx="623">
                  <c:v>277.70999999999998</c:v>
                </c:pt>
                <c:pt idx="624">
                  <c:v>136.52600000000001</c:v>
                </c:pt>
                <c:pt idx="625">
                  <c:v>876.41200000000003</c:v>
                </c:pt>
                <c:pt idx="626">
                  <c:v>753.62400000000014</c:v>
                </c:pt>
                <c:pt idx="627">
                  <c:v>2011.8999999999999</c:v>
                </c:pt>
                <c:pt idx="628">
                  <c:v>29.900000000000002</c:v>
                </c:pt>
                <c:pt idx="629">
                  <c:v>376.02000000000004</c:v>
                </c:pt>
                <c:pt idx="630">
                  <c:v>203.98299999999998</c:v>
                </c:pt>
                <c:pt idx="631">
                  <c:v>1073.248</c:v>
                </c:pt>
                <c:pt idx="632">
                  <c:v>914.12</c:v>
                </c:pt>
                <c:pt idx="633">
                  <c:v>287.32599999999996</c:v>
                </c:pt>
                <c:pt idx="634">
                  <c:v>68.73</c:v>
                </c:pt>
                <c:pt idx="635">
                  <c:v>1130.6199999999999</c:v>
                </c:pt>
                <c:pt idx="636">
                  <c:v>117.79999999999998</c:v>
                </c:pt>
                <c:pt idx="637">
                  <c:v>2847.6459999999997</c:v>
                </c:pt>
                <c:pt idx="638">
                  <c:v>784.36399999999992</c:v>
                </c:pt>
                <c:pt idx="639">
                  <c:v>1619.4640000000002</c:v>
                </c:pt>
                <c:pt idx="640">
                  <c:v>24.57</c:v>
                </c:pt>
                <c:pt idx="641">
                  <c:v>611.47</c:v>
                </c:pt>
                <c:pt idx="642">
                  <c:v>174.56000000000003</c:v>
                </c:pt>
                <c:pt idx="643">
                  <c:v>710.80400000000009</c:v>
                </c:pt>
                <c:pt idx="644">
                  <c:v>111.96</c:v>
                </c:pt>
                <c:pt idx="645">
                  <c:v>242.94</c:v>
                </c:pt>
                <c:pt idx="646">
                  <c:v>2427.1320000000001</c:v>
                </c:pt>
                <c:pt idx="647">
                  <c:v>1253.9000000000003</c:v>
                </c:pt>
                <c:pt idx="648">
                  <c:v>17.456</c:v>
                </c:pt>
                <c:pt idx="649">
                  <c:v>170.36</c:v>
                </c:pt>
                <c:pt idx="650">
                  <c:v>2128.3980000000001</c:v>
                </c:pt>
                <c:pt idx="651">
                  <c:v>265.93</c:v>
                </c:pt>
                <c:pt idx="652">
                  <c:v>1170.336</c:v>
                </c:pt>
                <c:pt idx="653">
                  <c:v>14299.08</c:v>
                </c:pt>
                <c:pt idx="654">
                  <c:v>1092.232</c:v>
                </c:pt>
                <c:pt idx="655">
                  <c:v>19.829999999999998</c:v>
                </c:pt>
                <c:pt idx="656">
                  <c:v>168.57999999999998</c:v>
                </c:pt>
                <c:pt idx="657">
                  <c:v>1435.96</c:v>
                </c:pt>
                <c:pt idx="658">
                  <c:v>265.07200000000006</c:v>
                </c:pt>
                <c:pt idx="659">
                  <c:v>29.700000000000003</c:v>
                </c:pt>
                <c:pt idx="660">
                  <c:v>5410.1079999999993</c:v>
                </c:pt>
                <c:pt idx="661">
                  <c:v>25.11</c:v>
                </c:pt>
                <c:pt idx="662">
                  <c:v>440.30999999999995</c:v>
                </c:pt>
                <c:pt idx="663">
                  <c:v>241.81</c:v>
                </c:pt>
                <c:pt idx="664">
                  <c:v>1337.904</c:v>
                </c:pt>
                <c:pt idx="665">
                  <c:v>275.58999999999997</c:v>
                </c:pt>
                <c:pt idx="666">
                  <c:v>349.49299999999999</c:v>
                </c:pt>
                <c:pt idx="667">
                  <c:v>3176.0110000000004</c:v>
                </c:pt>
                <c:pt idx="668">
                  <c:v>174.14000000000001</c:v>
                </c:pt>
                <c:pt idx="669">
                  <c:v>18.28</c:v>
                </c:pt>
                <c:pt idx="670">
                  <c:v>213.73199999999997</c:v>
                </c:pt>
                <c:pt idx="671">
                  <c:v>553.80999999999995</c:v>
                </c:pt>
                <c:pt idx="672">
                  <c:v>568.14499999999998</c:v>
                </c:pt>
                <c:pt idx="673">
                  <c:v>59.620000000000005</c:v>
                </c:pt>
                <c:pt idx="674">
                  <c:v>323.19000000000005</c:v>
                </c:pt>
                <c:pt idx="675">
                  <c:v>292.5</c:v>
                </c:pt>
                <c:pt idx="676">
                  <c:v>269.17999999999995</c:v>
                </c:pt>
                <c:pt idx="677">
                  <c:v>881.84</c:v>
                </c:pt>
                <c:pt idx="678">
                  <c:v>745.63400000000001</c:v>
                </c:pt>
                <c:pt idx="679">
                  <c:v>143.94300000000001</c:v>
                </c:pt>
                <c:pt idx="680">
                  <c:v>237.35599999999999</c:v>
                </c:pt>
                <c:pt idx="681">
                  <c:v>499.93399999999997</c:v>
                </c:pt>
                <c:pt idx="682">
                  <c:v>3441.0320000000002</c:v>
                </c:pt>
                <c:pt idx="683">
                  <c:v>805.99</c:v>
                </c:pt>
                <c:pt idx="684">
                  <c:v>311.041</c:v>
                </c:pt>
                <c:pt idx="685">
                  <c:v>551.03800000000001</c:v>
                </c:pt>
                <c:pt idx="686">
                  <c:v>58.48</c:v>
                </c:pt>
                <c:pt idx="687">
                  <c:v>1922.8000000000002</c:v>
                </c:pt>
                <c:pt idx="688">
                  <c:v>353.44</c:v>
                </c:pt>
                <c:pt idx="689">
                  <c:v>344.70400000000001</c:v>
                </c:pt>
                <c:pt idx="690">
                  <c:v>957.10800000000017</c:v>
                </c:pt>
                <c:pt idx="691">
                  <c:v>2064.7680000000005</c:v>
                </c:pt>
                <c:pt idx="692">
                  <c:v>130.63999999999999</c:v>
                </c:pt>
                <c:pt idx="693">
                  <c:v>171.28800000000001</c:v>
                </c:pt>
                <c:pt idx="694">
                  <c:v>12.96</c:v>
                </c:pt>
                <c:pt idx="695">
                  <c:v>944.12599999999998</c:v>
                </c:pt>
                <c:pt idx="696">
                  <c:v>483.48</c:v>
                </c:pt>
                <c:pt idx="697">
                  <c:v>278.36400000000003</c:v>
                </c:pt>
                <c:pt idx="698">
                  <c:v>69.26400000000001</c:v>
                </c:pt>
                <c:pt idx="699">
                  <c:v>1296.3820000000001</c:v>
                </c:pt>
                <c:pt idx="700">
                  <c:v>31.35</c:v>
                </c:pt>
                <c:pt idx="701">
                  <c:v>1712.4859999999999</c:v>
                </c:pt>
                <c:pt idx="702">
                  <c:v>970.74099999999987</c:v>
                </c:pt>
                <c:pt idx="703">
                  <c:v>1572.5620000000004</c:v>
                </c:pt>
                <c:pt idx="704">
                  <c:v>91.415999999999997</c:v>
                </c:pt>
                <c:pt idx="705">
                  <c:v>291.13600000000002</c:v>
                </c:pt>
                <c:pt idx="706">
                  <c:v>172.196</c:v>
                </c:pt>
                <c:pt idx="707">
                  <c:v>1459.7800000000002</c:v>
                </c:pt>
                <c:pt idx="708">
                  <c:v>366.94400000000002</c:v>
                </c:pt>
                <c:pt idx="709">
                  <c:v>956.80349999999987</c:v>
                </c:pt>
                <c:pt idx="710">
                  <c:v>74.88</c:v>
                </c:pt>
                <c:pt idx="711">
                  <c:v>520.22</c:v>
                </c:pt>
                <c:pt idx="712">
                  <c:v>959.08799999999997</c:v>
                </c:pt>
                <c:pt idx="713">
                  <c:v>515.6880000000001</c:v>
                </c:pt>
                <c:pt idx="714">
                  <c:v>1433.19</c:v>
                </c:pt>
                <c:pt idx="715">
                  <c:v>2708.9519999999998</c:v>
                </c:pt>
                <c:pt idx="716">
                  <c:v>716.7410000000001</c:v>
                </c:pt>
                <c:pt idx="717">
                  <c:v>4914.1320000000005</c:v>
                </c:pt>
                <c:pt idx="718">
                  <c:v>122.13600000000001</c:v>
                </c:pt>
                <c:pt idx="719">
                  <c:v>5.9399999999999995</c:v>
                </c:pt>
                <c:pt idx="720">
                  <c:v>1465.5239999999999</c:v>
                </c:pt>
                <c:pt idx="721">
                  <c:v>1.0800000000000003</c:v>
                </c:pt>
                <c:pt idx="722">
                  <c:v>1565.972</c:v>
                </c:pt>
                <c:pt idx="723">
                  <c:v>988.20400000000006</c:v>
                </c:pt>
                <c:pt idx="724">
                  <c:v>1775.009</c:v>
                </c:pt>
                <c:pt idx="725">
                  <c:v>1298.896</c:v>
                </c:pt>
                <c:pt idx="726">
                  <c:v>2019.6180000000004</c:v>
                </c:pt>
                <c:pt idx="727">
                  <c:v>73.512</c:v>
                </c:pt>
                <c:pt idx="728">
                  <c:v>2399.96</c:v>
                </c:pt>
                <c:pt idx="729">
                  <c:v>2012.3020000000001</c:v>
                </c:pt>
                <c:pt idx="730">
                  <c:v>297.99</c:v>
                </c:pt>
                <c:pt idx="731">
                  <c:v>1170.5640000000001</c:v>
                </c:pt>
                <c:pt idx="732">
                  <c:v>206.53</c:v>
                </c:pt>
                <c:pt idx="733">
                  <c:v>356.65</c:v>
                </c:pt>
                <c:pt idx="734">
                  <c:v>93.52000000000001</c:v>
                </c:pt>
                <c:pt idx="735">
                  <c:v>241.43600000000001</c:v>
                </c:pt>
                <c:pt idx="736">
                  <c:v>291.64000000000004</c:v>
                </c:pt>
                <c:pt idx="737">
                  <c:v>16.752000000000002</c:v>
                </c:pt>
                <c:pt idx="738">
                  <c:v>2981.5839999999998</c:v>
                </c:pt>
                <c:pt idx="739">
                  <c:v>1655.028</c:v>
                </c:pt>
                <c:pt idx="740">
                  <c:v>242.69400000000002</c:v>
                </c:pt>
                <c:pt idx="741">
                  <c:v>440.73599999999993</c:v>
                </c:pt>
                <c:pt idx="742">
                  <c:v>3397.7319999999995</c:v>
                </c:pt>
                <c:pt idx="743">
                  <c:v>6522.6480000000001</c:v>
                </c:pt>
                <c:pt idx="744">
                  <c:v>102.72</c:v>
                </c:pt>
                <c:pt idx="745">
                  <c:v>616.69999999999993</c:v>
                </c:pt>
                <c:pt idx="746">
                  <c:v>2865.0140000000001</c:v>
                </c:pt>
                <c:pt idx="747">
                  <c:v>210.00800000000001</c:v>
                </c:pt>
                <c:pt idx="748">
                  <c:v>3092.3680000000004</c:v>
                </c:pt>
                <c:pt idx="749">
                  <c:v>1278.1579999999999</c:v>
                </c:pt>
                <c:pt idx="750">
                  <c:v>148.02000000000001</c:v>
                </c:pt>
                <c:pt idx="751">
                  <c:v>1634.6560000000002</c:v>
                </c:pt>
                <c:pt idx="752">
                  <c:v>648.65000000000009</c:v>
                </c:pt>
                <c:pt idx="753">
                  <c:v>1476.9940000000001</c:v>
                </c:pt>
                <c:pt idx="754">
                  <c:v>613.15599999999995</c:v>
                </c:pt>
                <c:pt idx="755">
                  <c:v>4156.8</c:v>
                </c:pt>
                <c:pt idx="756">
                  <c:v>2.78</c:v>
                </c:pt>
                <c:pt idx="757">
                  <c:v>1269.1210000000001</c:v>
                </c:pt>
                <c:pt idx="758">
                  <c:v>606.47800000000007</c:v>
                </c:pt>
                <c:pt idx="759">
                  <c:v>369.536</c:v>
                </c:pt>
                <c:pt idx="760">
                  <c:v>4511.9720000000007</c:v>
                </c:pt>
                <c:pt idx="761">
                  <c:v>174.8</c:v>
                </c:pt>
                <c:pt idx="762">
                  <c:v>56.699999999999996</c:v>
                </c:pt>
                <c:pt idx="763">
                  <c:v>4479.3639999999996</c:v>
                </c:pt>
                <c:pt idx="764">
                  <c:v>32.700000000000003</c:v>
                </c:pt>
                <c:pt idx="765">
                  <c:v>1885.0340000000003</c:v>
                </c:pt>
                <c:pt idx="766">
                  <c:v>274.8</c:v>
                </c:pt>
                <c:pt idx="767">
                  <c:v>1479.93</c:v>
                </c:pt>
                <c:pt idx="768">
                  <c:v>223.32999999999998</c:v>
                </c:pt>
                <c:pt idx="769">
                  <c:v>49.14</c:v>
                </c:pt>
                <c:pt idx="770">
                  <c:v>1496.1320000000001</c:v>
                </c:pt>
                <c:pt idx="771">
                  <c:v>1603.6599999999999</c:v>
                </c:pt>
                <c:pt idx="772">
                  <c:v>39.900000000000006</c:v>
                </c:pt>
                <c:pt idx="773">
                  <c:v>1067.44</c:v>
                </c:pt>
                <c:pt idx="774">
                  <c:v>544.50400000000002</c:v>
                </c:pt>
                <c:pt idx="775">
                  <c:v>500.54600000000005</c:v>
                </c:pt>
                <c:pt idx="776">
                  <c:v>343.56999999999994</c:v>
                </c:pt>
                <c:pt idx="777">
                  <c:v>1162.0540000000001</c:v>
                </c:pt>
                <c:pt idx="778">
                  <c:v>2542.2219999999998</c:v>
                </c:pt>
                <c:pt idx="779">
                  <c:v>171.28800000000001</c:v>
                </c:pt>
                <c:pt idx="780">
                  <c:v>938.75199999999995</c:v>
                </c:pt>
                <c:pt idx="781">
                  <c:v>317.084</c:v>
                </c:pt>
                <c:pt idx="782">
                  <c:v>1632.2399999999998</c:v>
                </c:pt>
                <c:pt idx="783">
                  <c:v>419.83200000000005</c:v>
                </c:pt>
                <c:pt idx="784">
                  <c:v>35.200000000000003</c:v>
                </c:pt>
                <c:pt idx="785">
                  <c:v>1219.4220000000003</c:v>
                </c:pt>
                <c:pt idx="786">
                  <c:v>5325.884</c:v>
                </c:pt>
                <c:pt idx="787">
                  <c:v>55.82</c:v>
                </c:pt>
                <c:pt idx="788">
                  <c:v>1004.89</c:v>
                </c:pt>
                <c:pt idx="789">
                  <c:v>907.76100000000019</c:v>
                </c:pt>
                <c:pt idx="790">
                  <c:v>63.432000000000002</c:v>
                </c:pt>
                <c:pt idx="791">
                  <c:v>135.012</c:v>
                </c:pt>
                <c:pt idx="792">
                  <c:v>24.678000000000001</c:v>
                </c:pt>
                <c:pt idx="793">
                  <c:v>520.62300000000005</c:v>
                </c:pt>
                <c:pt idx="794">
                  <c:v>759.529</c:v>
                </c:pt>
                <c:pt idx="795">
                  <c:v>958.82500000000005</c:v>
                </c:pt>
                <c:pt idx="796">
                  <c:v>3017.8879999999999</c:v>
                </c:pt>
                <c:pt idx="797">
                  <c:v>2690.74</c:v>
                </c:pt>
                <c:pt idx="798">
                  <c:v>1370.2719999999999</c:v>
                </c:pt>
                <c:pt idx="799">
                  <c:v>2945.4159999999997</c:v>
                </c:pt>
                <c:pt idx="800">
                  <c:v>419.33</c:v>
                </c:pt>
                <c:pt idx="801">
                  <c:v>2820.8100000000004</c:v>
                </c:pt>
                <c:pt idx="802">
                  <c:v>1283.1060000000002</c:v>
                </c:pt>
                <c:pt idx="803">
                  <c:v>950.03800000000001</c:v>
                </c:pt>
                <c:pt idx="804">
                  <c:v>2292.0120000000002</c:v>
                </c:pt>
                <c:pt idx="805">
                  <c:v>186.85000000000002</c:v>
                </c:pt>
                <c:pt idx="806">
                  <c:v>1212.0280000000005</c:v>
                </c:pt>
                <c:pt idx="807">
                  <c:v>3426.2279999999996</c:v>
                </c:pt>
                <c:pt idx="808">
                  <c:v>355.80799999999999</c:v>
                </c:pt>
                <c:pt idx="809">
                  <c:v>3307.9160000000006</c:v>
                </c:pt>
                <c:pt idx="810">
                  <c:v>37.67</c:v>
                </c:pt>
                <c:pt idx="811">
                  <c:v>409.548</c:v>
                </c:pt>
                <c:pt idx="812">
                  <c:v>355.678</c:v>
                </c:pt>
                <c:pt idx="813">
                  <c:v>410.57600000000002</c:v>
                </c:pt>
                <c:pt idx="814">
                  <c:v>2105.8440000000001</c:v>
                </c:pt>
                <c:pt idx="815">
                  <c:v>1130.884</c:v>
                </c:pt>
                <c:pt idx="816">
                  <c:v>449.17899999999997</c:v>
                </c:pt>
                <c:pt idx="817">
                  <c:v>604.60599999999999</c:v>
                </c:pt>
                <c:pt idx="818">
                  <c:v>151.41800000000001</c:v>
                </c:pt>
                <c:pt idx="819">
                  <c:v>25.83</c:v>
                </c:pt>
                <c:pt idx="820">
                  <c:v>2517.0509999999999</c:v>
                </c:pt>
                <c:pt idx="821">
                  <c:v>4219.4219999999996</c:v>
                </c:pt>
                <c:pt idx="822">
                  <c:v>994.76000000000022</c:v>
                </c:pt>
                <c:pt idx="823">
                  <c:v>11.76</c:v>
                </c:pt>
                <c:pt idx="824">
                  <c:v>629.77600000000007</c:v>
                </c:pt>
                <c:pt idx="825">
                  <c:v>10.68</c:v>
                </c:pt>
                <c:pt idx="826">
                  <c:v>424.41600000000005</c:v>
                </c:pt>
                <c:pt idx="827">
                  <c:v>4487.3809999999994</c:v>
                </c:pt>
                <c:pt idx="828">
                  <c:v>2121.9180000000001</c:v>
                </c:pt>
                <c:pt idx="829">
                  <c:v>2256.1239999999998</c:v>
                </c:pt>
                <c:pt idx="830">
                  <c:v>292.95999999999998</c:v>
                </c:pt>
                <c:pt idx="831">
                  <c:v>134.91</c:v>
                </c:pt>
                <c:pt idx="832">
                  <c:v>296.69600000000003</c:v>
                </c:pt>
                <c:pt idx="833">
                  <c:v>814.52599999999995</c:v>
                </c:pt>
                <c:pt idx="834">
                  <c:v>535.57799999999997</c:v>
                </c:pt>
                <c:pt idx="835">
                  <c:v>344.23500000000001</c:v>
                </c:pt>
                <c:pt idx="836">
                  <c:v>230.30600000000004</c:v>
                </c:pt>
                <c:pt idx="837">
                  <c:v>1136.8900000000001</c:v>
                </c:pt>
                <c:pt idx="838">
                  <c:v>784.48</c:v>
                </c:pt>
                <c:pt idx="839">
                  <c:v>13.48</c:v>
                </c:pt>
                <c:pt idx="840">
                  <c:v>4846.2839999999997</c:v>
                </c:pt>
                <c:pt idx="841">
                  <c:v>428.02800000000002</c:v>
                </c:pt>
                <c:pt idx="842">
                  <c:v>1197.662</c:v>
                </c:pt>
                <c:pt idx="843">
                  <c:v>885.12400000000002</c:v>
                </c:pt>
                <c:pt idx="844">
                  <c:v>37.647999999999996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8-461A-8922-89833EA83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807616"/>
        <c:axId val="1385791776"/>
      </c:lineChart>
      <c:catAx>
        <c:axId val="169680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5791776"/>
        <c:crosses val="autoZero"/>
        <c:auto val="1"/>
        <c:lblAlgn val="ctr"/>
        <c:lblOffset val="100"/>
        <c:noMultiLvlLbl val="0"/>
      </c:catAx>
      <c:valAx>
        <c:axId val="13857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680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 - Dashboard.xlsx]Tabelas_Dinamicas!Tabela dinâmica18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1"/>
              <a:t>Volume</a:t>
            </a:r>
            <a:r>
              <a:rPr lang="pt-BR" sz="2000" b="1" baseline="0"/>
              <a:t> de Vendas por Categorias</a:t>
            </a:r>
            <a:endParaRPr lang="pt-B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9360454943132108E-2"/>
              <c:y val="-5.45384951881014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65179352580923E-3"/>
              <c:y val="-0.118414260717410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773840769903762E-3"/>
              <c:y val="1.61413677456984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260292859084187E-3"/>
              <c:y val="-7.31968746274621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778339883700726"/>
              <c:y val="-6.38231916276148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745980701612775E-2"/>
              <c:y val="-0.126410606856879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260292859084187E-3"/>
              <c:y val="-7.31968746274621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778339883700726"/>
              <c:y val="-6.38231916276148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745980701612775E-2"/>
              <c:y val="-0.126410606856879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260292859084187E-3"/>
              <c:y val="-7.31968746274621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778339883700726"/>
              <c:y val="-6.38231916276148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745980701612775E-2"/>
              <c:y val="-0.126410606856879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67090681468257"/>
          <c:y val="0.26395894233659123"/>
          <c:w val="0.31396544472322446"/>
          <c:h val="0.58625018259603723"/>
        </c:manualLayout>
      </c:layout>
      <c:pieChart>
        <c:varyColors val="1"/>
        <c:ser>
          <c:idx val="0"/>
          <c:order val="0"/>
          <c:tx>
            <c:strRef>
              <c:f>Tabelas_Dinamicas!$H$12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E-45D2-A055-DCD322F9A8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E-45D2-A055-DCD322F9A8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1E-45D2-A055-DCD322F9A880}"/>
              </c:ext>
            </c:extLst>
          </c:dPt>
          <c:dLbls>
            <c:dLbl>
              <c:idx val="0"/>
              <c:layout>
                <c:manualLayout>
                  <c:x val="2.6260292859084187E-3"/>
                  <c:y val="-7.319687462746210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E-45D2-A055-DCD322F9A880}"/>
                </c:ext>
              </c:extLst>
            </c:dLbl>
            <c:dLbl>
              <c:idx val="1"/>
              <c:layout>
                <c:manualLayout>
                  <c:x val="-0.21778339883700726"/>
                  <c:y val="-6.382319162761480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1E-45D2-A055-DCD322F9A880}"/>
                </c:ext>
              </c:extLst>
            </c:dLbl>
            <c:dLbl>
              <c:idx val="2"/>
              <c:layout>
                <c:manualLayout>
                  <c:x val="1.6745980701612775E-2"/>
                  <c:y val="-0.126410606856879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1E-45D2-A055-DCD322F9A8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Tabelas_Dinamicas!$G$13:$G$16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Tabelas_Dinamicas!$H$13:$H$16</c:f>
              <c:numCache>
                <c:formatCode>#,##0.0</c:formatCode>
                <c:ptCount val="3"/>
                <c:pt idx="0">
                  <c:v>252612.74350000013</c:v>
                </c:pt>
                <c:pt idx="1">
                  <c:v>220853.24899999998</c:v>
                </c:pt>
                <c:pt idx="2">
                  <c:v>251991.83199999999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1E-45D2-A055-DCD322F9A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17040935208298"/>
          <c:y val="0.29666860667549411"/>
          <c:w val="0.23031450499436446"/>
          <c:h val="0.366889132307754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376765</xdr:colOff>
      <xdr:row>9</xdr:row>
      <xdr:rowOff>80432</xdr:rowOff>
    </xdr:from>
    <xdr:to>
      <xdr:col>15</xdr:col>
      <xdr:colOff>431800</xdr:colOff>
      <xdr:row>32</xdr:row>
      <xdr:rowOff>101600</xdr:rowOff>
    </xdr:to>
    <xdr:graphicFrame macro="">
      <xdr:nvGraphicFramePr>
        <xdr:cNvPr id="4" name="Gráfico 7">
          <a:extLst>
            <a:ext uri="{FF2B5EF4-FFF2-40B4-BE49-F238E27FC236}">
              <a16:creationId xmlns:a16="http://schemas.microsoft.com/office/drawing/2014/main" id="{9D8C7322-6CFD-3F43-814C-6C4AA197B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462491</xdr:colOff>
      <xdr:row>35</xdr:row>
      <xdr:rowOff>77259</xdr:rowOff>
    </xdr:from>
    <xdr:to>
      <xdr:col>12</xdr:col>
      <xdr:colOff>672393</xdr:colOff>
      <xdr:row>60</xdr:row>
      <xdr:rowOff>79375</xdr:rowOff>
    </xdr:to>
    <xdr:graphicFrame macro="">
      <xdr:nvGraphicFramePr>
        <xdr:cNvPr id="7" name="Gráfico 8">
          <a:extLst>
            <a:ext uri="{FF2B5EF4-FFF2-40B4-BE49-F238E27FC236}">
              <a16:creationId xmlns:a16="http://schemas.microsoft.com/office/drawing/2014/main" id="{B1ED8D2B-23E9-0648-9143-2A0CC1581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355600</xdr:colOff>
      <xdr:row>1</xdr:row>
      <xdr:rowOff>63500</xdr:rowOff>
    </xdr:from>
    <xdr:to>
      <xdr:col>4</xdr:col>
      <xdr:colOff>314037</xdr:colOff>
      <xdr:row>7</xdr:row>
      <xdr:rowOff>25400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9" name="Data_Pedido">
              <a:extLst>
                <a:ext uri="{FF2B5EF4-FFF2-40B4-BE49-F238E27FC236}">
                  <a16:creationId xmlns:a16="http://schemas.microsoft.com/office/drawing/2014/main" id="{5116BCF6-B401-EF48-A183-7E2B5A9063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_Pedi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600" y="1041400"/>
              <a:ext cx="6032500" cy="135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254000</xdr:colOff>
      <xdr:row>34</xdr:row>
      <xdr:rowOff>114301</xdr:rowOff>
    </xdr:from>
    <xdr:to>
      <xdr:col>12</xdr:col>
      <xdr:colOff>990600</xdr:colOff>
      <xdr:row>40</xdr:row>
      <xdr:rowOff>88901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ategoria">
              <a:extLst>
                <a:ext uri="{FF2B5EF4-FFF2-40B4-BE49-F238E27FC236}">
                  <a16:creationId xmlns:a16="http://schemas.microsoft.com/office/drawing/2014/main" id="{9221E020-4A8C-F545-893C-8C4041D0EF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77800" y="7632701"/>
              <a:ext cx="2006600" cy="111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22860</xdr:colOff>
      <xdr:row>1</xdr:row>
      <xdr:rowOff>15240</xdr:rowOff>
    </xdr:from>
    <xdr:to>
      <xdr:col>21</xdr:col>
      <xdr:colOff>312420</xdr:colOff>
      <xdr:row>8</xdr:row>
      <xdr:rowOff>106680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a_Pedido 1">
              <a:extLst>
                <a:ext uri="{FF2B5EF4-FFF2-40B4-BE49-F238E27FC236}">
                  <a16:creationId xmlns:a16="http://schemas.microsoft.com/office/drawing/2014/main" id="{67B08EE7-E894-D5C5-62D9-F24099F4F3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_Pedi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02340" y="19812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17</xdr:col>
      <xdr:colOff>0</xdr:colOff>
      <xdr:row>21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D18276-AD67-7736-EEE2-4963FAC96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598714</xdr:colOff>
      <xdr:row>3</xdr:row>
      <xdr:rowOff>163287</xdr:rowOff>
    </xdr:from>
    <xdr:to>
      <xdr:col>5</xdr:col>
      <xdr:colOff>292677</xdr:colOff>
      <xdr:row>6</xdr:row>
      <xdr:rowOff>21773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a_Pedido 2">
              <a:extLst>
                <a:ext uri="{FF2B5EF4-FFF2-40B4-BE49-F238E27FC236}">
                  <a16:creationId xmlns:a16="http://schemas.microsoft.com/office/drawing/2014/main" id="{8000CF9A-4C51-CA80-FE61-5683674E0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_Pedid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8314" y="703614"/>
              <a:ext cx="4153395" cy="5512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6</xdr:col>
      <xdr:colOff>-1</xdr:colOff>
      <xdr:row>25</xdr:row>
      <xdr:rowOff>13855</xdr:rowOff>
    </xdr:from>
    <xdr:to>
      <xdr:col>12</xdr:col>
      <xdr:colOff>-1</xdr:colOff>
      <xdr:row>46</xdr:row>
      <xdr:rowOff>166254</xdr:rowOff>
    </xdr:to>
    <xdr:graphicFrame macro="">
      <xdr:nvGraphicFramePr>
        <xdr:cNvPr id="4" name="Gráfico 8">
          <a:extLst>
            <a:ext uri="{FF2B5EF4-FFF2-40B4-BE49-F238E27FC236}">
              <a16:creationId xmlns:a16="http://schemas.microsoft.com/office/drawing/2014/main" id="{8570B715-EE94-46D4-9787-B4FD49824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26323</xdr:colOff>
      <xdr:row>23</xdr:row>
      <xdr:rowOff>19396</xdr:rowOff>
    </xdr:from>
    <xdr:to>
      <xdr:col>11</xdr:col>
      <xdr:colOff>1620982</xdr:colOff>
      <xdr:row>24</xdr:row>
      <xdr:rowOff>27709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ia 1">
              <a:extLst>
                <a:ext uri="{FF2B5EF4-FFF2-40B4-BE49-F238E27FC236}">
                  <a16:creationId xmlns:a16="http://schemas.microsoft.com/office/drawing/2014/main" id="{6EBC126F-3869-1007-5BB4-2CFBBC6865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6687" y="4314305"/>
              <a:ext cx="5654040" cy="5624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13.902641666667" createdVersion="6" refreshedVersion="6" minRefreshableVersion="3" recordCount="6407" xr:uid="{A702BE66-0A4E-DB4D-938E-090732B45306}">
  <cacheSource type="worksheet">
    <worksheetSource ref="E1:I1048576" sheet="Base"/>
  </cacheSource>
  <cacheFields count="5">
    <cacheField name="Nome_Cliente" numFmtId="0">
      <sharedItems containsBlank="1" count="687">
        <s v="Lycoris Saunders"/>
        <s v="Brian Dahlen"/>
        <s v="David Wiener"/>
        <s v="Toby Swindell"/>
        <s v="Mark Van Huff"/>
        <s v="Ionia McGrath"/>
        <s v="Ed Jacobs"/>
        <s v="Liz Carlisle"/>
        <s v="Cynthia Delaney"/>
        <s v="Tom Boeckenhauer"/>
        <s v="Deborah Brumfield"/>
        <s v="Mark Haberlin"/>
        <s v="Nathan Mautz"/>
        <s v="Sanjit Chand"/>
        <s v="Marina Lichtenstein"/>
        <s v="Barry Französisch"/>
        <s v="Steven Roelle"/>
        <s v="Sue Ann Reed"/>
        <s v="Jennifer Halladay"/>
        <s v="Dave Brooks"/>
        <s v="Eva Jacobs"/>
        <s v="Aaron Bergman"/>
        <s v="Nora Pelletier"/>
        <s v="Craig Molinari"/>
        <s v="Kean Thornton"/>
        <s v="Richard Bierner"/>
        <s v="Dean Katz"/>
        <s v="Jason Fortune-"/>
        <s v="Eileen Kiefer"/>
        <s v="Sample Company A"/>
        <s v="Beth Fritzler"/>
        <s v="Patrick O'Donnell"/>
        <s v="Maurice Satty"/>
        <s v="Christina Anderson"/>
        <s v="Jonathan Doherty"/>
        <s v="Damala Kotsonis"/>
        <s v="Cindy Stewart"/>
        <s v="Daniel Raglin"/>
        <s v="Dorris liebe"/>
        <s v="Guy Armstrong"/>
        <s v="Alex Avila"/>
        <s v="Kunst Miller"/>
        <s v="Katrina Edelman"/>
        <s v="Paul Knutson"/>
        <s v="Mary Zewe"/>
        <s v="Scott Cohen"/>
        <s v="Andy Yotov"/>
        <s v="Frank Hawley"/>
        <s v="Jim Mitchum"/>
        <s v="Pauline Chand"/>
        <s v="Sanjit Engle"/>
        <s v="Michelle Moray"/>
        <s v="Kean Nguyen"/>
        <s v="Edward Hooks"/>
        <s v="Paul Stevenson"/>
        <s v="John Lee"/>
        <s v="Nicole Fjeld"/>
        <s v="Benjamin Patterson"/>
        <s v="Allen Armold"/>
        <s v="Beth Thompson"/>
        <s v="Aleksandra Gannaway"/>
        <s v="Marc Harrigan"/>
        <s v="Arianne Irving"/>
        <s v="Bill Shonely"/>
        <s v="Harold Pawlan"/>
        <s v="Steve Nguyen"/>
        <s v="Patrick Gardner"/>
        <s v="Greg Matthias"/>
        <s v="Alejandro Grove"/>
        <s v="Naresj Patel"/>
        <s v="Aaron Hawkins"/>
        <s v="Pauline Webber"/>
        <s v="Cindy Chapman"/>
        <s v="Bradley Talbott"/>
        <s v="Erica Hackney"/>
        <s v="Herbert Flentye"/>
        <s v="Dean percer"/>
        <s v="Maya Herman"/>
        <s v="Lena Creighton"/>
        <s v="Patrick Jones"/>
        <s v="Magdelene Morse"/>
        <s v="Christine Kargatis"/>
        <s v="Steven Cartwright"/>
        <s v="Carlos Soltero"/>
        <s v="Brosina Hoffman"/>
        <s v="Chuck Magee"/>
        <s v="Thomas Seio"/>
        <s v="Filia McAdams"/>
        <s v="Gary Hwang"/>
        <s v="Mick Crebagga"/>
        <s v="Stewart Visinsky"/>
        <s v="Joel Eaton"/>
        <s v="Toby Braunhardt"/>
        <s v="Liz Pelletier"/>
        <s v="Noel Staavos"/>
        <s v="Grace Kelly"/>
        <s v="Anthony Rawles"/>
        <s v="Dennis Pardue"/>
        <s v="Becky Castell"/>
        <s v="Ed Braxton"/>
        <s v="Gary Hansen"/>
        <s v="Darrin Sayre"/>
        <s v="Alyssa Crouse"/>
        <s v="Ben Ferrer"/>
        <s v="Clay Ludtke"/>
        <s v="Philip Brown"/>
        <s v="Adrian Hane"/>
        <s v="Eugene Moren"/>
        <s v="Charles Crestani"/>
        <s v="Roger Demir"/>
        <s v="Michelle Ellison"/>
        <s v="Alejandro Ballentine"/>
        <s v="Arthur Gainer"/>
        <s v="Nick Crebassa"/>
        <s v="Ken Lonsdale"/>
        <s v="Vicky Freymann"/>
        <s v="Jack O'Briant"/>
        <s v="Giulietta Weimer"/>
        <s v="Barry Blumstein"/>
        <s v="Tom Stivers"/>
        <s v="Ivan Liston"/>
        <s v="Bruce Stewart"/>
        <s v="Valerie Dominguez"/>
        <s v="Chad Sievert"/>
        <s v="Sonia Sunley"/>
        <s v="Lena Radford"/>
        <s v="Maria Bertelson"/>
        <s v="Tamara Manning"/>
        <s v="Emily Ducich"/>
        <s v="Matthew Grinstein"/>
        <s v="Joseph Holt"/>
        <s v="Gene McClure"/>
        <s v="Ben Wallace"/>
        <s v="Robert Barroso"/>
        <s v="Arthur Prichep"/>
        <s v="Janet Molinari"/>
        <s v="Mitch Webber"/>
        <s v="Frank Merwin"/>
        <s v="Zuschuss Donatelli"/>
        <s v="Hilary Holden"/>
        <s v="Shirley Jackson"/>
        <s v="Larry Tron"/>
        <s v="Victoria Pisteka"/>
        <s v="Lisa Ryan"/>
        <s v="Gary Zandusky"/>
        <s v="Marc Crier"/>
        <s v="Liz Willingham"/>
        <s v="Odella Nelson"/>
        <s v="Resi Pölking"/>
        <s v="Bradley Nguyen"/>
        <s v="Nick Radford"/>
        <s v="Joseph Airdo"/>
        <s v="Frank Atkinson"/>
        <s v="Mike Caudle"/>
        <s v="Jim Kriz"/>
        <s v="Neil Ducich"/>
        <s v="Erica Smith"/>
        <s v="Michelle Arnett"/>
        <s v="Henry Goldwyn"/>
        <s v="Jack Garza"/>
        <s v="Brian Moss"/>
        <s v="Julia Dunbar"/>
        <s v="Barry Franz"/>
        <s v="Kean Takahito"/>
        <s v="Christopher Schild"/>
        <s v="Karen Ferguson"/>
        <s v="Thea Hendricks"/>
        <s v="Paul Prost"/>
        <s v="Evan Bailliet"/>
        <s v="Doug Bickford"/>
        <s v="Neil Französisch"/>
        <s v="Erin Smith"/>
        <s v="Allen Rosenblatt"/>
        <s v="David Flashing"/>
        <s v="Joy Daniels"/>
        <s v="Keith Herrera"/>
        <s v="Xylona Preis"/>
        <s v="Tanja Norvell"/>
        <s v="Shirley Daniels"/>
        <s v="Fred Chung"/>
        <s v="Helen Andreada"/>
        <s v="Alan Shonely"/>
        <s v="Duane Noonan"/>
        <s v="Zuschuss Carroll"/>
        <s v="Lynn Smith"/>
        <s v="Ivan Gibson"/>
        <s v="Jeremy Farry"/>
        <s v="Rachel Payne"/>
        <s v="Eugene Hildebrand"/>
        <s v="Sylvia Foulston"/>
        <s v="Angele Hood"/>
        <s v="Todd Sumrall"/>
        <s v="Greg Guthrie"/>
        <s v="Amy Cox"/>
        <s v="Nancy Lomonaco"/>
        <s v="Russell Applegate"/>
        <s v="Natalie DeCherney"/>
        <s v="Paul Lucas"/>
        <s v="Shahid Hopkins"/>
        <s v="Steven Ward"/>
        <s v="Tracy Collins"/>
        <s v="MaryBeth Skach"/>
        <s v="William Brown"/>
        <s v="Tiffany House"/>
        <s v="Deanra Eno"/>
        <s v="Lena Hernandez"/>
        <s v="Troy Blackwell"/>
        <s v="Emily Burns"/>
        <s v="Jeremy Pistek"/>
        <s v="Ruben Dartt"/>
        <s v="Tracy Zic"/>
        <s v="Matt Abelman"/>
        <s v="Shahid Shariari"/>
        <s v="Adam Hart"/>
        <s v="Justin Deggeller"/>
        <s v="Pierre Wener"/>
        <s v="John Grady"/>
        <s v="Dennis Bolton"/>
        <s v="Georgia Rosenberg"/>
        <s v="Steve Carroll"/>
        <s v="Susan Pistek"/>
        <s v="Sally Matthias"/>
        <s v="Vivek Gonzalez"/>
        <s v="Harold Ryan"/>
        <s v="Laurel Workman"/>
        <s v="Natalie Webber"/>
        <s v="Lindsay Shagiari"/>
        <s v="Luke Schmidt"/>
        <s v="Duane Huffman"/>
        <s v="Sheri Gordon"/>
        <s v="Alan Hwang"/>
        <s v="Toby Ritter"/>
        <s v="Brendan Sweed"/>
        <s v="Rob Lucas"/>
        <s v="Joni Blumstein"/>
        <s v="Ryan Crowe"/>
        <s v="Roland Schwarz"/>
        <s v="Frank Preis"/>
        <s v="Ann Steele"/>
        <s v="Erica Hernandez"/>
        <s v="Tim Brockman"/>
        <s v="Jim Karlsson"/>
        <s v="Denny Joy"/>
        <s v="Cyma Kinney"/>
        <s v="Dario Medina"/>
        <s v="Sally Hughsby"/>
        <s v="Nora Preis"/>
        <s v="Logan Haushalter"/>
        <s v="Katherine Ducich"/>
        <s v="Randy Ferguson"/>
        <s v="Jas O'Carroll"/>
        <s v="Chad Cunningham"/>
        <s v="Stefanie Holloman"/>
        <s v="Bart Pistole"/>
        <s v="Michael Chen"/>
        <s v="Toby Carlisle"/>
        <s v="Carol Triggs"/>
        <s v="Gary McGarr"/>
        <s v="Khloe Miller"/>
        <s v="Julie Creighton"/>
        <s v="Adam Shillingsburg"/>
        <s v="Kelly Lampkin"/>
        <s v="Clytie Kelty"/>
        <s v="Alyssa Tate"/>
        <s v="Maribeth Dona"/>
        <s v="Anthony Johnson"/>
        <s v="Shui Tom"/>
        <s v="Maureen Fritzler"/>
        <s v="James Lanier"/>
        <s v="Stefania Perrino"/>
        <s v="Carl Weiss"/>
        <s v="Elizabeth Moffitt"/>
        <s v="Sean Christensen"/>
        <s v="Rick Wilson"/>
        <s v="Ken Heidel"/>
        <s v="Victoria Wilson"/>
        <s v="Sarah Jordon"/>
        <s v="Justin MacKendrick"/>
        <s v="Rob Dowd"/>
        <s v="Ann Blume"/>
        <s v="Guy Thornton"/>
        <s v="Joe Elijah"/>
        <s v="Nora Paige"/>
        <s v="Dave Hallsten"/>
        <s v="Dave Kipp"/>
        <s v="John Lucas"/>
        <s v="Karen Seio"/>
        <s v="Jeremy Ellison"/>
        <s v="Monica Federle"/>
        <s v="Jesus Ocampo"/>
        <s v="Fred Hopkins"/>
        <s v="Berenike Kampe"/>
        <s v="Bryan Mills"/>
        <s v="Alice McCarthy"/>
        <s v="Cathy Prescott"/>
        <s v="Ellis Ballard"/>
        <s v="Alan Barnes"/>
        <s v="Denny Ordway"/>
        <s v="John Dryer"/>
        <s v="Carol Adams"/>
        <s v="Jennifer Ferguson"/>
        <s v="Jay Kimmel"/>
        <s v="Andy Reiter"/>
        <s v="Robert Dilbeck"/>
        <s v="Anthony Witt"/>
        <s v="Heather Jas"/>
        <s v="Bill Tyler"/>
        <s v="Eugene Barchas"/>
        <s v="Theone Pippenger"/>
        <s v="George Ashbrook"/>
        <s v="Nathan Cano"/>
        <s v="Annie Zypern"/>
        <s v="Jill Stevenson"/>
        <s v="Linda Southworth"/>
        <s v="Bart Watters"/>
        <s v="Tony Chapman"/>
        <s v="Ken Black"/>
        <s v="Jennifer Braxton"/>
        <s v="Patrick O'Brill"/>
        <s v="Julia Barnett"/>
        <s v="Lena Cacioppo"/>
        <s v="Rose O'Brian"/>
        <s v="Hunter Glantz"/>
        <s v="Claudia Bergmann"/>
        <s v="Anthony Jacobs"/>
        <s v="Sarah Brown"/>
        <s v="Justin Hirsh"/>
        <s v="Neil Knudson"/>
        <s v="Stephanie Phelps"/>
        <s v="Catherine Glotzbach"/>
        <s v="Lauren Leatherbury"/>
        <s v="Becky Pak"/>
        <s v="Eleni McCrary"/>
        <s v="Trudy Glocke"/>
        <s v="Jennifer Jackson"/>
        <s v="Peter Fuller"/>
        <s v="Skye Norling"/>
        <s v="Bruce Geld"/>
        <s v="Stewart Carmichael"/>
        <s v="Rick Duston"/>
        <s v="Christine Sundaresam"/>
        <s v="Jill Fjeld"/>
        <s v="Craig Yedwab"/>
        <s v="Julie Prescott"/>
        <s v="Eric Hoffmann"/>
        <s v="Mike Vittorini"/>
        <s v="Shahid Collister"/>
        <s v="Toby Gnade"/>
        <s v="Jessica Myrick"/>
        <s v="Roland Fjeld"/>
        <s v="Thais Sissman"/>
        <s v="Michelle Huthwaite"/>
        <s v="Russell D'Ascenzo"/>
        <s v="Cynthia Arntzen"/>
        <s v="Corey-Lock"/>
        <s v="Darren Koutras"/>
        <s v="Parhena Norris"/>
        <s v="Thomas Thornton"/>
        <s v="Sandra Flanagan"/>
        <s v="Tim Taslimi"/>
        <s v="Richard Eichhorn"/>
        <s v="John Murray"/>
        <s v="Nick Zandusky"/>
        <s v="David Smith"/>
        <s v="Ryan Akin"/>
        <s v="Philip Fox"/>
        <s v="Cassandra Brandow"/>
        <s v="Andrew Roberts"/>
        <s v="Rick Huthwaite"/>
        <s v="David Bremer"/>
        <s v="Lori Olson"/>
        <s v="Neoma Murray"/>
        <s v="Matt Collins"/>
        <s v="Sean Braxton"/>
        <s v="George Bell"/>
        <s v="Craig Carreira"/>
        <s v="Ken Dana"/>
        <s v="Meg O'Connel"/>
        <s v="Cari Sayre"/>
        <s v="Adam Bellavance"/>
        <s v="Charlotte Melton"/>
        <s v="Frank Carlisle"/>
        <s v="Anne McFarland"/>
        <s v="Daniel Lacy"/>
        <s v="Muhammed MacIntyre"/>
        <s v="Max Engle"/>
        <s v="Shaun Chance"/>
        <s v="Carlos Meador"/>
        <s v="Tracy Blumstein"/>
        <s v="Bryan Spruell"/>
        <s v="Saphhira Shifley"/>
        <s v="Roy Phan"/>
        <s v="Eric Murdock"/>
        <s v="Henry MacAllister"/>
        <s v="Chloris Kastensmidt"/>
        <s v="Katherine Nockton"/>
        <s v="Kelly Andreada"/>
        <s v="John Castell"/>
        <s v="Robert Marley"/>
        <s v="Jay Fein"/>
        <s v="Andrew Gjertsen"/>
        <s v="Trudy Brown"/>
        <s v="Deirdre Greer"/>
        <s v="Maribeth Yedwab"/>
        <s v="Kristen Hastings"/>
        <s v="Nona Balk"/>
        <s v="Sandra Glassco"/>
        <s v="Kelly Collister"/>
        <s v="Liz Thompson"/>
        <s v="Corinna Mitchell"/>
        <s v="Meg Tillman"/>
        <s v="Karen Bern"/>
        <s v="Maria Zettner"/>
        <s v="Shaun Weien"/>
        <s v="Yoseph Carroll"/>
        <s v="Arthur Wiediger"/>
        <s v="Heather Kirkland"/>
        <s v="Brian Stugart"/>
        <s v="Patrick Bzostek"/>
        <s v="Katrina Bavinger"/>
        <s v="Chris Selesnick"/>
        <s v="Kelly Williams"/>
        <s v="Eudokia Martin"/>
        <s v="Nathan Gelder"/>
        <s v="Darren Powers"/>
        <s v="Carlos Daly"/>
        <s v="Ashley Jarboe"/>
        <s v="Phillina Ober"/>
        <s v="Logan Currie"/>
        <s v="Tamara Willingham"/>
        <s v="Lindsay Castell"/>
        <s v="Harry Marie"/>
        <s v="Matt Hagelstein"/>
        <s v="Katherine Murray"/>
        <s v="Art Ferguson"/>
        <s v="Melanie Seite"/>
        <s v="Yana Sorensen"/>
        <s v="Irene Maddox"/>
        <s v="Dennis Kane"/>
        <s v="Helen Abelman"/>
        <s v="Karen Daniels"/>
        <s v="Doug Jacobs"/>
        <s v="Darren Budd"/>
        <s v="Paul Gonzalez"/>
        <s v="Michael Kennedy"/>
        <s v="James Galang"/>
        <s v="John Stevenson"/>
        <s v="Elpida Rittenbach"/>
        <s v="Jim Radford"/>
        <s v="Maribeth Schnelling"/>
        <s v="Ralph Arnett"/>
        <s v="Sean Miller"/>
        <s v="Dianna Wilson"/>
        <s v="Laura Armstrong"/>
        <s v="Joy Bell-"/>
        <s v="Tamara Dahlen"/>
        <s v="Christy Brittain"/>
        <s v="Suzanne McNair"/>
        <s v="Erica Bern"/>
        <s v="Justin Ritter"/>
        <s v="Ross DeVincentis"/>
        <s v="Greg Tran"/>
        <s v="Matthew Clasen"/>
        <s v="Theresa Swint"/>
        <s v="Michael Granlund"/>
        <s v="Scot Wooten"/>
        <s v="Anna Chung"/>
        <s v="Bobby Trafton"/>
        <s v="Dan Reichenbach"/>
        <s v="Chris Cortes"/>
        <s v="Edward Becker"/>
        <s v="Brian Thompson"/>
        <s v="Beth Paige"/>
        <s v="Bill Donatelli"/>
        <s v="Julie Kriz"/>
        <s v="Jack Lebron"/>
        <s v="Craig Leslie"/>
        <s v="Bill Overfelt"/>
        <s v="Darrin Martin"/>
        <s v="Amy Hunt"/>
        <s v="Lindsay Williams"/>
        <s v="Ricardo Sperren"/>
        <s v="Ted Trevino"/>
        <s v="Jill Matthias"/>
        <s v="Vivian Mathis"/>
        <s v="Eric Barreto"/>
        <s v="Anna Häberlin"/>
        <s v="Rick Bensley"/>
        <s v="Linda Cazamias"/>
        <s v="Jim Epp"/>
        <s v="Lisa DeCherney"/>
        <s v="Jason Gross"/>
        <s v="Christine Phan"/>
        <s v="Ken Brennan"/>
        <s v="Ross Baird"/>
        <s v="Maria Etezadi"/>
        <s v="Dean Braden"/>
        <s v="Olvera Toch"/>
        <s v="Seth Vernon"/>
        <s v="Darrin Van Huff"/>
        <s v="Erin Ashbrook"/>
        <s v="Paul Van Hugh"/>
        <s v="Karen Carlisle"/>
        <s v="Dave Poirier"/>
        <s v="Roy Collins"/>
        <s v="Max Jones"/>
        <s v="Anna Andreadi"/>
        <s v="Raymond Messe"/>
        <s v="Christopher Conant"/>
        <s v="Raymond Buch"/>
        <s v="Mark Cousins"/>
        <s v="Ruben Ausman"/>
        <s v="Jennifer Patt"/>
        <s v="Dionis Lloyd"/>
        <s v="Kristina Nunn"/>
        <s v="Larry Blacks"/>
        <s v="Rob Williams"/>
        <s v="Dorothy Wardle"/>
        <s v="Cathy Armstrong"/>
        <s v="Pete Kriz"/>
        <s v="Anthony O'Donnell"/>
        <s v="Scot Coram"/>
        <s v="Maxwell Schwartz"/>
        <s v="Don Jones"/>
        <s v="Cynthia Voltz"/>
        <s v="Laurel Beltran"/>
        <s v="Sam Zeldin"/>
        <s v="Becky Martin"/>
        <s v="Valerie Mitchum"/>
        <s v="Pauline Johnson"/>
        <s v="Liz Preis"/>
        <s v="Annie Thurman"/>
        <s v="Bryan Davis"/>
        <s v="Dianna Vittorini"/>
        <s v="Ben Peterman"/>
        <s v="Sarah Foster"/>
        <s v="Philisse Overcash"/>
        <s v="Rob Beeghly"/>
        <s v="Keith Dawkins"/>
        <s v="Jim Sink"/>
        <s v="Sanjit Jacobs"/>
        <s v="Chuck Clark"/>
        <s v="Jane Waco"/>
        <s v="Greg Maxwell"/>
        <s v="Candace McMahon"/>
        <s v="Adrian Barton"/>
        <s v="Julia West"/>
        <s v="Aaron Smayling"/>
        <s v="Dan Lawera"/>
        <s v="Pamela Stobb"/>
        <s v="Maris LaWare"/>
        <s v="Brian DeCherney"/>
        <s v="Daniel Byrd"/>
        <s v="Corey Catlett"/>
        <s v="Noah Childs"/>
        <s v="Emily Phan"/>
        <s v="Muhammed Yedwab"/>
        <s v="Pete Armstrong"/>
        <s v="Jonathan Howell"/>
        <s v="Alejandro Savely"/>
        <s v="Phillip Flathmann"/>
        <s v="Lisa Hazard"/>
        <s v="Tracy Poddar"/>
        <s v="Penelope Sewall"/>
        <s v="Pamela Coakley"/>
        <s v="Adrian Shami"/>
        <s v="Ralph Ritter"/>
        <s v="Bobby Elias"/>
        <s v="Matt Connell"/>
        <s v="Brendan Murry"/>
        <s v="Carol Darley"/>
        <s v="Sung Pak"/>
        <s v="Clay Rozendal"/>
        <s v="Mark Hamilton"/>
        <s v="Tamara Chand"/>
        <s v="Chris McAfee"/>
        <s v="Carl Ludwig"/>
        <s v="Mike Kennedy"/>
        <s v="Alan Schoenberger"/>
        <s v="Anne Pryor"/>
        <s v="Fred McMath"/>
        <s v="Roy Französisch"/>
        <s v="Jasper Cacioppo"/>
        <s v="Mike Pelletier"/>
        <s v="Charles McCrossin"/>
        <s v="Benjamin Venier"/>
        <s v="Frank Olsen"/>
        <s v="Fred Wasserman"/>
        <s v="Delfina Latchford"/>
        <s v="Christopher Martinez"/>
        <s v="Jamie Frazer"/>
        <s v="Sean O'Donnell"/>
        <s v="Tonja Turnell"/>
        <s v="Alan Dominguez"/>
        <s v="Caroline Jumper"/>
        <s v="Michael Moore"/>
        <s v="Sarah Bern"/>
        <s v="Fred Harton"/>
        <s v="Helen Wasserman"/>
        <s v="Ann Chong"/>
        <s v="Karl Braun"/>
        <s v="Bill Stewart"/>
        <s v="Benjamin Farhat"/>
        <s v="Scott Williamson"/>
        <s v="Barry Pond"/>
        <s v="Jason Klamczynski"/>
        <s v="George Zrebassa"/>
        <s v="Bill Eplett"/>
        <s v="Christina VanderZanden"/>
        <s v="Brendan Dodson"/>
        <s v="Luke Weiss"/>
        <s v="Sharelle Roach"/>
        <s v="Joni Wasserman"/>
        <s v="Susan Vittorini"/>
        <s v="Mick Brown"/>
        <s v="Larry Hughes"/>
        <s v="Speros Goranitis"/>
        <s v="Dorothy Dickinson"/>
        <s v="Trudy Schmidt"/>
        <s v="Charles Sheldon"/>
        <s v="Vivek Sundaresam"/>
        <s v="Giulietta Dortch"/>
        <s v="Maureen Gastineau"/>
        <s v="Michelle Tran"/>
        <s v="Clay Cheatham"/>
        <s v="Stuart Calhoun"/>
        <s v="Troy Staebel"/>
        <s v="Nicole Hansen"/>
        <s v="Max Ludwig"/>
        <s v="Victor Preis"/>
        <s v="Jenna Caffey"/>
        <s v="Mathew Reese"/>
        <s v="Erin Creighton"/>
        <s v="Bruce Degenhardt"/>
        <s v="Jeremy Lonsdale"/>
        <s v="Dana Kaydos"/>
        <s v="Janet Martin"/>
        <s v="Patrick Ryan"/>
        <s v="Sung Chung"/>
        <s v="Tony Molinari"/>
        <s v="Sung Shariari"/>
        <s v="Janet Lee"/>
        <s v="Stephanie Ulpright"/>
        <s v="Joe Kamberova"/>
        <s v="Allen Goldenen"/>
        <s v="Doug O'Connell"/>
        <s v="Tom Prescott"/>
        <s v="Tony Sayre"/>
        <s v="Muhammed Lee"/>
        <s v="Don Weiss"/>
        <s v="Brooke Gillingham"/>
        <s v="Duane Benoit"/>
        <s v="Sara Luxemburg"/>
        <s v="Sonia Cooley"/>
        <s v="Neola Schneider"/>
        <s v="Frank Gastineau"/>
        <s v="Juliana Krohn"/>
        <s v="Chad McGuire"/>
        <s v="Debra Catini"/>
        <s v="Mike Gockenbach"/>
        <s v="Michelle Lonsdale"/>
        <s v="Robert Waldorf"/>
        <s v="Stuart Van"/>
        <s v="Astrea Jones"/>
        <s v="Joy Smith"/>
        <s v="Justin Ellison"/>
        <s v="Jamie Kunitz"/>
        <s v="Kimberly Carter"/>
        <s v="Denise Leinenbach"/>
        <s v="Roger Barcio"/>
        <s v="Matt Collister"/>
        <s v="Thomas Brumley"/>
        <s v="Mitch Willingham"/>
        <s v="Katharine Harms"/>
        <s v="Christina DeMoss"/>
        <s v="Bradley Drucker"/>
        <s v="Rick Hansen"/>
        <s v="Brenda Bowman"/>
        <s v="Brad Norvell"/>
        <s v="Luke Foster"/>
        <s v="Denise Monton"/>
        <s v="Laurel Elliston"/>
        <s v="Alex Grayson"/>
        <s v="Kalyca Meade"/>
        <s v="Hallie Redmond"/>
        <s v="Christine Abelman"/>
        <m/>
      </sharedItems>
    </cacheField>
    <cacheField name="Estado" numFmtId="0">
      <sharedItems containsBlank="1"/>
    </cacheField>
    <cacheField name="Categoria" numFmtId="0">
      <sharedItems containsBlank="1"/>
    </cacheField>
    <cacheField name="Sub-Categoria" numFmtId="0">
      <sharedItems containsBlank="1"/>
    </cacheField>
    <cacheField name="Nome_Produto" numFmtId="0">
      <sharedItems containsBlank="1" count="1504">
        <s v="Xerox 225"/>
        <s v="Tennsco 6- and 18-Compartment Lockers"/>
        <s v="O'Sullivan Elevations Bookcase, Cherry Finish"/>
        <s v="4009 Highlighters by Sanford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Wirebound Service Call Books, 5 1/2&quot; x 4&quot;"/>
        <s v="Eldon Expressions Desk Accessory, Wood Pencil Holder, Oak"/>
        <s v="Xerox 195"/>
        <s v="Recycled Steel Personal File for Hanging File Folders"/>
        <s v="Balt Split Level Computer Training Table"/>
        <s v="Dixon Ticonderoga Core-Lock Colored Pencils"/>
        <s v="Sauder Facets Collection Library, Sky Alder Finish"/>
        <s v="Staples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Master Caster Door Stop, Large Brown"/>
        <s v="Global Geo Office Task Chair, Gray"/>
        <s v="Logitech G600 MMO Gaming Mouse"/>
        <s v="Belkin 8 Outlet Surge Protector"/>
        <s v="Compact Automatic Electric Letter Opener"/>
        <s v="Pressboard Data Binders by Wilson Jones"/>
        <s v="Xerox 204"/>
        <s v="Xerox 220"/>
        <s v="Message Book, Wirebound, Four 5 1/2&quot; X 4&quot; Forms/Pg., 200 Dupl. Sets/Book"/>
        <s v="TOPS 4 x 6 Fluorescent Color Memo Sheets, 500 Sheets per Pack"/>
        <s v="Global Deluxe High-Back Manager's Chair"/>
        <s v="Bevis Oval Conference Table, Walnut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BOSTON Ranger #55 Pencil Sharpener, Black"/>
        <s v="Economy #2 Pencils"/>
        <s v="Xerox 1972"/>
        <s v="Avery Hi-Liter Fluorescent Desk Style Markers"/>
        <s v="GBC Wire Binding Combs"/>
        <s v="Carina Double Wide Media Storage Towers in Natural &amp; Black"/>
        <s v="Imation 30456 USB Flash Drive 8GB"/>
        <s v="Staple magnet"/>
        <s v="Premium Transparent Presentation Covers, No Pattern/Clear, 8 1/2&quot; x 11&quot;"/>
        <s v="Bush Heritage Pine Collection 5-Shelf Bookcase, Albany Pine Finish, *Special Order"/>
        <s v="Eldon Cleatmat Chair Mats for Medium Pile Carpets"/>
        <s v="Swingline SM12-08 MicroCut Jam Free Shredder"/>
        <s v="Xerox 1951"/>
        <s v="Office Star - Mesh Screen back chair with Vinyl seat"/>
        <s v="Economy Rollaway Files"/>
        <s v="Ooma Telo VoIP Home Phone System"/>
        <s v="DAX Contemporary Wood Frame with Silver Metal Mat, Desktop, 11 x 14 Size"/>
        <s v="Newell 35"/>
        <s v="Eberhard Faber 3 1/2&quot; Golf Pencils"/>
        <s v="Imation Swivel Flash Drive USB flash drive - 8 GB"/>
        <s v="BIC Brite Liner Grip Highlighters, Assorted, 5/Pack"/>
        <s v="SanDisk Ultra 32 GB MicroSDHC Class 10 Memory Card"/>
        <s v="Newell 308"/>
        <s v="Wilson Jones Leather-Like Binders with DublLock Round Rings"/>
        <s v="Griffin GC17055 Auxiliary Audio Cable"/>
        <s v="Smead Alpha-Z Color-Coded Name Labels First Letter Starter Set"/>
        <s v="AT&amp;T TR1909W"/>
        <s v="Sterilite Show Offs Storage Containers"/>
        <s v="Avery 490"/>
        <s v="O'Sullivan Living Dimensions 2-Shelf Bookcases"/>
        <s v="GBC DocuBind 200 Manual Binding Machine"/>
        <s v="Fellowes Advanced Computer Series Surge Protectors"/>
        <s v="Pressboard Data Binder, Crimson, 12&quot; X 8 1/2&quot;"/>
        <s v="Staple envelope"/>
        <s v="Enermax Briskie RF Wireless Keyboard and Mouse Combo"/>
        <s v="Avery 518"/>
        <s v="Avery Non-Stick Binders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Binder Clips by OIC"/>
        <s v="Things To Do Today Spiral Book"/>
        <s v="Alliance Super-Size Bands, Assorted Sizes"/>
        <s v="Bevis 36 x 72 Conference Tables"/>
        <s v="Logitech Wireless Headset h800"/>
        <s v="GBC Personal VeloBind Strips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Prismacolor Color Pencil Set"/>
        <s v="Belkin F9G930V10-GRY 9 Outlet Surge"/>
        <s v="Howard Miller 13&quot; Diameter Goldtone Round Wall Clock"/>
        <s v="Ativa MDM8000 8-Sheet Micro-Cut Shredder"/>
        <s v="Newell 351"/>
        <s v="Binney &amp; Smith inkTank Desk Highlighter, Chisel Tip, Yellow, 12/Box"/>
        <s v="Advantus Push Pins, Aluminum Head"/>
        <s v="Executive Impressions 13&quot; Chairman Wall Clock"/>
        <s v="GE 4 Foot Flourescent Tube, 40 Watt"/>
        <s v="ACCOHIDE Binder by Acco"/>
        <s v="Xerox 1891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very 495"/>
        <s v="Samsung Galaxy Mega 6.3"/>
        <s v="Eldon Regeneration Recycled Desk Accessories, Smoke"/>
        <s v="Holmes Odor Grabber"/>
        <s v="Wilson Jones Legal Size Ring Binders"/>
        <s v="Staple-on labels"/>
        <s v="Model L Table or Wall-Mount Pencil Sharpener"/>
        <s v="Sony Micro Vault Click 16 GB USB 2.0 Flash Drive"/>
        <s v="Strathmore #10 Envelopes, Ultimate White"/>
        <s v="LF Elite 3D Dazzle Designer Hard Case Cover, Lf Stylus Pen and Wiper For Apple Iphone 5c Mini Lite"/>
        <s v="Southworth 25% Cotton Premium Laser Paper and Envelopes"/>
        <s v="Wilson Electronics DB Pro Signal Booster"/>
        <s v="Acme Design Stainless Steel Bent Scissors"/>
        <s v="Hon Pagoda Stacking Chairs"/>
        <s v="Fellowes Super Stor/Drawer"/>
        <s v="Plantronics Audio 478 Stereo USB Headset"/>
        <s v="Iceberg Nesting Folding Chair, 19w x 6d x 43h"/>
        <s v="EcoTones Memo Sheets"/>
        <s v="Imation Clip USB flash drive - 8 GB"/>
        <s v="Xerox 1999"/>
        <s v="Sauder Inglewood Library Bookcases"/>
        <s v="VTech DS6151"/>
        <s v="netTALK DUO VoIP Telephone Service"/>
        <s v="Hon Olson Stacker Stools"/>
        <s v="KI Conference Tables"/>
        <s v="Fellowes Officeware Wire Shelving"/>
        <s v="Plantronics HL10 Handset Lifter"/>
        <s v="Logitech Wireless Performance Mouse MX for PC and Mac"/>
        <s v="I Need's 3d Hello Kitty Hybrid Silicone Case Cover for HTC One X 4g with 3d Hello Kitty Stylus Pen Green/pink"/>
        <s v="Green Canvas Binder for 8-1/2&quot; x 14&quot; Sheets"/>
        <s v="GBC Standard Therm-A-Bind Covers"/>
        <s v="Aluminum Document Frame"/>
        <s v="KI Adjustable-Height Table"/>
        <s v="Hon Deluxe Fabric Upholstered Stacking Chairs, Squared Back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Staple remover"/>
        <s v="Deluxe Chalkboard Eraser Cleaner"/>
        <s v="DIXON Oriole Pencils"/>
        <s v="Xerox 1909"/>
        <s v="Executive Impressions 13-1/2&quot; Indoor/Outdoor Wall Clock"/>
        <s v="Staples in misc. colors"/>
        <s v="Eldon Wave Desk Accessories"/>
        <s v="OIC Binder Clips"/>
        <s v="GBC DocuBind P400 Electric Binding System"/>
        <s v="Plantronics Cordless Phone Headset with In-line Volume - M214C"/>
        <s v="Wilson Jones 1&quot; Hanging DublLock Ring Binders"/>
        <s v="Avery Trapezoid Extra Heavy Duty 4&quot; Binders"/>
        <s v="KeyTronic 6101 Series - Keyboard - Black"/>
        <s v="SpineVue Locking Slant-D Ring Binders by Cardinal"/>
        <s v="Acrylic Self-Standing Desk Frames"/>
        <s v="Hon 4060 Series Tables"/>
        <s v="Plantronics 81402"/>
        <s v="Avery Hi-Liter EverBold Pen Style Fluorescent Highlighters, 4/Pack"/>
        <s v="Hunt BOSTON Vista Battery-Operated Pencil Sharpener, Black"/>
        <s v="BIC Brite Liner Highlighters, Chisel Tip"/>
        <s v="Cardinal Holdit Business Card Pockets"/>
        <s v="Vinyl Sectional Post Binders"/>
        <s v="Global Comet Stacking Armless Chair"/>
        <s v="Hon 2111 Invitation Series Corner Table"/>
        <s v="Wilson Jones Ledger-Size, Piano-Hinge Binder, 2&quot;, Blue"/>
        <s v="Avery 49"/>
        <s v="Perma STOR-ALL Hanging File Box, 13 1/8&quot;W x 12 1/4&quot;D x 10 1/2&quot;H"/>
        <s v="Avery Hidden Tab Dividers for Binding Systems"/>
        <s v="Prang Drawing Pencil Set"/>
        <s v="Xerox 1967"/>
        <s v="Tuff Stuff Recycled Round Ring Binders"/>
        <s v="Hon 5100 Series Wood Tables"/>
        <s v="GE DSL Phone Line Filter"/>
        <s v="Safco Chair Connectors, 6/Carton"/>
        <s v="Self-Adhesive Ring Binder Labels"/>
        <s v="Bevis Round Conference Table Top &amp; Single Column Base"/>
        <s v="Eldon Fold 'N Roll Cart System"/>
        <s v="Office Star - Ergonomically Designed Knee Chair"/>
        <s v="Acco Pressboard Covers with Storage Hooks, 14 7/8&quot; x 11&quot;, Dark Blue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Hot File 7-Pocket, Floor Stand"/>
        <s v="Newell 334"/>
        <s v="Global Troy Executive Leather Low-Back Tilter"/>
        <s v="Hon 30&quot; x 60&quot; Table with Locking Drawer"/>
        <s v="Newell 32"/>
        <s v="Eldon Mobile Mega Data Cart  Mega Stackable  Add-On Trays"/>
        <s v="Safco Drafting Table"/>
        <s v="Crayola Colored Pencils"/>
        <s v="NETGEAR AC1750 Dual Band Gigabit Smart WiFi Router"/>
        <s v="Newell 324"/>
        <s v="Microsoft Natural Keyboard Elite"/>
        <s v="Acme Softgrip Scissors"/>
        <s v="AT&amp;T CL2909"/>
        <s v="Imation 8gb Micro Traveldrive Usb 2.0 Flash Drive"/>
        <s v="Fellowes Personal Hanging Folder Files, Navy"/>
        <s v="High Speed Automatic Electric Letter Opener"/>
        <s v="Staple-based wall hangings"/>
        <s v="Xerox 1966"/>
        <s v="Acme Kleen Earth Office Shears"/>
        <s v="Apple iPhone 5S"/>
        <s v="Hon 2090 “Pillow Soft” Series Mid Back Swivel/Tilt Chairs"/>
        <s v="Tensor Computer Mounted Lamp"/>
        <s v="Logitech Illuminated Ultrathin Keyboard with Backlighting"/>
        <s v="Memorex Micro Travel Drive 16 GB"/>
        <s v="WD My Passport Ultra 2TB Portable External Hard Drive"/>
        <s v="SAFCO Commercial Wire Shelving, Black"/>
        <s v="Rush Hierlooms Collection 1&quot; Thick Stackable Bookcases"/>
        <s v="Wilson Jones data.warehouse D-Ring Binders with DublLock"/>
        <s v="BoxOffice By Design Rectangular and Half-Moon Meeting Room Tables"/>
        <s v="Bravo II Megaboss 12-Amp Hard Body Upright, Replacement Belts, 2 Belts per Pack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Ibico Standard Transparent Covers"/>
        <s v="Adams Phone Message Book, Professional, 400 Message Capacity, 5 3/6” x 11”"/>
        <s v="Xerox 1913"/>
        <s v="Global Value Steno Chair, Gray"/>
        <s v="Logitech Desktop MK120 Mouse and keyboard Combo"/>
        <s v="Akro Stacking Bins"/>
        <s v="Boston KS Multi-Size Manual Pencil Sharpener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Avery Hole Reinforcements"/>
        <s v="Eldon Image Series Desk Accessories, Ebony"/>
        <s v="Sanford 52201 APSCO Electric Pencil Sharpener"/>
        <s v="Vinyl Coated Wire Paper Clips in Organizer Box, 800/Box"/>
        <s v="BlackBerry Q10"/>
        <s v="Seth Thomas 14&quot; Day/Date Wall Clock"/>
        <s v="Tripp Lite TLP810NET Broadband Surge for Modem/Fax"/>
        <s v="Xerox 1925"/>
        <s v="Avery Heavy-Duty EZD  Binder With Locking Rings"/>
        <s v="GBC Durable Plastic Covers"/>
        <s v="Novimex Fabric Task Chair"/>
        <s v="Deflect-o EconoMat Studded, No Bevel Mat for Low Pile Carpeting"/>
        <s v="Satellite Sectional Post Binders"/>
        <s v="GBC Linen Binding Covers"/>
        <s v="Xerox 1976"/>
        <s v="Acme Titanium Bonded Scissors"/>
        <s v="Regeneration Desk Collection"/>
        <s v="Cisco SPA525G2 IP Phone - Wireless"/>
        <s v="Xerox 1931"/>
        <s v="Xerox 1988"/>
        <s v="SlimView Poly Binder, 3/8&quot;"/>
        <s v="Eldon 200 Class Desk Accessories, Smoke"/>
        <s v="SanDisk Cruzer 32 GB USB Flash Drive"/>
        <s v="Xerox 23"/>
        <s v="Portable Personal File Box"/>
        <s v="Polycom VVX 310 VoIP phone"/>
        <s v="Newell 341"/>
        <s v="Cisco SPA 501G IP Phone"/>
        <s v="Wilson Jones Hanging View Binder, White, 1&quot;"/>
        <s v="Xerox 1940"/>
        <s v="Xerox 1986"/>
        <s v="KeyTronic KT400U2 - Keyboard - Black"/>
        <s v="BOSTON Model 1800 Electric Pencil Sharpeners, Putty/Woodgrain"/>
        <s v="Avery 516"/>
        <s v="Acme Design Line 8&quot; Stainless Steel Bent Scissors w/Champagne Handles, 3-1/8&quot; Cut"/>
        <s v="Avery Legal 4-Ring Binder"/>
        <s v="Logitech Wireless Touch Keyboard K400"/>
        <s v="Holmes Replacement Filter for HEPA Air Cleaner, Medium Room"/>
        <s v="Pizazz Global Quick File"/>
        <s v="Ideal Clamps"/>
        <s v="Prang Colored Pencils"/>
        <s v="Hon Deluxe Fabric Upholstered Stacking Chairs, Rounded Back"/>
        <s v="Hunt PowerHouse Electric Pencil Sharpener, Blue"/>
        <s v="Acco PRESSTEX Data Binder with Storage Hooks, Light Blue, 9 1/2&quot; X 11&quot;"/>
        <s v="Peel &amp; Seel Envelopes"/>
        <s v="Deflect-o DuraMat Lighweight, Studded, Beveled Mat for Low Pile Carpeting"/>
        <s v="Eldon File Chest Portable File"/>
        <s v="OIC Thumb-Tacks"/>
        <s v="Acme Value Line Scissors"/>
        <s v="WD My Passport Ultra 500GB Portable External Hard Drive"/>
        <s v="Xerox 1942"/>
        <s v="Eldon Gobal File Keepers"/>
        <s v="Eldon ProFile File 'N Store Portable File Tub Letter/Legal Size Black"/>
        <s v="Executive Impressions 12&quot; Wall Clock"/>
        <s v="GBC Prestige Therm-A-Bind Covers"/>
        <s v="Tyvek Interoffice Envelopes, 9 1/2&quot; x 12 1/2&quot;, 100/Box"/>
        <s v="Newell 313"/>
        <s v="Boston 16701 Slimline Battery Pencil Sharpener"/>
        <s v="Riverleaf Stik-Withit Designer Note Cubes"/>
        <s v="Plantronics Single Ear Headset"/>
        <s v="Xerox 1960"/>
        <s v="Verbatim 25 GB 6x Blu-ray Single Layer Recordable Disc, 3/Pack"/>
        <s v="Decoflex Hanging Personal Folder File, Blue"/>
        <s v="Revere Boxed Rubber Bands by Revere"/>
        <s v="Hon 2111 Invitation Series Straight Table"/>
        <s v="Avery 499"/>
        <s v="Wirebound Message Book, 4 per Page"/>
        <s v="Staple holder"/>
        <s v="Ibico Plastic and Wire Spiral Binding Combs"/>
        <s v="Xerox 1900"/>
        <s v="Nortel Meridian M3904 Professional Digital phone"/>
        <s v="Canon PC1080F Personal Copier"/>
        <s v="#10 White Business Envelopes,4 1/8 x 9 1/2"/>
        <s v="Newell 34"/>
        <s v="Xerox 1971"/>
        <s v="Polycom CX300 Desktop Phone USB VoIP phone"/>
        <s v="Wirebound Four 2-3/4 x 5 Forms per Page, 400 Sets per Book"/>
        <s v="File Shuttle II and Handi-File, Black"/>
        <s v="Tennsco Commercial Shelving"/>
        <s v="Gould Plastics 9-Pocket Panel Bin, 18-3/8w x 5-1/4d x 20-1/2h, Black"/>
        <s v="Leather Task Chair, Black"/>
        <s v="Dual Level, Single-Width Filing Carts"/>
        <s v="Xerox 217"/>
        <s v="DMI Arturo Collection Mission-style Design Wood Chair"/>
        <s v="Xerox 1919"/>
        <s v="Luxo Professional Combination Clamp-On Lamps"/>
        <s v="Stockwell Push Pins"/>
        <s v="Xerox 223"/>
        <s v="Star Micronics TSP800 TSP847IIU Receipt Printer"/>
        <s v="Fellowes Mobile File Cart, Black"/>
        <s v="Longer-Life Soft White Bulbs"/>
        <s v="GBC Standard Plastic Binding Systems' Combs"/>
        <s v="Fellowes Super Stor/Drawer Files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Bevis Round Conference Room Tables and Bases"/>
        <s v="Global Deluxe Stacking Chair, Gray"/>
        <s v="Avery 512"/>
        <s v="GBC Recycled Regency Composition Covers"/>
        <s v="Avery 519"/>
        <s v="Imation USB 2.0 Swivel Flash Drive USB flash drive - 4 GB - Pink"/>
        <s v="Boston Heavy-Duty Trimline Electric Pencil Sharpeners"/>
        <s v="iOttie HLCRIO102 Car Mount"/>
        <s v="#10- 4 1/8&quot; x 9 1/2&quot; Security-Tint Envelopes"/>
        <s v="Westinghouse Clip-On Gooseneck Lamps"/>
        <s v="Dixon Ticonderoga Core-Lock Colored Pencils, 48-Color Set"/>
        <s v="DAX Cubicle Frames - 8x10"/>
        <s v="WD My Passport Ultra 1TB Portable External Hard Drive"/>
        <s v="Iris Project Case"/>
        <s v="Global Enterprise Series Seating High-Back Swivel/Tilt Chairs"/>
        <s v="Premium Writing Pencils, Soft, #2 by Central Association for the Blind"/>
        <s v="Sortfiler Multipurpose Personal File Organizer, Black"/>
        <s v="Bevis Round Bullnose 29&quot; High Table Top"/>
        <s v="Sony 16GB Class 10 Micro SDHC R40 Memory Card"/>
        <s v="Avery Non-Stick Heavy Duty View Round Locking Ring Binders"/>
        <s v="Logitech Illuminated - Keyboard"/>
        <s v="Computer Printout Index Tabs"/>
        <s v="Spiral Phone Message Books with Labels by Adams"/>
        <s v="Accohide Poly Flexible Ring Binders"/>
        <s v="Avery Durable Slant Ring Binders With Label Holder"/>
        <s v="Xerox 1917"/>
        <s v="Avery 480"/>
        <s v="Panasonic KX TS208W Corded phone"/>
        <s v="RCA Visys Integrated PBX 8-Line Router"/>
        <s v="Plastic Binding Combs"/>
        <s v="Avery Premier Heavy-Duty Binder with Round Locking Rings"/>
        <s v="GBC VeloBind Cover Sets"/>
        <s v="Tenex Chairmats For Use With Carpeted Floors"/>
        <s v="Vtech CS6719"/>
        <s v="Serrated Blade or Curved Handle Hand Letter Openers"/>
        <s v="Premier Automatic Letter Opener"/>
        <s v="Eldon Portable Mobile Manager"/>
        <s v="Letter/Legal File Tote with Clear Snap-On Lid, Black Granite"/>
        <s v="Avery Framed View Binder, EZD Ring (Locking), Navy, 1 1/2&quot;"/>
        <s v="Xerox 1952"/>
        <s v="Fellowes Twister Kit, Gray/Clear, 3/pkg"/>
        <s v="Tennsco Regal Shelving Units"/>
        <s v="Maxell LTO Ultrium - 800 GB"/>
        <s v="Newell 325"/>
        <s v="Motorola L804"/>
        <s v="ClearOne CHATAttach 160 - speaker phone"/>
        <s v="Carina Mini System Audio Rack, Model AR050B"/>
        <s v="Plantronics Voyager Pro HD - Bluetooth Headset"/>
        <s v="Avery 475"/>
        <s v="Easy-staple paper"/>
        <s v="AT&amp;T CL82213"/>
        <s v="Adjustable Depth Letter/Legal Cart"/>
        <s v="Samsung Rugby III"/>
        <s v="Prang Dustless Chalk Sticks"/>
        <s v="Polycom SoundPoint Pro SE-225 Corded phone"/>
        <s v="Bevis Round Conference Table Top, X-Base"/>
        <s v="Cardinal EasyOpen D-Ring Binders"/>
        <s v="Xerox 2000"/>
        <s v="Hewlett-Packard Deskjet D4360 Printer"/>
        <s v="Newell 343"/>
        <s v="OIC Stacking Trays"/>
        <s v="Xerox 1995"/>
        <s v="Panasonic KP-150 Electric Pencil Sharpener"/>
        <s v="Toshiba IPT2010-SD IP Telephone"/>
        <s v="SAFCO Boltless Steel Shelving"/>
        <s v="Sauder Mission Library with Doors, Fruitwood Finish"/>
        <s v="Samsung Galaxy Note 3"/>
        <s v="Recycled Desk Saver Line &quot;While You Were Out&quot; Book, 5 1/2&quot; X 4&quot;"/>
        <s v="Xerox 1912"/>
        <s v="Jabra SPEAK 410"/>
        <s v="Memorex Froggy Flash Drive 4 GB"/>
        <s v="Luxo Economy Swing Arm Lamp"/>
        <s v="Southworth 100% Résumé Paper, 24lb."/>
        <s v="Eldon Expressions Punched Metal &amp; Wood Desk Accessories, Pewter &amp; Cherry"/>
        <s v="Avery White Multi-Purpose Labels"/>
        <s v="Samsung Galaxy S III - 16GB - pebble blue (T-Mobile)"/>
        <s v="Global Airflow Leather Mesh Back Chair, Black"/>
        <s v="50 Colored Long Pencils"/>
        <s v="Mophie Juice Pack Helium for iPhone"/>
        <s v="Commercial WindTunnel Clean Air Upright Vacuum, Replacement Belts, Filtration Bags"/>
        <s v="Xerox 1979"/>
        <s v="Belkin Standard 104 key USB Keyboard"/>
        <s v="Fellowes PB500 Electric Punch Plastic Comb Binding Machine with Manual Bind"/>
        <s v="Xerox 1974"/>
        <s v="Bevis Boat-Shaped Conference Table"/>
        <s v="Eldon 100 Class Desk Accessories"/>
        <s v="Logitech P710e Mobile Speakerphone"/>
        <s v="Acme Box Cutter Scissors"/>
        <s v="Permanent Self-Adhesive File Folder Labels for Typewriters by Universal"/>
        <s v="OtterBox Commuter Series Case - Samsung Galaxy S4"/>
        <s v="Bush Andora Bookcase, Maple/Graphite Gray Finish"/>
        <s v="Space Solutions HD Industrial Steel Shelving."/>
        <s v="Case Logic 2.4GHz Wireless Keyboard"/>
        <s v="Xerox 1941"/>
        <s v="APC 7 Outlet Network SurgeArrest Surge Protector"/>
        <s v="Bevis Rectangular Conference Tables"/>
        <s v="Geographics Note Cards, Blank, White, 8 1/2&quot; x 11&quot;"/>
        <s v="Adams &quot;While You Were Out&quot; Message Pads"/>
        <s v="Howard Miller 13-1/2&quot; Diameter Rosebrook Wall Clock"/>
        <s v="Lesro Round Back Collection Coffee Table, End Table"/>
        <s v="Xerox 1888"/>
        <s v="Tops Wirebound Message Log Books"/>
        <s v="Kensington Expert Mouse Optical USB Trackball for PC or Mac"/>
        <s v="Xerox 1895"/>
        <s v="Novimex Swivel Fabric Task Chair"/>
        <s v="Pastel Pink Envelopes"/>
        <s v="Belkin F8E887 USB Wired Ergonomic Keyboard"/>
        <s v="Safco Contoured Stacking Chairs"/>
        <s v="Peel &amp; Stick Add-On Corner Pockets"/>
        <s v="Recycled Data-Pak for Archival Bound Computer Printouts, 12-1/2 x 12-1/2 x 16"/>
        <s v="Global Leather &amp; Oak Executive Chair, Burgundy"/>
        <s v="Wirebound Message Books, Four 2 3/4 x 5 White Forms per Page"/>
        <s v="Logitech Mobile Speakerphone P710e - speaker phone"/>
        <s v="Hon GuestStacker Chair"/>
        <s v="Xerox 2"/>
        <s v="Office Impressions Heavy Duty Welded Shelving &amp; Multimedia Storage Drawers"/>
        <s v="Xerox 1893"/>
        <s v="Wilson Jones Easy Flow II Sheet Lifters"/>
        <s v="Xerox 1970"/>
        <s v="Avery 489"/>
        <s v="Sauder Camden County Barrister Bookcase, Planked Cherry Finish"/>
        <s v="Acco 6 Outlet Guardian Premium Surge Suppressor"/>
        <s v="Micropad Numeric Keypads"/>
        <s v="Wilson SignalBoost 841262 DB PRO Amplifier Kit"/>
        <s v="Acme Office Executive Series Stainless Steel Trimmers"/>
        <s v="Memorex 25GB 6X Branded Blu-Ray Recordable Disc, 30/Pack"/>
        <s v="Floodlight Indoor Halogen Bulbs, 1 Bulb per Pack, 60 Watts"/>
        <s v="Hunt BOSTON Model 1606 High-Volume Electric Pencil Sharpener, Beige"/>
        <s v="Xerox 1933"/>
        <s v="Advantus Plastic Paper Clips"/>
        <s v="Fellowes 8 Outlet Superior Workstation Surge Protector"/>
        <s v="File Shuttle I and Handi-File"/>
        <s v="Chromcraft Bull-Nose Wood 48&quot; x 96&quot; Rectangular Conference Tables"/>
        <s v="Standard Rollaway File with Lock"/>
        <s v="Green Bar Computer Printout Paper"/>
        <s v="Acco PRESSTEX Data Binder with Storage Hooks, Dark Blue, 9 1/2&quot; X 11&quot;"/>
        <s v="Samsung HM1900 Bluetooth Headset"/>
        <s v="Acco Side-Punched Conventional Columnar Pads"/>
        <s v="SanDisk Ultra 16 GB MicroSDHC Class 10 Memory Card"/>
        <s v="Avery 492"/>
        <s v="Xerox 232"/>
        <s v="Adjustable Personal File Tote"/>
        <s v="Xerox 1964"/>
        <s v="DAX Natural Wood-Tone Poster Frame"/>
        <s v="Xerox 1987"/>
        <s v="Acco Perma 3000 Stacking Storage Drawers"/>
        <s v="Office Star - Contemporary Swivel Chair with Padded Adjustable Arms and Flex Back"/>
        <s v="Xerox Color Copier Paper, 11&quot; x 17&quot;, Ream"/>
        <s v="Hon Non-Folding Utility Tables"/>
        <s v="Bretford Rectangular Conference Table Tops"/>
        <s v="Bestar Classic Bookcase"/>
        <s v="Eldon Advantage Chair Mats for Low to Medium Pile Carpets"/>
        <s v="Eldon Image Series Desk Accessories, Burgundy"/>
        <s v="Woodgrain Magazine Files by Perma"/>
        <s v="White GlueTop Scratch Pads"/>
        <s v="Electrix Incandescent Magnifying Lamp, Black"/>
        <s v="Cardinal Slant-D Ring Binder, Heavy Gauge Vinyl"/>
        <s v="Stackable Trays"/>
        <s v="Executive Impressions 14&quot; Contract Wall Clock"/>
        <s v="First Data FD10 PIN Pad"/>
        <s v="GE 30524EE4"/>
        <s v="Office Star - Professional Matrix Back Chair with 2-to-1 Synchro Tilt and Mesh Fabric Seat"/>
        <s v="Advantus T-Pin Paper Clips"/>
        <s v="Wi-Ex zBoost YX540 Cellular Phone Signal Booster"/>
        <s v="Clarity 53712"/>
        <s v="Ibico Hi-Tech Manual Binding System"/>
        <s v="Newell 31"/>
        <s v="Logitech G430 Surround Sound Gaming Headset with Dolby 7.1 Technology"/>
        <s v="Computer Room Manger, 14&quot;"/>
        <s v="Logitech 910-002974 M325 Wireless Mouse for Web Scrolling"/>
        <s v="Global Low Back Tilter Chair"/>
        <s v="Xerox 1954"/>
        <s v="SAFCO Arco Folding Chair"/>
        <s v="Newell 332"/>
        <s v="Letter Size Cart"/>
        <s v="Global Value Mid-Back Manager's Chair, Gray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Eldon ClusterMat Chair Mat with Cordless Antistatic Protection"/>
        <s v="Acme Rosewood Handle Letter Opener"/>
        <s v="Xerox 1927"/>
        <s v="Advantus Rolling Storage Box"/>
        <s v="GBC DocuBind 300 Electric Binding Machine"/>
        <s v="Stacking Trays by OIC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Fellowes Bases and Tops For Staxonsteel/High-Stak Systems"/>
        <s v="Alphabetical Labels for Top Tab Filing"/>
        <s v="HTC One"/>
        <s v="Panasonic KX TS3282W Corded phone"/>
        <s v="Global Deluxe Steno Chair"/>
        <s v="Fellowes Binding Cases"/>
        <s v="It's Hot Message Books with Stickers, 2 3/4&quot; x 5&quot;"/>
        <s v="Binding Machine Supplies"/>
        <s v="Deflect-o EconoMat Nonstudded, No Bevel Mat"/>
        <s v="Avery 500"/>
        <s v="Xerox 1991"/>
        <s v="HON 5400 Series Task Chairs for Big and Tall"/>
        <s v="Bady BDG101FRU Card Printer"/>
        <s v="Hand-Finished Solid Wood Document Frame"/>
        <s v="Wilson Jones Standard D-Ring Binders"/>
        <s v="Newell 310"/>
        <s v="Xerox 1959"/>
        <s v="Acco Data Flex Cable Posts For Top &amp; Bottom Load Binders, 6&quot; Capacity"/>
        <s v="Avery Durable Binders"/>
        <s v="Xerox 22"/>
        <s v="Xerox 1881"/>
        <s v="Avery 485"/>
        <s v="Smead Alpha-Z Color-Coded Second Alphabetical Labels and Starter Set"/>
        <s v="Avery 4027 File Folder Labels for Dot Matrix Printers, 5000 Labels per Box, White"/>
        <s v="Hon 61000 Series Interactive Training Tables"/>
        <s v="Square Credit Card Reader"/>
        <s v="Hon Racetrack Conference Tables"/>
        <s v="Deflect-o Glass Clear Studded Chair Mats"/>
        <s v="Canon PC1060 Personal Laser Copier"/>
        <s v="Dixon Prang Watercolor Pencils, 10-Color Set with Brush"/>
        <s v="Safco Value Mate Series Steel Bookcases, Baked Enamel Finish on Steel, Gray"/>
        <s v="SmartStand Mobile Device Holder, Assorted Colors"/>
        <s v="Howard Miller 11-1/2&quot; Diameter Brentwood Wall Clock"/>
        <s v="Wireless Extenders zBoost YX545 SOHO Signal Booster"/>
        <s v="Deluxe Rollaway Locking File with Drawer"/>
        <s v="Canon PC940 Copier"/>
        <s v="Multicolor Computer Printout Paper"/>
        <s v="GBC Imprintable Covers"/>
        <s v="Self-Adhesive Address Labels for Typewriters by Universal"/>
        <s v="Acme Elite Stainless Steel Scissors"/>
        <s v="Wirebound Message Books, 5-1/2 x 4 Forms, 2 or 4 Forms per Page"/>
        <s v="REDIFORM Incoming/Outgoing Call Register, 11&quot; X 8 1/2&quot;, 100 Messages"/>
        <s v="Eldon Expressions Punched Metal &amp; Wood Desk Accessories, Black &amp; Cherry"/>
        <s v="Bush Advantage Collection Racetrack Conference Table"/>
        <s v="Rogers Profile Extra Capacity Storage Tub"/>
        <s v="Imation Bio 8GB USB Flash Drive Imation Corp"/>
        <s v="Xerox 1977"/>
        <s v="Acco 6 Outlet Guardian Premium Plus Surge Suppressor"/>
        <s v="Xerox 1880"/>
        <s v="Memorex Froggy Flash Drive 8 GB"/>
        <s v="G.E. Longer-Life Indoor Recessed Floodlight Bulbs"/>
        <s v="Vtech AT&amp;T CL2940 Corded Speakerphone, Black"/>
        <s v="Dixon Ticonderoga Pencils"/>
        <s v="Laminate Occasional Tables"/>
        <s v="Insertable Tab Post Binder Dividers"/>
        <s v="Canon PC-428 Personal Copier"/>
        <s v="Rogers Jumbo File, Granite"/>
        <s v="Hon 94000 Series Round Tables"/>
        <s v="Martin-Yale Premier Letter Opener"/>
        <s v="Xerox 210"/>
        <s v="Xerox 1973"/>
        <s v="Flat Face Poster Frame"/>
        <s v="Aastra 57i VoIP phone"/>
        <s v="3M Replacement Filter for Office Air Cleaner for 20' x 33' Room"/>
        <s v="Iceberg OfficeWorks 42&quot; Round Tables"/>
        <s v="Polycom CX600 IP Phone VoIP phone"/>
        <s v="Neat Ideas Personal Hanging Folder Files, Black"/>
        <s v="Acco Smartsocket Color-Coded Six-Outlet AC Adapter Model Surge Protectors"/>
        <s v="Plantronics S12 Corded Telephone Headset System"/>
        <s v="Plantronics Calisto P620-M USB Wireless Speakerphone System"/>
        <s v="Hoover Upright Vacuum With Dirt Cup"/>
        <s v="Xerox 1903"/>
        <s v="Tennsco Stur-D-Stor Boltless Shelving, 5 Shelves, 24&quot; Deep, Sand"/>
        <s v="Xerox 19"/>
        <s v="Logitech B530 USB Headset - headset - Full size, Binaural"/>
        <s v="Boston 1730 StandUp Electric Pencil Sharpener"/>
        <s v="Fellowes Black Plastic Comb Bindings"/>
        <s v="Laser &amp; Ink Jet Business Envelopes"/>
        <s v="SAFCO Optional Arm Kit for Workspace Cribbage Stacking Chair"/>
        <s v="Newell 345"/>
        <s v="RCA ViSYS 25825 Wireless digital phone"/>
        <s v="GBC Premium Transparent Covers with Diagonal Lined Pattern"/>
        <s v="Belkin 6 Outlet Metallic Surge Strip"/>
        <s v="Cush Cases Heavy Duty Rugged Cover Case for Samsung Galaxy S5 - Purple"/>
        <s v="OtterBox Defender Series Case - iPhone 5c"/>
        <s v="GBC Twin Loop Wire Binding Elements, 9/16&quot; Spine, Black"/>
        <s v="Acme 10&quot; Easy Grip Assistive Scissors"/>
        <s v="Rubbermaid ClusterMat Chairmats, Mat Size- 66&quot; x 60&quot;, Lip 20&quot; x 11&quot; -90 Degree Angle"/>
        <s v="Newell 317"/>
        <s v="Ibico Recycled Linen-Style Covers"/>
        <s v="Logitech Gaming G510s - Keyboard"/>
        <s v="Avery Binding System Hidden Tab Executive Style Index Sets"/>
        <s v="Newell 321"/>
        <s v="Global Chrome Stack Chair"/>
        <s v="Xerox 1962"/>
        <s v="Xerox 1953"/>
        <s v="Prestige Round Ring Binders"/>
        <s v="Tennsco Snap-Together Open Shelving Units, Starter Sets and Add-On Units"/>
        <s v="Avery 476"/>
        <s v="Zebra GX420t Direct Thermal/Thermal Transfer Printer"/>
        <s v="Kensington 4 Outlet MasterPiece Compact Power Control Center"/>
        <s v="Ultra Door Push Plate"/>
        <s v="DAX Metal Frame, Desktop, Stepped-Edge"/>
        <s v="Newell 311"/>
        <s v="Xerox 1894"/>
        <s v="Southworth 25% Cotton Antique Laid Paper &amp; Envelopes"/>
        <s v="Xerox 1883"/>
        <s v="Tenex Personal Project File with Scoop Front Design, Black"/>
        <s v="O'Sullivan Living Dimensions 3-Shelf Bookcases"/>
        <s v="Self-Adhesive Removable Labels"/>
        <s v="Avery 501"/>
        <s v="Binney &amp; Smith Crayola Metallic Colored Pencils, 8-Color Set"/>
        <s v="Logitech Wireless Anywhere Mouse MX for PC and Mac"/>
        <s v="Logitech Z-906 Speaker sys - home theater - 5.1-CH"/>
        <s v="3-ring staple pack"/>
        <s v="Luxo Adjustable Task Clamp Lamp"/>
        <s v="Dexim XPower Skin Super-Thin Power Case for iPhone 5 - Black"/>
        <s v="Aluminum Screw Posts"/>
        <s v="Belkin 19&quot; Vented Equipment Shelf, Black"/>
        <s v="Eldon &quot;L&quot; Workstation Diamond Chairmat"/>
        <s v="DAX Copper Panel Document Frame, 5 x 7 Size"/>
        <s v="Xerox 1922"/>
        <s v="Eldon 200 Class Desk Accessories"/>
        <s v="Xerox 231"/>
        <s v="Cameo Buff Policy Envelopes"/>
        <s v="Howard Miller 13&quot; Diameter Pewter Finish Round Wall Clock"/>
        <s v="Griffin GC36547 PowerJolt SE Lightning Charger"/>
        <s v="OIC Binder Clips, Mini, 1/4&quot; Capacity, Black"/>
        <s v="Pyle PRT45 Retro Home Telephone"/>
        <s v="Plantronics CS 50-USB - headset - Convertible, Monaural"/>
        <s v="Assorted Color Push Pins"/>
        <s v="JBL Micro Wireless Portable Bluetooth Speaker"/>
        <s v="GBC Velobind Prepunched Cover Sets, Regency Series"/>
        <s v="Electrix Halogen Magnifier Lamp"/>
        <s v="Novimex Turbo Task Chair"/>
        <s v="Large Capacity Hanging Post Binders"/>
        <s v="Xerox 1896"/>
        <s v="Xerox 1899"/>
        <s v="Hon Metal Bookcases, Black"/>
        <s v="Hon 4070 Series Pagoda Armless Upholstered Stacking Chairs"/>
        <s v="Sauder Camden County Collection Libraries, Planked Cherry Finish"/>
        <s v="Logitech G35 7.1-Channel Surround Sound Headset"/>
        <s v="Wilson Jones DublLock D-Ring Binders"/>
        <s v="Plymouth Boxed Rubber Bands by Plymouth"/>
        <s v="Xerox 228"/>
        <s v="Sauder Forest Hills Library, Woodland Oak Finish"/>
        <s v="Motorola L703CM"/>
        <s v="Airmail Envelopes"/>
        <s v="Acco Pressboard Covers with Storage Hooks, 9 1/2&quot; x 11&quot;, Executive Red"/>
        <s v="Office Star - Contemporary Task Swivel Chair"/>
        <s v="Presstex Flexible Ring Binders"/>
        <s v="Ibico Presentation Index for Binding Systems"/>
        <s v="Okidata C331dn Printer"/>
        <s v="ACCOHIDE 3-Ring Binder, Blue, 1&quot;"/>
        <s v="Cardinal Hold-It CD Pocket"/>
        <s v="Global Ergonomic Managers Chair"/>
        <s v="Ultra Door Pull Handle"/>
        <s v="Mobile Personal File Cube"/>
        <s v="Newell 346"/>
        <s v="Samsung Galaxy S4 Mini"/>
        <s v="Avery 488"/>
        <s v="Xerox 21"/>
        <s v="Newell 336"/>
        <s v="Xerox 191"/>
        <s v="Sauder Camden County Collection Library"/>
        <s v="Fiskars Softgrip Scissors"/>
        <s v="Avery 511"/>
        <s v="Avery Heavy-Duty EZD View Binder with Locking Rings"/>
        <s v="O'Sullivan 2-Door Barrister Bookcase in Odessa Pine"/>
        <s v="invisibleSHIELD by ZAGG Smudge-Free Screen Protector"/>
        <s v="Xerox 226"/>
        <s v="Atlantic Metals Mobile 3-Shelf Bookcases, Custom Colors"/>
        <s v="Memorex Micro Travel Drive 32 GB"/>
        <s v="Lexmark S315 Color Inkjet Printer"/>
        <s v="Storex Dura Pro Binders"/>
        <s v="Hewlett Packard LaserJet 3310 Copier"/>
        <s v="Sterilite Officeware Hinged File Box"/>
        <s v="TRENDnet 56K USB 2.0 Phone, Internet and Fax Modem"/>
        <s v="Avery Durable Slant Ring Binders, No Labels"/>
        <s v="GE 48&quot; Fluorescent Tube, Cool White Energy Saver, 34 Watts, 30/Box"/>
        <s v="Acco Flexible ACCOHIDE Square Ring Data Binder, Dark Blue, 11 1/2&quot; X 14&quot; 7/8&quot;"/>
        <s v="DXL Angle-View Binders with Locking Rings, Black"/>
        <s v="Acco Hanging Data Binders"/>
        <s v="Howard Miller 16&quot; Diameter Gallery Wall Clock"/>
        <s v="Memorex Mini Travel Drive 8 GB USB 2.0 Flash Drive"/>
        <s v="Safco Industrial Wire Shelving"/>
        <s v="Xerox 1928"/>
        <s v="Eldon Shelf Savers Cubes and Bins"/>
        <s v="Belkin 19&quot; Center-Weighted Shelf, Gray"/>
        <s v="Seth Thomas 13 1/2&quot; Wall Clock"/>
        <s v="Boston 19500 Mighty Mite Electric Pencil Sharpener"/>
        <s v="Avery 474"/>
        <s v="Deflect-O Glasstique Clear Desk Accessories"/>
        <s v="Eldon Econocleat Chair Mats for Low Pile Carpets"/>
        <s v="Xerox 1915"/>
        <s v="Xerox 216"/>
        <s v="Personal Creations Ink Jet Cards and Labels"/>
        <s v="Rediform S.O.S. Phone Message Books"/>
        <s v="Quartet Omega Colored Chalk, 12/Pack"/>
        <s v="Elite 5&quot; Scissors"/>
        <s v="Advantus Panel Wall Certificate Holder - 8.5x11"/>
        <s v="Wirebound Message Books, Four 2 3/4&quot; x 5&quot; Forms per Page, 600 Sets per Book"/>
        <s v="Stur-D-Stor Shelving, Vertical 5-Shelf: 72&quot;H x 36&quot;W x 18 1/2&quot;D"/>
        <s v="Newell 323"/>
        <s v="Seth Thomas 8 1/2&quot; Cubicle Clock"/>
        <s v="Wilson Jones Impact Binders"/>
        <s v="Hon Every-Day Series Multi-Task Chairs"/>
        <s v="Advantus Map Pennant Flags and Round Head Tacks"/>
        <s v="Kensington 6 Outlet Guardian Standard Surge Protector"/>
        <s v="DAX Value U-Channel Document Frames, Easel Back"/>
        <s v="HP Standard 104 key PS/2 Keyboard"/>
        <s v="Bretford CR4500 Series Slim Rectangular Table"/>
        <s v="#10- 4 1/8&quot; x 9 1/2&quot; Recycled Envelopes"/>
        <s v="Global Super Steno Chair"/>
        <s v="Permanent Self-Adhesive File Folder Labels for Typewriters, 1 1/8 x 3 1/2, White"/>
        <s v="Logitech G602 Wireless Gaming Mouse"/>
        <s v="Microsoft Arc Touch Mouse"/>
        <s v="Petty Cash Envelope"/>
        <s v="GBC VeloBinder Electric Binding Machine"/>
        <s v="Lock-Up Easel 'Spel-Binder'"/>
        <s v="2300 Heavy-Duty Transfer File Systems by Perma"/>
        <s v="Personal Filing Tote with Lid, Black/Gray"/>
        <s v="Xerox 1916"/>
        <s v="Holmes HEPA Air Purifier"/>
        <s v="Acco Smartsocket Table Surge Protector, 6 Color-Coded Adapter Outlets"/>
        <s v="GBC Recycled VeloBinder Covers"/>
        <s v="Acme Galleria Hot Forged Steel Scissors with Colored Handles"/>
        <s v="Motorola HK250 Universal Bluetooth Headset"/>
        <s v="Trav-L-File Heavy-Duty Shuttle II, Black"/>
        <s v="Pressboard Hanging Data Binders for Unburst Sheets"/>
        <s v="GBC Poly Designer Binding Covers"/>
        <s v="HTC One Mini"/>
        <s v="9-3/4 Diameter Round Wall Clock"/>
        <s v="Bush Cubix Collection Bookcases, Fully Assembled"/>
        <s v="Global Highback Leather Tilter in Burgundy"/>
        <s v="Deflect-o SuperTray Unbreakable Stackable Tray, Letter, Black"/>
        <s v="Avery 503"/>
        <s v="Eldon Base for stackable storage shelf, platinum"/>
        <s v="Sanyo Counter Height Refrigerator with Crisper, 3.6 Cubic Foot, Stainless Steel/Black"/>
        <s v="NETGEAR N750 Dual Band Wi-Fi Gigabit Router"/>
        <s v="Nu-Dell Oak Frame"/>
        <s v="SAFCO PlanMaster Boards, 60w x 37-1/2d, White Melamine"/>
        <s v="Maxell DVD-RAM Discs"/>
        <s v="Xerox 196"/>
        <s v="Redi-Strip #10 Envelopes, 4 1/8 x 9 1/2"/>
        <s v="Novimex High-Tech Fabric Mesh Task Chair"/>
        <s v="Balt Solid Wood Rectangular Table"/>
        <s v="Newell 319"/>
        <s v="Avery 507"/>
        <s v="Panasonic KX-TG6844B Expandable Digital Cordless Telephone"/>
        <s v="Plantronics MX500i Earset"/>
        <s v="Xerox 1914"/>
        <s v="Avery Self-Adhesive Photo Pockets for Polaroid Photos"/>
        <s v="Xerox 1898"/>
        <s v="Sharp 1540cs Digital Laser Copier"/>
        <s v="OtterBox Commuter Series Case - iPhone 5 &amp; 5s"/>
        <s v="Eldon Regeneration Recycled Desk Accessories, Black"/>
        <s v="Poly String Tie Envelopes"/>
        <s v="Acco Four Pocket Poly Ring Binder with Label Holder, Smoke, 1&quot;"/>
        <s v="GBC DocuBind P100 Manual Binding Machine"/>
        <s v="OIC Bulk Pack Metal Binder Clips"/>
        <s v="Global Fabric Manager's Chair, Dark Gray"/>
        <s v="Acme Tagit Stainless Steel Antibacterial Scissors"/>
        <s v="Polycom SoundStation2 EX Conference phone"/>
        <s v="DMI Eclipse Executive Suite Bookcases"/>
        <s v="Lumber Crayons"/>
        <s v="Logitech K350 2.4Ghz Wireless Keyboard"/>
        <s v="Contemporary Wood/Metal Frame"/>
        <s v="Cisco IP Phone 7961G-GE VoIP phone"/>
        <s v="Logitech Trackman Marble Mouse"/>
        <s v="Coloredge Poster Frame"/>
        <s v="Hanging Personal Folder File"/>
        <s v="UniKeep View Case Binders"/>
        <s v="Logitech G19 Programmable Gaming Keyboard"/>
        <s v="Alliance Rubber Bands"/>
        <s v="Deluxe Heavy-Duty Vinyl Round Ring Binder"/>
        <s v="Microsoft Sculpt Comfort Mouse"/>
        <s v="Eldon Stackable Tray, Side-Load, Legal, Smoke"/>
        <s v="Universal Recycled Hanging Pressboard Report Binders, Letter Size"/>
        <s v="Advantus Push Pins"/>
        <s v="Imation Secure Drive + Hardware Encrypted USB flash drive - 16 GB"/>
        <s v="Jabra BIZ 2300 Duo QD Duo Corded Headset"/>
        <s v="Avery 51"/>
        <s v="Carina Media Storage Towers in Natural &amp; Black"/>
        <s v="Fellowes Recycled Storage Drawers"/>
        <s v="Xerox 203"/>
        <s v="Tenex V2T-RE Standard Weight Series Chair Mat, 45&quot; x 53&quot;, Lip 25&quot; x 12&quot;"/>
        <s v="Hoover Commercial Soft Guard Upright Vacuum And Disposable Filtration Bags"/>
        <s v="Newell 333"/>
        <s v="Gear Head AU3700S Headset"/>
        <s v="Cardinal Poly Pocket Divider Pockets for Ring Binders"/>
        <s v="Eldon Expressions Wood Desk Accessories, Oak"/>
        <s v="AmazonBasics 3-Button USB Wired Mouse"/>
        <s v="Sauder Barrister Bookcases"/>
        <s v="Wilson Jones 14 Line Acrylic Coated Pressboard Data Binders"/>
        <s v="Performers Binder/Pad Holder, Black"/>
        <s v="Dana Swing-Arm Lamps"/>
        <s v="Hon Metal Bookcases, Putty"/>
        <s v="Square Ring Data Binders, Rigid 75 Pt. Covers, 11&quot; x 14-7/8&quot;"/>
        <s v="Fellowes Command Center 5-outlet power strip"/>
        <s v="Avery 506"/>
        <s v="Xerox 1887"/>
        <s v="Personal Folder Holder, Ebony"/>
        <s v="Acco PRESSTEX Data Binder with Storage Hooks, Dark Blue, 14 7/8&quot; X 11&quot;"/>
        <s v="Xerox 1943"/>
        <s v="Avery Reinforcements for Hole-Punch Pages"/>
        <s v="Fellowes Bankers Box Staxonsteel Drawer File/Stacking System"/>
        <s v="Situations Contoured Folding Chairs, 4/Set"/>
        <s v="Sony 64GB Class 10 Micro SDHC R40 Memory Card"/>
        <s v="Snap-A-Way Black Print Carbonless Ruled Speed Letter, Triplicate"/>
        <s v="BIC Brite Liner Highlighters"/>
        <s v="Holmes Visible Mist Ultrasonic Humidifier with 2.3-Gallon Output per Day, Replacement Filter"/>
        <s v="Boston Electric Pencil Sharpener, Model 1818, Charcoal Black"/>
        <s v="Xerox 1997"/>
        <s v="Wilson Jones Heavy-Duty Casebound Ring Binders with Metal Hinges"/>
        <s v="Xerox 219"/>
        <s v="Bush Advantage Collection Round Conference Table"/>
        <s v="Tennsco Industrial Shelving"/>
        <s v="Tyvek Side-Opening Peel &amp; Seel Expanding Envelopes"/>
        <s v="Jensen SMPS-640 - speaker phone"/>
        <s v="Memorex Micro Travel Drive 8 GB"/>
        <s v="Stanley Contemporary Battery Pencil Sharpeners"/>
        <s v="Message Book, Phone, Wirebound Standard Line Memo, 2 3/4&quot; X 5&quot;"/>
        <s v="Xerox 20"/>
        <s v="Avery 483"/>
        <s v="Alliance Big Bands Rubber Bands, 12/Pack"/>
        <s v="Avery 509"/>
        <s v="12-1/2 Diameter Round Wall Clock"/>
        <s v="Xerox 218"/>
        <s v="Southworth Parchment Paper &amp; Envelopes"/>
        <s v="Avery File Folder Labels"/>
        <s v="Bush Westfield Collection Bookcases, Dark Cherry Finish"/>
        <s v="Newell 326"/>
        <s v="Logitech Keyboard K120"/>
        <s v="Master Caster Door Stop, Large Neon Orange"/>
        <s v="DAX Wood Document Frame"/>
        <s v="Xerox 1932"/>
        <s v="Avery Personal Creations Heavyweight Cards"/>
        <s v="Lifetime Advantage Folding Chairs, 4/Carton"/>
        <s v="Recycled Premium Regency Composition Covers"/>
        <s v="Black Print Carbonless Snap-Off Rapid Letter, 8 1/2&quot; x 7&quot;"/>
        <s v="Xerox 1930"/>
        <s v="Logitech Wireless Marathon Mouse M705"/>
        <s v="Xerox 213"/>
        <s v="Fellowes 8 Outlet Superior Workstation Surge Protector w/o Phone/Fax/Modem Protection"/>
        <s v="Avery 513"/>
        <s v="Plantronics Voyager Pro Legend"/>
        <s v="Angle-D Binders with Locking Rings, Label Holders"/>
        <s v="Master Caster Door Stop, Gray"/>
        <s v="Micro Innovations USB RF Wireless Keyboard with Mouse"/>
        <s v="Ibico Recycled Grain-Textured Covers"/>
        <s v="GBC Laser Imprintable Binding System Covers, Desert Sand"/>
        <s v="Bush Andora Conference Table, Maple/Graphite Gray Finish"/>
        <s v="3M Office Air Cleaner"/>
        <s v="Logitech G700s Rechargeable Gaming Mouse"/>
        <s v="Acco D-Ring Binder w/DublLock"/>
        <s v="Xerox 190"/>
        <s v="Sanford Colorific Eraseable Coloring Pencils, 12 Count"/>
        <s v="Avery Arch Ring Binders"/>
        <s v="Newell 320"/>
        <s v="ShoreTel ShorePhone IP 230 VoIP phone"/>
        <s v="Plantronics Savi W720 Multi-Device Wireless Headset System"/>
        <s v="#6 3/4 Gummed Flap White Envelopes"/>
        <s v="Nu-Dell Float Frame 11 x 14 1/2"/>
        <s v="Enermax Acrylux Wireless Keyboard"/>
        <s v="Atlantic Metals Mobile 4-Shelf Bookcases, Custom Colors"/>
        <s v="Dixon My First Ticonderoga Pencil, #2"/>
        <s v="Computer Printout Paper with Letter-Trim Perforations"/>
        <s v="ClearSounds CSC500 Amplified Spirit Phone Corded phone"/>
        <s v="Magna Visual Magnetic Picture Hangers"/>
        <s v="Brother DCP1000 Digital 3 in 1 Multifunction Machine"/>
        <s v="Important Message Pads, 50 4-1/4 x 5-1/2 Forms per Pad"/>
        <s v="Xerox 1949"/>
        <s v="Avery 497"/>
        <s v="Maxell 4.7GB DVD-R 5/Pack"/>
        <s v="Geemarc AmpliPOWER60"/>
        <s v="Xerox 1929"/>
        <s v="Cisco SPA 502G IP Phone"/>
        <s v="Panasonic KP-350BK Electric Pencil Sharpener with Auto Stop"/>
        <s v="Logitech G500s Laser Gaming Mouse with Adjustable Weight Tuning"/>
        <s v="24-Hour Round Wall Clock"/>
        <s v="Logitech Media Keyboard K200"/>
        <s v="Wilson Jones Active Use Binders"/>
        <s v="Imation 8GB Mini TravelDrive USB 2.0 Flash Drive"/>
        <s v="Contract Clock, 14&quot;, Brown"/>
        <s v="DAX Cubicle Frames, 8-1/2 x 11"/>
        <s v="Heavy-Duty E-Z-D Binders"/>
        <s v="GBC Wire Binding Strips"/>
        <s v="Global Deluxe High-Back Office Chair in Storm"/>
        <s v="O'Sullivan 2-Shelf Heavy-Duty Bookcases"/>
        <s v="AT&amp;T 1080 Phone"/>
        <s v="Safco Commercial Shelving"/>
        <s v="Avery 508"/>
        <s v="Chromcraft Round Conference Tables"/>
        <s v="Anker Astro 15000mAh USB Portable Charger"/>
        <s v="Maxell 4.7GB DVD+RW 3/Pack"/>
        <s v="Tops Green Bar Computer Printout Paper"/>
        <s v="Wilson Jones Clip &amp; Carry Folder Binder Tool for Ring Binders, Clear"/>
        <s v="Acco Clips to Go Binder Clips, 24 Clips in Two Sizes"/>
        <s v="RCA ViSYS 25423RE1 Corded phone"/>
        <s v="Berol Giant Pencil Sharpener"/>
        <s v="Rediform Voice Mail Log Books"/>
        <s v="Apple iPhone 5"/>
        <s v="Okidata MB760 Printer"/>
        <s v="Mini 13-1/2 Capacity Data Binder Rack, Pearl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Westinghouse Mesh Shade Clip-On Gooseneck Lamp, Black"/>
        <s v="Global High-Back Leather Tilter, Burgundy"/>
        <s v="Avery Round Ring Poly Binders"/>
        <s v="Global Comet Stacking Arm Chair"/>
        <s v="i.Sound Portable Power - 8000 mAh"/>
        <s v="Atlantic Metals Mobile 2-Shelf Bookcases, Custom Colors"/>
        <s v="Logitech ClearChat Comfort/USB Headset H390"/>
        <s v="Global Stack Chair with Arms, Black"/>
        <s v="Rogers Deluxe File Chest"/>
        <s v="Xerox 1983"/>
        <s v="Belkin F9H710-06 7 Outlet SurgeMaster Surge Protector"/>
        <s v="Hewlett Packard 610 Color Digital Copier / Printer"/>
        <s v="Xerox 1923"/>
        <s v="Fellowes Neat Ideas Storage Cubes"/>
        <s v="C-Line Magnetic Cubicle Keepers, Clear Polypropylene"/>
        <s v="Acco Pressboard Covers with Storage Hooks, 14 7/8&quot; x 11&quot;, Light Blue"/>
        <s v="Bush Somerset Collection Bookcase"/>
        <s v="Xerox 227"/>
        <s v="Fellowes Staxonsteel Drawer Files"/>
        <s v="GBC Prepunched Paper, 19-Hole, for Binding Systems, 24-lb"/>
        <s v="Hon Comfortask Task/Swivel Chairs"/>
        <s v="JM Magazine Binder"/>
        <s v="Xerox 206"/>
        <s v="Xerox 1911"/>
        <s v="Bush Westfield Collection Bookcases, Fully Assembled"/>
        <s v="PowerGen Dual USB Car Charger"/>
        <s v="Newell 307"/>
        <s v="Panasonic KP-4ABK Battery-Operated Pencil Sharpener"/>
        <s v="Adams Telephone Message Book W/Dividers/Space For Phone Numbers, 5 1/4&quot;X8 1/2&quot;, 200/Messages"/>
        <s v="Avery Binder Labels"/>
        <s v="Round Ring Binders"/>
        <s v="Poly Designer Cover &amp; Back"/>
        <s v="Premier Electric Letter Opener"/>
        <s v="Fellowes Premier Superior Surge Suppressor, 10-Outlet, With Phone and Remote"/>
        <s v="Recycled Interoffice Envelopes with String and Button Closure, 10 x 13"/>
        <s v="Global Stack Chair without Arms, Black"/>
        <s v="Cisco Small Business SPA 502G VoIP phone"/>
        <s v="Global Adaptabilities Conference Tables"/>
        <s v="Avery Poly Binder Pockets"/>
        <s v="Executive Impressions 8-1/2&quot; Career Panel/Partition Cubicle Clock"/>
        <s v="Xerox 1920"/>
        <s v="Sony Micro Vault Click 8 GB USB 2.0 Flash Drive"/>
        <s v="TOPS Money Receipt Book, Consecutively Numbered in Red,"/>
        <s v="Manila Recycled Extra-Heavyweight Clasp Envelopes, 6&quot; x 9&quot;"/>
        <s v="Memorex Mini Travel Drive 32 GB USB 2.0 Flash Drive"/>
        <s v="Imation 16GB Mini TravelDrive USB 2.0 Flash Drive"/>
        <s v="Tenex Carpeted, Granite-Look or Clear Contemporary Contour Shape Chair Mats"/>
        <s v="Avery 481"/>
        <s v="Home/Office Personal File Carts"/>
        <s v="Universal Premium White Copier/Laser Paper (20Lb. and 87 Bright)"/>
        <s v="Luxo Professional Fluorescent Magnifier Lamp with Clamp-Mount Base"/>
        <s v="Wilson Jones Turn Tabs Binder Tool for Ring Binders"/>
        <s v="Panasonic KX MB2061 Multifunction Printer"/>
        <s v="Nortel Business Series Terminal T7208 Digital phone"/>
        <s v="Xerox 1946"/>
        <s v="Cisco SPA508G"/>
        <s v="Fellowes Powershred HS-440 4-Sheet High Security Shredder"/>
        <s v="Kensington 7 Outlet MasterPiece HOMEOFFICE Power Control Center"/>
        <s v="Storex Flexible Poly Binders with Double Pockets"/>
        <s v="White Dual Perf Computer Printout Paper, 2700 Sheets, 1 Part, Heavyweight, 20 lbs., 14 7/8 x 11"/>
        <s v="36X48 HARDFLOOR CHAIRMAT"/>
        <s v="Acco Translucent Poly Ring Binders"/>
        <s v="Xerox Blank Computer Paper"/>
        <s v="Rosewill 107 Normal Keys USB Wired Standard Keyboard"/>
        <s v="While You Were Out Pads, 50 per Pad, 4 x 5 1/4, Green Cycle"/>
        <s v="Avaya 4621SW VoIP phone"/>
        <s v="Avery 473"/>
        <s v="Bretford “Just In Time” Height-Adjustable Multi-Task Work Tables"/>
        <s v="Avery 486"/>
        <s v="IBM Multi-Purpose Copy Paper, 8 1/2 x 11&quot;, Case"/>
        <s v="GE General Purpose, Extra Long Life, Showcase &amp; Floodlight Incandescent Bulbs"/>
        <s v="Bush Cubix Conference Tables, Fully Assembled"/>
        <s v="Avery 496"/>
        <s v="Global Manager's Adjustable Task Chair, Storm"/>
        <s v="Xerox 202"/>
        <s v="GBC Plastic Binding Combs"/>
        <s v="Fellowes Bankers Box Recycled Super Stor/Drawer"/>
        <s v="Hon Valutask Swivel Chairs"/>
        <s v="Xerox 1884"/>
        <s v="Macally Suction Cup Mount"/>
        <s v="Ampad Phone Message Book, Recycled, 400 Message Capacity, 5 ¾” x 11”"/>
        <s v="Hewlett Packard 310 Color Digital Copier"/>
        <s v="Zipper Ring Binder Pockets"/>
        <s v="Hon Deluxe Fabric Upholstered Stacking Chairs"/>
        <s v="Xerox 200"/>
        <s v="Brites Rubber Bands, 1 1/2 oz. Box"/>
        <s v="Master Caster Door Stop, Brown"/>
        <s v="Inter-Office Recycled Envelopes, Brown Kraft, Button-String,10&quot; x 13&quot; , 100/Box"/>
        <s v="Atlantic Metals Mobile 5-Shelf Bookcases, Custom Colors"/>
        <s v="OtterBox Defender Series Case - Samsung Galaxy S4"/>
        <s v="Howard Miller 11-1/2&quot; Diameter Grantwood Wall Clock"/>
        <s v="Global Leather Task Chair, Black"/>
        <s v="GBC Twin Loop Wire Binding Elements"/>
        <s v="LG Electronics Tone+ HBS-730 Bluetooth Headset"/>
        <s v="Panasonic Kx-TS550"/>
        <s v="Holmes 99% HEPA Air Purifier"/>
        <s v="Fiskars Home &amp; Office Scissors"/>
        <s v="Eldon Image Series Black Desk Accessories"/>
        <s v="First Data TMFD35 PIN Pad"/>
        <s v="Eldon 300 Class Desk Accessories, Black"/>
        <s v="Round Specialty Laser Printer Labels"/>
        <s v="Cyber Acoustics AC-202b Speech Recognition Stereo Headset"/>
        <s v="Hon 4700 Series Mobuis Mid-Back Task Chairs with Adjustable Arms"/>
        <s v="Sauder Facets Collection Locker/File Cabinet, Sky Alder Finish"/>
        <s v="Fellowes Strictly Business Drawer File, Letter/Legal Size"/>
        <s v="iHome FM Clock Radio with Lightning Dock"/>
        <s v="Ames Color-File Green Diamond Border X-ray Mailers"/>
        <s v="Fiskars 8&quot; Scissors, 2/Pack"/>
        <s v="Howard Miller 14-1/2&quot; Diameter Chrome Round Wall Clock"/>
        <s v="Hoover Shoulder Vac Commercial Portable Vacuum"/>
        <s v="Barricks Non-Folding Utility Table with Steel Legs, Laminate Tops"/>
        <s v="XtraLife ClearVue Slant-D Ring Binders by Cardinal"/>
        <s v="Pressboard Covers with Storage Hooks, 9 1/2&quot; x 11&quot;, Light Blue"/>
        <s v="Chromcraft 48&quot; x 96&quot; Racetrack Double Pedestal Table"/>
        <s v="Array Memo Cubes"/>
        <s v="Texas Instruments TI-34 Scientific Calculator"/>
        <s v="Premium Transparent Presentation Covers by GBC"/>
        <s v="Nokia Lumia 521 (T-Mobile)"/>
        <s v="Luxo Professional Magnifying Clamp-On Fluorescent Lamps"/>
        <s v="AT&amp;T 841000 Phone"/>
        <s v="Rediform S.O.S. 1-Up Phone Message Bk, 4-1/4x3-1/16 Bk, 1 Form/Pg, 40 Messages/Bk, 3/Pk"/>
        <s v="Convenience Packs of Business Envelopes"/>
        <s v="Barricks 18&quot; x 48&quot; Non-Folding Utility Table with Bottom Storage Shelf"/>
        <s v="Avery Durable Slant Ring Binders"/>
        <s v="Anker Astro Mini 3000mAh Ultra-Compact Portable Charger"/>
        <s v="Bretford CR8500 Series Meeting Room Furniture"/>
        <s v="Xerox 1978"/>
        <s v="Office Star Flex Back Scooter Chair with White Frame"/>
        <s v="Acco Six-Outlet Power Strip, 4' Cord Length"/>
        <s v="Advantus SlideClip Paper Clips"/>
        <s v="AT&amp;T 17929 Lendline Telephone"/>
        <s v="White Business Envelopes with Contemporary Seam, Recycled White Business Envelopes"/>
        <s v="Globe Weis Peel &amp; Seel First Class Envelopes"/>
        <s v="Tenex File Box, Personal Filing Tote with Lid, Black"/>
        <s v="Blackstonian Pencils"/>
        <s v="6&quot; Cubicle Wall Clock, Black"/>
        <s v="14-7/8 x 11 Blue Bar Computer Printout Paper"/>
        <s v="Ampad Gold Fibre Wirebound Steno Books, 6&quot; x 9&quot;, Gregg Ruled"/>
        <s v="VariCap6 Expandable Binder"/>
        <s v="Avery 487"/>
        <s v="Xerox 1945"/>
        <s v="Ibico EB-19 Dual Function Manual Binding System"/>
        <s v="Crayola Anti Dust Chalk, 12/Pack"/>
        <s v="Eldon Expressions Desk Accessory, Wood Photo Frame, Mahogany"/>
        <s v="GBC Instant Report Kit"/>
        <s v="Lunatik TT5L-002 Taktik Strike Impact Protection System for iPhone 5"/>
        <s v="TOPS &quot;Important Message&quot; Pads, Canary, 4-1/4 x 5-1/2, 50 Sheets per Pad"/>
        <s v="SANFORD Major Accent Highlighters"/>
        <s v="Sauder Forest Hills Library with Doors, Woodland Oak Finish"/>
        <s v="Eureka Sanitaire  Multi-Pro Heavy-Duty Upright, Disposable Bags"/>
        <s v="Turquoise Lead Holder with Pocket Clip"/>
        <s v="Harbour Creations 67200 Series Stacking Chairs"/>
        <s v="Kleencut Forged Office Shears by Acme United Corporation"/>
        <s v="Strathmore Photo Frame Cards"/>
        <s v="Fellowes PB200 Plastic Comb Binding Machine"/>
        <s v="Xerox 1944"/>
        <s v="Ibico Plastic Spiral Binding Combs"/>
        <s v="O'Sullivan 5-Shelf Heavy-Duty Bookcases"/>
        <s v="Tennsco Lockers, Gray"/>
        <s v="Nu-Dell Executive Frame"/>
        <s v="Electrix 20W Halogen Replacement Bulb for Zoom-In Desk Lamp"/>
        <s v="Sensible Storage WireTech Storage Systems"/>
        <s v="Ampad Evidence Wirebond Steno Books, 6&quot; x 9&quot;"/>
        <s v="Belkin 7 Outlet SurgeMaster II"/>
        <s v="Xerox 1905"/>
        <s v="Samsung Galaxy S4"/>
        <s v="Premier Elliptical Ring Binder, Black"/>
        <s v="Zebra GK420t Direct Thermal/Thermal Transfer Printer"/>
        <s v="Recycled Easel Ring Binders"/>
        <s v="Memorex 25GB 6X Branded Blu-Ray Recordable Disc, 15/Pack"/>
        <s v="Astroparche Fine Business Paper"/>
        <s v="Tenex 46&quot; x 60&quot; Computer Anti-Static Chairmat, Rectangular Shaped"/>
        <s v="Bush Westfield Collection Bookcases, Dark Cherry Finish, Fully Assembled"/>
        <s v="Sanford Colorific Colored Pencils, 12/Box"/>
        <s v="Xerox 1982"/>
        <s v="Avery Durable Plastic 1&quot; Binders"/>
        <s v="Safco Value Mate Steel Bookcase, Baked Enamel Finish on Steel, Black"/>
        <s v="Hon Every-Day Chair Series Swivel Task Chairs"/>
        <s v="Rediform Wirebound &quot;Phone Memo&quot; Message Book, 11 x 5-3/4"/>
        <s v="Xerox 193"/>
        <s v="Ibico EPK-21 Electric Binding System"/>
        <s v="Office Star Flex Back Scooter Chair with Aluminum Finish Frame"/>
        <s v="Eldon Expressions Wood and Plastic Desk Accessories, Oak"/>
        <s v="Linden 12&quot; Wall Clock With Oak Frame"/>
        <s v="Logitech VX Revolution Cordless Laser Mouse for Notebooks (Black)"/>
        <s v="Razer Tiamat Over Ear 7.1 Surround Sound PC Gaming Headset"/>
        <s v="Adtran 1202752G1"/>
        <s v="Southworth Structures Collection"/>
        <s v="XtraLife ClearVue Slant-D Ring Binder, White, 3&quot;"/>
        <s v="Kensington K72356US Mouse-in-a-Box USB Desktop Mouse"/>
        <s v="Avery 50"/>
        <s v="Honeywell Enviracaire Portable HEPA Air Cleaner for 16' x 20' Room"/>
        <s v="Xerox 1892"/>
        <s v="Okidata B401 Printer"/>
        <s v="Tenex &quot;The Solids&quot; Textured Chair Mats"/>
        <s v="Advantus Panel Wall Acrylic Frame"/>
        <s v="Office Star - Contemporary Task Swivel chair with Loop Arms, Charcoal"/>
        <s v="Dot Matrix Printer Tape Reel Labels, White, 5000/Box"/>
        <s v="Acco Economy Flexible Poly Round Ring Binder"/>
        <s v="Xerox 229"/>
        <s v="Okidata B400 Printer"/>
        <s v="Cardinal Holdit Data Disk Pockets"/>
        <s v="Cherry 142-key Programmable Keyboard"/>
        <s v="KeyTronic E03601U1 - Keyboard - Beige"/>
        <s v="Global Task Chair, Black"/>
        <s v="Eldon Cleatmat Plus Chair Mats for High Pile Carpets"/>
        <s v="Wilson Jones International Size A4 Ring Binders"/>
        <s v="Acme Preferred Stainless Steel Scissors"/>
        <s v="GBC VeloBinder Manual Binding System"/>
        <s v="Logitech Wireless Gaming Headset G930"/>
        <s v="Xerox 1996"/>
        <s v="Embossed Ink Jet Note Cards"/>
        <s v="Belkin F9S820V06 8 Outlet Surge"/>
        <s v="Howard Miller 11-1/2&quot; Diameter Ridgewood Wall Clock"/>
        <s v="Newell 338"/>
        <s v="Acco Perma 2700 Stacking Storage Drawers"/>
        <s v="Magnifier Swing Arm Lamp"/>
        <s v="Boston 16801 Nautilus Battery Pencil Sharpener"/>
        <s v="DAX Solid Wood Frames"/>
        <s v="Avery 52"/>
        <s v="Polycom SoundPoint IP 450 VoIP phone"/>
        <s v="Grandstream GXP2100 Mainstream Business Phone"/>
        <s v="Sony Micro Vault Click 4 GB USB 2.0 Flash Drive"/>
        <s v="Xerox 222"/>
        <s v="iKross Bluetooth Portable Keyboard + Cell Phone Stand Holder + Brush for Apple iPhone 5S 5C 5, 4S 4"/>
        <s v="Plantronics CS510 - Over-the-Head monaural Wireless Headset System"/>
        <s v="Global Leather Executive Chair"/>
        <s v="Howard Miller Distant Time Traveler Alarm Clock"/>
        <s v="Padded Folding Chairs, Black, 4/Carton"/>
        <s v="Newell 3-Hole Punched Plastic Slotted Magazine Holders for Binders"/>
        <s v="Motorola Moto X"/>
        <s v="Xerox 1886"/>
        <s v="Xerox 192"/>
        <s v="HP Office Recycled Paper (20Lb. and 87 Bright)"/>
        <s v="X-Rack File for Hanging Folders"/>
        <s v="Holmes Cool Mist Humidifier for the Whole House with 8-Gallon Output per Day, Extended Life Filter"/>
        <s v="3M Polarizing Light Filter Sleeves"/>
        <s v="Rogers Handheld Barrel Pencil Sharpener"/>
        <s v="Acco Perma 4000 Stacking Storage Drawers"/>
        <s v="Google Nexus 5"/>
        <s v="Jet-Pak Recycled Peel 'N' Seal Padded Mailers"/>
        <s v="Avaya 5410 Digital phone"/>
        <s v="Cisco SPA301"/>
        <s v="SimpliFile Personal File, Black Granite, 15w x 6-15/16d x 11-1/4h"/>
        <s v="Fellowes High-Stak Drawer Files"/>
        <s v="Wilson Jones Elliptical Ring 3 1/2&quot; Capacity Binders, 800 sheets"/>
        <s v="Global Leather Highback Executive Chair with Pneumatic Height Adjustment, Black"/>
        <s v="GBC DocuBind P50 Personal Binding Machine"/>
        <s v="Harmony HEPA Quiet Air Purifiers"/>
        <s v="Imation 32GB Pocket Pro USB 3.0 Flash Drive - 32 GB - Black - 1 P ..."/>
        <s v="3M Hangers With Command Adhesive"/>
        <s v="Boston 16765 Mini Stand Up Battery Pencil Sharpener"/>
        <s v="Microsoft Natural Ergonomic Keyboard 4000"/>
        <s v="Global Wood Trimmed Manager's Task Chair, Khaki"/>
        <s v="Black Avery Memo-Size 3-Ring Binder, 5 1/2&quot; x 8 1/2&quot;"/>
        <s v="Belkin 5 Outlet SurgeMaster Power Centers"/>
        <s v="Eureka Recycled Copy Paper 8 1/2&quot; x 11&quot;, Ream"/>
        <s v="Seth Thomas 12&quot; Clock w/ Goldtone Case"/>
        <s v="SanDisk Cruzer 64 GB USB Flash Drive"/>
        <s v="Newell 312"/>
        <s v="Black Print Carbonless 8 1/2&quot; x 8 1/4&quot; Rapid Memo Book"/>
        <s v="Avery 3 1/2&quot; Diskette Storage Pages, 10/Pack"/>
        <s v="Texas Instrument TI-15 Fraction Calculator"/>
        <s v="Deflect-o DuraMat Antistatic Studded Beveled Mat for Medium Pile Carpeting"/>
        <s v="Sanford EarthWrite Recycled Pencils, Medium Soft, #2"/>
        <s v="Samsung Galaxy Note 2"/>
        <s v="Global Executive Mid-Back Manager's Chair"/>
        <s v="SAFCO PlanMaster Heigh-Adjustable Drafting Table Base, 43w x 30d x 30-37h, Black"/>
        <s v="Panasonic KX MC6040 Color Laser Multifunction Printer"/>
        <s v="Hypercom P1300 Pinpad"/>
        <s v="Strathmore Photo Mount Cards"/>
        <s v="Global Armless Task Chair, Royal Blue"/>
        <s v="Hoover Replacement Belts For Soft Guard &amp; Commercial Ltweight Upright Vacs, 2/Pk"/>
        <s v="Peel &amp; Seel Recycled Catalog Envelopes, Brown"/>
        <s v="Project Tote Personal File"/>
        <s v="Fiskars Spring-Action Scissors"/>
        <s v="Iceberg Mobile Mega Data/Printer Cart "/>
        <s v="GBC Pre-Punched Binding Paper, Plastic, White, 8-1/2&quot; x 11&quot;"/>
        <s v="GBC ProClick 150 Presentation Binding System"/>
        <s v="Manco Dry-Lighter Erasable Highlighter"/>
        <s v="Balt Solid Wood Round Tables"/>
        <s v="Lesro Sheffield Collection Coffee Table, End Table, Center Table, Corner Table"/>
        <s v="Panasonic KX-TG9541B DECT 6.0 Digital 2-Line Expandable Cordless Phone With Digital Answering System"/>
        <s v="Wilson Jones Century Plastic Molded Ring Binders"/>
        <s v="O'Sullivan Cherrywood Estates Traditional Bookcase"/>
        <s v="Canon Image Class D660 Copier"/>
        <s v="Tennsco Single-Tier Lockers"/>
        <s v="Xerox 212"/>
        <s v="Logitech G13 Programmable Gameboard with LCD Display"/>
        <s v="DAX Executive Solid Wood Document Frame, Desktop or Hang, Mahogany, 5 x 7"/>
        <s v="Newell 339"/>
        <s v="Space Solutions Commercial Steel Shelving"/>
        <s v="Multi-Use Personal File Cart and Caster Set, Three Stacking Bins"/>
        <s v="Eldon Antistatic Chair Mats for Low to Medium Pile Carpets"/>
        <s v="HP Officejet Pro 8600 e-All-In-One Printer, Copier, Scanner, Fax"/>
        <s v="Xerox 1947"/>
        <s v="Master Big Foot Doorstop, Beige"/>
        <s v="Tenex Contemporary Contur Chairmats for Low and Medium Pile Carpet, Computer, 39&quot; x 49&quot;"/>
        <s v="Avery 493"/>
        <s v="Rubber Band Ball"/>
        <s v="Microsoft Wireless Mobile Mouse 4000"/>
        <s v="Fellowes Bankers Box Stor/Drawer Steel Plus"/>
        <s v="Xerox 1908"/>
        <s v="Xerox 1924"/>
        <s v="Panasonic KX TS3282B Corded phone"/>
        <s v="Imation Bio 2GB USB Flash Drive Imation Corp"/>
        <s v="American Pencil"/>
        <s v="White Envelopes, White Envelopes with Clear Poly Window"/>
        <s v="Economy Binders"/>
        <s v="Fluorescent Highlighters by Dixon"/>
        <s v="Digium D40 VoIP phone"/>
        <s v="Logitech Wireless Headset H600 Over-The-Head Design"/>
        <s v="Xerox 230"/>
        <s v="Xerox 1885"/>
        <s v="Martin Yale Chadless Opener Electric Letter Opener"/>
        <s v="Xerox 214"/>
        <s v="Mitel MiVoice 5330e IP Phone"/>
        <s v="Bionaire Personal Warm Mist Humidifier/Vaporizer"/>
        <s v="Fellowes Basic Home/Office Series Surge Protectors"/>
        <s v="Advantus Employee of the Month Certificate Frame, 11 x 13-1/2"/>
        <s v="C-Line Peel &amp; Stick Add-On Filing Pockets, 8-3/4 x 5-1/8, 10/Pack"/>
        <s v="Canon imageCLASS 2200 Advanced Copier"/>
        <s v="Clearsounds A400"/>
        <s v="Newell 309"/>
        <s v="Boston 1827 Commercial Additional Cutter, Drive Gear &amp; Gear Rack for 1606"/>
        <s v="Unpadded Memo Slips"/>
        <s v="Xerox 1975"/>
        <s v="DAX Black Cherry Wood-Tone Poster Frame"/>
        <s v="StarTech.com 10/100 VDSL2 Ethernet Extender Kit"/>
        <s v="Xerox 1968"/>
        <s v="AT&amp;T CL83451 4-Handset Telephone"/>
        <s v="Avery 498"/>
        <s v="Cubify CubeX 3D Printer Double Head Print"/>
        <s v="Dixon Ticonderoga Erasable Colored Pencil Set, 12-Color"/>
        <s v="Xerox 4200 Series MultiUse Premium Copy Paper (20Lb. and 84 Bright)"/>
        <s v="GBC DocuBind TL200 Manual Binding Machine"/>
        <s v="Howard Miller 12&quot; Round Wall Clock"/>
        <s v="Hoover Commercial SteamVac"/>
        <s v="Lexmark MX611dhe Monochrome Laser Printer"/>
        <s v="Avery 517"/>
        <s v="Verbatim Slim CD and DVD Storage Cases, 50/Pack"/>
        <s v="Eldon Advantage Foldable Chair Mats for Low Pile Carpets"/>
        <s v="DAX Two-Tone Rosewood/Black Document Frame, Desktop, 5 x 7"/>
        <s v="Eldon 500 Class Desk Accessories"/>
        <s v="Eldon Imàge Series Desk Accessories, Clear"/>
        <s v="Colored Push Pins"/>
        <s v="Newell 318"/>
        <s v="Telephone Message Books with Fax/Mobile Section, 5 1/2&quot; x 3 3/16&quot;"/>
        <s v="Surelock Post Binders"/>
        <s v="Bush Westfield Collection Bookcases, Medium Cherry Finish"/>
        <s v="Avery 478"/>
        <s v="Boston School Pro Electric Pencil Sharpener, 1670"/>
        <s v="Seth Thomas 16&quot; Steel Case Clock"/>
        <s v="Faber Castell Col-Erase Pencils"/>
        <s v="Logitech MX Performance Wireless Mouse"/>
        <s v="Adams Phone Message Book, 200 Message Capacity, 8 1/16” x 11”"/>
        <s v="Fellowes Stor/Drawer Steel Plus Storage Drawers"/>
        <s v="Newell 350"/>
        <s v="Things To Do Today Pad"/>
        <s v="Acco 7-Outlet Masterpiece Power Center, Wihtout Fax/Phone Line Protection"/>
        <s v="Eureka The Boss Cordless Rechargeable Stick Vac"/>
        <s v="Blue Parrot B250XT Professional Grade Wireless Bluetooth Headset with"/>
        <s v="Canon Imageclass D680 Copier / Fax"/>
        <s v="Riverside Furniture Oval Coffee Table, Oval End Table, End Table with Drawer"/>
        <s v="Universal Ultra Bright White Copier/Laser Paper, 8 1/2&quot; x 11&quot;, Ream"/>
        <s v="Aastra 6757i CT Wireless VoIP phone"/>
        <s v="Belkin Premiere Surge Master II 8-outlet surge protector"/>
        <s v="Newell 314"/>
        <s v="G.E. Halogen Desk Lamp Bulbs"/>
        <s v="Maxell 74 Minute CDR, 10/Pack"/>
        <s v="Xerox 201"/>
        <s v="Eldon 400 Class Desk Accessories, Black Carbon"/>
        <s v="Nokia Lumia 925"/>
        <s v="LG G3"/>
        <s v="Tensor Brushed Steel Torchiere Floor Lamp"/>
        <s v="Plantronics Audio 995 Wireless Stereo Headset"/>
        <s v="Riverside Palais Royal Lawyers Bookcase, Royale Cherry Finish"/>
        <s v="Shocksock Galaxy S4 Armband"/>
        <s v="Personal File Boxes with Fold-Down Carry Handle"/>
        <s v="Xerox 1939"/>
        <s v="Cisco Desktop Collaboration Experience DX650 IP Video Phone"/>
        <s v="O'Sullivan 3-Shelf Heavy-Duty Bookcases"/>
        <s v="Anker 36W 4-Port USB Wall Charger Travel Power Adapter for iPhone 5s 5c 5"/>
        <s v="Panasonic KX T7736-B Digital phone"/>
        <s v="Hon Multipurpose Stacking Arm Chairs"/>
        <s v="Xerox 215"/>
        <s v="Trimflex Flexible Post Binders"/>
        <s v="Howard Miller 13-3/4&quot; Diameter Brushed Chrome Round Wall Clock"/>
        <s v="Xerox 1907"/>
        <s v="Bulldog Vacuum Base Pencil Sharpener"/>
        <s v="Acco Banker's Clasps, 5 3/4&quot;-Long"/>
        <s v="Eldon Spacemaker Box, Quick-Snap Lid, Clear"/>
        <s v="Kensington Orbit Wireless Mobile Trackball for PC and Mac"/>
        <s v="Executive Impressions Supervisor Wall Clock"/>
        <s v="Tennsco 16-Compartment Lockers with Coat Rack"/>
        <s v="Newell 328"/>
        <s v="Tuf-Vin Binders"/>
        <s v="Okidata MB491 Multifunction Printer"/>
        <s v="Square Credit Card Reader, 4 1/2&quot; x 4 1/2&quot; x 1&quot;, White"/>
        <s v="GBC White Gloss Covers, Plain Front"/>
        <s v="Zebra Zazzle Fluorescent Highlighters"/>
        <s v="Avery 482"/>
        <s v="Belkin iPhone and iPad Lightning Cable"/>
        <s v="Acco Suede Grain Vinyl Round Ring Binder"/>
        <s v="Deflect-o RollaMat Studded, Beveled Mat for Medium Pile Carpeting"/>
        <s v="Eldon 200 Class Desk Accessories, Burgundy"/>
        <s v="Xerox 221"/>
        <s v="Acco Expandable Hanging Binders"/>
        <s v="High-Back Leather Manager's Chair"/>
        <s v="PayAnywhere Card Reader"/>
        <s v="Wirebound Message Forms, Four 2 3/4 x 5 Forms per Page, Pink Paper"/>
        <s v="Nontoxic Chalk"/>
        <s v="Cardinal HOLDit! Binder Insert Strips,Extra Strips"/>
        <s v="Weyerhaeuser First Choice Laser/Copy Paper (20Lb. and 88 Bright)"/>
        <s v="Super Decoflex Portable Personal File"/>
        <s v="Hammermill CopyPlus Copy Paper (20Lb. and 84 Bright)"/>
        <s v="Avery Printable Repositionable Plastic Tabs"/>
        <s v="Polycom VoiceStation 500 Conference phone"/>
        <s v="Mead 1st Gear 2&quot; Zipper Binder, Asst. Colors"/>
        <s v="Global Enterprise Series Seating Low-Back Swivel/Tilt Chairs"/>
        <s v="3.6 Cubic Foot Counter Height Office Refrigerator"/>
        <s v="Xerox 1937"/>
        <s v="Grandstream GXP1160 VoIP phone"/>
        <s v="Perixx PERIBOARD-512B, Ergonomic Split Keyboard"/>
        <s v="Sanyo 2.5 Cubic Foot Mid-Size Office Refrigerators"/>
        <s v="Fellowes PB300 Plastic Comb Binding Machine"/>
        <s v="Acme Kleencut Forged Steel Scissors"/>
        <s v="Companion Letter/Legal File, Black"/>
        <s v="Plantronics Encore H101 Dual Earpieces Headset"/>
        <s v="Cisco 8x8 Inc. 6753i IP Business Phone System"/>
        <s v="Tenex Chairmats For Use with Hard Floors"/>
        <s v="Avery Address/Shipping Labels for Typewriters, 4&quot; x 2&quot;"/>
        <s v="DAX Charcoal/Nickel-Tone Document Frame, 5 x 7"/>
        <s v="Anker 24W Portable Micro USB Car Charger"/>
        <s v="Hon Practical Foundations 30 x 60 Training Table, Light Gray/Charcoal"/>
        <s v="Newell 344"/>
        <s v="Electrix Fluorescent Magnifier Lamps &amp; Weighted Base"/>
        <s v="Logitech LS21 Speaker System - PC Multimedia - 2.1-CH - Wired"/>
        <s v="Avery Metallic Poly Binders"/>
        <s v="Honeywell Quietcare HEPA Air Cleaner"/>
        <s v="Pencil and Crayon Sharpener"/>
        <s v="OIC #2 Pencils, Medium Soft"/>
        <s v="Avery 505"/>
        <s v="Chromcraft Bull-Nose Wood Oval Conference Tables &amp; Bases"/>
        <s v="QVS USB Car Charger 2-Port 2.1Amp for iPod/iPhone/iPad/iPad 2/iPad 3"/>
        <s v="24 Capacity Maxi Data Binder Racks, Pearl"/>
        <s v="Motorla HX550 Universal Bluetooth Headset"/>
        <s v="DAX Two-Tone Silver Metal Document Frame"/>
        <s v="Boston 1799 Powerhouse Electric Pencil Sharpener"/>
        <s v="#10 Self-Seal White Envelopes"/>
        <s v="iOttie XL Car Mount"/>
        <s v="Eaton Premium Continuous-Feed Paper, 25% Cotton, Letter Size, White, 1000 Shts/Box"/>
        <s v="Avery 48"/>
        <s v="Peel-Off China Markers"/>
        <s v="OIC Colored Binder Clips, Assorted Sizes"/>
        <s v="Xerox 1984"/>
        <s v="Global Adaptabilites Bookcase, Cherry/Storm Gray Finish"/>
        <s v="Avery 514"/>
        <s v="Kingston Digital DataTraveler 64GB USB 2.0"/>
        <s v="Newell 33"/>
        <s v="Logitech M510 Wireless Mouse"/>
        <s v="Tenex Personal Filing Tote With Secure Closure Lid, Black/Frost"/>
        <s v="Adams Telephone Message Book w/Frequently-Called Numbers Space, 400 Messages per Book"/>
        <s v="Southworth 25% Cotton Linen-Finish Paper &amp; Envelopes"/>
        <s v="Belkin 8 Outlet SurgeMaster II Gold Surge Protector"/>
        <s v="Wausau Papers Astrobrights Colored Envelopes"/>
        <s v="Socket Bluetooth Cordless Hand Scanner (CHS)"/>
        <s v="Gould Plastics 18-Pocket Panel Bin, 34w x 5-1/4d x 20-1/2h"/>
        <s v="Lenovo 17-Key USB Numeric Keypad"/>
        <s v="Xerox 1992"/>
        <s v="Acme Hot Forged Carbon Steel Scissors with Nickel-Plated Handles, 3 7/8&quot; Cut, 8&quot;L"/>
        <s v="Xerox 1882"/>
        <s v="Razer Kraken PRO Over Ear PC and Music Headset"/>
        <s v="Belkin 325VA UPS Surge Protector, 6'"/>
        <s v="Metal Folding Chairs, Beige, 4/Carton"/>
        <s v="Tennsco Double-Tier Lockers"/>
        <s v="Dax Clear Box Frame"/>
        <s v="Ricoh - Ink Collector Unit for GX3000 Series Printers"/>
        <s v="DAX Clear Channel Poster Frame"/>
        <s v="Conquest 14 Commercial Heavy-Duty Upright Vacuum, Collection System, Accessory Kit"/>
        <s v="Avery Hi-Liter Smear-Safe Highlighters"/>
        <s v="O'Sullivan Manor Hill 2-Door Library in Brianna Oak"/>
        <s v="Wirebound Message Books, 2 7/8&quot; x 5&quot;, 3 Forms per Page"/>
        <s v="Canvas Sectional Post Binders"/>
        <s v="Verbatim 25 GB 6x Blu-ray Single Layer Recordable Disc, 10/Pack"/>
        <s v="Panasonic KP-310 Heavy-Duty Electric Pencil Sharpener"/>
        <s v="Executive Impressions 14&quot; Two-Color Numerals Wall Clock"/>
        <s v="Ampad #10 Peel &amp; Seel Holiday Envelopes"/>
        <s v="Linden 10&quot; Round Wall Clock, Black"/>
        <s v="Anderson Hickey Conga Table Tops &amp; Accessories"/>
        <s v="Avery 510"/>
        <s v="Wilson Jones Four-Pocket Poly Binders"/>
        <s v="Office Star - Ergonomic Mid Back Chair with 2-Way Adjustable Arms"/>
        <s v="Jackery Bar Premium Fast-charging Portable Charger"/>
        <s v="Cardinal Slant-D Ring Binders"/>
        <s v="&quot;While you Were Out&quot; Message Book, One Form per Page"/>
        <s v="Wirebound Message Books, Four 2 3/4 x 5 Forms per Page, 200 Sets per Book"/>
        <s v="GBC Therma-A-Bind 250T Electric Binding System"/>
        <s v="Document Clip Frames"/>
        <s v="Binder Posts"/>
        <s v="Flexible Leather- Look Classic Collection Ring Binder"/>
        <s v="SANFORD Liquid Accent Tank-Style Highlighters"/>
        <s v="Anker Ultra-Slim Mini Bluetooth 3.0 Wireless Keyboard"/>
        <s v="12 Colored Short Pencils"/>
        <s v="Eureka The Boss Lite 10-Amp Upright Vacuum, Blue"/>
        <s v="Memorex Mini Travel Drive 16 GB USB 2.0 Flash Drive"/>
        <s v="Dixon Ticonderoga Maple Cedar Pencil, #2"/>
        <s v="Acme Forged Steel Scissors with Black Enamel Handles"/>
        <s v="Acco 3-Hole Punch"/>
        <s v="Samsung Replacement EH64AVFWE Premium Headset"/>
        <s v="Eldon Radial Chair Mat for Low to Medium Pile Carpets"/>
        <s v="3D Systems Cube Printer, 2nd Generation, White"/>
        <s v="Xerox 209"/>
        <s v="BIC Liqua Brite Liner"/>
        <s v="Tops White Computer Printout Paper"/>
        <s v="Contemporary Borderless Frame"/>
        <s v="Office Star - Mid Back Dual function Ergonomic High Back Chair with 2-Way Adjustable Arms"/>
        <s v="Panasonic KP-380BK Classic Electric Pencil Sharpener"/>
        <s v="Hon 4-Shelf Metal Bookcases"/>
        <s v="Akro-Mils 12-Gallon Tote"/>
        <s v="Tenex Traditional Chairmats for Hard Floors, Average Lip, 36&quot; x 48&quot;"/>
        <s v="Belkin 8-Outlet Premiere SurgeMaster II Surge Protectors"/>
        <s v="Standard Line “While You Were Out” Hardbound Telephone Message Book"/>
        <s v="SAFCO Mobile Desk Side File, Wire Frame"/>
        <s v="Harmony Air Purifier"/>
        <s v="Acco Recycled 2&quot; Capacity Laser Printer Hanging Data Binders"/>
        <s v="Col-Erase Pencils with Erasers"/>
        <s v="Eldon Executive Woodline II Desk Accessories, Mahogany"/>
        <s v="Master Giant Foot Doorstop, Safety Yellow"/>
        <s v="Bulldog Table or Wall-Mount Pencil Sharpener"/>
        <s v="Bush Saratoga Collection 5-Shelf Bookcase, Hanover Cherry, *Special Order"/>
        <s v="Newell 327"/>
        <s v="Newell 335"/>
        <s v="Design Ebony Sketching Pencil"/>
        <s v="Binney &amp; Smith Crayola Metallic Crayons, 16-Color Pack"/>
        <s v="GBC Instant Index System for Binding Systems"/>
        <s v="Acco Glide Clips"/>
        <s v="GBC Binding covers"/>
        <s v="Bagged Rubber Band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13.917725810184" createdVersion="6" refreshedVersion="6" minRefreshableVersion="3" recordCount="3203" xr:uid="{270CDF37-04E7-944D-B851-D079F663CE0F}">
  <cacheSource type="worksheet">
    <worksheetSource ref="A1:K3204" sheet="Base"/>
  </cacheSource>
  <cacheFields count="14">
    <cacheField name="Data_Pedido" numFmtId="14">
      <sharedItems containsSemiMixedTypes="0" containsNonDate="0" containsDate="1" containsString="0" minDate="2013-01-06T00:00:00" maxDate="2016-12-31T00:00:00" count="845">
        <d v="2013-01-06T00:00:00"/>
        <d v="2013-01-13T00:00:00"/>
        <d v="2013-01-18T00:00:00"/>
        <d v="2013-01-19T00:00:00"/>
        <d v="2013-01-20T00:00:00"/>
        <d v="2013-01-23T00:00:00"/>
        <d v="2013-01-27T00:00:00"/>
        <d v="2013-01-31T00:00:00"/>
        <d v="2013-02-02T00:00:00"/>
        <d v="2013-02-03T00:00:00"/>
        <d v="2013-02-04T00:00:00"/>
        <d v="2013-02-08T00:00:00"/>
        <d v="2013-02-12T00:00:00"/>
        <d v="2013-02-14T00:00:00"/>
        <d v="2013-02-15T00:00:00"/>
        <d v="2013-02-20T00:00:00"/>
        <d v="2013-02-22T00:00:00"/>
        <d v="2013-02-24T00:00:00"/>
        <d v="2013-03-01T00:00:00"/>
        <d v="2013-03-03T00:00:00"/>
        <d v="2013-03-07T00:00:00"/>
        <d v="2013-03-10T00:00:00"/>
        <d v="2013-03-11T00:00:00"/>
        <d v="2013-03-14T00:00:00"/>
        <d v="2013-03-18T00:00:00"/>
        <d v="2013-03-22T00:00:00"/>
        <d v="2013-03-23T00:00:00"/>
        <d v="2013-03-24T00:00:00"/>
        <d v="2013-03-25T00:00:00"/>
        <d v="2013-03-26T00:00:00"/>
        <d v="2013-03-28T00:00:00"/>
        <d v="2013-03-30T00:00:00"/>
        <d v="2013-03-31T00:00:00"/>
        <d v="2013-04-01T00:00:00"/>
        <d v="2013-04-03T00:00:00"/>
        <d v="2013-04-04T00:00:00"/>
        <d v="2013-04-06T00:00:00"/>
        <d v="2013-04-08T00:00:00"/>
        <d v="2013-04-11T00:00:00"/>
        <d v="2013-04-12T00:00:00"/>
        <d v="2013-04-15T00:00:00"/>
        <d v="2013-04-18T00:00:00"/>
        <d v="2013-04-19T00:00:00"/>
        <d v="2013-04-20T00:00:00"/>
        <d v="2013-04-21T00:00:00"/>
        <d v="2013-04-23T00:00:00"/>
        <d v="2013-04-25T00:00:00"/>
        <d v="2013-04-26T00:00:00"/>
        <d v="2013-04-28T00:00:00"/>
        <d v="2013-05-04T00:00:00"/>
        <d v="2013-05-06T00:00:00"/>
        <d v="2013-05-09T00:00:00"/>
        <d v="2013-05-10T00:00:00"/>
        <d v="2013-05-13T00:00:00"/>
        <d v="2013-05-16T00:00:00"/>
        <d v="2013-05-21T00:00:00"/>
        <d v="2013-05-23T00:00:00"/>
        <d v="2013-05-26T00:00:00"/>
        <d v="2013-05-27T00:00:00"/>
        <d v="2013-05-28T00:00:00"/>
        <d v="2013-06-02T00:00:00"/>
        <d v="2013-06-03T00:00:00"/>
        <d v="2013-06-08T00:00:00"/>
        <d v="2013-06-09T00:00:00"/>
        <d v="2013-06-13T00:00:00"/>
        <d v="2013-06-17T00:00:00"/>
        <d v="2013-06-18T00:00:00"/>
        <d v="2013-06-21T00:00:00"/>
        <d v="2013-06-22T00:00:00"/>
        <d v="2013-06-24T00:00:00"/>
        <d v="2013-06-25T00:00:00"/>
        <d v="2013-06-30T00:00:00"/>
        <d v="2013-07-01T00:00:00"/>
        <d v="2013-07-04T00:00:00"/>
        <d v="2013-07-05T00:00:00"/>
        <d v="2013-07-06T00:00:00"/>
        <d v="2013-07-08T00:00:00"/>
        <d v="2013-07-09T00:00:00"/>
        <d v="2013-07-12T00:00:00"/>
        <d v="2013-07-13T00:00:00"/>
        <d v="2013-07-14T00:00:00"/>
        <d v="2013-07-18T00:00:00"/>
        <d v="2013-07-19T00:00:00"/>
        <d v="2013-07-20T00:00:00"/>
        <d v="2013-07-21T00:00:00"/>
        <d v="2013-07-22T00:00:00"/>
        <d v="2013-07-23T00:00:00"/>
        <d v="2013-07-25T00:00:00"/>
        <d v="2013-07-26T00:00:00"/>
        <d v="2013-07-27T00:00:00"/>
        <d v="2013-07-30T00:00:00"/>
        <d v="2013-08-01T00:00:00"/>
        <d v="2013-08-03T00:00:00"/>
        <d v="2013-08-04T00:00:00"/>
        <d v="2013-08-05T00:00:00"/>
        <d v="2013-08-08T00:00:00"/>
        <d v="2013-08-09T00:00:00"/>
        <d v="2013-08-11T00:00:00"/>
        <d v="2013-08-12T00:00:00"/>
        <d v="2013-08-15T00:00:00"/>
        <d v="2013-08-19T00:00:00"/>
        <d v="2013-08-23T00:00:00"/>
        <d v="2013-08-24T00:00:00"/>
        <d v="2013-08-25T00:00:00"/>
        <d v="2013-08-26T00:00:00"/>
        <d v="2013-08-27T00:00:00"/>
        <d v="2013-08-29T00:00:00"/>
        <d v="2013-08-31T00:00:00"/>
        <d v="2013-09-01T00:00:00"/>
        <d v="2013-09-06T00:00:00"/>
        <d v="2013-09-07T00:00:00"/>
        <d v="2013-09-08T00:00:00"/>
        <d v="2013-09-10T00:00:00"/>
        <d v="2013-09-11T00:00:00"/>
        <d v="2013-09-13T00:00:00"/>
        <d v="2013-09-17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9T00:00:00"/>
        <d v="2013-10-10T00:00:00"/>
        <d v="2013-10-11T00:00:00"/>
        <d v="2013-10-12T00:00:00"/>
        <d v="2013-10-13T00:00:00"/>
        <d v="2013-10-16T00:00:00"/>
        <d v="2013-10-18T00:00:00"/>
        <d v="2013-10-19T00:00:00"/>
        <d v="2013-10-21T00:00:00"/>
        <d v="2013-10-24T00:00:00"/>
        <d v="2013-10-25T00:00:00"/>
        <d v="2013-10-26T00:00:00"/>
        <d v="2013-10-28T00:00:00"/>
        <d v="2013-10-31T00:00:00"/>
        <d v="2013-11-01T00:00:00"/>
        <d v="2013-11-02T00:00:00"/>
        <d v="2013-11-03T00:00:00"/>
        <d v="2013-11-04T00:00:00"/>
        <d v="2013-11-05T00:00:00"/>
        <d v="2013-11-07T00:00:00"/>
        <d v="2013-11-08T00:00:00"/>
        <d v="2013-11-09T00:00:00"/>
        <d v="2013-11-10T00:00:00"/>
        <d v="2013-11-11T00:00:00"/>
        <d v="2013-11-12T00:00:00"/>
        <d v="2013-11-15T00:00:00"/>
        <d v="2013-11-16T00:00:00"/>
        <d v="2013-11-17T00:00:00"/>
        <d v="2013-11-18T00:00:00"/>
        <d v="2013-11-19T00:00:00"/>
        <d v="2013-11-21T00:00:00"/>
        <d v="2013-11-22T00:00:00"/>
        <d v="2013-11-23T00:00:00"/>
        <d v="2013-11-24T00:00:00"/>
        <d v="2013-11-25T00:00:00"/>
        <d v="2013-11-26T00:00:00"/>
        <d v="2013-11-28T00:00:00"/>
        <d v="2013-11-29T00:00:00"/>
        <d v="2013-11-30T00:00:00"/>
        <d v="2013-12-01T00:00:00"/>
        <d v="2013-12-05T00:00:00"/>
        <d v="2013-12-06T00:00:00"/>
        <d v="2013-12-07T00:00:00"/>
        <d v="2013-12-08T00:00:00"/>
        <d v="2013-12-09T00:00:00"/>
        <d v="2013-12-10T00:00:00"/>
        <d v="2013-12-12T00:00:00"/>
        <d v="2013-12-13T00:00:00"/>
        <d v="2013-12-15T00:00:00"/>
        <d v="2013-12-16T00:00:00"/>
        <d v="2013-12-19T00:00:00"/>
        <d v="2013-12-20T00:00:00"/>
        <d v="2013-12-21T00:00:00"/>
        <d v="2013-12-22T00:00:00"/>
        <d v="2013-12-24T00:00:00"/>
        <d v="2013-12-26T00:00:00"/>
        <d v="2013-12-27T00:00:00"/>
        <d v="2013-12-28T00:00:00"/>
        <d v="2013-12-29T00:00:00"/>
        <d v="2013-12-30T00:00:00"/>
        <d v="2013-12-31T00:00:00"/>
        <d v="2014-01-05T00:00:00"/>
        <d v="2014-01-06T00:00:00"/>
        <d v="2014-01-13T00:00:00"/>
        <d v="2014-01-23T00:00:00"/>
        <d v="2014-01-26T00:00:00"/>
        <d v="2014-01-27T00:00:00"/>
        <d v="2014-01-30T00:00:00"/>
        <d v="2014-02-03T00:00:00"/>
        <d v="2014-02-06T00:00:00"/>
        <d v="2014-02-09T00:00:00"/>
        <d v="2014-02-15T00:00:00"/>
        <d v="2014-02-16T00:00:00"/>
        <d v="2014-02-18T00:00:00"/>
        <d v="2014-02-21T00:00:00"/>
        <d v="2014-02-27T00:00:00"/>
        <d v="2014-03-01T00:00:00"/>
        <d v="2014-03-02T00:00:00"/>
        <d v="2014-03-06T00:00:00"/>
        <d v="2014-03-08T00:00:00"/>
        <d v="2014-03-13T00:00:00"/>
        <d v="2014-03-14T00:00:00"/>
        <d v="2014-03-15T00:00:00"/>
        <d v="2014-03-16T00:00:00"/>
        <d v="2014-03-19T00:00:00"/>
        <d v="2014-03-20T00:00:00"/>
        <d v="2014-03-22T00:00:00"/>
        <d v="2014-03-23T00:00:00"/>
        <d v="2014-03-24T00:00:00"/>
        <d v="2014-03-26T00:00:00"/>
        <d v="2014-03-27T00:00:00"/>
        <d v="2014-03-28T00:00:00"/>
        <d v="2014-03-29T00:00:00"/>
        <d v="2014-04-02T00:00:00"/>
        <d v="2014-04-05T00:00:00"/>
        <d v="2014-04-09T00:00:00"/>
        <d v="2014-04-10T00:00:00"/>
        <d v="2014-04-11T00:00:00"/>
        <d v="2014-04-12T00:00:00"/>
        <d v="2014-04-13T00:00:00"/>
        <d v="2014-04-14T00:00:00"/>
        <d v="2014-04-17T00:00:00"/>
        <d v="2014-04-18T00:00:00"/>
        <d v="2014-04-22T00:00:00"/>
        <d v="2014-04-25T00:00:00"/>
        <d v="2014-04-26T00:00:00"/>
        <d v="2014-04-27T00:00:00"/>
        <d v="2014-04-30T00:00:00"/>
        <d v="2014-05-01T00:00:00"/>
        <d v="2014-05-03T00:00:00"/>
        <d v="2014-05-08T00:00:00"/>
        <d v="2014-05-10T00:00:00"/>
        <d v="2014-05-11T00:00:00"/>
        <d v="2014-05-12T00:00:00"/>
        <d v="2014-05-14T00:00:00"/>
        <d v="2014-05-18T00:00:00"/>
        <d v="2014-05-21T00:00:00"/>
        <d v="2014-05-22T00:00:00"/>
        <d v="2014-05-23T00:00:00"/>
        <d v="2014-05-25T00:00:00"/>
        <d v="2014-05-26T00:00:00"/>
        <d v="2014-05-28T00:00:00"/>
        <d v="2014-05-29T00:00:00"/>
        <d v="2014-05-31T00:00:00"/>
        <d v="2014-06-01T00:00:00"/>
        <d v="2014-06-04T00:00:00"/>
        <d v="2014-06-07T00:00:00"/>
        <d v="2014-06-09T00:00:00"/>
        <d v="2014-06-13T00:00:00"/>
        <d v="2014-06-15T00:00:00"/>
        <d v="2014-06-18T00:00:00"/>
        <d v="2014-06-19T00:00:00"/>
        <d v="2014-06-20T00:00:00"/>
        <d v="2014-06-22T00:00:00"/>
        <d v="2014-06-23T00:00:00"/>
        <d v="2014-06-25T00:00:00"/>
        <d v="2014-06-28T00:00:00"/>
        <d v="2014-07-04T00:00:00"/>
        <d v="2014-07-06T00:00:00"/>
        <d v="2014-07-10T00:00:00"/>
        <d v="2014-07-11T00:00:00"/>
        <d v="2014-07-14T00:00:00"/>
        <d v="2014-07-16T00:00:00"/>
        <d v="2014-07-17T00:00:00"/>
        <d v="2014-07-18T00:00:00"/>
        <d v="2014-07-19T00:00:00"/>
        <d v="2014-07-25T00:00:00"/>
        <d v="2014-07-26T00:00:00"/>
        <d v="2014-07-30T00:00:00"/>
        <d v="2014-08-01T00:00:00"/>
        <d v="2014-08-02T00:00:00"/>
        <d v="2014-08-07T00:00:00"/>
        <d v="2014-08-08T00:00:00"/>
        <d v="2014-08-10T00:00:00"/>
        <d v="2014-08-13T00:00:00"/>
        <d v="2014-08-15T00:00:00"/>
        <d v="2014-08-16T00:00:00"/>
        <d v="2014-08-17T00:00:00"/>
        <d v="2014-08-21T00:00:00"/>
        <d v="2014-08-24T00:00:00"/>
        <d v="2014-08-25T00:00:00"/>
        <d v="2014-08-27T00:00:00"/>
        <d v="2014-08-28T00:00:00"/>
        <d v="2014-08-31T00:00:00"/>
        <d v="2014-09-01T00:00:00"/>
        <d v="2014-09-03T00:00:00"/>
        <d v="2014-09-04T00:00:00"/>
        <d v="2014-09-05T00:00:00"/>
        <d v="2014-09-06T00:00:00"/>
        <d v="2014-09-07T00:00:00"/>
        <d v="2014-09-08T00:00:00"/>
        <d v="2014-09-10T00:00:00"/>
        <d v="2014-09-11T00:00:00"/>
        <d v="2014-09-12T00:00:00"/>
        <d v="2014-09-13T00:00:00"/>
        <d v="2014-09-14T00:00:00"/>
        <d v="2014-09-17T00:00:00"/>
        <d v="2014-09-18T00:00:00"/>
        <d v="2014-09-19T00:00:00"/>
        <d v="2014-09-20T00:00:00"/>
        <d v="2014-09-21T00:00:00"/>
        <d v="2014-09-22T00:00:00"/>
        <d v="2014-09-24T00:00:00"/>
        <d v="2014-09-25T00:00:00"/>
        <d v="2014-09-26T00:00:00"/>
        <d v="2014-09-27T00:00:00"/>
        <d v="2014-09-28T00:00:00"/>
        <d v="2014-10-01T00:00:00"/>
        <d v="2014-10-02T00:00:00"/>
        <d v="2014-10-03T00:00:00"/>
        <d v="2014-10-04T00:00:00"/>
        <d v="2014-10-05T00:00:00"/>
        <d v="2014-10-08T00:00:00"/>
        <d v="2014-10-10T00:00:00"/>
        <d v="2014-10-12T00:00:00"/>
        <d v="2014-10-17T00:00:00"/>
        <d v="2014-10-18T00:00:00"/>
        <d v="2014-10-19T00:00:00"/>
        <d v="2014-10-20T00:00:00"/>
        <d v="2014-10-23T00:00:00"/>
        <d v="2014-10-24T00:00:00"/>
        <d v="2014-10-25T00:00:00"/>
        <d v="2014-10-26T00:00:00"/>
        <d v="2014-10-29T00:00:00"/>
        <d v="2014-10-30T00:00:00"/>
        <d v="2014-10-31T00:00:00"/>
        <d v="2014-11-01T00:00:00"/>
        <d v="2014-11-02T00:00:00"/>
        <d v="2014-11-03T00:00:00"/>
        <d v="2014-11-05T00:00:00"/>
        <d v="2014-11-06T00:00:00"/>
        <d v="2014-11-07T00:00:00"/>
        <d v="2014-11-08T00:00:00"/>
        <d v="2014-11-09T00:00:00"/>
        <d v="2014-11-10T00:00:00"/>
        <d v="2014-11-12T00:00:00"/>
        <d v="2014-11-13T00:00:00"/>
        <d v="2014-11-14T00:00:00"/>
        <d v="2014-11-16T00:00:00"/>
        <d v="2014-11-17T00:00:00"/>
        <d v="2014-11-19T00:00:00"/>
        <d v="2014-11-20T00:00:00"/>
        <d v="2014-11-21T00:00:00"/>
        <d v="2014-11-22T00:00:00"/>
        <d v="2014-11-24T00:00:00"/>
        <d v="2014-11-27T00:00:00"/>
        <d v="2014-11-28T00:00:00"/>
        <d v="2014-11-29T00:00:00"/>
        <d v="2014-11-30T00:00:00"/>
        <d v="2014-12-01T00:00:00"/>
        <d v="2014-12-03T00:00:00"/>
        <d v="2014-12-04T00:00:00"/>
        <d v="2014-12-05T00:00:00"/>
        <d v="2014-12-06T00:00:00"/>
        <d v="2014-12-07T00:00:00"/>
        <d v="2014-12-08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4T00:00:00"/>
        <d v="2014-12-25T00:00:00"/>
        <d v="2014-12-27T00:00:00"/>
        <d v="2014-12-30T00:00:00"/>
        <d v="2014-12-31T00:00:00"/>
        <d v="2015-01-03T00:00:00"/>
        <d v="2015-01-07T00:00:00"/>
        <d v="2015-01-09T00:00:00"/>
        <d v="2015-01-10T00:00:00"/>
        <d v="2015-01-16T00:00:00"/>
        <d v="2015-01-21T00:00:00"/>
        <d v="2015-01-22T00:00:00"/>
        <d v="2015-01-23T00:00:00"/>
        <d v="2015-01-28T00:00:00"/>
        <d v="2015-01-30T00:00:00"/>
        <d v="2015-01-31T00:00:00"/>
        <d v="2015-02-01T00:00:00"/>
        <d v="2015-02-04T00:00:00"/>
        <d v="2015-02-05T00:00:00"/>
        <d v="2015-02-07T00:00:00"/>
        <d v="2015-02-09T00:00:00"/>
        <d v="2015-02-13T00:00:00"/>
        <d v="2015-02-19T00:00:00"/>
        <d v="2015-02-21T00:00:00"/>
        <d v="2015-02-22T00:00:00"/>
        <d v="2015-03-02T00:00:00"/>
        <d v="2015-03-04T00:00:00"/>
        <d v="2015-03-05T00:00:00"/>
        <d v="2015-03-09T00:00:00"/>
        <d v="2015-03-11T00:00:00"/>
        <d v="2015-03-13T00:00:00"/>
        <d v="2015-03-14T00:00:00"/>
        <d v="2015-03-15T00:00:00"/>
        <d v="2015-03-16T00:00:00"/>
        <d v="2015-03-18T00:00:00"/>
        <d v="2015-03-20T00:00:00"/>
        <d v="2015-03-21T00:00:00"/>
        <d v="2015-03-23T00:00:00"/>
        <d v="2015-03-25T00:00:00"/>
        <d v="2015-03-27T00:00:00"/>
        <d v="2015-03-29T00:00:00"/>
        <d v="2015-04-02T00:00:00"/>
        <d v="2015-04-08T00:00:00"/>
        <d v="2015-04-09T00:00:00"/>
        <d v="2015-04-10T00:00:00"/>
        <d v="2015-04-11T00:00:00"/>
        <d v="2015-04-13T00:00:00"/>
        <d v="2015-04-14T00:00:00"/>
        <d v="2015-04-15T00:00:00"/>
        <d v="2015-04-16T00:00:00"/>
        <d v="2015-04-17T00:00:00"/>
        <d v="2015-04-18T00:00:00"/>
        <d v="2015-04-20T00:00:00"/>
        <d v="2015-04-22T00:00:00"/>
        <d v="2015-04-23T00:00:00"/>
        <d v="2015-04-24T00:00:00"/>
        <d v="2015-04-25T00:00:00"/>
        <d v="2015-04-29T00:00:00"/>
        <d v="2015-05-01T00:00:00"/>
        <d v="2015-05-06T00:00:00"/>
        <d v="2015-05-07T00:00:00"/>
        <d v="2015-05-09T00:00:00"/>
        <d v="2015-05-10T00:00:00"/>
        <d v="2015-05-11T00:00:00"/>
        <d v="2015-05-12T00:00:00"/>
        <d v="2015-05-13T00:00:00"/>
        <d v="2015-05-15T00:00:00"/>
        <d v="2015-05-17T00:00:00"/>
        <d v="2015-05-19T00:00:00"/>
        <d v="2015-05-20T00:00:00"/>
        <d v="2015-05-21T00:00:00"/>
        <d v="2015-05-22T00:00:00"/>
        <d v="2015-05-23T00:00:00"/>
        <d v="2015-05-24T00:00:00"/>
        <d v="2015-05-27T00:00:00"/>
        <d v="2015-05-28T00:00:00"/>
        <d v="2015-05-29T00:00:00"/>
        <d v="2015-05-31T00:00:00"/>
        <d v="2015-06-03T00:00:00"/>
        <d v="2015-06-04T00:00:00"/>
        <d v="2015-06-06T00:00:00"/>
        <d v="2015-06-07T00:00:00"/>
        <d v="2015-06-08T00:00:00"/>
        <d v="2015-06-10T00:00:00"/>
        <d v="2015-06-11T00:00:00"/>
        <d v="2015-06-12T00:00:00"/>
        <d v="2015-06-13T00:00:00"/>
        <d v="2015-06-15T00:00:00"/>
        <d v="2015-06-17T00:00:00"/>
        <d v="2015-06-18T00:00:00"/>
        <d v="2015-06-20T00:00:00"/>
        <d v="2015-06-21T00:00:00"/>
        <d v="2015-06-24T00:00:00"/>
        <d v="2015-06-25T00:00:00"/>
        <d v="2015-06-26T00:00:00"/>
        <d v="2015-06-27T00:00:00"/>
        <d v="2015-06-28T00:00:00"/>
        <d v="2015-06-29T00:00:00"/>
        <d v="2015-07-02T00:00:00"/>
        <d v="2015-07-03T00:00:00"/>
        <d v="2015-07-04T00:00:00"/>
        <d v="2015-07-05T00:00:00"/>
        <d v="2015-07-08T00:00:00"/>
        <d v="2015-07-09T00:00:00"/>
        <d v="2015-07-11T00:00:00"/>
        <d v="2015-07-13T00:00:00"/>
        <d v="2015-07-15T00:00:00"/>
        <d v="2015-07-16T00:00:00"/>
        <d v="2015-07-18T00:00:00"/>
        <d v="2015-07-19T00:00:00"/>
        <d v="2015-07-20T00:00:00"/>
        <d v="2015-07-22T00:00:00"/>
        <d v="2015-07-23T00:00:00"/>
        <d v="2015-07-26T00:00:00"/>
        <d v="2015-07-29T00:00:00"/>
        <d v="2015-07-31T00:00:00"/>
        <d v="2015-08-01T00:00:00"/>
        <d v="2015-08-02T00:00:00"/>
        <d v="2015-08-03T00:00:00"/>
        <d v="2015-08-05T00:00:00"/>
        <d v="2015-08-07T00:00:00"/>
        <d v="2015-08-08T00:00:00"/>
        <d v="2015-08-09T00:00:00"/>
        <d v="2015-08-15T00:00:00"/>
        <d v="2015-08-16T00:00:00"/>
        <d v="2015-08-17T00:00:00"/>
        <d v="2015-08-18T00:00:00"/>
        <d v="2015-08-22T00:00:00"/>
        <d v="2015-08-23T00:00:00"/>
        <d v="2015-08-24T00:00:00"/>
        <d v="2015-08-27T00:00:00"/>
        <d v="2015-08-29T00:00:00"/>
        <d v="2015-08-31T00:00:00"/>
        <d v="2015-09-02T00:00:00"/>
        <d v="2015-09-03T00:00:00"/>
        <d v="2015-09-05T00:00:00"/>
        <d v="2015-09-06T00:00:00"/>
        <d v="2015-09-09T00:00:00"/>
        <d v="2015-09-10T00:00:00"/>
        <d v="2015-09-11T00:00:00"/>
        <d v="2015-09-12T00:00:00"/>
        <d v="2015-09-13T00:00:00"/>
        <d v="2015-09-16T00:00:00"/>
        <d v="2015-09-17T00:00:00"/>
        <d v="2015-09-18T00:00:00"/>
        <d v="2015-09-19T00:00:00"/>
        <d v="2015-09-20T00:00:00"/>
        <d v="2015-09-21T00:00:00"/>
        <d v="2015-09-23T00:00:00"/>
        <d v="2015-09-24T00:00:00"/>
        <d v="2015-09-25T00:00:00"/>
        <d v="2015-09-26T00:00:00"/>
        <d v="2015-09-27T00:00:00"/>
        <d v="2015-09-28T00:00:00"/>
        <d v="2015-09-30T00:00:00"/>
        <d v="2015-10-02T00:00:00"/>
        <d v="2015-10-03T00:00:00"/>
        <d v="2015-10-04T00:00:00"/>
        <d v="2015-10-07T00:00:00"/>
        <d v="2015-10-08T00:00:00"/>
        <d v="2015-10-09T00:00:00"/>
        <d v="2015-10-10T00:00:00"/>
        <d v="2015-10-11T00:00:00"/>
        <d v="2015-10-14T00:00:00"/>
        <d v="2015-10-15T00:00:00"/>
        <d v="2015-10-16T00:00:00"/>
        <d v="2015-10-18T00:00:00"/>
        <d v="2015-10-19T00:00:00"/>
        <d v="2015-10-21T00:00:00"/>
        <d v="2015-10-22T00:00:00"/>
        <d v="2015-10-23T00:00:00"/>
        <d v="2015-10-24T00:00:00"/>
        <d v="2015-10-25T00:00:00"/>
        <d v="2015-10-28T00:00:00"/>
        <d v="2015-10-29T00:00:00"/>
        <d v="2015-10-30T00:00:00"/>
        <d v="2015-10-31T00:00:00"/>
        <d v="2015-11-01T00:00:00"/>
        <d v="2015-11-04T00:00:00"/>
        <d v="2015-11-05T00:00:00"/>
        <d v="2015-11-06T00:00:00"/>
        <d v="2015-11-07T00:00:00"/>
        <d v="2015-11-08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5T00:00:00"/>
        <d v="2015-11-26T00:00:00"/>
        <d v="2015-11-27T00:00:00"/>
        <d v="2015-11-28T00:00:00"/>
        <d v="2015-12-02T00:00:00"/>
        <d v="2015-12-03T00:00:00"/>
        <d v="2015-12-04T00:00:00"/>
        <d v="2015-12-05T00:00:00"/>
        <d v="2015-12-06T00:00:00"/>
        <d v="2015-12-07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3T00:00:00"/>
        <d v="2015-12-24T00:00:00"/>
        <d v="2015-12-25T00:00:00"/>
        <d v="2015-12-26T00:00:00"/>
        <d v="2015-12-27T00:00:00"/>
        <d v="2015-12-28T00:00:00"/>
        <d v="2015-12-30T00:00:00"/>
        <d v="2015-12-31T00:00:00"/>
        <d v="2016-01-01T00:00:00"/>
        <d v="2016-01-02T00:00:00"/>
        <d v="2016-01-03T00:00:00"/>
        <d v="2016-01-04T00:00:00"/>
        <d v="2016-01-08T00:00:00"/>
        <d v="2016-01-09T00:00:00"/>
        <d v="2016-01-13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7T00:00:00"/>
        <d v="2016-01-29T00:00:00"/>
        <d v="2016-01-30T00:00:00"/>
        <d v="2016-01-31T00:00:00"/>
        <d v="2016-02-03T00:00:00"/>
        <d v="2016-02-06T00:00:00"/>
        <d v="2016-02-07T00:00:00"/>
        <d v="2016-02-10T00:00:00"/>
        <d v="2016-02-11T00:00:00"/>
        <d v="2016-02-12T00:00:00"/>
        <d v="2016-02-14T00:00:00"/>
        <d v="2016-02-19T00:00:00"/>
        <d v="2016-02-20T00:00:00"/>
        <d v="2016-02-21T00:00:00"/>
        <d v="2016-02-24T00:00:00"/>
        <d v="2016-02-27T00:00:00"/>
        <d v="2016-03-02T00:00:00"/>
        <d v="2016-03-03T00:00:00"/>
        <d v="2016-03-04T00:00:00"/>
        <d v="2016-03-06T00:00:00"/>
        <d v="2016-03-08T00:00:00"/>
        <d v="2016-03-09T00:00:00"/>
        <d v="2016-03-10T00:00:00"/>
        <d v="2016-03-12T00:00:00"/>
        <d v="2016-03-13T00:00:00"/>
        <d v="2016-03-16T00:00:00"/>
        <d v="2016-03-17T00:00:00"/>
        <d v="2016-03-18T00:00:00"/>
        <d v="2016-03-19T00:00:00"/>
        <d v="2016-03-20T00:00:00"/>
        <d v="2016-03-21T00:00:00"/>
        <d v="2016-03-23T00:00:00"/>
        <d v="2016-03-25T00:00:00"/>
        <d v="2016-03-26T00:00:00"/>
        <d v="2016-03-27T00:00:00"/>
        <d v="2016-03-28T00:00:00"/>
        <d v="2016-03-30T00:00:00"/>
        <d v="2016-03-31T00:00:00"/>
        <d v="2016-04-01T00:00:00"/>
        <d v="2016-04-02T00:00:00"/>
        <d v="2016-04-08T00:00:00"/>
        <d v="2016-04-11T00:00:00"/>
        <d v="2016-04-13T00:00:00"/>
        <d v="2016-04-15T00:00:00"/>
        <d v="2016-04-16T00:00:00"/>
        <d v="2016-04-17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30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1T00:00:00"/>
        <d v="2016-05-12T00:00:00"/>
        <d v="2016-05-13T00:00:00"/>
        <d v="2016-05-14T00:00:00"/>
        <d v="2016-05-15T00:00:00"/>
        <d v="2016-05-18T00:00:00"/>
        <d v="2016-05-19T00:00:00"/>
        <d v="2016-05-20T00:00:00"/>
        <d v="2016-05-22T00:00:00"/>
        <d v="2016-05-23T00:00:00"/>
        <d v="2016-05-26T00:00:00"/>
        <d v="2016-05-27T00:00:00"/>
        <d v="2016-05-28T00:00:00"/>
        <d v="2016-05-30T00:00:00"/>
        <d v="2016-06-02T00:00:00"/>
        <d v="2016-06-03T00:00:00"/>
        <d v="2016-06-06T00:00:00"/>
        <d v="2016-06-08T00:00:00"/>
        <d v="2016-06-10T00:00:00"/>
        <d v="2016-06-11T00:00:00"/>
        <d v="2016-06-12T00:00:00"/>
        <d v="2016-06-13T00:00:00"/>
        <d v="2016-06-15T00:00:00"/>
        <d v="2016-06-16T00:00:00"/>
        <d v="2016-06-17T00:00:00"/>
        <d v="2016-06-18T00:00:00"/>
        <d v="2016-06-19T00:00:00"/>
        <d v="2016-06-24T00:00:00"/>
        <d v="2016-06-25T00:00:00"/>
        <d v="2016-06-26T00:00:00"/>
        <d v="2016-06-27T00:00:00"/>
        <d v="2016-06-29T00:00:00"/>
        <d v="2016-06-30T00:00:00"/>
        <d v="2016-07-03T00:00:00"/>
        <d v="2016-07-06T00:00:00"/>
        <d v="2016-07-07T00:00:00"/>
        <d v="2016-07-08T00:00:00"/>
        <d v="2016-07-09T00:00:00"/>
        <d v="2016-07-11T00:00:00"/>
        <d v="2016-07-14T00:00:00"/>
        <d v="2016-07-17T00:00:00"/>
        <d v="2016-07-18T00:00:00"/>
        <d v="2016-07-21T00:00:00"/>
        <d v="2016-07-23T00:00:00"/>
        <d v="2016-07-24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3T00:00:00"/>
        <d v="2016-08-04T00:00:00"/>
        <d v="2016-08-07T00:00:00"/>
        <d v="2016-08-12T00:00:00"/>
        <d v="2016-08-13T00:00:00"/>
        <d v="2016-08-14T00:00:00"/>
        <d v="2016-08-17T00:00:00"/>
        <d v="2016-08-18T00:00:00"/>
        <d v="2016-08-19T00:00:00"/>
        <d v="2016-08-20T00:00:00"/>
        <d v="2016-08-21T00:00:00"/>
        <d v="2016-08-22T00:00:00"/>
        <d v="2016-08-27T00:00:00"/>
        <d v="2016-08-28T00:00:00"/>
        <d v="2016-08-29T00:00:00"/>
        <d v="2016-08-31T00:00:00"/>
        <d v="2016-09-01T00:00:00"/>
        <d v="2016-09-02T00:00:00"/>
        <d v="2016-09-03T00:00:00"/>
        <d v="2016-09-04T00:00:00"/>
        <d v="2016-09-05T00:00:00"/>
        <d v="2016-09-07T00:00:00"/>
        <d v="2016-09-09T00:00:00"/>
        <d v="2016-09-10T00:00:00"/>
        <d v="2016-09-11T00:00:00"/>
        <d v="2016-09-12T00:00:00"/>
        <d v="2016-09-14T00:00:00"/>
        <d v="2016-09-15T00:00:00"/>
        <d v="2016-09-16T00:00:00"/>
        <d v="2016-09-17T00:00:00"/>
        <d v="2016-09-18T00:00:00"/>
        <d v="2016-09-19T00:00:00"/>
        <d v="2016-09-21T00:00:00"/>
        <d v="2016-09-22T00:00:00"/>
        <d v="2016-09-23T00:00:00"/>
        <d v="2016-09-24T00:00:00"/>
        <d v="2016-09-25T00:00:00"/>
        <d v="2016-09-26T00:00:00"/>
        <d v="2016-09-28T00:00:00"/>
        <d v="2016-09-29T00:00:00"/>
        <d v="2016-09-30T00:00:00"/>
        <d v="2016-10-01T00:00:00"/>
        <d v="2016-10-02T00:00:00"/>
        <d v="2016-10-03T00:00:00"/>
        <d v="2016-10-05T00:00:00"/>
        <d v="2016-10-06T00:00:00"/>
        <d v="2016-10-07T00:00:00"/>
        <d v="2016-10-08T00:00:00"/>
        <d v="2016-10-09T00:00:00"/>
        <d v="2016-10-12T00:00:00"/>
        <d v="2016-10-13T00:00:00"/>
        <d v="2016-10-14T00:00:00"/>
        <d v="2016-10-15T00:00:00"/>
        <d v="2016-10-16T00:00:00"/>
        <d v="2016-10-17T00:00:00"/>
        <d v="2016-10-19T00:00:00"/>
        <d v="2016-10-20T00:00:00"/>
        <d v="2016-10-21T00:00:00"/>
        <d v="2016-10-22T00:00:00"/>
        <d v="2016-10-27T00:00:00"/>
        <d v="2016-10-30T00:00:00"/>
        <d v="2016-11-01T00:00:00"/>
        <d v="2016-11-02T00:00:00"/>
        <d v="2016-11-03T00:00:00"/>
        <d v="2016-11-05T00:00:00"/>
        <d v="2016-11-06T00:00:00"/>
        <d v="2016-11-07T00:00:00"/>
        <d v="2016-11-09T00:00:00"/>
        <d v="2016-11-10T00:00:00"/>
        <d v="2016-11-11T00:00:00"/>
        <d v="2016-11-12T00:00:00"/>
        <d v="2016-11-13T00:00:00"/>
        <d v="2016-11-14T00:00:00"/>
        <d v="2016-11-16T00:00:00"/>
        <d v="2016-11-17T00:00:00"/>
        <d v="2016-11-18T00:00:00"/>
        <d v="2016-11-19T00:00:00"/>
        <d v="2016-11-20T00:00:00"/>
        <d v="2016-11-21T00:00:00"/>
        <d v="2016-11-24T00:00:00"/>
        <d v="2016-11-25T00:00:00"/>
        <d v="2016-11-27T00:00:00"/>
        <d v="2016-11-28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1T00:00:00"/>
        <d v="2016-12-22T00:00:00"/>
        <d v="2016-12-23T00:00:00"/>
        <d v="2016-12-24T00:00:00"/>
        <d v="2016-12-25T00:00:00"/>
        <d v="2016-12-28T00:00:00"/>
        <d v="2016-12-29T00:00:00"/>
        <d v="2016-12-30T00:00:00"/>
      </sharedItems>
      <fieldGroup par="13"/>
    </cacheField>
    <cacheField name="Data_Entrega" numFmtId="14">
      <sharedItems containsSemiMixedTypes="0" containsNonDate="0" containsDate="1" containsString="0" minDate="2013-01-08T00:00:00" maxDate="2017-01-06T00:00:00"/>
    </cacheField>
    <cacheField name="Tempo_de_Entrega(Dias)" numFmtId="0">
      <sharedItems containsSemiMixedTypes="0" containsString="0" containsNumber="1" containsInteger="1" minValue="0" maxValue="7" count="8">
        <n v="2"/>
        <n v="5"/>
        <n v="3"/>
        <n v="1"/>
        <n v="6"/>
        <n v="4"/>
        <n v="7"/>
        <n v="0"/>
      </sharedItems>
    </cacheField>
    <cacheField name="Tipo_Entrega" numFmtId="0">
      <sharedItems/>
    </cacheField>
    <cacheField name="ID_Cliente" numFmtId="0">
      <sharedItems/>
    </cacheField>
    <cacheField name="Nome_Cliente" numFmtId="0">
      <sharedItems count="686">
        <s v="Lycoris Saunders"/>
        <s v="Brian Dahlen"/>
        <s v="David Wiener"/>
        <s v="Toby Swindell"/>
        <s v="Mark Van Huff"/>
        <s v="Ionia McGrath"/>
        <s v="Ed Jacobs"/>
        <s v="Liz Carlisle"/>
        <s v="Cynthia Delaney"/>
        <s v="Tom Boeckenhauer"/>
        <s v="Deborah Brumfield"/>
        <s v="Mark Haberlin"/>
        <s v="Nathan Mautz"/>
        <s v="Sanjit Chand"/>
        <s v="Marina Lichtenstein"/>
        <s v="Barry Französisch"/>
        <s v="Steven Roelle"/>
        <s v="Sue Ann Reed"/>
        <s v="Jennifer Halladay"/>
        <s v="Dave Brooks"/>
        <s v="Eva Jacobs"/>
        <s v="Aaron Bergman"/>
        <s v="Nora Pelletier"/>
        <s v="Craig Molinari"/>
        <s v="Kean Thornton"/>
        <s v="Richard Bierner"/>
        <s v="Dean Katz"/>
        <s v="Jason Fortune-"/>
        <s v="Eileen Kiefer"/>
        <s v="Sample Company A"/>
        <s v="Beth Fritzler"/>
        <s v="Patrick O'Donnell"/>
        <s v="Maurice Satty"/>
        <s v="Christina Anderson"/>
        <s v="Jonathan Doherty"/>
        <s v="Damala Kotsonis"/>
        <s v="Cindy Stewart"/>
        <s v="Daniel Raglin"/>
        <s v="Dorris liebe"/>
        <s v="Guy Armstrong"/>
        <s v="Alex Avila"/>
        <s v="Kunst Miller"/>
        <s v="Katrina Edelman"/>
        <s v="Paul Knutson"/>
        <s v="Mary Zewe"/>
        <s v="Scott Cohen"/>
        <s v="Andy Yotov"/>
        <s v="Frank Hawley"/>
        <s v="Jim Mitchum"/>
        <s v="Pauline Chand"/>
        <s v="Sanjit Engle"/>
        <s v="Michelle Moray"/>
        <s v="Kean Nguyen"/>
        <s v="Edward Hooks"/>
        <s v="Paul Stevenson"/>
        <s v="John Lee"/>
        <s v="Nicole Fjeld"/>
        <s v="Benjamin Patterson"/>
        <s v="Allen Armold"/>
        <s v="Beth Thompson"/>
        <s v="Aleksandra Gannaway"/>
        <s v="Marc Harrigan"/>
        <s v="Arianne Irving"/>
        <s v="Bill Shonely"/>
        <s v="Harold Pawlan"/>
        <s v="Steve Nguyen"/>
        <s v="Patrick Gardner"/>
        <s v="Greg Matthias"/>
        <s v="Alejandro Grove"/>
        <s v="Naresj Patel"/>
        <s v="Aaron Hawkins"/>
        <s v="Pauline Webber"/>
        <s v="Cindy Chapman"/>
        <s v="Bradley Talbott"/>
        <s v="Erica Hackney"/>
        <s v="Herbert Flentye"/>
        <s v="Dean percer"/>
        <s v="Maya Herman"/>
        <s v="Lena Creighton"/>
        <s v="Patrick Jones"/>
        <s v="Magdelene Morse"/>
        <s v="Christine Kargatis"/>
        <s v="Steven Cartwright"/>
        <s v="Carlos Soltero"/>
        <s v="Brosina Hoffman"/>
        <s v="Chuck Magee"/>
        <s v="Thomas Seio"/>
        <s v="Filia McAdams"/>
        <s v="Gary Hwang"/>
        <s v="Mick Crebagga"/>
        <s v="Stewart Visinsky"/>
        <s v="Joel Eaton"/>
        <s v="Toby Braunhardt"/>
        <s v="Liz Pelletier"/>
        <s v="Noel Staavos"/>
        <s v="Grace Kelly"/>
        <s v="Anthony Rawles"/>
        <s v="Dennis Pardue"/>
        <s v="Becky Castell"/>
        <s v="Ed Braxton"/>
        <s v="Gary Hansen"/>
        <s v="Darrin Sayre"/>
        <s v="Alyssa Crouse"/>
        <s v="Ben Ferrer"/>
        <s v="Clay Ludtke"/>
        <s v="Philip Brown"/>
        <s v="Adrian Hane"/>
        <s v="Eugene Moren"/>
        <s v="Charles Crestani"/>
        <s v="Roger Demir"/>
        <s v="Michelle Ellison"/>
        <s v="Alejandro Ballentine"/>
        <s v="Arthur Gainer"/>
        <s v="Nick Crebassa"/>
        <s v="Ken Lonsdale"/>
        <s v="Vicky Freymann"/>
        <s v="Jack O'Briant"/>
        <s v="Giulietta Weimer"/>
        <s v="Barry Blumstein"/>
        <s v="Tom Stivers"/>
        <s v="Ivan Liston"/>
        <s v="Bruce Stewart"/>
        <s v="Valerie Dominguez"/>
        <s v="Chad Sievert"/>
        <s v="Sonia Sunley"/>
        <s v="Lena Radford"/>
        <s v="Maria Bertelson"/>
        <s v="Tamara Manning"/>
        <s v="Emily Ducich"/>
        <s v="Matthew Grinstein"/>
        <s v="Joseph Holt"/>
        <s v="Gene McClure"/>
        <s v="Ben Wallace"/>
        <s v="Robert Barroso"/>
        <s v="Arthur Prichep"/>
        <s v="Janet Molinari"/>
        <s v="Mitch Webber"/>
        <s v="Frank Merwin"/>
        <s v="Zuschuss Donatelli"/>
        <s v="Hilary Holden"/>
        <s v="Shirley Jackson"/>
        <s v="Larry Tron"/>
        <s v="Victoria Pisteka"/>
        <s v="Lisa Ryan"/>
        <s v="Gary Zandusky"/>
        <s v="Marc Crier"/>
        <s v="Liz Willingham"/>
        <s v="Odella Nelson"/>
        <s v="Resi Pölking"/>
        <s v="Bradley Nguyen"/>
        <s v="Nick Radford"/>
        <s v="Joseph Airdo"/>
        <s v="Frank Atkinson"/>
        <s v="Mike Caudle"/>
        <s v="Jim Kriz"/>
        <s v="Neil Ducich"/>
        <s v="Erica Smith"/>
        <s v="Michelle Arnett"/>
        <s v="Henry Goldwyn"/>
        <s v="Jack Garza"/>
        <s v="Brian Moss"/>
        <s v="Julia Dunbar"/>
        <s v="Barry Franz"/>
        <s v="Kean Takahito"/>
        <s v="Christopher Schild"/>
        <s v="Karen Ferguson"/>
        <s v="Thea Hendricks"/>
        <s v="Paul Prost"/>
        <s v="Evan Bailliet"/>
        <s v="Doug Bickford"/>
        <s v="Neil Französisch"/>
        <s v="Erin Smith"/>
        <s v="Allen Rosenblatt"/>
        <s v="David Flashing"/>
        <s v="Joy Daniels"/>
        <s v="Keith Herrera"/>
        <s v="Xylona Preis"/>
        <s v="Tanja Norvell"/>
        <s v="Shirley Daniels"/>
        <s v="Fred Chung"/>
        <s v="Helen Andreada"/>
        <s v="Alan Shonely"/>
        <s v="Duane Noonan"/>
        <s v="Zuschuss Carroll"/>
        <s v="Lynn Smith"/>
        <s v="Ivan Gibson"/>
        <s v="Jeremy Farry"/>
        <s v="Rachel Payne"/>
        <s v="Eugene Hildebrand"/>
        <s v="Sylvia Foulston"/>
        <s v="Angele Hood"/>
        <s v="Todd Sumrall"/>
        <s v="Greg Guthrie"/>
        <s v="Amy Cox"/>
        <s v="Nancy Lomonaco"/>
        <s v="Russell Applegate"/>
        <s v="Natalie DeCherney"/>
        <s v="Paul Lucas"/>
        <s v="Shahid Hopkins"/>
        <s v="Steven Ward"/>
        <s v="Tracy Collins"/>
        <s v="MaryBeth Skach"/>
        <s v="William Brown"/>
        <s v="Tiffany House"/>
        <s v="Deanra Eno"/>
        <s v="Lena Hernandez"/>
        <s v="Troy Blackwell"/>
        <s v="Emily Burns"/>
        <s v="Jeremy Pistek"/>
        <s v="Ruben Dartt"/>
        <s v="Tracy Zic"/>
        <s v="Matt Abelman"/>
        <s v="Shahid Shariari"/>
        <s v="Adam Hart"/>
        <s v="Justin Deggeller"/>
        <s v="Pierre Wener"/>
        <s v="John Grady"/>
        <s v="Dennis Bolton"/>
        <s v="Georgia Rosenberg"/>
        <s v="Steve Carroll"/>
        <s v="Susan Pistek"/>
        <s v="Sally Matthias"/>
        <s v="Vivek Gonzalez"/>
        <s v="Harold Ryan"/>
        <s v="Laurel Workman"/>
        <s v="Natalie Webber"/>
        <s v="Lindsay Shagiari"/>
        <s v="Luke Schmidt"/>
        <s v="Duane Huffman"/>
        <s v="Sheri Gordon"/>
        <s v="Alan Hwang"/>
        <s v="Toby Ritter"/>
        <s v="Brendan Sweed"/>
        <s v="Rob Lucas"/>
        <s v="Joni Blumstein"/>
        <s v="Ryan Crowe"/>
        <s v="Roland Schwarz"/>
        <s v="Frank Preis"/>
        <s v="Ann Steele"/>
        <s v="Erica Hernandez"/>
        <s v="Tim Brockman"/>
        <s v="Jim Karlsson"/>
        <s v="Denny Joy"/>
        <s v="Cyma Kinney"/>
        <s v="Dario Medina"/>
        <s v="Sally Hughsby"/>
        <s v="Nora Preis"/>
        <s v="Logan Haushalter"/>
        <s v="Katherine Ducich"/>
        <s v="Randy Ferguson"/>
        <s v="Jas O'Carroll"/>
        <s v="Chad Cunningham"/>
        <s v="Stefanie Holloman"/>
        <s v="Bart Pistole"/>
        <s v="Michael Chen"/>
        <s v="Toby Carlisle"/>
        <s v="Carol Triggs"/>
        <s v="Gary McGarr"/>
        <s v="Khloe Miller"/>
        <s v="Julie Creighton"/>
        <s v="Adam Shillingsburg"/>
        <s v="Kelly Lampkin"/>
        <s v="Clytie Kelty"/>
        <s v="Alyssa Tate"/>
        <s v="Maribeth Dona"/>
        <s v="Anthony Johnson"/>
        <s v="Shui Tom"/>
        <s v="Maureen Fritzler"/>
        <s v="James Lanier"/>
        <s v="Stefania Perrino"/>
        <s v="Carl Weiss"/>
        <s v="Elizabeth Moffitt"/>
        <s v="Sean Christensen"/>
        <s v="Rick Wilson"/>
        <s v="Ken Heidel"/>
        <s v="Victoria Wilson"/>
        <s v="Sarah Jordon"/>
        <s v="Justin MacKendrick"/>
        <s v="Rob Dowd"/>
        <s v="Ann Blume"/>
        <s v="Guy Thornton"/>
        <s v="Joe Elijah"/>
        <s v="Nora Paige"/>
        <s v="Dave Hallsten"/>
        <s v="Dave Kipp"/>
        <s v="John Lucas"/>
        <s v="Karen Seio"/>
        <s v="Jeremy Ellison"/>
        <s v="Monica Federle"/>
        <s v="Jesus Ocampo"/>
        <s v="Fred Hopkins"/>
        <s v="Berenike Kampe"/>
        <s v="Bryan Mills"/>
        <s v="Alice McCarthy"/>
        <s v="Cathy Prescott"/>
        <s v="Ellis Ballard"/>
        <s v="Alan Barnes"/>
        <s v="Denny Ordway"/>
        <s v="John Dryer"/>
        <s v="Carol Adams"/>
        <s v="Jennifer Ferguson"/>
        <s v="Jay Kimmel"/>
        <s v="Andy Reiter"/>
        <s v="Robert Dilbeck"/>
        <s v="Anthony Witt"/>
        <s v="Heather Jas"/>
        <s v="Bill Tyler"/>
        <s v="Eugene Barchas"/>
        <s v="Theone Pippenger"/>
        <s v="George Ashbrook"/>
        <s v="Nathan Cano"/>
        <s v="Annie Zypern"/>
        <s v="Jill Stevenson"/>
        <s v="Linda Southworth"/>
        <s v="Bart Watters"/>
        <s v="Tony Chapman"/>
        <s v="Ken Black"/>
        <s v="Jennifer Braxton"/>
        <s v="Patrick O'Brill"/>
        <s v="Julia Barnett"/>
        <s v="Lena Cacioppo"/>
        <s v="Rose O'Brian"/>
        <s v="Hunter Glantz"/>
        <s v="Claudia Bergmann"/>
        <s v="Anthony Jacobs"/>
        <s v="Sarah Brown"/>
        <s v="Justin Hirsh"/>
        <s v="Neil Knudson"/>
        <s v="Stephanie Phelps"/>
        <s v="Catherine Glotzbach"/>
        <s v="Lauren Leatherbury"/>
        <s v="Becky Pak"/>
        <s v="Eleni McCrary"/>
        <s v="Trudy Glocke"/>
        <s v="Jennifer Jackson"/>
        <s v="Peter Fuller"/>
        <s v="Skye Norling"/>
        <s v="Bruce Geld"/>
        <s v="Stewart Carmichael"/>
        <s v="Rick Duston"/>
        <s v="Christine Sundaresam"/>
        <s v="Jill Fjeld"/>
        <s v="Craig Yedwab"/>
        <s v="Julie Prescott"/>
        <s v="Eric Hoffmann"/>
        <s v="Mike Vittorini"/>
        <s v="Shahid Collister"/>
        <s v="Toby Gnade"/>
        <s v="Jessica Myrick"/>
        <s v="Roland Fjeld"/>
        <s v="Thais Sissman"/>
        <s v="Michelle Huthwaite"/>
        <s v="Russell D'Ascenzo"/>
        <s v="Cynthia Arntzen"/>
        <s v="Corey-Lock"/>
        <s v="Darren Koutras"/>
        <s v="Parhena Norris"/>
        <s v="Thomas Thornton"/>
        <s v="Sandra Flanagan"/>
        <s v="Tim Taslimi"/>
        <s v="Richard Eichhorn"/>
        <s v="John Murray"/>
        <s v="Nick Zandusky"/>
        <s v="David Smith"/>
        <s v="Ryan Akin"/>
        <s v="Philip Fox"/>
        <s v="Cassandra Brandow"/>
        <s v="Andrew Roberts"/>
        <s v="Rick Huthwaite"/>
        <s v="David Bremer"/>
        <s v="Lori Olson"/>
        <s v="Neoma Murray"/>
        <s v="Matt Collins"/>
        <s v="Sean Braxton"/>
        <s v="George Bell"/>
        <s v="Craig Carreira"/>
        <s v="Ken Dana"/>
        <s v="Meg O'Connel"/>
        <s v="Cari Sayre"/>
        <s v="Adam Bellavance"/>
        <s v="Charlotte Melton"/>
        <s v="Frank Carlisle"/>
        <s v="Anne McFarland"/>
        <s v="Daniel Lacy"/>
        <s v="Muhammed MacIntyre"/>
        <s v="Max Engle"/>
        <s v="Shaun Chance"/>
        <s v="Carlos Meador"/>
        <s v="Tracy Blumstein"/>
        <s v="Bryan Spruell"/>
        <s v="Saphhira Shifley"/>
        <s v="Roy Phan"/>
        <s v="Eric Murdock"/>
        <s v="Henry MacAllister"/>
        <s v="Chloris Kastensmidt"/>
        <s v="Katherine Nockton"/>
        <s v="Kelly Andreada"/>
        <s v="John Castell"/>
        <s v="Robert Marley"/>
        <s v="Jay Fein"/>
        <s v="Andrew Gjertsen"/>
        <s v="Trudy Brown"/>
        <s v="Deirdre Greer"/>
        <s v="Maribeth Yedwab"/>
        <s v="Kristen Hastings"/>
        <s v="Nona Balk"/>
        <s v="Sandra Glassco"/>
        <s v="Kelly Collister"/>
        <s v="Liz Thompson"/>
        <s v="Corinna Mitchell"/>
        <s v="Meg Tillman"/>
        <s v="Karen Bern"/>
        <s v="Maria Zettner"/>
        <s v="Shaun Weien"/>
        <s v="Yoseph Carroll"/>
        <s v="Arthur Wiediger"/>
        <s v="Heather Kirkland"/>
        <s v="Brian Stugart"/>
        <s v="Patrick Bzostek"/>
        <s v="Katrina Bavinger"/>
        <s v="Chris Selesnick"/>
        <s v="Kelly Williams"/>
        <s v="Eudokia Martin"/>
        <s v="Nathan Gelder"/>
        <s v="Darren Powers"/>
        <s v="Carlos Daly"/>
        <s v="Ashley Jarboe"/>
        <s v="Phillina Ober"/>
        <s v="Logan Currie"/>
        <s v="Tamara Willingham"/>
        <s v="Lindsay Castell"/>
        <s v="Harry Marie"/>
        <s v="Matt Hagelstein"/>
        <s v="Katherine Murray"/>
        <s v="Art Ferguson"/>
        <s v="Melanie Seite"/>
        <s v="Yana Sorensen"/>
        <s v="Irene Maddox"/>
        <s v="Dennis Kane"/>
        <s v="Helen Abelman"/>
        <s v="Karen Daniels"/>
        <s v="Doug Jacobs"/>
        <s v="Darren Budd"/>
        <s v="Paul Gonzalez"/>
        <s v="Michael Kennedy"/>
        <s v="James Galang"/>
        <s v="John Stevenson"/>
        <s v="Elpida Rittenbach"/>
        <s v="Jim Radford"/>
        <s v="Maribeth Schnelling"/>
        <s v="Ralph Arnett"/>
        <s v="Sean Miller"/>
        <s v="Dianna Wilson"/>
        <s v="Laura Armstrong"/>
        <s v="Joy Bell-"/>
        <s v="Tamara Dahlen"/>
        <s v="Christy Brittain"/>
        <s v="Suzanne McNair"/>
        <s v="Erica Bern"/>
        <s v="Justin Ritter"/>
        <s v="Ross DeVincentis"/>
        <s v="Greg Tran"/>
        <s v="Matthew Clasen"/>
        <s v="Theresa Swint"/>
        <s v="Michael Granlund"/>
        <s v="Scot Wooten"/>
        <s v="Anna Chung"/>
        <s v="Bobby Trafton"/>
        <s v="Dan Reichenbach"/>
        <s v="Chris Cortes"/>
        <s v="Edward Becker"/>
        <s v="Brian Thompson"/>
        <s v="Beth Paige"/>
        <s v="Bill Donatelli"/>
        <s v="Julie Kriz"/>
        <s v="Jack Lebron"/>
        <s v="Craig Leslie"/>
        <s v="Bill Overfelt"/>
        <s v="Darrin Martin"/>
        <s v="Amy Hunt"/>
        <s v="Lindsay Williams"/>
        <s v="Ricardo Sperren"/>
        <s v="Ted Trevino"/>
        <s v="Jill Matthias"/>
        <s v="Vivian Mathis"/>
        <s v="Eric Barreto"/>
        <s v="Anna Häberlin"/>
        <s v="Rick Bensley"/>
        <s v="Linda Cazamias"/>
        <s v="Jim Epp"/>
        <s v="Lisa DeCherney"/>
        <s v="Jason Gross"/>
        <s v="Christine Phan"/>
        <s v="Ken Brennan"/>
        <s v="Ross Baird"/>
        <s v="Maria Etezadi"/>
        <s v="Dean Braden"/>
        <s v="Olvera Toch"/>
        <s v="Seth Vernon"/>
        <s v="Darrin Van Huff"/>
        <s v="Erin Ashbrook"/>
        <s v="Paul Van Hugh"/>
        <s v="Karen Carlisle"/>
        <s v="Dave Poirier"/>
        <s v="Roy Collins"/>
        <s v="Max Jones"/>
        <s v="Anna Andreadi"/>
        <s v="Raymond Messe"/>
        <s v="Christopher Conant"/>
        <s v="Raymond Buch"/>
        <s v="Mark Cousins"/>
        <s v="Ruben Ausman"/>
        <s v="Jennifer Patt"/>
        <s v="Dionis Lloyd"/>
        <s v="Kristina Nunn"/>
        <s v="Larry Blacks"/>
        <s v="Rob Williams"/>
        <s v="Dorothy Wardle"/>
        <s v="Cathy Armstrong"/>
        <s v="Pete Kriz"/>
        <s v="Anthony O'Donnell"/>
        <s v="Scot Coram"/>
        <s v="Maxwell Schwartz"/>
        <s v="Don Jones"/>
        <s v="Cynthia Voltz"/>
        <s v="Laurel Beltran"/>
        <s v="Sam Zeldin"/>
        <s v="Becky Martin"/>
        <s v="Valerie Mitchum"/>
        <s v="Pauline Johnson"/>
        <s v="Liz Preis"/>
        <s v="Annie Thurman"/>
        <s v="Bryan Davis"/>
        <s v="Dianna Vittorini"/>
        <s v="Ben Peterman"/>
        <s v="Sarah Foster"/>
        <s v="Philisse Overcash"/>
        <s v="Rob Beeghly"/>
        <s v="Keith Dawkins"/>
        <s v="Jim Sink"/>
        <s v="Sanjit Jacobs"/>
        <s v="Chuck Clark"/>
        <s v="Jane Waco"/>
        <s v="Greg Maxwell"/>
        <s v="Candace McMahon"/>
        <s v="Adrian Barton"/>
        <s v="Julia West"/>
        <s v="Aaron Smayling"/>
        <s v="Dan Lawera"/>
        <s v="Pamela Stobb"/>
        <s v="Maris LaWare"/>
        <s v="Brian DeCherney"/>
        <s v="Daniel Byrd"/>
        <s v="Corey Catlett"/>
        <s v="Noah Childs"/>
        <s v="Emily Phan"/>
        <s v="Muhammed Yedwab"/>
        <s v="Pete Armstrong"/>
        <s v="Jonathan Howell"/>
        <s v="Alejandro Savely"/>
        <s v="Phillip Flathmann"/>
        <s v="Lisa Hazard"/>
        <s v="Tracy Poddar"/>
        <s v="Penelope Sewall"/>
        <s v="Pamela Coakley"/>
        <s v="Adrian Shami"/>
        <s v="Ralph Ritter"/>
        <s v="Bobby Elias"/>
        <s v="Matt Connell"/>
        <s v="Brendan Murry"/>
        <s v="Carol Darley"/>
        <s v="Sung Pak"/>
        <s v="Clay Rozendal"/>
        <s v="Mark Hamilton"/>
        <s v="Tamara Chand"/>
        <s v="Chris McAfee"/>
        <s v="Carl Ludwig"/>
        <s v="Mike Kennedy"/>
        <s v="Alan Schoenberger"/>
        <s v="Anne Pryor"/>
        <s v="Fred McMath"/>
        <s v="Roy Französisch"/>
        <s v="Jasper Cacioppo"/>
        <s v="Mike Pelletier"/>
        <s v="Charles McCrossin"/>
        <s v="Benjamin Venier"/>
        <s v="Frank Olsen"/>
        <s v="Fred Wasserman"/>
        <s v="Delfina Latchford"/>
        <s v="Christopher Martinez"/>
        <s v="Jamie Frazer"/>
        <s v="Sean O'Donnell"/>
        <s v="Tonja Turnell"/>
        <s v="Alan Dominguez"/>
        <s v="Caroline Jumper"/>
        <s v="Michael Moore"/>
        <s v="Sarah Bern"/>
        <s v="Fred Harton"/>
        <s v="Helen Wasserman"/>
        <s v="Ann Chong"/>
        <s v="Karl Braun"/>
        <s v="Bill Stewart"/>
        <s v="Benjamin Farhat"/>
        <s v="Scott Williamson"/>
        <s v="Barry Pond"/>
        <s v="Jason Klamczynski"/>
        <s v="George Zrebassa"/>
        <s v="Bill Eplett"/>
        <s v="Christina VanderZanden"/>
        <s v="Brendan Dodson"/>
        <s v="Luke Weiss"/>
        <s v="Sharelle Roach"/>
        <s v="Joni Wasserman"/>
        <s v="Susan Vittorini"/>
        <s v="Mick Brown"/>
        <s v="Larry Hughes"/>
        <s v="Speros Goranitis"/>
        <s v="Dorothy Dickinson"/>
        <s v="Trudy Schmidt"/>
        <s v="Charles Sheldon"/>
        <s v="Vivek Sundaresam"/>
        <s v="Giulietta Dortch"/>
        <s v="Maureen Gastineau"/>
        <s v="Michelle Tran"/>
        <s v="Clay Cheatham"/>
        <s v="Stuart Calhoun"/>
        <s v="Troy Staebel"/>
        <s v="Nicole Hansen"/>
        <s v="Max Ludwig"/>
        <s v="Victor Preis"/>
        <s v="Jenna Caffey"/>
        <s v="Mathew Reese"/>
        <s v="Erin Creighton"/>
        <s v="Bruce Degenhardt"/>
        <s v="Jeremy Lonsdale"/>
        <s v="Dana Kaydos"/>
        <s v="Janet Martin"/>
        <s v="Patrick Ryan"/>
        <s v="Sung Chung"/>
        <s v="Tony Molinari"/>
        <s v="Sung Shariari"/>
        <s v="Janet Lee"/>
        <s v="Stephanie Ulpright"/>
        <s v="Joe Kamberova"/>
        <s v="Allen Goldenen"/>
        <s v="Doug O'Connell"/>
        <s v="Tom Prescott"/>
        <s v="Tony Sayre"/>
        <s v="Muhammed Lee"/>
        <s v="Don Weiss"/>
        <s v="Brooke Gillingham"/>
        <s v="Duane Benoit"/>
        <s v="Sara Luxemburg"/>
        <s v="Sonia Cooley"/>
        <s v="Neola Schneider"/>
        <s v="Frank Gastineau"/>
        <s v="Juliana Krohn"/>
        <s v="Chad McGuire"/>
        <s v="Debra Catini"/>
        <s v="Mike Gockenbach"/>
        <s v="Michelle Lonsdale"/>
        <s v="Robert Waldorf"/>
        <s v="Stuart Van"/>
        <s v="Astrea Jones"/>
        <s v="Joy Smith"/>
        <s v="Justin Ellison"/>
        <s v="Jamie Kunitz"/>
        <s v="Kimberly Carter"/>
        <s v="Denise Leinenbach"/>
        <s v="Roger Barcio"/>
        <s v="Matt Collister"/>
        <s v="Thomas Brumley"/>
        <s v="Mitch Willingham"/>
        <s v="Katharine Harms"/>
        <s v="Christina DeMoss"/>
        <s v="Bradley Drucker"/>
        <s v="Rick Hansen"/>
        <s v="Brenda Bowman"/>
        <s v="Brad Norvell"/>
        <s v="Luke Foster"/>
        <s v="Denise Monton"/>
        <s v="Laurel Elliston"/>
        <s v="Alex Grayson"/>
        <s v="Kalyca Meade"/>
        <s v="Hallie Redmond"/>
        <s v="Christine Abelman"/>
      </sharedItems>
    </cacheField>
    <cacheField name="Estado" numFmtId="0">
      <sharedItems/>
    </cacheField>
    <cacheField name="Categoria" numFmtId="0">
      <sharedItems count="3">
        <s v="Office Supplies"/>
        <s v="Furniture"/>
        <s v="Technology"/>
      </sharedItems>
    </cacheField>
    <cacheField name="Sub-Categoria" numFmtId="0">
      <sharedItems count="17">
        <s v="Paper"/>
        <s v="Storage"/>
        <s v="Bookcases"/>
        <s v="Art"/>
        <s v="Appliances"/>
        <s v="Binders"/>
        <s v="Envelopes"/>
        <s v="Furnishings"/>
        <s v="Tables"/>
        <s v="Fasteners"/>
        <s v="Chairs"/>
        <s v="Accessories"/>
        <s v="Supplies"/>
        <s v="Machines"/>
        <s v="Phones"/>
        <s v="Labels"/>
        <s v="Copiers"/>
      </sharedItems>
    </cacheField>
    <cacheField name="Nome_Produto" numFmtId="0">
      <sharedItems count="1503">
        <s v="Xerox 225"/>
        <s v="Tennsco 6- and 18-Compartment Lockers"/>
        <s v="O'Sullivan Elevations Bookcase, Cherry Finish"/>
        <s v="4009 Highlighters by Sanford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Wirebound Service Call Books, 5 1/2&quot; x 4&quot;"/>
        <s v="Eldon Expressions Desk Accessory, Wood Pencil Holder, Oak"/>
        <s v="Xerox 195"/>
        <s v="Recycled Steel Personal File for Hanging File Folders"/>
        <s v="Balt Split Level Computer Training Table"/>
        <s v="Dixon Ticonderoga Core-Lock Colored Pencils"/>
        <s v="Sauder Facets Collection Library, Sky Alder Finish"/>
        <s v="Staples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Master Caster Door Stop, Large Brown"/>
        <s v="Global Geo Office Task Chair, Gray"/>
        <s v="Logitech G600 MMO Gaming Mouse"/>
        <s v="Belkin 8 Outlet Surge Protector"/>
        <s v="Compact Automatic Electric Letter Opener"/>
        <s v="Pressboard Data Binders by Wilson Jones"/>
        <s v="Xerox 204"/>
        <s v="Xerox 220"/>
        <s v="Message Book, Wirebound, Four 5 1/2&quot; X 4&quot; Forms/Pg., 200 Dupl. Sets/Book"/>
        <s v="TOPS 4 x 6 Fluorescent Color Memo Sheets, 500 Sheets per Pack"/>
        <s v="Global Deluxe High-Back Manager's Chair"/>
        <s v="Bevis Oval Conference Table, Walnut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BOSTON Ranger #55 Pencil Sharpener, Black"/>
        <s v="Economy #2 Pencils"/>
        <s v="Xerox 1972"/>
        <s v="Avery Hi-Liter Fluorescent Desk Style Markers"/>
        <s v="GBC Wire Binding Combs"/>
        <s v="Carina Double Wide Media Storage Towers in Natural &amp; Black"/>
        <s v="Imation 30456 USB Flash Drive 8GB"/>
        <s v="Staple magnet"/>
        <s v="Premium Transparent Presentation Covers, No Pattern/Clear, 8 1/2&quot; x 11&quot;"/>
        <s v="Bush Heritage Pine Collection 5-Shelf Bookcase, Albany Pine Finish, *Special Order"/>
        <s v="Eldon Cleatmat Chair Mats for Medium Pile Carpets"/>
        <s v="Swingline SM12-08 MicroCut Jam Free Shredder"/>
        <s v="Xerox 1951"/>
        <s v="Office Star - Mesh Screen back chair with Vinyl seat"/>
        <s v="Economy Rollaway Files"/>
        <s v="Ooma Telo VoIP Home Phone System"/>
        <s v="DAX Contemporary Wood Frame with Silver Metal Mat, Desktop, 11 x 14 Size"/>
        <s v="Newell 35"/>
        <s v="Eberhard Faber 3 1/2&quot; Golf Pencils"/>
        <s v="Imation Swivel Flash Drive USB flash drive - 8 GB"/>
        <s v="BIC Brite Liner Grip Highlighters, Assorted, 5/Pack"/>
        <s v="SanDisk Ultra 32 GB MicroSDHC Class 10 Memory Card"/>
        <s v="Newell 308"/>
        <s v="Wilson Jones Leather-Like Binders with DublLock Round Rings"/>
        <s v="Griffin GC17055 Auxiliary Audio Cable"/>
        <s v="Smead Alpha-Z Color-Coded Name Labels First Letter Starter Set"/>
        <s v="AT&amp;T TR1909W"/>
        <s v="Sterilite Show Offs Storage Containers"/>
        <s v="Avery 490"/>
        <s v="O'Sullivan Living Dimensions 2-Shelf Bookcases"/>
        <s v="GBC DocuBind 200 Manual Binding Machine"/>
        <s v="Fellowes Advanced Computer Series Surge Protectors"/>
        <s v="Pressboard Data Binder, Crimson, 12&quot; X 8 1/2&quot;"/>
        <s v="Staple envelope"/>
        <s v="Enermax Briskie RF Wireless Keyboard and Mouse Combo"/>
        <s v="Avery 518"/>
        <s v="Avery Non-Stick Binders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Binder Clips by OIC"/>
        <s v="Things To Do Today Spiral Book"/>
        <s v="Alliance Super-Size Bands, Assorted Sizes"/>
        <s v="Bevis 36 x 72 Conference Tables"/>
        <s v="Logitech Wireless Headset h800"/>
        <s v="GBC Personal VeloBind Strips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Prismacolor Color Pencil Set"/>
        <s v="Belkin F9G930V10-GRY 9 Outlet Surge"/>
        <s v="Howard Miller 13&quot; Diameter Goldtone Round Wall Clock"/>
        <s v="Ativa MDM8000 8-Sheet Micro-Cut Shredder"/>
        <s v="Newell 351"/>
        <s v="Binney &amp; Smith inkTank Desk Highlighter, Chisel Tip, Yellow, 12/Box"/>
        <s v="Advantus Push Pins, Aluminum Head"/>
        <s v="Executive Impressions 13&quot; Chairman Wall Clock"/>
        <s v="GE 4 Foot Flourescent Tube, 40 Watt"/>
        <s v="ACCOHIDE Binder by Acco"/>
        <s v="Xerox 1891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very 495"/>
        <s v="Samsung Galaxy Mega 6.3"/>
        <s v="Eldon Regeneration Recycled Desk Accessories, Smoke"/>
        <s v="Holmes Odor Grabber"/>
        <s v="Wilson Jones Legal Size Ring Binders"/>
        <s v="Staple-on labels"/>
        <s v="Model L Table or Wall-Mount Pencil Sharpener"/>
        <s v="Sony Micro Vault Click 16 GB USB 2.0 Flash Drive"/>
        <s v="Strathmore #10 Envelopes, Ultimate White"/>
        <s v="LF Elite 3D Dazzle Designer Hard Case Cover, Lf Stylus Pen and Wiper For Apple Iphone 5c Mini Lite"/>
        <s v="Southworth 25% Cotton Premium Laser Paper and Envelopes"/>
        <s v="Wilson Electronics DB Pro Signal Booster"/>
        <s v="Acme Design Stainless Steel Bent Scissors"/>
        <s v="Hon Pagoda Stacking Chairs"/>
        <s v="Fellowes Super Stor/Drawer"/>
        <s v="Plantronics Audio 478 Stereo USB Headset"/>
        <s v="Iceberg Nesting Folding Chair, 19w x 6d x 43h"/>
        <s v="EcoTones Memo Sheets"/>
        <s v="Imation Clip USB flash drive - 8 GB"/>
        <s v="Xerox 1999"/>
        <s v="Sauder Inglewood Library Bookcases"/>
        <s v="VTech DS6151"/>
        <s v="netTALK DUO VoIP Telephone Service"/>
        <s v="Hon Olson Stacker Stools"/>
        <s v="KI Conference Tables"/>
        <s v="Fellowes Officeware Wire Shelving"/>
        <s v="Plantronics HL10 Handset Lifter"/>
        <s v="Logitech Wireless Performance Mouse MX for PC and Mac"/>
        <s v="I Need's 3d Hello Kitty Hybrid Silicone Case Cover for HTC One X 4g with 3d Hello Kitty Stylus Pen Green/pink"/>
        <s v="Green Canvas Binder for 8-1/2&quot; x 14&quot; Sheets"/>
        <s v="GBC Standard Therm-A-Bind Covers"/>
        <s v="Aluminum Document Frame"/>
        <s v="KI Adjustable-Height Table"/>
        <s v="Hon Deluxe Fabric Upholstered Stacking Chairs, Squared Back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Staple remover"/>
        <s v="Deluxe Chalkboard Eraser Cleaner"/>
        <s v="DIXON Oriole Pencils"/>
        <s v="Xerox 1909"/>
        <s v="Executive Impressions 13-1/2&quot; Indoor/Outdoor Wall Clock"/>
        <s v="Staples in misc. colors"/>
        <s v="Eldon Wave Desk Accessories"/>
        <s v="OIC Binder Clips"/>
        <s v="GBC DocuBind P400 Electric Binding System"/>
        <s v="Plantronics Cordless Phone Headset with In-line Volume - M214C"/>
        <s v="Wilson Jones 1&quot; Hanging DublLock Ring Binders"/>
        <s v="Avery Trapezoid Extra Heavy Duty 4&quot; Binders"/>
        <s v="KeyTronic 6101 Series - Keyboard - Black"/>
        <s v="SpineVue Locking Slant-D Ring Binders by Cardinal"/>
        <s v="Acrylic Self-Standing Desk Frames"/>
        <s v="Hon 4060 Series Tables"/>
        <s v="Plantronics 81402"/>
        <s v="Avery Hi-Liter EverBold Pen Style Fluorescent Highlighters, 4/Pack"/>
        <s v="Hunt BOSTON Vista Battery-Operated Pencil Sharpener, Black"/>
        <s v="BIC Brite Liner Highlighters, Chisel Tip"/>
        <s v="Cardinal Holdit Business Card Pockets"/>
        <s v="Vinyl Sectional Post Binders"/>
        <s v="Global Comet Stacking Armless Chair"/>
        <s v="Hon 2111 Invitation Series Corner Table"/>
        <s v="Wilson Jones Ledger-Size, Piano-Hinge Binder, 2&quot;, Blue"/>
        <s v="Avery 49"/>
        <s v="Perma STOR-ALL Hanging File Box, 13 1/8&quot;W x 12 1/4&quot;D x 10 1/2&quot;H"/>
        <s v="Avery Hidden Tab Dividers for Binding Systems"/>
        <s v="Prang Drawing Pencil Set"/>
        <s v="Xerox 1967"/>
        <s v="Tuff Stuff Recycled Round Ring Binders"/>
        <s v="Hon 5100 Series Wood Tables"/>
        <s v="GE DSL Phone Line Filter"/>
        <s v="Safco Chair Connectors, 6/Carton"/>
        <s v="Self-Adhesive Ring Binder Labels"/>
        <s v="Bevis Round Conference Table Top &amp; Single Column Base"/>
        <s v="Eldon Fold 'N Roll Cart System"/>
        <s v="Office Star - Ergonomically Designed Knee Chair"/>
        <s v="Acco Pressboard Covers with Storage Hooks, 14 7/8&quot; x 11&quot;, Dark Blue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Hot File 7-Pocket, Floor Stand"/>
        <s v="Newell 334"/>
        <s v="Global Troy Executive Leather Low-Back Tilter"/>
        <s v="Hon 30&quot; x 60&quot; Table with Locking Drawer"/>
        <s v="Newell 32"/>
        <s v="Eldon Mobile Mega Data Cart  Mega Stackable  Add-On Trays"/>
        <s v="Safco Drafting Table"/>
        <s v="Crayola Colored Pencils"/>
        <s v="NETGEAR AC1750 Dual Band Gigabit Smart WiFi Router"/>
        <s v="Newell 324"/>
        <s v="Microsoft Natural Keyboard Elite"/>
        <s v="Acme Softgrip Scissors"/>
        <s v="AT&amp;T CL2909"/>
        <s v="Imation 8gb Micro Traveldrive Usb 2.0 Flash Drive"/>
        <s v="Fellowes Personal Hanging Folder Files, Navy"/>
        <s v="High Speed Automatic Electric Letter Opener"/>
        <s v="Staple-based wall hangings"/>
        <s v="Xerox 1966"/>
        <s v="Acme Kleen Earth Office Shears"/>
        <s v="Apple iPhone 5S"/>
        <s v="Hon 2090 “Pillow Soft” Series Mid Back Swivel/Tilt Chairs"/>
        <s v="Tensor Computer Mounted Lamp"/>
        <s v="Logitech Illuminated Ultrathin Keyboard with Backlighting"/>
        <s v="Memorex Micro Travel Drive 16 GB"/>
        <s v="WD My Passport Ultra 2TB Portable External Hard Drive"/>
        <s v="SAFCO Commercial Wire Shelving, Black"/>
        <s v="Rush Hierlooms Collection 1&quot; Thick Stackable Bookcases"/>
        <s v="Wilson Jones data.warehouse D-Ring Binders with DublLock"/>
        <s v="BoxOffice By Design Rectangular and Half-Moon Meeting Room Tables"/>
        <s v="Bravo II Megaboss 12-Amp Hard Body Upright, Replacement Belts, 2 Belts per Pack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Ibico Standard Transparent Covers"/>
        <s v="Adams Phone Message Book, Professional, 400 Message Capacity, 5 3/6” x 11”"/>
        <s v="Xerox 1913"/>
        <s v="Global Value Steno Chair, Gray"/>
        <s v="Logitech Desktop MK120 Mouse and keyboard Combo"/>
        <s v="Akro Stacking Bins"/>
        <s v="Boston KS Multi-Size Manual Pencil Sharpener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Avery Hole Reinforcements"/>
        <s v="Eldon Image Series Desk Accessories, Ebony"/>
        <s v="Sanford 52201 APSCO Electric Pencil Sharpener"/>
        <s v="Vinyl Coated Wire Paper Clips in Organizer Box, 800/Box"/>
        <s v="BlackBerry Q10"/>
        <s v="Seth Thomas 14&quot; Day/Date Wall Clock"/>
        <s v="Tripp Lite TLP810NET Broadband Surge for Modem/Fax"/>
        <s v="Xerox 1925"/>
        <s v="Avery Heavy-Duty EZD  Binder With Locking Rings"/>
        <s v="GBC Durable Plastic Covers"/>
        <s v="Novimex Fabric Task Chair"/>
        <s v="Deflect-o EconoMat Studded, No Bevel Mat for Low Pile Carpeting"/>
        <s v="Satellite Sectional Post Binders"/>
        <s v="GBC Linen Binding Covers"/>
        <s v="Xerox 1976"/>
        <s v="Acme Titanium Bonded Scissors"/>
        <s v="Regeneration Desk Collection"/>
        <s v="Cisco SPA525G2 IP Phone - Wireless"/>
        <s v="Xerox 1931"/>
        <s v="Xerox 1988"/>
        <s v="SlimView Poly Binder, 3/8&quot;"/>
        <s v="Eldon 200 Class Desk Accessories, Smoke"/>
        <s v="SanDisk Cruzer 32 GB USB Flash Drive"/>
        <s v="Xerox 23"/>
        <s v="Portable Personal File Box"/>
        <s v="Polycom VVX 310 VoIP phone"/>
        <s v="Newell 341"/>
        <s v="Cisco SPA 501G IP Phone"/>
        <s v="Wilson Jones Hanging View Binder, White, 1&quot;"/>
        <s v="Xerox 1940"/>
        <s v="Xerox 1986"/>
        <s v="KeyTronic KT400U2 - Keyboard - Black"/>
        <s v="BOSTON Model 1800 Electric Pencil Sharpeners, Putty/Woodgrain"/>
        <s v="Avery 516"/>
        <s v="Acme Design Line 8&quot; Stainless Steel Bent Scissors w/Champagne Handles, 3-1/8&quot; Cut"/>
        <s v="Avery Legal 4-Ring Binder"/>
        <s v="Logitech Wireless Touch Keyboard K400"/>
        <s v="Holmes Replacement Filter for HEPA Air Cleaner, Medium Room"/>
        <s v="Pizazz Global Quick File"/>
        <s v="Ideal Clamps"/>
        <s v="Prang Colored Pencils"/>
        <s v="Hon Deluxe Fabric Upholstered Stacking Chairs, Rounded Back"/>
        <s v="Hunt PowerHouse Electric Pencil Sharpener, Blue"/>
        <s v="Acco PRESSTEX Data Binder with Storage Hooks, Light Blue, 9 1/2&quot; X 11&quot;"/>
        <s v="Peel &amp; Seel Envelopes"/>
        <s v="Deflect-o DuraMat Lighweight, Studded, Beveled Mat for Low Pile Carpeting"/>
        <s v="Eldon File Chest Portable File"/>
        <s v="OIC Thumb-Tacks"/>
        <s v="Acme Value Line Scissors"/>
        <s v="WD My Passport Ultra 500GB Portable External Hard Drive"/>
        <s v="Xerox 1942"/>
        <s v="Eldon Gobal File Keepers"/>
        <s v="Eldon ProFile File 'N Store Portable File Tub Letter/Legal Size Black"/>
        <s v="Executive Impressions 12&quot; Wall Clock"/>
        <s v="GBC Prestige Therm-A-Bind Covers"/>
        <s v="Tyvek Interoffice Envelopes, 9 1/2&quot; x 12 1/2&quot;, 100/Box"/>
        <s v="Newell 313"/>
        <s v="Boston 16701 Slimline Battery Pencil Sharpener"/>
        <s v="Riverleaf Stik-Withit Designer Note Cubes"/>
        <s v="Plantronics Single Ear Headset"/>
        <s v="Xerox 1960"/>
        <s v="Verbatim 25 GB 6x Blu-ray Single Layer Recordable Disc, 3/Pack"/>
        <s v="Decoflex Hanging Personal Folder File, Blue"/>
        <s v="Revere Boxed Rubber Bands by Revere"/>
        <s v="Hon 2111 Invitation Series Straight Table"/>
        <s v="Avery 499"/>
        <s v="Wirebound Message Book, 4 per Page"/>
        <s v="Staple holder"/>
        <s v="Ibico Plastic and Wire Spiral Binding Combs"/>
        <s v="Xerox 1900"/>
        <s v="Nortel Meridian M3904 Professional Digital phone"/>
        <s v="Canon PC1080F Personal Copier"/>
        <s v="#10 White Business Envelopes,4 1/8 x 9 1/2"/>
        <s v="Newell 34"/>
        <s v="Xerox 1971"/>
        <s v="Polycom CX300 Desktop Phone USB VoIP phone"/>
        <s v="Wirebound Four 2-3/4 x 5 Forms per Page, 400 Sets per Book"/>
        <s v="File Shuttle II and Handi-File, Black"/>
        <s v="Tennsco Commercial Shelving"/>
        <s v="Gould Plastics 9-Pocket Panel Bin, 18-3/8w x 5-1/4d x 20-1/2h, Black"/>
        <s v="Leather Task Chair, Black"/>
        <s v="Dual Level, Single-Width Filing Carts"/>
        <s v="Xerox 217"/>
        <s v="DMI Arturo Collection Mission-style Design Wood Chair"/>
        <s v="Xerox 1919"/>
        <s v="Luxo Professional Combination Clamp-On Lamps"/>
        <s v="Stockwell Push Pins"/>
        <s v="Xerox 223"/>
        <s v="Star Micronics TSP800 TSP847IIU Receipt Printer"/>
        <s v="Fellowes Mobile File Cart, Black"/>
        <s v="Longer-Life Soft White Bulbs"/>
        <s v="GBC Standard Plastic Binding Systems' Combs"/>
        <s v="Fellowes Super Stor/Drawer Files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Bevis Round Conference Room Tables and Bases"/>
        <s v="Global Deluxe Stacking Chair, Gray"/>
        <s v="Avery 512"/>
        <s v="GBC Recycled Regency Composition Covers"/>
        <s v="Avery 519"/>
        <s v="Imation USB 2.0 Swivel Flash Drive USB flash drive - 4 GB - Pink"/>
        <s v="Boston Heavy-Duty Trimline Electric Pencil Sharpeners"/>
        <s v="iOttie HLCRIO102 Car Mount"/>
        <s v="#10- 4 1/8&quot; x 9 1/2&quot; Security-Tint Envelopes"/>
        <s v="Westinghouse Clip-On Gooseneck Lamps"/>
        <s v="Dixon Ticonderoga Core-Lock Colored Pencils, 48-Color Set"/>
        <s v="DAX Cubicle Frames - 8x10"/>
        <s v="WD My Passport Ultra 1TB Portable External Hard Drive"/>
        <s v="Iris Project Case"/>
        <s v="Global Enterprise Series Seating High-Back Swivel/Tilt Chairs"/>
        <s v="Premium Writing Pencils, Soft, #2 by Central Association for the Blind"/>
        <s v="Sortfiler Multipurpose Personal File Organizer, Black"/>
        <s v="Bevis Round Bullnose 29&quot; High Table Top"/>
        <s v="Sony 16GB Class 10 Micro SDHC R40 Memory Card"/>
        <s v="Avery Non-Stick Heavy Duty View Round Locking Ring Binders"/>
        <s v="Logitech Illuminated - Keyboard"/>
        <s v="Computer Printout Index Tabs"/>
        <s v="Spiral Phone Message Books with Labels by Adams"/>
        <s v="Accohide Poly Flexible Ring Binders"/>
        <s v="Avery Durable Slant Ring Binders With Label Holder"/>
        <s v="Xerox 1917"/>
        <s v="Avery 480"/>
        <s v="Panasonic KX TS208W Corded phone"/>
        <s v="RCA Visys Integrated PBX 8-Line Router"/>
        <s v="Plastic Binding Combs"/>
        <s v="Avery Premier Heavy-Duty Binder with Round Locking Rings"/>
        <s v="GBC VeloBind Cover Sets"/>
        <s v="Tenex Chairmats For Use With Carpeted Floors"/>
        <s v="Vtech CS6719"/>
        <s v="Serrated Blade or Curved Handle Hand Letter Openers"/>
        <s v="Premier Automatic Letter Opener"/>
        <s v="Eldon Portable Mobile Manager"/>
        <s v="Letter/Legal File Tote with Clear Snap-On Lid, Black Granite"/>
        <s v="Avery Framed View Binder, EZD Ring (Locking), Navy, 1 1/2&quot;"/>
        <s v="Xerox 1952"/>
        <s v="Fellowes Twister Kit, Gray/Clear, 3/pkg"/>
        <s v="Tennsco Regal Shelving Units"/>
        <s v="Maxell LTO Ultrium - 800 GB"/>
        <s v="Newell 325"/>
        <s v="Motorola L804"/>
        <s v="ClearOne CHATAttach 160 - speaker phone"/>
        <s v="Carina Mini System Audio Rack, Model AR050B"/>
        <s v="Plantronics Voyager Pro HD - Bluetooth Headset"/>
        <s v="Avery 475"/>
        <s v="Easy-staple paper"/>
        <s v="AT&amp;T CL82213"/>
        <s v="Adjustable Depth Letter/Legal Cart"/>
        <s v="Samsung Rugby III"/>
        <s v="Prang Dustless Chalk Sticks"/>
        <s v="Polycom SoundPoint Pro SE-225 Corded phone"/>
        <s v="Bevis Round Conference Table Top, X-Base"/>
        <s v="Cardinal EasyOpen D-Ring Binders"/>
        <s v="Xerox 2000"/>
        <s v="Hewlett-Packard Deskjet D4360 Printer"/>
        <s v="Newell 343"/>
        <s v="OIC Stacking Trays"/>
        <s v="Xerox 1995"/>
        <s v="Panasonic KP-150 Electric Pencil Sharpener"/>
        <s v="Toshiba IPT2010-SD IP Telephone"/>
        <s v="SAFCO Boltless Steel Shelving"/>
        <s v="Sauder Mission Library with Doors, Fruitwood Finish"/>
        <s v="Samsung Galaxy Note 3"/>
        <s v="Recycled Desk Saver Line &quot;While You Were Out&quot; Book, 5 1/2&quot; X 4&quot;"/>
        <s v="Xerox 1912"/>
        <s v="Jabra SPEAK 410"/>
        <s v="Memorex Froggy Flash Drive 4 GB"/>
        <s v="Luxo Economy Swing Arm Lamp"/>
        <s v="Southworth 100% Résumé Paper, 24lb."/>
        <s v="Eldon Expressions Punched Metal &amp; Wood Desk Accessories, Pewter &amp; Cherry"/>
        <s v="Avery White Multi-Purpose Labels"/>
        <s v="Samsung Galaxy S III - 16GB - pebble blue (T-Mobile)"/>
        <s v="Global Airflow Leather Mesh Back Chair, Black"/>
        <s v="50 Colored Long Pencils"/>
        <s v="Mophie Juice Pack Helium for iPhone"/>
        <s v="Commercial WindTunnel Clean Air Upright Vacuum, Replacement Belts, Filtration Bags"/>
        <s v="Xerox 1979"/>
        <s v="Belkin Standard 104 key USB Keyboard"/>
        <s v="Fellowes PB500 Electric Punch Plastic Comb Binding Machine with Manual Bind"/>
        <s v="Xerox 1974"/>
        <s v="Bevis Boat-Shaped Conference Table"/>
        <s v="Eldon 100 Class Desk Accessories"/>
        <s v="Logitech P710e Mobile Speakerphone"/>
        <s v="Acme Box Cutter Scissors"/>
        <s v="Permanent Self-Adhesive File Folder Labels for Typewriters by Universal"/>
        <s v="OtterBox Commuter Series Case - Samsung Galaxy S4"/>
        <s v="Bush Andora Bookcase, Maple/Graphite Gray Finish"/>
        <s v="Space Solutions HD Industrial Steel Shelving."/>
        <s v="Case Logic 2.4GHz Wireless Keyboard"/>
        <s v="Xerox 1941"/>
        <s v="APC 7 Outlet Network SurgeArrest Surge Protector"/>
        <s v="Bevis Rectangular Conference Tables"/>
        <s v="Geographics Note Cards, Blank, White, 8 1/2&quot; x 11&quot;"/>
        <s v="Adams &quot;While You Were Out&quot; Message Pads"/>
        <s v="Howard Miller 13-1/2&quot; Diameter Rosebrook Wall Clock"/>
        <s v="Lesro Round Back Collection Coffee Table, End Table"/>
        <s v="Xerox 1888"/>
        <s v="Tops Wirebound Message Log Books"/>
        <s v="Kensington Expert Mouse Optical USB Trackball for PC or Mac"/>
        <s v="Xerox 1895"/>
        <s v="Novimex Swivel Fabric Task Chair"/>
        <s v="Pastel Pink Envelopes"/>
        <s v="Belkin F8E887 USB Wired Ergonomic Keyboard"/>
        <s v="Safco Contoured Stacking Chairs"/>
        <s v="Peel &amp; Stick Add-On Corner Pockets"/>
        <s v="Recycled Data-Pak for Archival Bound Computer Printouts, 12-1/2 x 12-1/2 x 16"/>
        <s v="Global Leather &amp; Oak Executive Chair, Burgundy"/>
        <s v="Wirebound Message Books, Four 2 3/4 x 5 White Forms per Page"/>
        <s v="Logitech Mobile Speakerphone P710e - speaker phone"/>
        <s v="Hon GuestStacker Chair"/>
        <s v="Xerox 2"/>
        <s v="Office Impressions Heavy Duty Welded Shelving &amp; Multimedia Storage Drawers"/>
        <s v="Xerox 1893"/>
        <s v="Wilson Jones Easy Flow II Sheet Lifters"/>
        <s v="Xerox 1970"/>
        <s v="Avery 489"/>
        <s v="Sauder Camden County Barrister Bookcase, Planked Cherry Finish"/>
        <s v="Acco 6 Outlet Guardian Premium Surge Suppressor"/>
        <s v="Micropad Numeric Keypads"/>
        <s v="Wilson SignalBoost 841262 DB PRO Amplifier Kit"/>
        <s v="Acme Office Executive Series Stainless Steel Trimmers"/>
        <s v="Memorex 25GB 6X Branded Blu-Ray Recordable Disc, 30/Pack"/>
        <s v="Floodlight Indoor Halogen Bulbs, 1 Bulb per Pack, 60 Watts"/>
        <s v="Hunt BOSTON Model 1606 High-Volume Electric Pencil Sharpener, Beige"/>
        <s v="Xerox 1933"/>
        <s v="Advantus Plastic Paper Clips"/>
        <s v="Fellowes 8 Outlet Superior Workstation Surge Protector"/>
        <s v="File Shuttle I and Handi-File"/>
        <s v="Chromcraft Bull-Nose Wood 48&quot; x 96&quot; Rectangular Conference Tables"/>
        <s v="Standard Rollaway File with Lock"/>
        <s v="Green Bar Computer Printout Paper"/>
        <s v="Acco PRESSTEX Data Binder with Storage Hooks, Dark Blue, 9 1/2&quot; X 11&quot;"/>
        <s v="Samsung HM1900 Bluetooth Headset"/>
        <s v="Acco Side-Punched Conventional Columnar Pads"/>
        <s v="SanDisk Ultra 16 GB MicroSDHC Class 10 Memory Card"/>
        <s v="Avery 492"/>
        <s v="Xerox 232"/>
        <s v="Adjustable Personal File Tote"/>
        <s v="Xerox 1964"/>
        <s v="DAX Natural Wood-Tone Poster Frame"/>
        <s v="Xerox 1987"/>
        <s v="Acco Perma 3000 Stacking Storage Drawers"/>
        <s v="Office Star - Contemporary Swivel Chair with Padded Adjustable Arms and Flex Back"/>
        <s v="Xerox Color Copier Paper, 11&quot; x 17&quot;, Ream"/>
        <s v="Hon Non-Folding Utility Tables"/>
        <s v="Bretford Rectangular Conference Table Tops"/>
        <s v="Bestar Classic Bookcase"/>
        <s v="Eldon Advantage Chair Mats for Low to Medium Pile Carpets"/>
        <s v="Eldon Image Series Desk Accessories, Burgundy"/>
        <s v="Woodgrain Magazine Files by Perma"/>
        <s v="White GlueTop Scratch Pads"/>
        <s v="Electrix Incandescent Magnifying Lamp, Black"/>
        <s v="Cardinal Slant-D Ring Binder, Heavy Gauge Vinyl"/>
        <s v="Stackable Trays"/>
        <s v="Executive Impressions 14&quot; Contract Wall Clock"/>
        <s v="First Data FD10 PIN Pad"/>
        <s v="GE 30524EE4"/>
        <s v="Office Star - Professional Matrix Back Chair with 2-to-1 Synchro Tilt and Mesh Fabric Seat"/>
        <s v="Advantus T-Pin Paper Clips"/>
        <s v="Wi-Ex zBoost YX540 Cellular Phone Signal Booster"/>
        <s v="Clarity 53712"/>
        <s v="Ibico Hi-Tech Manual Binding System"/>
        <s v="Newell 31"/>
        <s v="Logitech G430 Surround Sound Gaming Headset with Dolby 7.1 Technology"/>
        <s v="Computer Room Manger, 14&quot;"/>
        <s v="Logitech 910-002974 M325 Wireless Mouse for Web Scrolling"/>
        <s v="Global Low Back Tilter Chair"/>
        <s v="Xerox 1954"/>
        <s v="SAFCO Arco Folding Chair"/>
        <s v="Newell 332"/>
        <s v="Letter Size Cart"/>
        <s v="Global Value Mid-Back Manager's Chair, Gray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Eldon ClusterMat Chair Mat with Cordless Antistatic Protection"/>
        <s v="Acme Rosewood Handle Letter Opener"/>
        <s v="Xerox 1927"/>
        <s v="Advantus Rolling Storage Box"/>
        <s v="GBC DocuBind 300 Electric Binding Machine"/>
        <s v="Stacking Trays by OIC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Fellowes Bases and Tops For Staxonsteel/High-Stak Systems"/>
        <s v="Alphabetical Labels for Top Tab Filing"/>
        <s v="HTC One"/>
        <s v="Panasonic KX TS3282W Corded phone"/>
        <s v="Global Deluxe Steno Chair"/>
        <s v="Fellowes Binding Cases"/>
        <s v="It's Hot Message Books with Stickers, 2 3/4&quot; x 5&quot;"/>
        <s v="Binding Machine Supplies"/>
        <s v="Deflect-o EconoMat Nonstudded, No Bevel Mat"/>
        <s v="Avery 500"/>
        <s v="Xerox 1991"/>
        <s v="HON 5400 Series Task Chairs for Big and Tall"/>
        <s v="Bady BDG101FRU Card Printer"/>
        <s v="Hand-Finished Solid Wood Document Frame"/>
        <s v="Wilson Jones Standard D-Ring Binders"/>
        <s v="Newell 310"/>
        <s v="Xerox 1959"/>
        <s v="Acco Data Flex Cable Posts For Top &amp; Bottom Load Binders, 6&quot; Capacity"/>
        <s v="Avery Durable Binders"/>
        <s v="Xerox 22"/>
        <s v="Xerox 1881"/>
        <s v="Avery 485"/>
        <s v="Smead Alpha-Z Color-Coded Second Alphabetical Labels and Starter Set"/>
        <s v="Avery 4027 File Folder Labels for Dot Matrix Printers, 5000 Labels per Box, White"/>
        <s v="Hon 61000 Series Interactive Training Tables"/>
        <s v="Square Credit Card Reader"/>
        <s v="Hon Racetrack Conference Tables"/>
        <s v="Deflect-o Glass Clear Studded Chair Mats"/>
        <s v="Canon PC1060 Personal Laser Copier"/>
        <s v="Dixon Prang Watercolor Pencils, 10-Color Set with Brush"/>
        <s v="Safco Value Mate Series Steel Bookcases, Baked Enamel Finish on Steel, Gray"/>
        <s v="SmartStand Mobile Device Holder, Assorted Colors"/>
        <s v="Howard Miller 11-1/2&quot; Diameter Brentwood Wall Clock"/>
        <s v="Wireless Extenders zBoost YX545 SOHO Signal Booster"/>
        <s v="Deluxe Rollaway Locking File with Drawer"/>
        <s v="Canon PC940 Copier"/>
        <s v="Multicolor Computer Printout Paper"/>
        <s v="GBC Imprintable Covers"/>
        <s v="Self-Adhesive Address Labels for Typewriters by Universal"/>
        <s v="Acme Elite Stainless Steel Scissors"/>
        <s v="Wirebound Message Books, 5-1/2 x 4 Forms, 2 or 4 Forms per Page"/>
        <s v="REDIFORM Incoming/Outgoing Call Register, 11&quot; X 8 1/2&quot;, 100 Messages"/>
        <s v="Eldon Expressions Punched Metal &amp; Wood Desk Accessories, Black &amp; Cherry"/>
        <s v="Bush Advantage Collection Racetrack Conference Table"/>
        <s v="Rogers Profile Extra Capacity Storage Tub"/>
        <s v="Imation Bio 8GB USB Flash Drive Imation Corp"/>
        <s v="Xerox 1977"/>
        <s v="Acco 6 Outlet Guardian Premium Plus Surge Suppressor"/>
        <s v="Xerox 1880"/>
        <s v="Memorex Froggy Flash Drive 8 GB"/>
        <s v="G.E. Longer-Life Indoor Recessed Floodlight Bulbs"/>
        <s v="Vtech AT&amp;T CL2940 Corded Speakerphone, Black"/>
        <s v="Dixon Ticonderoga Pencils"/>
        <s v="Laminate Occasional Tables"/>
        <s v="Insertable Tab Post Binder Dividers"/>
        <s v="Canon PC-428 Personal Copier"/>
        <s v="Rogers Jumbo File, Granite"/>
        <s v="Hon 94000 Series Round Tables"/>
        <s v="Martin-Yale Premier Letter Opener"/>
        <s v="Xerox 210"/>
        <s v="Xerox 1973"/>
        <s v="Flat Face Poster Frame"/>
        <s v="Aastra 57i VoIP phone"/>
        <s v="3M Replacement Filter for Office Air Cleaner for 20' x 33' Room"/>
        <s v="Iceberg OfficeWorks 42&quot; Round Tables"/>
        <s v="Polycom CX600 IP Phone VoIP phone"/>
        <s v="Neat Ideas Personal Hanging Folder Files, Black"/>
        <s v="Acco Smartsocket Color-Coded Six-Outlet AC Adapter Model Surge Protectors"/>
        <s v="Plantronics S12 Corded Telephone Headset System"/>
        <s v="Plantronics Calisto P620-M USB Wireless Speakerphone System"/>
        <s v="Hoover Upright Vacuum With Dirt Cup"/>
        <s v="Xerox 1903"/>
        <s v="Tennsco Stur-D-Stor Boltless Shelving, 5 Shelves, 24&quot; Deep, Sand"/>
        <s v="Xerox 19"/>
        <s v="Logitech B530 USB Headset - headset - Full size, Binaural"/>
        <s v="Boston 1730 StandUp Electric Pencil Sharpener"/>
        <s v="Fellowes Black Plastic Comb Bindings"/>
        <s v="Laser &amp; Ink Jet Business Envelopes"/>
        <s v="SAFCO Optional Arm Kit for Workspace Cribbage Stacking Chair"/>
        <s v="Newell 345"/>
        <s v="RCA ViSYS 25825 Wireless digital phone"/>
        <s v="GBC Premium Transparent Covers with Diagonal Lined Pattern"/>
        <s v="Belkin 6 Outlet Metallic Surge Strip"/>
        <s v="Cush Cases Heavy Duty Rugged Cover Case for Samsung Galaxy S5 - Purple"/>
        <s v="OtterBox Defender Series Case - iPhone 5c"/>
        <s v="GBC Twin Loop Wire Binding Elements, 9/16&quot; Spine, Black"/>
        <s v="Acme 10&quot; Easy Grip Assistive Scissors"/>
        <s v="Rubbermaid ClusterMat Chairmats, Mat Size- 66&quot; x 60&quot;, Lip 20&quot; x 11&quot; -90 Degree Angle"/>
        <s v="Newell 317"/>
        <s v="Ibico Recycled Linen-Style Covers"/>
        <s v="Logitech Gaming G510s - Keyboard"/>
        <s v="Avery Binding System Hidden Tab Executive Style Index Sets"/>
        <s v="Newell 321"/>
        <s v="Global Chrome Stack Chair"/>
        <s v="Xerox 1962"/>
        <s v="Xerox 1953"/>
        <s v="Prestige Round Ring Binders"/>
        <s v="Tennsco Snap-Together Open Shelving Units, Starter Sets and Add-On Units"/>
        <s v="Avery 476"/>
        <s v="Zebra GX420t Direct Thermal/Thermal Transfer Printer"/>
        <s v="Kensington 4 Outlet MasterPiece Compact Power Control Center"/>
        <s v="Ultra Door Push Plate"/>
        <s v="DAX Metal Frame, Desktop, Stepped-Edge"/>
        <s v="Newell 311"/>
        <s v="Xerox 1894"/>
        <s v="Southworth 25% Cotton Antique Laid Paper &amp; Envelopes"/>
        <s v="Xerox 1883"/>
        <s v="Tenex Personal Project File with Scoop Front Design, Black"/>
        <s v="O'Sullivan Living Dimensions 3-Shelf Bookcases"/>
        <s v="Self-Adhesive Removable Labels"/>
        <s v="Avery 501"/>
        <s v="Binney &amp; Smith Crayola Metallic Colored Pencils, 8-Color Set"/>
        <s v="Logitech Wireless Anywhere Mouse MX for PC and Mac"/>
        <s v="Logitech Z-906 Speaker sys - home theater - 5.1-CH"/>
        <s v="3-ring staple pack"/>
        <s v="Luxo Adjustable Task Clamp Lamp"/>
        <s v="Dexim XPower Skin Super-Thin Power Case for iPhone 5 - Black"/>
        <s v="Aluminum Screw Posts"/>
        <s v="Belkin 19&quot; Vented Equipment Shelf, Black"/>
        <s v="Eldon &quot;L&quot; Workstation Diamond Chairmat"/>
        <s v="DAX Copper Panel Document Frame, 5 x 7 Size"/>
        <s v="Xerox 1922"/>
        <s v="Eldon 200 Class Desk Accessories"/>
        <s v="Xerox 231"/>
        <s v="Cameo Buff Policy Envelopes"/>
        <s v="Howard Miller 13&quot; Diameter Pewter Finish Round Wall Clock"/>
        <s v="Griffin GC36547 PowerJolt SE Lightning Charger"/>
        <s v="OIC Binder Clips, Mini, 1/4&quot; Capacity, Black"/>
        <s v="Pyle PRT45 Retro Home Telephone"/>
        <s v="Plantronics CS 50-USB - headset - Convertible, Monaural"/>
        <s v="Assorted Color Push Pins"/>
        <s v="JBL Micro Wireless Portable Bluetooth Speaker"/>
        <s v="GBC Velobind Prepunched Cover Sets, Regency Series"/>
        <s v="Electrix Halogen Magnifier Lamp"/>
        <s v="Novimex Turbo Task Chair"/>
        <s v="Large Capacity Hanging Post Binders"/>
        <s v="Xerox 1896"/>
        <s v="Xerox 1899"/>
        <s v="Hon Metal Bookcases, Black"/>
        <s v="Hon 4070 Series Pagoda Armless Upholstered Stacking Chairs"/>
        <s v="Sauder Camden County Collection Libraries, Planked Cherry Finish"/>
        <s v="Logitech G35 7.1-Channel Surround Sound Headset"/>
        <s v="Wilson Jones DublLock D-Ring Binders"/>
        <s v="Plymouth Boxed Rubber Bands by Plymouth"/>
        <s v="Xerox 228"/>
        <s v="Sauder Forest Hills Library, Woodland Oak Finish"/>
        <s v="Motorola L703CM"/>
        <s v="Airmail Envelopes"/>
        <s v="Acco Pressboard Covers with Storage Hooks, 9 1/2&quot; x 11&quot;, Executive Red"/>
        <s v="Office Star - Contemporary Task Swivel Chair"/>
        <s v="Presstex Flexible Ring Binders"/>
        <s v="Ibico Presentation Index for Binding Systems"/>
        <s v="Okidata C331dn Printer"/>
        <s v="ACCOHIDE 3-Ring Binder, Blue, 1&quot;"/>
        <s v="Cardinal Hold-It CD Pocket"/>
        <s v="Global Ergonomic Managers Chair"/>
        <s v="Ultra Door Pull Handle"/>
        <s v="Mobile Personal File Cube"/>
        <s v="Newell 346"/>
        <s v="Samsung Galaxy S4 Mini"/>
        <s v="Avery 488"/>
        <s v="Xerox 21"/>
        <s v="Newell 336"/>
        <s v="Xerox 191"/>
        <s v="Sauder Camden County Collection Library"/>
        <s v="Fiskars Softgrip Scissors"/>
        <s v="Avery 511"/>
        <s v="Avery Heavy-Duty EZD View Binder with Locking Rings"/>
        <s v="O'Sullivan 2-Door Barrister Bookcase in Odessa Pine"/>
        <s v="invisibleSHIELD by ZAGG Smudge-Free Screen Protector"/>
        <s v="Xerox 226"/>
        <s v="Atlantic Metals Mobile 3-Shelf Bookcases, Custom Colors"/>
        <s v="Memorex Micro Travel Drive 32 GB"/>
        <s v="Lexmark S315 Color Inkjet Printer"/>
        <s v="Storex Dura Pro Binders"/>
        <s v="Hewlett Packard LaserJet 3310 Copier"/>
        <s v="Sterilite Officeware Hinged File Box"/>
        <s v="TRENDnet 56K USB 2.0 Phone, Internet and Fax Modem"/>
        <s v="Avery Durable Slant Ring Binders, No Labels"/>
        <s v="GE 48&quot; Fluorescent Tube, Cool White Energy Saver, 34 Watts, 30/Box"/>
        <s v="Acco Flexible ACCOHIDE Square Ring Data Binder, Dark Blue, 11 1/2&quot; X 14&quot; 7/8&quot;"/>
        <s v="DXL Angle-View Binders with Locking Rings, Black"/>
        <s v="Acco Hanging Data Binders"/>
        <s v="Howard Miller 16&quot; Diameter Gallery Wall Clock"/>
        <s v="Memorex Mini Travel Drive 8 GB USB 2.0 Flash Drive"/>
        <s v="Safco Industrial Wire Shelving"/>
        <s v="Xerox 1928"/>
        <s v="Eldon Shelf Savers Cubes and Bins"/>
        <s v="Belkin 19&quot; Center-Weighted Shelf, Gray"/>
        <s v="Seth Thomas 13 1/2&quot; Wall Clock"/>
        <s v="Boston 19500 Mighty Mite Electric Pencil Sharpener"/>
        <s v="Avery 474"/>
        <s v="Deflect-O Glasstique Clear Desk Accessories"/>
        <s v="Eldon Econocleat Chair Mats for Low Pile Carpets"/>
        <s v="Xerox 1915"/>
        <s v="Xerox 216"/>
        <s v="Personal Creations Ink Jet Cards and Labels"/>
        <s v="Rediform S.O.S. Phone Message Books"/>
        <s v="Quartet Omega Colored Chalk, 12/Pack"/>
        <s v="Elite 5&quot; Scissors"/>
        <s v="Advantus Panel Wall Certificate Holder - 8.5x11"/>
        <s v="Wirebound Message Books, Four 2 3/4&quot; x 5&quot; Forms per Page, 600 Sets per Book"/>
        <s v="Stur-D-Stor Shelving, Vertical 5-Shelf: 72&quot;H x 36&quot;W x 18 1/2&quot;D"/>
        <s v="Newell 323"/>
        <s v="Seth Thomas 8 1/2&quot; Cubicle Clock"/>
        <s v="Wilson Jones Impact Binders"/>
        <s v="Hon Every-Day Series Multi-Task Chairs"/>
        <s v="Advantus Map Pennant Flags and Round Head Tacks"/>
        <s v="Kensington 6 Outlet Guardian Standard Surge Protector"/>
        <s v="DAX Value U-Channel Document Frames, Easel Back"/>
        <s v="HP Standard 104 key PS/2 Keyboard"/>
        <s v="Bretford CR4500 Series Slim Rectangular Table"/>
        <s v="#10- 4 1/8&quot; x 9 1/2&quot; Recycled Envelopes"/>
        <s v="Global Super Steno Chair"/>
        <s v="Permanent Self-Adhesive File Folder Labels for Typewriters, 1 1/8 x 3 1/2, White"/>
        <s v="Logitech G602 Wireless Gaming Mouse"/>
        <s v="Microsoft Arc Touch Mouse"/>
        <s v="Petty Cash Envelope"/>
        <s v="GBC VeloBinder Electric Binding Machine"/>
        <s v="Lock-Up Easel 'Spel-Binder'"/>
        <s v="2300 Heavy-Duty Transfer File Systems by Perma"/>
        <s v="Personal Filing Tote with Lid, Black/Gray"/>
        <s v="Xerox 1916"/>
        <s v="Holmes HEPA Air Purifier"/>
        <s v="Acco Smartsocket Table Surge Protector, 6 Color-Coded Adapter Outlets"/>
        <s v="GBC Recycled VeloBinder Covers"/>
        <s v="Acme Galleria Hot Forged Steel Scissors with Colored Handles"/>
        <s v="Motorola HK250 Universal Bluetooth Headset"/>
        <s v="Trav-L-File Heavy-Duty Shuttle II, Black"/>
        <s v="Pressboard Hanging Data Binders for Unburst Sheets"/>
        <s v="GBC Poly Designer Binding Covers"/>
        <s v="HTC One Mini"/>
        <s v="9-3/4 Diameter Round Wall Clock"/>
        <s v="Bush Cubix Collection Bookcases, Fully Assembled"/>
        <s v="Global Highback Leather Tilter in Burgundy"/>
        <s v="Deflect-o SuperTray Unbreakable Stackable Tray, Letter, Black"/>
        <s v="Avery 503"/>
        <s v="Eldon Base for stackable storage shelf, platinum"/>
        <s v="Sanyo Counter Height Refrigerator with Crisper, 3.6 Cubic Foot, Stainless Steel/Black"/>
        <s v="NETGEAR N750 Dual Band Wi-Fi Gigabit Router"/>
        <s v="Nu-Dell Oak Frame"/>
        <s v="SAFCO PlanMaster Boards, 60w x 37-1/2d, White Melamine"/>
        <s v="Maxell DVD-RAM Discs"/>
        <s v="Xerox 196"/>
        <s v="Redi-Strip #10 Envelopes, 4 1/8 x 9 1/2"/>
        <s v="Novimex High-Tech Fabric Mesh Task Chair"/>
        <s v="Balt Solid Wood Rectangular Table"/>
        <s v="Newell 319"/>
        <s v="Avery 507"/>
        <s v="Panasonic KX-TG6844B Expandable Digital Cordless Telephone"/>
        <s v="Plantronics MX500i Earset"/>
        <s v="Xerox 1914"/>
        <s v="Avery Self-Adhesive Photo Pockets for Polaroid Photos"/>
        <s v="Xerox 1898"/>
        <s v="Sharp 1540cs Digital Laser Copier"/>
        <s v="OtterBox Commuter Series Case - iPhone 5 &amp; 5s"/>
        <s v="Eldon Regeneration Recycled Desk Accessories, Black"/>
        <s v="Poly String Tie Envelopes"/>
        <s v="Acco Four Pocket Poly Ring Binder with Label Holder, Smoke, 1&quot;"/>
        <s v="GBC DocuBind P100 Manual Binding Machine"/>
        <s v="OIC Bulk Pack Metal Binder Clips"/>
        <s v="Global Fabric Manager's Chair, Dark Gray"/>
        <s v="Acme Tagit Stainless Steel Antibacterial Scissors"/>
        <s v="Polycom SoundStation2 EX Conference phone"/>
        <s v="DMI Eclipse Executive Suite Bookcases"/>
        <s v="Lumber Crayons"/>
        <s v="Logitech K350 2.4Ghz Wireless Keyboard"/>
        <s v="Contemporary Wood/Metal Frame"/>
        <s v="Cisco IP Phone 7961G-GE VoIP phone"/>
        <s v="Logitech Trackman Marble Mouse"/>
        <s v="Coloredge Poster Frame"/>
        <s v="Hanging Personal Folder File"/>
        <s v="UniKeep View Case Binders"/>
        <s v="Logitech G19 Programmable Gaming Keyboard"/>
        <s v="Alliance Rubber Bands"/>
        <s v="Deluxe Heavy-Duty Vinyl Round Ring Binder"/>
        <s v="Microsoft Sculpt Comfort Mouse"/>
        <s v="Eldon Stackable Tray, Side-Load, Legal, Smoke"/>
        <s v="Universal Recycled Hanging Pressboard Report Binders, Letter Size"/>
        <s v="Advantus Push Pins"/>
        <s v="Imation Secure Drive + Hardware Encrypted USB flash drive - 16 GB"/>
        <s v="Jabra BIZ 2300 Duo QD Duo Corded Headset"/>
        <s v="Avery 51"/>
        <s v="Carina Media Storage Towers in Natural &amp; Black"/>
        <s v="Fellowes Recycled Storage Drawers"/>
        <s v="Xerox 203"/>
        <s v="Tenex V2T-RE Standard Weight Series Chair Mat, 45&quot; x 53&quot;, Lip 25&quot; x 12&quot;"/>
        <s v="Hoover Commercial Soft Guard Upright Vacuum And Disposable Filtration Bags"/>
        <s v="Newell 333"/>
        <s v="Gear Head AU3700S Headset"/>
        <s v="Cardinal Poly Pocket Divider Pockets for Ring Binders"/>
        <s v="Eldon Expressions Wood Desk Accessories, Oak"/>
        <s v="AmazonBasics 3-Button USB Wired Mouse"/>
        <s v="Sauder Barrister Bookcases"/>
        <s v="Wilson Jones 14 Line Acrylic Coated Pressboard Data Binders"/>
        <s v="Performers Binder/Pad Holder, Black"/>
        <s v="Dana Swing-Arm Lamps"/>
        <s v="Hon Metal Bookcases, Putty"/>
        <s v="Square Ring Data Binders, Rigid 75 Pt. Covers, 11&quot; x 14-7/8&quot;"/>
        <s v="Fellowes Command Center 5-outlet power strip"/>
        <s v="Avery 506"/>
        <s v="Xerox 1887"/>
        <s v="Personal Folder Holder, Ebony"/>
        <s v="Acco PRESSTEX Data Binder with Storage Hooks, Dark Blue, 14 7/8&quot; X 11&quot;"/>
        <s v="Xerox 1943"/>
        <s v="Avery Reinforcements for Hole-Punch Pages"/>
        <s v="Fellowes Bankers Box Staxonsteel Drawer File/Stacking System"/>
        <s v="Situations Contoured Folding Chairs, 4/Set"/>
        <s v="Sony 64GB Class 10 Micro SDHC R40 Memory Card"/>
        <s v="Snap-A-Way Black Print Carbonless Ruled Speed Letter, Triplicate"/>
        <s v="BIC Brite Liner Highlighters"/>
        <s v="Holmes Visible Mist Ultrasonic Humidifier with 2.3-Gallon Output per Day, Replacement Filter"/>
        <s v="Boston Electric Pencil Sharpener, Model 1818, Charcoal Black"/>
        <s v="Xerox 1997"/>
        <s v="Wilson Jones Heavy-Duty Casebound Ring Binders with Metal Hinges"/>
        <s v="Xerox 219"/>
        <s v="Bush Advantage Collection Round Conference Table"/>
        <s v="Tennsco Industrial Shelving"/>
        <s v="Tyvek Side-Opening Peel &amp; Seel Expanding Envelopes"/>
        <s v="Jensen SMPS-640 - speaker phone"/>
        <s v="Memorex Micro Travel Drive 8 GB"/>
        <s v="Stanley Contemporary Battery Pencil Sharpeners"/>
        <s v="Message Book, Phone, Wirebound Standard Line Memo, 2 3/4&quot; X 5&quot;"/>
        <s v="Xerox 20"/>
        <s v="Avery 483"/>
        <s v="Alliance Big Bands Rubber Bands, 12/Pack"/>
        <s v="Avery 509"/>
        <s v="12-1/2 Diameter Round Wall Clock"/>
        <s v="Xerox 218"/>
        <s v="Southworth Parchment Paper &amp; Envelopes"/>
        <s v="Avery File Folder Labels"/>
        <s v="Bush Westfield Collection Bookcases, Dark Cherry Finish"/>
        <s v="Newell 326"/>
        <s v="Logitech Keyboard K120"/>
        <s v="Master Caster Door Stop, Large Neon Orange"/>
        <s v="DAX Wood Document Frame"/>
        <s v="Xerox 1932"/>
        <s v="Avery Personal Creations Heavyweight Cards"/>
        <s v="Lifetime Advantage Folding Chairs, 4/Carton"/>
        <s v="Recycled Premium Regency Composition Covers"/>
        <s v="Black Print Carbonless Snap-Off Rapid Letter, 8 1/2&quot; x 7&quot;"/>
        <s v="Xerox 1930"/>
        <s v="Logitech Wireless Marathon Mouse M705"/>
        <s v="Xerox 213"/>
        <s v="Fellowes 8 Outlet Superior Workstation Surge Protector w/o Phone/Fax/Modem Protection"/>
        <s v="Avery 513"/>
        <s v="Plantronics Voyager Pro Legend"/>
        <s v="Angle-D Binders with Locking Rings, Label Holders"/>
        <s v="Master Caster Door Stop, Gray"/>
        <s v="Micro Innovations USB RF Wireless Keyboard with Mouse"/>
        <s v="Ibico Recycled Grain-Textured Covers"/>
        <s v="GBC Laser Imprintable Binding System Covers, Desert Sand"/>
        <s v="Bush Andora Conference Table, Maple/Graphite Gray Finish"/>
        <s v="3M Office Air Cleaner"/>
        <s v="Logitech G700s Rechargeable Gaming Mouse"/>
        <s v="Acco D-Ring Binder w/DublLock"/>
        <s v="Xerox 190"/>
        <s v="Sanford Colorific Eraseable Coloring Pencils, 12 Count"/>
        <s v="Avery Arch Ring Binders"/>
        <s v="Newell 320"/>
        <s v="ShoreTel ShorePhone IP 230 VoIP phone"/>
        <s v="Plantronics Savi W720 Multi-Device Wireless Headset System"/>
        <s v="#6 3/4 Gummed Flap White Envelopes"/>
        <s v="Nu-Dell Float Frame 11 x 14 1/2"/>
        <s v="Enermax Acrylux Wireless Keyboard"/>
        <s v="Atlantic Metals Mobile 4-Shelf Bookcases, Custom Colors"/>
        <s v="Dixon My First Ticonderoga Pencil, #2"/>
        <s v="Computer Printout Paper with Letter-Trim Perforations"/>
        <s v="ClearSounds CSC500 Amplified Spirit Phone Corded phone"/>
        <s v="Magna Visual Magnetic Picture Hangers"/>
        <s v="Brother DCP1000 Digital 3 in 1 Multifunction Machine"/>
        <s v="Important Message Pads, 50 4-1/4 x 5-1/2 Forms per Pad"/>
        <s v="Xerox 1949"/>
        <s v="Avery 497"/>
        <s v="Maxell 4.7GB DVD-R 5/Pack"/>
        <s v="Geemarc AmpliPOWER60"/>
        <s v="Xerox 1929"/>
        <s v="Cisco SPA 502G IP Phone"/>
        <s v="Panasonic KP-350BK Electric Pencil Sharpener with Auto Stop"/>
        <s v="Logitech G500s Laser Gaming Mouse with Adjustable Weight Tuning"/>
        <s v="24-Hour Round Wall Clock"/>
        <s v="Logitech Media Keyboard K200"/>
        <s v="Wilson Jones Active Use Binders"/>
        <s v="Imation 8GB Mini TravelDrive USB 2.0 Flash Drive"/>
        <s v="Contract Clock, 14&quot;, Brown"/>
        <s v="DAX Cubicle Frames, 8-1/2 x 11"/>
        <s v="Heavy-Duty E-Z-D Binders"/>
        <s v="GBC Wire Binding Strips"/>
        <s v="Global Deluxe High-Back Office Chair in Storm"/>
        <s v="O'Sullivan 2-Shelf Heavy-Duty Bookcases"/>
        <s v="AT&amp;T 1080 Phone"/>
        <s v="Safco Commercial Shelving"/>
        <s v="Avery 508"/>
        <s v="Chromcraft Round Conference Tables"/>
        <s v="Anker Astro 15000mAh USB Portable Charger"/>
        <s v="Maxell 4.7GB DVD+RW 3/Pack"/>
        <s v="Tops Green Bar Computer Printout Paper"/>
        <s v="Wilson Jones Clip &amp; Carry Folder Binder Tool for Ring Binders, Clear"/>
        <s v="Acco Clips to Go Binder Clips, 24 Clips in Two Sizes"/>
        <s v="RCA ViSYS 25423RE1 Corded phone"/>
        <s v="Berol Giant Pencil Sharpener"/>
        <s v="Rediform Voice Mail Log Books"/>
        <s v="Apple iPhone 5"/>
        <s v="Okidata MB760 Printer"/>
        <s v="Mini 13-1/2 Capacity Data Binder Rack, Pearl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Westinghouse Mesh Shade Clip-On Gooseneck Lamp, Black"/>
        <s v="Global High-Back Leather Tilter, Burgundy"/>
        <s v="Avery Round Ring Poly Binders"/>
        <s v="Global Comet Stacking Arm Chair"/>
        <s v="i.Sound Portable Power - 8000 mAh"/>
        <s v="Atlantic Metals Mobile 2-Shelf Bookcases, Custom Colors"/>
        <s v="Logitech ClearChat Comfort/USB Headset H390"/>
        <s v="Global Stack Chair with Arms, Black"/>
        <s v="Rogers Deluxe File Chest"/>
        <s v="Xerox 1983"/>
        <s v="Belkin F9H710-06 7 Outlet SurgeMaster Surge Protector"/>
        <s v="Hewlett Packard 610 Color Digital Copier / Printer"/>
        <s v="Xerox 1923"/>
        <s v="Fellowes Neat Ideas Storage Cubes"/>
        <s v="C-Line Magnetic Cubicle Keepers, Clear Polypropylene"/>
        <s v="Acco Pressboard Covers with Storage Hooks, 14 7/8&quot; x 11&quot;, Light Blue"/>
        <s v="Bush Somerset Collection Bookcase"/>
        <s v="Xerox 227"/>
        <s v="Fellowes Staxonsteel Drawer Files"/>
        <s v="GBC Prepunched Paper, 19-Hole, for Binding Systems, 24-lb"/>
        <s v="Hon Comfortask Task/Swivel Chairs"/>
        <s v="JM Magazine Binder"/>
        <s v="Xerox 206"/>
        <s v="Xerox 1911"/>
        <s v="Bush Westfield Collection Bookcases, Fully Assembled"/>
        <s v="PowerGen Dual USB Car Charger"/>
        <s v="Newell 307"/>
        <s v="Panasonic KP-4ABK Battery-Operated Pencil Sharpener"/>
        <s v="Adams Telephone Message Book W/Dividers/Space For Phone Numbers, 5 1/4&quot;X8 1/2&quot;, 200/Messages"/>
        <s v="Avery Binder Labels"/>
        <s v="Round Ring Binders"/>
        <s v="Poly Designer Cover &amp; Back"/>
        <s v="Premier Electric Letter Opener"/>
        <s v="Fellowes Premier Superior Surge Suppressor, 10-Outlet, With Phone and Remote"/>
        <s v="Recycled Interoffice Envelopes with String and Button Closure, 10 x 13"/>
        <s v="Global Stack Chair without Arms, Black"/>
        <s v="Cisco Small Business SPA 502G VoIP phone"/>
        <s v="Global Adaptabilities Conference Tables"/>
        <s v="Avery Poly Binder Pockets"/>
        <s v="Executive Impressions 8-1/2&quot; Career Panel/Partition Cubicle Clock"/>
        <s v="Xerox 1920"/>
        <s v="Sony Micro Vault Click 8 GB USB 2.0 Flash Drive"/>
        <s v="TOPS Money Receipt Book, Consecutively Numbered in Red,"/>
        <s v="Manila Recycled Extra-Heavyweight Clasp Envelopes, 6&quot; x 9&quot;"/>
        <s v="Memorex Mini Travel Drive 32 GB USB 2.0 Flash Drive"/>
        <s v="Imation 16GB Mini TravelDrive USB 2.0 Flash Drive"/>
        <s v="Tenex Carpeted, Granite-Look or Clear Contemporary Contour Shape Chair Mats"/>
        <s v="Avery 481"/>
        <s v="Home/Office Personal File Carts"/>
        <s v="Universal Premium White Copier/Laser Paper (20Lb. and 87 Bright)"/>
        <s v="Luxo Professional Fluorescent Magnifier Lamp with Clamp-Mount Base"/>
        <s v="Wilson Jones Turn Tabs Binder Tool for Ring Binders"/>
        <s v="Panasonic KX MB2061 Multifunction Printer"/>
        <s v="Nortel Business Series Terminal T7208 Digital phone"/>
        <s v="Xerox 1946"/>
        <s v="Cisco SPA508G"/>
        <s v="Fellowes Powershred HS-440 4-Sheet High Security Shredder"/>
        <s v="Kensington 7 Outlet MasterPiece HOMEOFFICE Power Control Center"/>
        <s v="Storex Flexible Poly Binders with Double Pockets"/>
        <s v="White Dual Perf Computer Printout Paper, 2700 Sheets, 1 Part, Heavyweight, 20 lbs., 14 7/8 x 11"/>
        <s v="36X48 HARDFLOOR CHAIRMAT"/>
        <s v="Acco Translucent Poly Ring Binders"/>
        <s v="Xerox Blank Computer Paper"/>
        <s v="Rosewill 107 Normal Keys USB Wired Standard Keyboard"/>
        <s v="While You Were Out Pads, 50 per Pad, 4 x 5 1/4, Green Cycle"/>
        <s v="Avaya 4621SW VoIP phone"/>
        <s v="Avery 473"/>
        <s v="Bretford “Just In Time” Height-Adjustable Multi-Task Work Tables"/>
        <s v="Avery 486"/>
        <s v="IBM Multi-Purpose Copy Paper, 8 1/2 x 11&quot;, Case"/>
        <s v="GE General Purpose, Extra Long Life, Showcase &amp; Floodlight Incandescent Bulbs"/>
        <s v="Bush Cubix Conference Tables, Fully Assembled"/>
        <s v="Avery 496"/>
        <s v="Global Manager's Adjustable Task Chair, Storm"/>
        <s v="Xerox 202"/>
        <s v="GBC Plastic Binding Combs"/>
        <s v="Fellowes Bankers Box Recycled Super Stor/Drawer"/>
        <s v="Hon Valutask Swivel Chairs"/>
        <s v="Xerox 1884"/>
        <s v="Macally Suction Cup Mount"/>
        <s v="Ampad Phone Message Book, Recycled, 400 Message Capacity, 5 ¾” x 11”"/>
        <s v="Hewlett Packard 310 Color Digital Copier"/>
        <s v="Zipper Ring Binder Pockets"/>
        <s v="Hon Deluxe Fabric Upholstered Stacking Chairs"/>
        <s v="Xerox 200"/>
        <s v="Brites Rubber Bands, 1 1/2 oz. Box"/>
        <s v="Master Caster Door Stop, Brown"/>
        <s v="Inter-Office Recycled Envelopes, Brown Kraft, Button-String,10&quot; x 13&quot; , 100/Box"/>
        <s v="Atlantic Metals Mobile 5-Shelf Bookcases, Custom Colors"/>
        <s v="OtterBox Defender Series Case - Samsung Galaxy S4"/>
        <s v="Howard Miller 11-1/2&quot; Diameter Grantwood Wall Clock"/>
        <s v="Global Leather Task Chair, Black"/>
        <s v="GBC Twin Loop Wire Binding Elements"/>
        <s v="LG Electronics Tone+ HBS-730 Bluetooth Headset"/>
        <s v="Panasonic Kx-TS550"/>
        <s v="Holmes 99% HEPA Air Purifier"/>
        <s v="Fiskars Home &amp; Office Scissors"/>
        <s v="Eldon Image Series Black Desk Accessories"/>
        <s v="First Data TMFD35 PIN Pad"/>
        <s v="Eldon 300 Class Desk Accessories, Black"/>
        <s v="Round Specialty Laser Printer Labels"/>
        <s v="Cyber Acoustics AC-202b Speech Recognition Stereo Headset"/>
        <s v="Hon 4700 Series Mobuis Mid-Back Task Chairs with Adjustable Arms"/>
        <s v="Sauder Facets Collection Locker/File Cabinet, Sky Alder Finish"/>
        <s v="Fellowes Strictly Business Drawer File, Letter/Legal Size"/>
        <s v="iHome FM Clock Radio with Lightning Dock"/>
        <s v="Ames Color-File Green Diamond Border X-ray Mailers"/>
        <s v="Fiskars 8&quot; Scissors, 2/Pack"/>
        <s v="Howard Miller 14-1/2&quot; Diameter Chrome Round Wall Clock"/>
        <s v="Hoover Shoulder Vac Commercial Portable Vacuum"/>
        <s v="Barricks Non-Folding Utility Table with Steel Legs, Laminate Tops"/>
        <s v="XtraLife ClearVue Slant-D Ring Binders by Cardinal"/>
        <s v="Pressboard Covers with Storage Hooks, 9 1/2&quot; x 11&quot;, Light Blue"/>
        <s v="Chromcraft 48&quot; x 96&quot; Racetrack Double Pedestal Table"/>
        <s v="Array Memo Cubes"/>
        <s v="Texas Instruments TI-34 Scientific Calculator"/>
        <s v="Premium Transparent Presentation Covers by GBC"/>
        <s v="Nokia Lumia 521 (T-Mobile)"/>
        <s v="Luxo Professional Magnifying Clamp-On Fluorescent Lamps"/>
        <s v="AT&amp;T 841000 Phone"/>
        <s v="Rediform S.O.S. 1-Up Phone Message Bk, 4-1/4x3-1/16 Bk, 1 Form/Pg, 40 Messages/Bk, 3/Pk"/>
        <s v="Convenience Packs of Business Envelopes"/>
        <s v="Barricks 18&quot; x 48&quot; Non-Folding Utility Table with Bottom Storage Shelf"/>
        <s v="Avery Durable Slant Ring Binders"/>
        <s v="Anker Astro Mini 3000mAh Ultra-Compact Portable Charger"/>
        <s v="Bretford CR8500 Series Meeting Room Furniture"/>
        <s v="Xerox 1978"/>
        <s v="Office Star Flex Back Scooter Chair with White Frame"/>
        <s v="Acco Six-Outlet Power Strip, 4' Cord Length"/>
        <s v="Advantus SlideClip Paper Clips"/>
        <s v="AT&amp;T 17929 Lendline Telephone"/>
        <s v="White Business Envelopes with Contemporary Seam, Recycled White Business Envelopes"/>
        <s v="Globe Weis Peel &amp; Seel First Class Envelopes"/>
        <s v="Tenex File Box, Personal Filing Tote with Lid, Black"/>
        <s v="Blackstonian Pencils"/>
        <s v="6&quot; Cubicle Wall Clock, Black"/>
        <s v="14-7/8 x 11 Blue Bar Computer Printout Paper"/>
        <s v="Ampad Gold Fibre Wirebound Steno Books, 6&quot; x 9&quot;, Gregg Ruled"/>
        <s v="VariCap6 Expandable Binder"/>
        <s v="Avery 487"/>
        <s v="Xerox 1945"/>
        <s v="Ibico EB-19 Dual Function Manual Binding System"/>
        <s v="Crayola Anti Dust Chalk, 12/Pack"/>
        <s v="Eldon Expressions Desk Accessory, Wood Photo Frame, Mahogany"/>
        <s v="GBC Instant Report Kit"/>
        <s v="Lunatik TT5L-002 Taktik Strike Impact Protection System for iPhone 5"/>
        <s v="TOPS &quot;Important Message&quot; Pads, Canary, 4-1/4 x 5-1/2, 50 Sheets per Pad"/>
        <s v="SANFORD Major Accent Highlighters"/>
        <s v="Sauder Forest Hills Library with Doors, Woodland Oak Finish"/>
        <s v="Eureka Sanitaire  Multi-Pro Heavy-Duty Upright, Disposable Bags"/>
        <s v="Turquoise Lead Holder with Pocket Clip"/>
        <s v="Harbour Creations 67200 Series Stacking Chairs"/>
        <s v="Kleencut Forged Office Shears by Acme United Corporation"/>
        <s v="Strathmore Photo Frame Cards"/>
        <s v="Fellowes PB200 Plastic Comb Binding Machine"/>
        <s v="Xerox 1944"/>
        <s v="Ibico Plastic Spiral Binding Combs"/>
        <s v="O'Sullivan 5-Shelf Heavy-Duty Bookcases"/>
        <s v="Tennsco Lockers, Gray"/>
        <s v="Nu-Dell Executive Frame"/>
        <s v="Electrix 20W Halogen Replacement Bulb for Zoom-In Desk Lamp"/>
        <s v="Sensible Storage WireTech Storage Systems"/>
        <s v="Ampad Evidence Wirebond Steno Books, 6&quot; x 9&quot;"/>
        <s v="Belkin 7 Outlet SurgeMaster II"/>
        <s v="Xerox 1905"/>
        <s v="Samsung Galaxy S4"/>
        <s v="Premier Elliptical Ring Binder, Black"/>
        <s v="Zebra GK420t Direct Thermal/Thermal Transfer Printer"/>
        <s v="Recycled Easel Ring Binders"/>
        <s v="Memorex 25GB 6X Branded Blu-Ray Recordable Disc, 15/Pack"/>
        <s v="Astroparche Fine Business Paper"/>
        <s v="Tenex 46&quot; x 60&quot; Computer Anti-Static Chairmat, Rectangular Shaped"/>
        <s v="Bush Westfield Collection Bookcases, Dark Cherry Finish, Fully Assembled"/>
        <s v="Sanford Colorific Colored Pencils, 12/Box"/>
        <s v="Xerox 1982"/>
        <s v="Avery Durable Plastic 1&quot; Binders"/>
        <s v="Safco Value Mate Steel Bookcase, Baked Enamel Finish on Steel, Black"/>
        <s v="Hon Every-Day Chair Series Swivel Task Chairs"/>
        <s v="Rediform Wirebound &quot;Phone Memo&quot; Message Book, 11 x 5-3/4"/>
        <s v="Xerox 193"/>
        <s v="Ibico EPK-21 Electric Binding System"/>
        <s v="Office Star Flex Back Scooter Chair with Aluminum Finish Frame"/>
        <s v="Eldon Expressions Wood and Plastic Desk Accessories, Oak"/>
        <s v="Linden 12&quot; Wall Clock With Oak Frame"/>
        <s v="Logitech VX Revolution Cordless Laser Mouse for Notebooks (Black)"/>
        <s v="Razer Tiamat Over Ear 7.1 Surround Sound PC Gaming Headset"/>
        <s v="Adtran 1202752G1"/>
        <s v="Southworth Structures Collection"/>
        <s v="XtraLife ClearVue Slant-D Ring Binder, White, 3&quot;"/>
        <s v="Kensington K72356US Mouse-in-a-Box USB Desktop Mouse"/>
        <s v="Avery 50"/>
        <s v="Honeywell Enviracaire Portable HEPA Air Cleaner for 16' x 20' Room"/>
        <s v="Xerox 1892"/>
        <s v="Okidata B401 Printer"/>
        <s v="Tenex &quot;The Solids&quot; Textured Chair Mats"/>
        <s v="Advantus Panel Wall Acrylic Frame"/>
        <s v="Office Star - Contemporary Task Swivel chair with Loop Arms, Charcoal"/>
        <s v="Dot Matrix Printer Tape Reel Labels, White, 5000/Box"/>
        <s v="Acco Economy Flexible Poly Round Ring Binder"/>
        <s v="Xerox 229"/>
        <s v="Okidata B400 Printer"/>
        <s v="Cardinal Holdit Data Disk Pockets"/>
        <s v="Cherry 142-key Programmable Keyboard"/>
        <s v="KeyTronic E03601U1 - Keyboard - Beige"/>
        <s v="Global Task Chair, Black"/>
        <s v="Eldon Cleatmat Plus Chair Mats for High Pile Carpets"/>
        <s v="Wilson Jones International Size A4 Ring Binders"/>
        <s v="Acme Preferred Stainless Steel Scissors"/>
        <s v="GBC VeloBinder Manual Binding System"/>
        <s v="Logitech Wireless Gaming Headset G930"/>
        <s v="Xerox 1996"/>
        <s v="Embossed Ink Jet Note Cards"/>
        <s v="Belkin F9S820V06 8 Outlet Surge"/>
        <s v="Howard Miller 11-1/2&quot; Diameter Ridgewood Wall Clock"/>
        <s v="Newell 338"/>
        <s v="Acco Perma 2700 Stacking Storage Drawers"/>
        <s v="Magnifier Swing Arm Lamp"/>
        <s v="Boston 16801 Nautilus Battery Pencil Sharpener"/>
        <s v="DAX Solid Wood Frames"/>
        <s v="Avery 52"/>
        <s v="Polycom SoundPoint IP 450 VoIP phone"/>
        <s v="Grandstream GXP2100 Mainstream Business Phone"/>
        <s v="Sony Micro Vault Click 4 GB USB 2.0 Flash Drive"/>
        <s v="Xerox 222"/>
        <s v="iKross Bluetooth Portable Keyboard + Cell Phone Stand Holder + Brush for Apple iPhone 5S 5C 5, 4S 4"/>
        <s v="Plantronics CS510 - Over-the-Head monaural Wireless Headset System"/>
        <s v="Global Leather Executive Chair"/>
        <s v="Howard Miller Distant Time Traveler Alarm Clock"/>
        <s v="Padded Folding Chairs, Black, 4/Carton"/>
        <s v="Newell 3-Hole Punched Plastic Slotted Magazine Holders for Binders"/>
        <s v="Motorola Moto X"/>
        <s v="Xerox 1886"/>
        <s v="Xerox 192"/>
        <s v="HP Office Recycled Paper (20Lb. and 87 Bright)"/>
        <s v="X-Rack File for Hanging Folders"/>
        <s v="Holmes Cool Mist Humidifier for the Whole House with 8-Gallon Output per Day, Extended Life Filter"/>
        <s v="3M Polarizing Light Filter Sleeves"/>
        <s v="Rogers Handheld Barrel Pencil Sharpener"/>
        <s v="Acco Perma 4000 Stacking Storage Drawers"/>
        <s v="Google Nexus 5"/>
        <s v="Jet-Pak Recycled Peel 'N' Seal Padded Mailers"/>
        <s v="Avaya 5410 Digital phone"/>
        <s v="Cisco SPA301"/>
        <s v="SimpliFile Personal File, Black Granite, 15w x 6-15/16d x 11-1/4h"/>
        <s v="Fellowes High-Stak Drawer Files"/>
        <s v="Wilson Jones Elliptical Ring 3 1/2&quot; Capacity Binders, 800 sheets"/>
        <s v="Global Leather Highback Executive Chair with Pneumatic Height Adjustment, Black"/>
        <s v="GBC DocuBind P50 Personal Binding Machine"/>
        <s v="Harmony HEPA Quiet Air Purifiers"/>
        <s v="Imation 32GB Pocket Pro USB 3.0 Flash Drive - 32 GB - Black - 1 P ..."/>
        <s v="3M Hangers With Command Adhesive"/>
        <s v="Boston 16765 Mini Stand Up Battery Pencil Sharpener"/>
        <s v="Microsoft Natural Ergonomic Keyboard 4000"/>
        <s v="Global Wood Trimmed Manager's Task Chair, Khaki"/>
        <s v="Black Avery Memo-Size 3-Ring Binder, 5 1/2&quot; x 8 1/2&quot;"/>
        <s v="Belkin 5 Outlet SurgeMaster Power Centers"/>
        <s v="Eureka Recycled Copy Paper 8 1/2&quot; x 11&quot;, Ream"/>
        <s v="Seth Thomas 12&quot; Clock w/ Goldtone Case"/>
        <s v="SanDisk Cruzer 64 GB USB Flash Drive"/>
        <s v="Newell 312"/>
        <s v="Black Print Carbonless 8 1/2&quot; x 8 1/4&quot; Rapid Memo Book"/>
        <s v="Avery 3 1/2&quot; Diskette Storage Pages, 10/Pack"/>
        <s v="Texas Instrument TI-15 Fraction Calculator"/>
        <s v="Deflect-o DuraMat Antistatic Studded Beveled Mat for Medium Pile Carpeting"/>
        <s v="Sanford EarthWrite Recycled Pencils, Medium Soft, #2"/>
        <s v="Samsung Galaxy Note 2"/>
        <s v="Global Executive Mid-Back Manager's Chair"/>
        <s v="SAFCO PlanMaster Heigh-Adjustable Drafting Table Base, 43w x 30d x 30-37h, Black"/>
        <s v="Panasonic KX MC6040 Color Laser Multifunction Printer"/>
        <s v="Hypercom P1300 Pinpad"/>
        <s v="Strathmore Photo Mount Cards"/>
        <s v="Global Armless Task Chair, Royal Blue"/>
        <s v="Hoover Replacement Belts For Soft Guard &amp; Commercial Ltweight Upright Vacs, 2/Pk"/>
        <s v="Peel &amp; Seel Recycled Catalog Envelopes, Brown"/>
        <s v="Project Tote Personal File"/>
        <s v="Fiskars Spring-Action Scissors"/>
        <s v="Iceberg Mobile Mega Data/Printer Cart "/>
        <s v="GBC Pre-Punched Binding Paper, Plastic, White, 8-1/2&quot; x 11&quot;"/>
        <s v="GBC ProClick 150 Presentation Binding System"/>
        <s v="Manco Dry-Lighter Erasable Highlighter"/>
        <s v="Balt Solid Wood Round Tables"/>
        <s v="Lesro Sheffield Collection Coffee Table, End Table, Center Table, Corner Table"/>
        <s v="Panasonic KX-TG9541B DECT 6.0 Digital 2-Line Expandable Cordless Phone With Digital Answering System"/>
        <s v="Wilson Jones Century Plastic Molded Ring Binders"/>
        <s v="O'Sullivan Cherrywood Estates Traditional Bookcase"/>
        <s v="Canon Image Class D660 Copier"/>
        <s v="Tennsco Single-Tier Lockers"/>
        <s v="Xerox 212"/>
        <s v="Logitech G13 Programmable Gameboard with LCD Display"/>
        <s v="DAX Executive Solid Wood Document Frame, Desktop or Hang, Mahogany, 5 x 7"/>
        <s v="Newell 339"/>
        <s v="Space Solutions Commercial Steel Shelving"/>
        <s v="Multi-Use Personal File Cart and Caster Set, Three Stacking Bins"/>
        <s v="Eldon Antistatic Chair Mats for Low to Medium Pile Carpets"/>
        <s v="HP Officejet Pro 8600 e-All-In-One Printer, Copier, Scanner, Fax"/>
        <s v="Xerox 1947"/>
        <s v="Master Big Foot Doorstop, Beige"/>
        <s v="Tenex Contemporary Contur Chairmats for Low and Medium Pile Carpet, Computer, 39&quot; x 49&quot;"/>
        <s v="Avery 493"/>
        <s v="Rubber Band Ball"/>
        <s v="Microsoft Wireless Mobile Mouse 4000"/>
        <s v="Fellowes Bankers Box Stor/Drawer Steel Plus"/>
        <s v="Xerox 1908"/>
        <s v="Xerox 1924"/>
        <s v="Panasonic KX TS3282B Corded phone"/>
        <s v="Imation Bio 2GB USB Flash Drive Imation Corp"/>
        <s v="American Pencil"/>
        <s v="White Envelopes, White Envelopes with Clear Poly Window"/>
        <s v="Economy Binders"/>
        <s v="Fluorescent Highlighters by Dixon"/>
        <s v="Digium D40 VoIP phone"/>
        <s v="Logitech Wireless Headset H600 Over-The-Head Design"/>
        <s v="Xerox 230"/>
        <s v="Xerox 1885"/>
        <s v="Martin Yale Chadless Opener Electric Letter Opener"/>
        <s v="Xerox 214"/>
        <s v="Mitel MiVoice 5330e IP Phone"/>
        <s v="Bionaire Personal Warm Mist Humidifier/Vaporizer"/>
        <s v="Fellowes Basic Home/Office Series Surge Protectors"/>
        <s v="Advantus Employee of the Month Certificate Frame, 11 x 13-1/2"/>
        <s v="C-Line Peel &amp; Stick Add-On Filing Pockets, 8-3/4 x 5-1/8, 10/Pack"/>
        <s v="Canon imageCLASS 2200 Advanced Copier"/>
        <s v="Clearsounds A400"/>
        <s v="Newell 309"/>
        <s v="Boston 1827 Commercial Additional Cutter, Drive Gear &amp; Gear Rack for 1606"/>
        <s v="Unpadded Memo Slips"/>
        <s v="Xerox 1975"/>
        <s v="DAX Black Cherry Wood-Tone Poster Frame"/>
        <s v="StarTech.com 10/100 VDSL2 Ethernet Extender Kit"/>
        <s v="Xerox 1968"/>
        <s v="AT&amp;T CL83451 4-Handset Telephone"/>
        <s v="Avery 498"/>
        <s v="Cubify CubeX 3D Printer Double Head Print"/>
        <s v="Dixon Ticonderoga Erasable Colored Pencil Set, 12-Color"/>
        <s v="Xerox 4200 Series MultiUse Premium Copy Paper (20Lb. and 84 Bright)"/>
        <s v="GBC DocuBind TL200 Manual Binding Machine"/>
        <s v="Howard Miller 12&quot; Round Wall Clock"/>
        <s v="Hoover Commercial SteamVac"/>
        <s v="Lexmark MX611dhe Monochrome Laser Printer"/>
        <s v="Avery 517"/>
        <s v="Verbatim Slim CD and DVD Storage Cases, 50/Pack"/>
        <s v="Eldon Advantage Foldable Chair Mats for Low Pile Carpets"/>
        <s v="DAX Two-Tone Rosewood/Black Document Frame, Desktop, 5 x 7"/>
        <s v="Eldon 500 Class Desk Accessories"/>
        <s v="Eldon Imàge Series Desk Accessories, Clear"/>
        <s v="Colored Push Pins"/>
        <s v="Newell 318"/>
        <s v="Telephone Message Books with Fax/Mobile Section, 5 1/2&quot; x 3 3/16&quot;"/>
        <s v="Surelock Post Binders"/>
        <s v="Bush Westfield Collection Bookcases, Medium Cherry Finish"/>
        <s v="Avery 478"/>
        <s v="Boston School Pro Electric Pencil Sharpener, 1670"/>
        <s v="Seth Thomas 16&quot; Steel Case Clock"/>
        <s v="Faber Castell Col-Erase Pencils"/>
        <s v="Logitech MX Performance Wireless Mouse"/>
        <s v="Adams Phone Message Book, 200 Message Capacity, 8 1/16” x 11”"/>
        <s v="Fellowes Stor/Drawer Steel Plus Storage Drawers"/>
        <s v="Newell 350"/>
        <s v="Things To Do Today Pad"/>
        <s v="Acco 7-Outlet Masterpiece Power Center, Wihtout Fax/Phone Line Protection"/>
        <s v="Eureka The Boss Cordless Rechargeable Stick Vac"/>
        <s v="Blue Parrot B250XT Professional Grade Wireless Bluetooth Headset with"/>
        <s v="Canon Imageclass D680 Copier / Fax"/>
        <s v="Riverside Furniture Oval Coffee Table, Oval End Table, End Table with Drawer"/>
        <s v="Universal Ultra Bright White Copier/Laser Paper, 8 1/2&quot; x 11&quot;, Ream"/>
        <s v="Aastra 6757i CT Wireless VoIP phone"/>
        <s v="Belkin Premiere Surge Master II 8-outlet surge protector"/>
        <s v="Newell 314"/>
        <s v="G.E. Halogen Desk Lamp Bulbs"/>
        <s v="Maxell 74 Minute CDR, 10/Pack"/>
        <s v="Xerox 201"/>
        <s v="Eldon 400 Class Desk Accessories, Black Carbon"/>
        <s v="Nokia Lumia 925"/>
        <s v="LG G3"/>
        <s v="Tensor Brushed Steel Torchiere Floor Lamp"/>
        <s v="Plantronics Audio 995 Wireless Stereo Headset"/>
        <s v="Riverside Palais Royal Lawyers Bookcase, Royale Cherry Finish"/>
        <s v="Shocksock Galaxy S4 Armband"/>
        <s v="Personal File Boxes with Fold-Down Carry Handle"/>
        <s v="Xerox 1939"/>
        <s v="Cisco Desktop Collaboration Experience DX650 IP Video Phone"/>
        <s v="O'Sullivan 3-Shelf Heavy-Duty Bookcases"/>
        <s v="Anker 36W 4-Port USB Wall Charger Travel Power Adapter for iPhone 5s 5c 5"/>
        <s v="Panasonic KX T7736-B Digital phone"/>
        <s v="Hon Multipurpose Stacking Arm Chairs"/>
        <s v="Xerox 215"/>
        <s v="Trimflex Flexible Post Binders"/>
        <s v="Howard Miller 13-3/4&quot; Diameter Brushed Chrome Round Wall Clock"/>
        <s v="Xerox 1907"/>
        <s v="Bulldog Vacuum Base Pencil Sharpener"/>
        <s v="Acco Banker's Clasps, 5 3/4&quot;-Long"/>
        <s v="Eldon Spacemaker Box, Quick-Snap Lid, Clear"/>
        <s v="Kensington Orbit Wireless Mobile Trackball for PC and Mac"/>
        <s v="Executive Impressions Supervisor Wall Clock"/>
        <s v="Tennsco 16-Compartment Lockers with Coat Rack"/>
        <s v="Newell 328"/>
        <s v="Tuf-Vin Binders"/>
        <s v="Okidata MB491 Multifunction Printer"/>
        <s v="Square Credit Card Reader, 4 1/2&quot; x 4 1/2&quot; x 1&quot;, White"/>
        <s v="GBC White Gloss Covers, Plain Front"/>
        <s v="Zebra Zazzle Fluorescent Highlighters"/>
        <s v="Avery 482"/>
        <s v="Belkin iPhone and iPad Lightning Cable"/>
        <s v="Acco Suede Grain Vinyl Round Ring Binder"/>
        <s v="Deflect-o RollaMat Studded, Beveled Mat for Medium Pile Carpeting"/>
        <s v="Eldon 200 Class Desk Accessories, Burgundy"/>
        <s v="Xerox 221"/>
        <s v="Acco Expandable Hanging Binders"/>
        <s v="High-Back Leather Manager's Chair"/>
        <s v="PayAnywhere Card Reader"/>
        <s v="Wirebound Message Forms, Four 2 3/4 x 5 Forms per Page, Pink Paper"/>
        <s v="Nontoxic Chalk"/>
        <s v="Cardinal HOLDit! Binder Insert Strips,Extra Strips"/>
        <s v="Weyerhaeuser First Choice Laser/Copy Paper (20Lb. and 88 Bright)"/>
        <s v="Super Decoflex Portable Personal File"/>
        <s v="Hammermill CopyPlus Copy Paper (20Lb. and 84 Bright)"/>
        <s v="Avery Printable Repositionable Plastic Tabs"/>
        <s v="Polycom VoiceStation 500 Conference phone"/>
        <s v="Mead 1st Gear 2&quot; Zipper Binder, Asst. Colors"/>
        <s v="Global Enterprise Series Seating Low-Back Swivel/Tilt Chairs"/>
        <s v="3.6 Cubic Foot Counter Height Office Refrigerator"/>
        <s v="Xerox 1937"/>
        <s v="Grandstream GXP1160 VoIP phone"/>
        <s v="Perixx PERIBOARD-512B, Ergonomic Split Keyboard"/>
        <s v="Sanyo 2.5 Cubic Foot Mid-Size Office Refrigerators"/>
        <s v="Fellowes PB300 Plastic Comb Binding Machine"/>
        <s v="Acme Kleencut Forged Steel Scissors"/>
        <s v="Companion Letter/Legal File, Black"/>
        <s v="Plantronics Encore H101 Dual Earpieces Headset"/>
        <s v="Cisco 8x8 Inc. 6753i IP Business Phone System"/>
        <s v="Tenex Chairmats For Use with Hard Floors"/>
        <s v="Avery Address/Shipping Labels for Typewriters, 4&quot; x 2&quot;"/>
        <s v="DAX Charcoal/Nickel-Tone Document Frame, 5 x 7"/>
        <s v="Anker 24W Portable Micro USB Car Charger"/>
        <s v="Hon Practical Foundations 30 x 60 Training Table, Light Gray/Charcoal"/>
        <s v="Newell 344"/>
        <s v="Electrix Fluorescent Magnifier Lamps &amp; Weighted Base"/>
        <s v="Logitech LS21 Speaker System - PC Multimedia - 2.1-CH - Wired"/>
        <s v="Avery Metallic Poly Binders"/>
        <s v="Honeywell Quietcare HEPA Air Cleaner"/>
        <s v="Pencil and Crayon Sharpener"/>
        <s v="OIC #2 Pencils, Medium Soft"/>
        <s v="Avery 505"/>
        <s v="Chromcraft Bull-Nose Wood Oval Conference Tables &amp; Bases"/>
        <s v="QVS USB Car Charger 2-Port 2.1Amp for iPod/iPhone/iPad/iPad 2/iPad 3"/>
        <s v="24 Capacity Maxi Data Binder Racks, Pearl"/>
        <s v="Motorla HX550 Universal Bluetooth Headset"/>
        <s v="DAX Two-Tone Silver Metal Document Frame"/>
        <s v="Boston 1799 Powerhouse Electric Pencil Sharpener"/>
        <s v="#10 Self-Seal White Envelopes"/>
        <s v="iOttie XL Car Mount"/>
        <s v="Eaton Premium Continuous-Feed Paper, 25% Cotton, Letter Size, White, 1000 Shts/Box"/>
        <s v="Avery 48"/>
        <s v="Peel-Off China Markers"/>
        <s v="OIC Colored Binder Clips, Assorted Sizes"/>
        <s v="Xerox 1984"/>
        <s v="Global Adaptabilites Bookcase, Cherry/Storm Gray Finish"/>
        <s v="Avery 514"/>
        <s v="Kingston Digital DataTraveler 64GB USB 2.0"/>
        <s v="Newell 33"/>
        <s v="Logitech M510 Wireless Mouse"/>
        <s v="Tenex Personal Filing Tote With Secure Closure Lid, Black/Frost"/>
        <s v="Adams Telephone Message Book w/Frequently-Called Numbers Space, 400 Messages per Book"/>
        <s v="Southworth 25% Cotton Linen-Finish Paper &amp; Envelopes"/>
        <s v="Belkin 8 Outlet SurgeMaster II Gold Surge Protector"/>
        <s v="Wausau Papers Astrobrights Colored Envelopes"/>
        <s v="Socket Bluetooth Cordless Hand Scanner (CHS)"/>
        <s v="Gould Plastics 18-Pocket Panel Bin, 34w x 5-1/4d x 20-1/2h"/>
        <s v="Lenovo 17-Key USB Numeric Keypad"/>
        <s v="Xerox 1992"/>
        <s v="Acme Hot Forged Carbon Steel Scissors with Nickel-Plated Handles, 3 7/8&quot; Cut, 8&quot;L"/>
        <s v="Xerox 1882"/>
        <s v="Razer Kraken PRO Over Ear PC and Music Headset"/>
        <s v="Belkin 325VA UPS Surge Protector, 6'"/>
        <s v="Metal Folding Chairs, Beige, 4/Carton"/>
        <s v="Tennsco Double-Tier Lockers"/>
        <s v="Dax Clear Box Frame"/>
        <s v="Ricoh - Ink Collector Unit for GX3000 Series Printers"/>
        <s v="DAX Clear Channel Poster Frame"/>
        <s v="Conquest 14 Commercial Heavy-Duty Upright Vacuum, Collection System, Accessory Kit"/>
        <s v="Avery Hi-Liter Smear-Safe Highlighters"/>
        <s v="O'Sullivan Manor Hill 2-Door Library in Brianna Oak"/>
        <s v="Wirebound Message Books, 2 7/8&quot; x 5&quot;, 3 Forms per Page"/>
        <s v="Canvas Sectional Post Binders"/>
        <s v="Verbatim 25 GB 6x Blu-ray Single Layer Recordable Disc, 10/Pack"/>
        <s v="Panasonic KP-310 Heavy-Duty Electric Pencil Sharpener"/>
        <s v="Executive Impressions 14&quot; Two-Color Numerals Wall Clock"/>
        <s v="Ampad #10 Peel &amp; Seel Holiday Envelopes"/>
        <s v="Linden 10&quot; Round Wall Clock, Black"/>
        <s v="Anderson Hickey Conga Table Tops &amp; Accessories"/>
        <s v="Avery 510"/>
        <s v="Wilson Jones Four-Pocket Poly Binders"/>
        <s v="Office Star - Ergonomic Mid Back Chair with 2-Way Adjustable Arms"/>
        <s v="Jackery Bar Premium Fast-charging Portable Charger"/>
        <s v="Cardinal Slant-D Ring Binders"/>
        <s v="&quot;While you Were Out&quot; Message Book, One Form per Page"/>
        <s v="Wirebound Message Books, Four 2 3/4 x 5 Forms per Page, 200 Sets per Book"/>
        <s v="GBC Therma-A-Bind 250T Electric Binding System"/>
        <s v="Document Clip Frames"/>
        <s v="Binder Posts"/>
        <s v="Flexible Leather- Look Classic Collection Ring Binder"/>
        <s v="SANFORD Liquid Accent Tank-Style Highlighters"/>
        <s v="Anker Ultra-Slim Mini Bluetooth 3.0 Wireless Keyboard"/>
        <s v="12 Colored Short Pencils"/>
        <s v="Eureka The Boss Lite 10-Amp Upright Vacuum, Blue"/>
        <s v="Memorex Mini Travel Drive 16 GB USB 2.0 Flash Drive"/>
        <s v="Dixon Ticonderoga Maple Cedar Pencil, #2"/>
        <s v="Acme Forged Steel Scissors with Black Enamel Handles"/>
        <s v="Acco 3-Hole Punch"/>
        <s v="Samsung Replacement EH64AVFWE Premium Headset"/>
        <s v="Eldon Radial Chair Mat for Low to Medium Pile Carpets"/>
        <s v="3D Systems Cube Printer, 2nd Generation, White"/>
        <s v="Xerox 209"/>
        <s v="BIC Liqua Brite Liner"/>
        <s v="Tops White Computer Printout Paper"/>
        <s v="Contemporary Borderless Frame"/>
        <s v="Office Star - Mid Back Dual function Ergonomic High Back Chair with 2-Way Adjustable Arms"/>
        <s v="Panasonic KP-380BK Classic Electric Pencil Sharpener"/>
        <s v="Hon 4-Shelf Metal Bookcases"/>
        <s v="Akro-Mils 12-Gallon Tote"/>
        <s v="Tenex Traditional Chairmats for Hard Floors, Average Lip, 36&quot; x 48&quot;"/>
        <s v="Belkin 8-Outlet Premiere SurgeMaster II Surge Protectors"/>
        <s v="Standard Line “While You Were Out” Hardbound Telephone Message Book"/>
        <s v="SAFCO Mobile Desk Side File, Wire Frame"/>
        <s v="Harmony Air Purifier"/>
        <s v="Acco Recycled 2&quot; Capacity Laser Printer Hanging Data Binders"/>
        <s v="Col-Erase Pencils with Erasers"/>
        <s v="Eldon Executive Woodline II Desk Accessories, Mahogany"/>
        <s v="Master Giant Foot Doorstop, Safety Yellow"/>
        <s v="Bulldog Table or Wall-Mount Pencil Sharpener"/>
        <s v="Bush Saratoga Collection 5-Shelf Bookcase, Hanover Cherry, *Special Order"/>
        <s v="Newell 327"/>
        <s v="Newell 335"/>
        <s v="Design Ebony Sketching Pencil"/>
        <s v="Binney &amp; Smith Crayola Metallic Crayons, 16-Color Pack"/>
        <s v="GBC Instant Index System for Binding Systems"/>
        <s v="Acco Glide Clips"/>
        <s v="GBC Binding covers"/>
        <s v="Bagged Rubber Bands"/>
      </sharedItems>
    </cacheField>
    <cacheField name="Valor_Venda" numFmtId="43">
      <sharedItems containsSemiMixedTypes="0" containsString="0" containsNumber="1" minValue="0.99" maxValue="13999.96" count="2384">
        <n v="19.440000000000001"/>
        <n v="1325.8500000000001"/>
        <n v="333.99899999999997"/>
        <n v="19.899999999999999"/>
        <n v="64.864000000000004"/>
        <n v="32.340000000000003"/>
        <n v="56.064"/>
        <n v="108.72"/>
        <n v="181.47000000000003"/>
        <n v="19.36"/>
        <n v="19.3"/>
        <n v="40.08"/>
        <n v="57.23"/>
        <n v="333"/>
        <n v="36.44"/>
        <n v="290.666"/>
        <n v="12.350000000000001"/>
        <n v="83.84"/>
        <n v="13.272000000000002"/>
        <n v="82.896000000000001"/>
        <n v="34.24"/>
        <n v="17.248000000000001"/>
        <n v="14.56"/>
        <n v="129.56800000000001"/>
        <n v="239.96999999999997"/>
        <n v="81.96"/>
        <n v="238.62"/>
        <n v="21.36"/>
        <n v="12.96"/>
        <n v="32.896000000000001"/>
        <n v="22.776000000000003"/>
        <n v="457.56800000000004"/>
        <n v="626.35200000000009"/>
        <n v="48.712000000000003"/>
        <n v="17.940000000000001"/>
        <n v="242.94"/>
        <n v="107.64800000000001"/>
        <n v="20.65"/>
        <n v="204.89999999999998"/>
        <n v="436.70400000000006"/>
        <n v="481.56800000000004"/>
        <n v="636.40800000000013"/>
        <n v="83.168000000000006"/>
        <n v="7.98"/>
        <n v="10.56"/>
        <n v="3.38"/>
        <n v="33.088000000000001"/>
        <n v="80.98"/>
        <n v="82.800000000000011"/>
        <n v="62.048000000000002"/>
        <n v="1198.33"/>
        <n v="111"/>
        <n v="1279.9680000000001"/>
        <n v="1856.19"/>
        <n v="74.352000000000004"/>
        <n v="314.35199999999998"/>
        <n v="330.4"/>
        <n v="604.75199999999995"/>
        <n v="40.479999999999997"/>
        <n v="6.56"/>
        <n v="14.88"/>
        <n v="45.48"/>
        <n v="25.44"/>
        <n v="66.300000000000011"/>
        <n v="3.36"/>
        <n v="27.936000000000003"/>
        <n v="28.783999999999999"/>
        <n v="18.75"/>
        <n v="302.37599999999998"/>
        <n v="15.84"/>
        <n v="44.400000000000006"/>
        <n v="205.666"/>
        <n v="673.5680000000001"/>
        <n v="52.98"/>
        <n v="29.6"/>
        <n v="17.088000000000001"/>
        <n v="11.16"/>
        <n v="62.31"/>
        <n v="159.97999999999999"/>
        <n v="18.899999999999999"/>
        <n v="7.1840000000000011"/>
        <n v="653.54999999999995"/>
        <n v="33.9"/>
        <n v="91.96"/>
        <n v="33.11"/>
        <n v="55.48"/>
        <n v="70.949999999999989"/>
        <n v="65.567999999999998"/>
        <n v="299.96999999999997"/>
        <n v="2.3679999999999999"/>
        <n v="19.008000000000003"/>
        <n v="49.792000000000002"/>
        <n v="99.591999999999999"/>
        <n v="399.96"/>
        <n v="9.5840000000000014"/>
        <n v="87.08"/>
        <n v="105.584"/>
        <n v="217.44"/>
        <n v="1075.088"/>
        <n v="438.36800000000005"/>
        <n v="18.088000000000001"/>
        <n v="308.49900000000002"/>
        <n v="39.68"/>
        <n v="106.96"/>
        <n v="187.76"/>
        <n v="287.96800000000002"/>
        <n v="13.12"/>
        <n v="10.75"/>
        <n v="11.62"/>
        <n v="76.14"/>
        <n v="59.92"/>
        <n v="16.520000000000003"/>
        <n v="48.91"/>
        <n v="303.25"/>
        <n v="270.71999999999997"/>
        <n v="1487.04"/>
        <n v="230.28000000000003"/>
        <n v="18.288"/>
        <n v="21.400000000000002"/>
        <n v="12.6"/>
        <n v="1679.96"/>
        <n v="12.18"/>
        <n v="57.68"/>
        <n v="140.73599999999999"/>
        <n v="5.78"/>
        <n v="107.94"/>
        <n v="67.8"/>
        <n v="167.97"/>
        <n v="158.13"/>
        <n v="43.6"/>
        <n v="39.96"/>
        <n v="1432.0000000000002"/>
        <n v="41.04"/>
        <n v="256.78400000000005"/>
        <n v="55.5"/>
        <n v="149.97"/>
        <n v="279.45600000000002"/>
        <n v="8"/>
        <n v="232.88"/>
        <n v="56.400000000000006"/>
        <n v="31.84"/>
        <n v="201.584"/>
        <n v="83.984000000000009"/>
        <n v="225.29600000000002"/>
        <n v="48.4"/>
        <n v="567.12"/>
        <n v="359.32"/>
        <n v="1113.5039999999999"/>
        <n v="99.99"/>
        <n v="57.408000000000008"/>
        <n v="27.6"/>
        <n v="136.96"/>
        <n v="59.808000000000007"/>
        <n v="73.320000000000007"/>
        <n v="515.88"/>
        <n v="585.55200000000002"/>
        <n v="48.86"/>
        <n v="7.28"/>
        <n v="907.15200000000004"/>
        <n v="18.504000000000001"/>
        <n v="114.9"/>
        <n v="1706.1840000000002"/>
        <n v="911.42399999999998"/>
        <n v="7.36"/>
        <n v="23.1"/>
        <n v="18.060000000000002"/>
        <n v="79.14"/>
        <n v="37.4"/>
        <n v="14.52"/>
        <n v="6.24"/>
        <n v="17.899999999999999"/>
        <n v="3266.3760000000002"/>
        <n v="139.80000000000001"/>
        <n v="11.088000000000003"/>
        <n v="25.164000000000001"/>
        <n v="196.75200000000001"/>
        <n v="8.2260000000000009"/>
        <n v="4.2720000000000002"/>
        <n v="447.84"/>
        <n v="263.96000000000004"/>
        <n v="71.632000000000005"/>
        <n v="9.3280000000000012"/>
        <n v="32.400000000000006"/>
        <n v="19.920000000000002"/>
        <n v="177.536"/>
        <n v="32.432000000000002"/>
        <n v="180.96000000000004"/>
        <n v="478.48"/>
        <n v="502.48800000000006"/>
        <n v="196.70400000000001"/>
        <n v="2.88"/>
        <n v="41.904000000000003"/>
        <n v="23.92"/>
        <n v="14.303999999999998"/>
        <n v="119.83299999999998"/>
        <n v="5.56"/>
        <n v="7.7120000000000006"/>
        <n v="698.35200000000009"/>
        <n v="249.75"/>
        <n v="255.93600000000004"/>
        <n v="123.136"/>
        <n v="11.264000000000001"/>
        <n v="351.21600000000001"/>
        <n v="55.92"/>
        <n v="259.13600000000002"/>
        <n v="6.0960000000000001"/>
        <n v="104.85"/>
        <n v="8.7040000000000006"/>
        <n v="43.019999999999996"/>
        <n v="89.712000000000018"/>
        <n v="22.830000000000002"/>
        <n v="41.94"/>
        <n v="11.96"/>
        <n v="535.41"/>
        <n v="99.2"/>
        <n v="801.5680000000001"/>
        <n v="272.84800000000001"/>
        <n v="11.52"/>
        <n v="717.72"/>
        <n v="236.5"/>
        <n v="170.35200000000003"/>
        <n v="19.68"/>
        <n v="8.1600000000000019"/>
        <n v="1023.9360000000001"/>
        <n v="9.24"/>
        <n v="479.04"/>
        <n v="40.700000000000003"/>
        <n v="45"/>
        <n v="53.72"/>
        <n v="8187.65"/>
        <n v="77.92"/>
        <n v="6.48"/>
        <n v="15.52"/>
        <n v="911.98400000000004"/>
        <n v="674.35200000000009"/>
        <n v="134.01"/>
        <n v="170.97"/>
        <n v="111.93"/>
        <n v="238"/>
        <n v="276.27999999999997"/>
        <n v="1367.84"/>
        <n v="19.752000000000002"/>
        <n v="218.75"/>
        <n v="2.6"/>
        <n v="93.024000000000001"/>
        <n v="1089.75"/>
        <n v="16.399999999999999"/>
        <n v="399.96000000000004"/>
        <n v="158.9"/>
        <n v="13.184000000000001"/>
        <n v="20.94"/>
        <n v="110.96"/>
        <n v="340.14400000000006"/>
        <n v="16.36"/>
        <n v="15.78"/>
        <n v="45.98"/>
        <n v="76.12"/>
        <n v="1199.9760000000001"/>
        <n v="445.96000000000004"/>
        <n v="327.76"/>
        <n v="121.376"/>
        <n v="95.976000000000013"/>
        <n v="423.28"/>
        <n v="20.88"/>
        <n v="1091.1680000000001"/>
        <n v="219.16800000000001"/>
        <n v="2060.7440000000001"/>
        <n v="5.98"/>
        <n v="4.4640000000000004"/>
        <n v="9.3450000000000024"/>
        <n v="12.35"/>
        <n v="40.97"/>
        <n v="22.96"/>
        <n v="806.33600000000001"/>
        <n v="85.44"/>
        <n v="152.91"/>
        <n v="92.94"/>
        <n v="17.856000000000002"/>
        <n v="46.440000000000005"/>
        <n v="195.136"/>
        <n v="289.24"/>
        <n v="69.456000000000003"/>
        <n v="49.568000000000005"/>
        <n v="15.552000000000003"/>
        <n v="6.8000000000000007"/>
        <n v="4.2240000000000002"/>
        <n v="143.64000000000001"/>
        <n v="31.104000000000006"/>
        <n v="223.05600000000001"/>
        <n v="8.2880000000000003"/>
        <n v="6.28"/>
        <n v="95.1"/>
        <n v="25.92"/>
        <n v="48.84"/>
        <n v="1007.9440000000002"/>
        <n v="176.8"/>
        <n v="8.56"/>
        <n v="213.48000000000002"/>
        <n v="22.72"/>
        <n v="109.92"/>
        <n v="13.36"/>
        <n v="92.52"/>
        <n v="53.94"/>
        <n v="41.88"/>
        <n v="58.48"/>
        <n v="27.36"/>
        <n v="20.56"/>
        <n v="83.920000000000016"/>
        <n v="49.98"/>
        <n v="56.65"/>
        <n v="14.97"/>
        <n v="4.0199999999999996"/>
        <n v="5.88"/>
        <n v="975.92"/>
        <n v="303.83999999999997"/>
        <n v="485.88"/>
        <n v="8.6080000000000005"/>
        <n v="21.728000000000002"/>
        <n v="127.94999999999999"/>
        <n v="79.400000000000006"/>
        <n v="5.6999999999999993"/>
        <n v="14.190000000000001"/>
        <n v="7.3"/>
        <n v="199.98"/>
        <n v="144.96"/>
        <n v="118"/>
        <n v="48.94"/>
        <n v="22.66"/>
        <n v="30.28"/>
        <n v="57.929999999999993"/>
        <n v="35.340000000000003"/>
        <n v="137.24"/>
        <n v="182.94"/>
        <n v="5.2480000000000002"/>
        <n v="38.256"/>
        <n v="40.24"/>
        <n v="29.925000000000001"/>
        <n v="148.70400000000001"/>
        <n v="7.16"/>
        <n v="5.67"/>
        <n v="73.915000000000006"/>
        <n v="9.9600000000000009"/>
        <n v="21.72"/>
        <n v="43.92"/>
        <n v="20.231999999999999"/>
        <n v="246.38400000000001"/>
        <n v="1799.97"/>
        <n v="15.56"/>
        <n v="78.349999999999994"/>
        <n v="59.519999999999996"/>
        <n v="38.520000000000003"/>
        <n v="239.98400000000004"/>
        <n v="19.350000000000001"/>
        <n v="169.45"/>
        <n v="40.68"/>
        <n v="435.99900000000002"/>
        <n v="211.96"/>
        <n v="14.576000000000001"/>
        <n v="145.56800000000001"/>
        <n v="310.12"/>
        <n v="603.91999999999996"/>
        <n v="81.98"/>
        <n v="204.6"/>
        <n v="8.7200000000000006"/>
        <n v="686.32"/>
        <n v="62.18"/>
        <n v="6.16"/>
        <n v="2348.8200000000002"/>
        <n v="10.048000000000002"/>
        <n v="807.75"/>
        <n v="43.176000000000002"/>
        <n v="4.71"/>
        <n v="9.4079999999999995"/>
        <n v="4.6719999999999997"/>
        <n v="318.40000000000003"/>
        <n v="12.768000000000001"/>
        <n v="15.36"/>
        <n v="230.376"/>
        <n v="143.43199999999999"/>
        <n v="122.352"/>
        <n v="14.450000000000001"/>
        <n v="95.64800000000001"/>
        <n v="29.24"/>
        <n v="99.98"/>
        <n v="9.09"/>
        <n v="144.60000000000002"/>
        <n v="15.991999999999999"/>
        <n v="15.28"/>
        <n v="46.872"/>
        <n v="255.84999999999997"/>
        <n v="63.47"/>
        <n v="345"/>
        <n v="31.92"/>
        <n v="433.56800000000004"/>
        <n v="7.64"/>
        <n v="14.9"/>
        <n v="21.39"/>
        <n v="1298.55"/>
        <n v="213.92"/>
        <n v="25.78"/>
        <n v="14.352000000000002"/>
        <n v="179.97"/>
        <n v="61.96"/>
        <n v="1.3440000000000001"/>
        <n v="13.440000000000001"/>
        <n v="2.9920000000000004"/>
        <n v="20.064"/>
        <n v="146.72999999999999"/>
        <n v="117.57600000000002"/>
        <n v="321.55200000000002"/>
        <n v="36.36"/>
        <n v="34.271999999999998"/>
        <n v="49.408000000000001"/>
        <n v="63.92"/>
        <n v="383.96000000000004"/>
        <n v="480.74"/>
        <n v="616.99800000000005"/>
        <n v="141.4"/>
        <n v="11.34"/>
        <n v="80.3"/>
        <n v="15.968000000000002"/>
        <n v="64.740000000000009"/>
        <n v="19.295999999999999"/>
        <n v="405.64"/>
        <n v="146.352"/>
        <n v="251.91"/>
        <n v="12.39"/>
        <n v="742.33600000000001"/>
        <n v="73.584000000000003"/>
        <n v="1983.9680000000001"/>
        <n v="443.92"/>
        <n v="155.976"/>
        <n v="46.384"/>
        <n v="362.92"/>
        <n v="52.792000000000002"/>
        <n v="6.72"/>
        <n v="666.34400000000005"/>
        <n v="573.72799999999995"/>
        <n v="21.936000000000003"/>
        <n v="447.96800000000007"/>
        <n v="2.94"/>
        <n v="20.04"/>
        <n v="123.14399999999999"/>
        <n v="25.920000000000005"/>
        <n v="120.76800000000001"/>
        <n v="333.57600000000002"/>
        <n v="340.92"/>
        <n v="222.66599999999997"/>
        <n v="703.96800000000007"/>
        <n v="62.649999999999991"/>
        <n v="94.85"/>
        <n v="601.53599999999994"/>
        <n v="10.99"/>
        <n v="39.880000000000003"/>
        <n v="62.24"/>
        <n v="53.2"/>
        <n v="39.840000000000003"/>
        <n v="3.3920000000000003"/>
        <n v="559.98400000000004"/>
        <n v="30.48"/>
        <n v="112.64800000000001"/>
        <n v="575.928"/>
        <n v="7.78"/>
        <n v="123.92"/>
        <n v="22.98"/>
        <n v="102.13"/>
        <n v="2033.5840000000001"/>
        <n v="629.06400000000008"/>
        <n v="10.11"/>
        <n v="772.47"/>
        <n v="20.46"/>
        <n v="10.95"/>
        <n v="5.22"/>
        <n v="79.968000000000004"/>
        <n v="305.97449999999998"/>
        <n v="344.90999999999997"/>
        <n v="733.94999999999993"/>
        <n v="241.44"/>
        <n v="145.97999999999999"/>
        <n v="35.808"/>
        <n v="21.98"/>
        <n v="137.54"/>
        <n v="730.2"/>
        <n v="166.44"/>
        <n v="6.58"/>
        <n v="94.99"/>
        <n v="53.820000000000007"/>
        <n v="21.84"/>
        <n v="29.99"/>
        <n v="381.44000000000005"/>
        <n v="23.472000000000001"/>
        <n v="151.72"/>
        <n v="12.096000000000002"/>
        <n v="197.58"/>
        <n v="120.71199999999999"/>
        <n v="320.88"/>
        <n v="23.88"/>
        <n v="26.76"/>
        <n v="51.016000000000005"/>
        <n v="539.91999999999996"/>
        <n v="725.34400000000005"/>
        <n v="7.4399999999999995"/>
        <n v="669.08"/>
        <n v="438.33600000000001"/>
        <n v="4.32"/>
        <n v="14.940000000000001"/>
        <n v="40.54"/>
        <n v="7.3120000000000012"/>
        <n v="41.4"/>
        <n v="411.33199999999999"/>
        <n v="43.68"/>
        <n v="139.92999999999998"/>
        <n v="575.91999999999996"/>
        <n v="30.4"/>
        <n v="47.992000000000004"/>
        <n v="102.24000000000001"/>
        <n v="58.199999999999996"/>
        <n v="1113.0240000000001"/>
        <n v="167.96800000000002"/>
        <n v="26.46"/>
        <n v="49.12"/>
        <n v="15"/>
        <n v="250.26"/>
        <n v="53.424000000000007"/>
        <n v="275.49"/>
        <n v="1261.33"/>
        <n v="8.64"/>
        <n v="269.35999999999996"/>
        <n v="164.88"/>
        <n v="27.888000000000002"/>
        <n v="6.4560000000000004"/>
        <n v="52.679999999999993"/>
        <n v="13.88"/>
        <n v="103.92000000000002"/>
        <n v="10.368000000000002"/>
        <n v="39.072000000000003"/>
        <n v="45.68"/>
        <n v="79.44"/>
        <n v="34.68"/>
        <n v="100.70400000000001"/>
        <n v="338.35199999999998"/>
        <n v="91.36"/>
        <n v="764.6880000000001"/>
        <n v="3610.848"/>
        <n v="254.97449999999998"/>
        <n v="43.31"/>
        <n v="12.54"/>
        <n v="8.94"/>
        <n v="90.24"/>
        <n v="87.960000000000008"/>
        <n v="5.2140000000000004"/>
        <n v="44.46"/>
        <n v="241.56799999999998"/>
        <n v="395"/>
        <n v="627.16800000000012"/>
        <n v="1403.9200000000003"/>
        <n v="14.62"/>
        <n v="22.549999999999997"/>
        <n v="583.79999999999995"/>
        <n v="211.16800000000001"/>
        <n v="31.049999999999997"/>
        <n v="487.98400000000004"/>
        <n v="47.3"/>
        <n v="4.13"/>
        <n v="155.12"/>
        <n v="447.94399999999996"/>
        <n v="51.967999999999996"/>
        <n v="71.975999999999999"/>
        <n v="242.35200000000003"/>
        <n v="221.92000000000002"/>
        <n v="8.4480000000000004"/>
        <n v="1325.76"/>
        <n v="572.16000000000008"/>
        <n v="11.76"/>
        <n v="142.86000000000001"/>
        <n v="292.27200000000005"/>
        <n v="173.65600000000003"/>
        <n v="361.96"/>
        <n v="62.849999999999994"/>
        <n v="818.37600000000009"/>
        <n v="20.34"/>
        <n v="23.99"/>
        <n v="13.97"/>
        <n v="300.416"/>
        <n v="230.35200000000003"/>
        <n v="218.35200000000003"/>
        <n v="78.600000000000009"/>
        <n v="27.552000000000003"/>
        <n v="11.91"/>
        <n v="3.48"/>
        <n v="11.56"/>
        <n v="12.84"/>
        <n v="10.98"/>
        <n v="7.86"/>
        <n v="51.449999999999996"/>
        <n v="37.055999999999997"/>
        <n v="946.76400000000024"/>
        <n v="998.82"/>
        <n v="51.150000000000006"/>
        <n v="24.900000000000002"/>
        <n v="21.12"/>
        <n v="767.95200000000011"/>
        <n v="191.976"/>
        <n v="274.77"/>
        <n v="70.56"/>
        <n v="23.976000000000003"/>
        <n v="33.29"/>
        <n v="88.800000000000011"/>
        <n v="319.96800000000002"/>
        <n v="551.98500000000013"/>
        <n v="475.94400000000002"/>
        <n v="61.584000000000003"/>
        <n v="87.36"/>
        <n v="56.16"/>
        <n v="29.600000000000005"/>
        <n v="1.9380000000000002"/>
        <n v="70.00800000000001"/>
        <n v="77.599999999999994"/>
        <n v="464.84999999999997"/>
        <n v="29.04"/>
        <n v="182.72"/>
        <n v="2803.92"/>
        <n v="227.35999999999999"/>
        <n v="1919.9760000000001"/>
        <n v="136.91999999999999"/>
        <n v="12.144"/>
        <n v="5.28"/>
        <n v="203.92"/>
        <n v="41.72"/>
        <n v="541.43999999999994"/>
        <n v="36.839999999999996"/>
        <n v="87.71"/>
        <n v="61.06"/>
        <n v="35.544000000000004"/>
        <n v="538.92000000000007"/>
        <n v="15.984000000000002"/>
        <n v="184.75200000000001"/>
        <n v="787.53"/>
        <n v="435.26"/>
        <n v="1119.9840000000002"/>
        <n v="3.4079999999999999"/>
        <n v="141.96"/>
        <n v="915.13600000000008"/>
        <n v="16.776000000000003"/>
        <n v="171.96"/>
        <n v="43.13"/>
        <n v="453.57600000000002"/>
        <n v="1247.6399999999999"/>
        <n v="3149.9300000000003"/>
        <n v="209.7"/>
        <n v="17.568000000000001"/>
        <n v="33.36"/>
        <n v="40.14"/>
        <n v="10.9"/>
        <n v="29.304000000000002"/>
        <n v="105.52"/>
        <n v="1487.9760000000001"/>
        <n v="192.72"/>
        <n v="46.900000000000006"/>
        <n v="3393.68"/>
        <n v="83.699999999999989"/>
        <n v="166.24"/>
        <n v="33.4"/>
        <n v="73.28"/>
        <n v="212.64"/>
        <n v="9.870000000000001"/>
        <n v="53.25"/>
        <n v="19.919999999999998"/>
        <n v="87.8"/>
        <n v="892.22400000000005"/>
        <n v="239.94"/>
        <n v="23.84"/>
        <n v="369.91200000000003"/>
        <n v="12.832000000000001"/>
        <n v="639.96800000000007"/>
        <n v="52.76"/>
        <n v="40.74"/>
        <n v="199.96"/>
        <n v="710.83200000000011"/>
        <n v="12.88"/>
        <n v="54.816000000000003"/>
        <n v="37.68"/>
        <n v="258.57600000000002"/>
        <n v="75.84"/>
        <n v="479.92"/>
        <n v="10.744"/>
        <n v="35.207999999999998"/>
        <n v="323.37"/>
        <n v="783.96000000000015"/>
        <n v="1447.6499999999999"/>
        <n v="947.17000000000007"/>
        <n v="115.44"/>
        <n v="88.77600000000001"/>
        <n v="64.14"/>
        <n v="13.943999999999999"/>
        <n v="21.34"/>
        <n v="63.936000000000007"/>
        <n v="311.97600000000006"/>
        <n v="50.352000000000004"/>
        <n v="43.560000000000009"/>
        <n v="5.84"/>
        <n v="34.650000000000006"/>
        <n v="19.8"/>
        <n v="88.751999999999995"/>
        <n v="12.176000000000002"/>
        <n v="37.32"/>
        <n v="35.06"/>
        <n v="665.88"/>
        <n v="8.82"/>
        <n v="62.496000000000009"/>
        <n v="339.96"/>
        <n v="13.847999999999999"/>
        <n v="46.688000000000002"/>
        <n v="191.96800000000002"/>
        <n v="25.68"/>
        <n v="14.592000000000002"/>
        <n v="1117.92"/>
        <n v="509.95749999999992"/>
        <n v="122.91"/>
        <n v="97.567999999999998"/>
        <n v="722.35200000000009"/>
        <n v="10.86"/>
        <n v="26.975999999999999"/>
        <n v="8.26"/>
        <n v="2973.32"/>
        <n v="104.79"/>
        <n v="775.72800000000007"/>
        <n v="19.194000000000003"/>
        <n v="121.79200000000002"/>
        <n v="845.72799999999995"/>
        <n v="14.73"/>
        <n v="20.239999999999998"/>
        <n v="6.63"/>
        <n v="540.56999999999994"/>
        <n v="167.76"/>
        <n v="58.379999999999995"/>
        <n v="80.88"/>
        <n v="1406.86"/>
        <n v="15.75"/>
        <n v="323.10000000000002"/>
        <n v="7.38"/>
        <n v="9.26"/>
        <n v="119.98"/>
        <n v="989.97"/>
        <n v="7.52"/>
        <n v="355.36"/>
        <n v="140.376"/>
        <n v="36.624000000000002"/>
        <n v="9.5680000000000014"/>
        <n v="82.367999999999995"/>
        <n v="364.70400000000006"/>
        <n v="40.256"/>
        <n v="225.57599999999996"/>
        <n v="11.952000000000002"/>
        <n v="4.5360000000000014"/>
        <n v="9.1560000000000006"/>
        <n v="75.36"/>
        <n v="51.98"/>
        <n v="12.56"/>
        <n v="186.69"/>
        <n v="257.64"/>
        <n v="125.97600000000001"/>
        <n v="125.944"/>
        <n v="4.96"/>
        <n v="201.56800000000001"/>
        <n v="217.58400000000003"/>
        <n v="5.43"/>
        <n v="143.976"/>
        <n v="204.85"/>
        <n v="20.96"/>
        <n v="304.23"/>
        <n v="5.9039999999999999"/>
        <n v="621.7600000000001"/>
        <n v="22.847999999999999"/>
        <n v="3.366000000000001"/>
        <n v="39.92"/>
        <n v="29.97"/>
        <n v="98.352000000000004"/>
        <n v="272.73599999999999"/>
        <n v="18.496000000000002"/>
        <n v="441.92"/>
        <n v="127.76400000000002"/>
        <n v="1348.7040000000002"/>
        <n v="700.15200000000004"/>
        <n v="195.46600000000001"/>
        <n v="519.96"/>
        <n v="2.0250000000000004"/>
        <n v="9.42"/>
        <n v="704.9"/>
        <n v="561.5680000000001"/>
        <n v="623.96"/>
        <n v="393.16500000000002"/>
        <n v="167.86"/>
        <n v="9.1440000000000001"/>
        <n v="23.136000000000003"/>
        <n v="266.35200000000003"/>
        <n v="209.92999999999998"/>
        <n v="10.92"/>
        <n v="1004.9760000000001"/>
        <n v="6.3680000000000003"/>
        <n v="558.4"/>
        <n v="277.5"/>
        <n v="3.3040000000000003"/>
        <n v="19.152000000000001"/>
        <n v="6.6080000000000005"/>
        <n v="144.78399999999999"/>
        <n v="139.94400000000002"/>
        <n v="133.47200000000001"/>
        <n v="50.8"/>
        <n v="31.56"/>
        <n v="104.23"/>
        <n v="70.260000000000005"/>
        <n v="2.3039999999999998"/>
        <n v="1879.96"/>
        <n v="313.024"/>
        <n v="5.04"/>
        <n v="30.080000000000002"/>
        <n v="36.288000000000011"/>
        <n v="10.272000000000002"/>
        <n v="252.8"/>
        <n v="544.00800000000004"/>
        <n v="59.94"/>
        <n v="4.28"/>
        <n v="586.39800000000002"/>
        <n v="7.1519999999999992"/>
        <n v="40.783999999999999"/>
        <n v="105.96"/>
        <n v="484.65000000000003"/>
        <n v="32.94"/>
        <n v="114.2"/>
        <n v="3.08"/>
        <n v="5.1040000000000001"/>
        <n v="892.35"/>
        <n v="307.666"/>
        <n v="728.82"/>
        <n v="41.36"/>
        <n v="4.16"/>
        <n v="58.320000000000007"/>
        <n v="1552.8309999999999"/>
        <n v="36.51"/>
        <n v="239.976"/>
        <n v="555.96"/>
        <n v="4.7520000000000007"/>
        <n v="959.98400000000004"/>
        <n v="14.368000000000002"/>
        <n v="31.44"/>
        <n v="129.44999999999999"/>
        <n v="238.15200000000004"/>
        <n v="9.7620000000000005"/>
        <n v="28.752000000000002"/>
        <n v="293.19900000000001"/>
        <n v="191.82"/>
        <n v="46.32"/>
        <n v="671.93"/>
        <n v="26.400000000000002"/>
        <n v="51.52"/>
        <n v="353.88"/>
        <n v="106.68"/>
        <n v="181.35"/>
        <n v="265.85999999999996"/>
        <n v="24.64"/>
        <n v="131.88"/>
        <n v="25.031999999999996"/>
        <n v="207.35"/>
        <n v="44.67"/>
        <n v="912.75"/>
        <n v="170.13600000000002"/>
        <n v="160.72"/>
        <n v="11.68"/>
        <n v="16.899999999999999"/>
        <n v="24.4"/>
        <n v="18.54"/>
        <n v="8.4"/>
        <n v="60.84"/>
        <n v="45.584000000000003"/>
        <n v="199.74"/>
        <n v="7.9"/>
        <n v="61.44"/>
        <n v="35.96"/>
        <n v="14.952000000000002"/>
        <n v="14.91"/>
        <n v="1158.1199999999999"/>
        <n v="35.119999999999997"/>
        <n v="23.200000000000003"/>
        <n v="16.463999999999999"/>
        <n v="1044.6299999999999"/>
        <n v="17.48"/>
        <n v="307.13600000000002"/>
        <n v="141.76"/>
        <n v="239.80000000000004"/>
        <n v="86.272000000000006"/>
        <n v="72.588000000000008"/>
        <n v="60.672000000000004"/>
        <n v="77.031000000000006"/>
        <n v="119.90400000000001"/>
        <n v="363.64800000000002"/>
        <n v="64.17"/>
        <n v="124.46"/>
        <n v="15.51"/>
        <n v="146.82"/>
        <n v="43.26"/>
        <n v="43.56"/>
        <n v="12.536000000000001"/>
        <n v="1.0800000000000003"/>
        <n v="4.5120000000000005"/>
        <n v="186.14999999999998"/>
        <n v="81.792000000000002"/>
        <n v="47.19"/>
        <n v="36.783999999999999"/>
        <n v="139.42400000000001"/>
        <n v="572.80000000000007"/>
        <n v="57.504000000000005"/>
        <n v="270.33999999999997"/>
        <n v="11.808"/>
        <n v="53.567999999999998"/>
        <n v="503.96000000000004"/>
        <n v="10.944000000000001"/>
        <n v="11.032"/>
        <n v="53.040000000000006"/>
        <n v="120.666"/>
        <n v="26.96"/>
        <n v="66.294000000000011"/>
        <n v="291.16800000000001"/>
        <n v="145.9"/>
        <n v="45.36"/>
        <n v="362.13599999999997"/>
        <n v="77.88"/>
        <n v="249.58400000000003"/>
        <n v="1640.6999999999998"/>
        <n v="270"/>
        <n v="16.02"/>
        <n v="74.759999999999991"/>
        <n v="364.77600000000007"/>
        <n v="148.32"/>
        <n v="240.78400000000002"/>
        <n v="11.8"/>
        <n v="842.35200000000009"/>
        <n v="3.5920000000000005"/>
        <n v="454.27200000000005"/>
        <n v="60.449999999999996"/>
        <n v="253.17599999999999"/>
        <n v="79.36"/>
        <n v="582.33600000000001"/>
        <n v="5.76"/>
        <n v="68.720000000000013"/>
        <n v="146.54400000000001"/>
        <n v="131.904"/>
        <n v="203.88000000000002"/>
        <n v="14.301000000000002"/>
        <n v="718.6400000000001"/>
        <n v="210.84"/>
        <n v="59.994000000000007"/>
        <n v="439.99200000000002"/>
        <n v="87.96"/>
        <n v="15.488"/>
        <n v="14.280000000000001"/>
        <n v="9.7280000000000015"/>
        <n v="14.75"/>
        <n v="29.800000000000004"/>
        <n v="427.42"/>
        <n v="19.98"/>
        <n v="398.35199999999998"/>
        <n v="17.450000000000003"/>
        <n v="323.13600000000002"/>
        <n v="29.700000000000003"/>
        <n v="1295.8400000000001"/>
        <n v="46.84"/>
        <n v="425.83300000000003"/>
        <n v="7.88"/>
        <n v="1038.8399999999999"/>
        <n v="447.93"/>
        <n v="96.960000000000008"/>
        <n v="117.48800000000001"/>
        <n v="512.49900000000002"/>
        <n v="1212.848"/>
        <n v="89.97"/>
        <n v="42.599999999999994"/>
        <n v="62.8"/>
        <n v="7.080000000000001"/>
        <n v="4.4009999999999998"/>
        <n v="190.72000000000003"/>
        <n v="5"/>
        <n v="371.96999999999997"/>
        <n v="66.69"/>
        <n v="91.68"/>
        <n v="119.9"/>
        <n v="2.48"/>
        <n v="79.900000000000006"/>
        <n v="15.700000000000001"/>
        <n v="238.89600000000002"/>
        <n v="102.35999999999999"/>
        <n v="36.882000000000005"/>
        <n v="339.96000000000004"/>
        <n v="63.980000000000004"/>
        <n v="9.8719999999999999"/>
        <n v="683.33199999999999"/>
        <n v="29.96"/>
        <n v="91.176000000000016"/>
        <n v="159.96800000000002"/>
        <n v="883.84"/>
        <n v="696.42"/>
        <n v="304.77600000000001"/>
        <n v="415.96800000000007"/>
        <n v="304.89999999999998"/>
        <n v="80.959999999999994"/>
        <n v="777.21"/>
        <n v="225.56799999999998"/>
        <n v="36.599999999999994"/>
        <n v="31.08"/>
        <n v="19.459999999999997"/>
        <n v="72.744000000000014"/>
        <n v="24.192"/>
        <n v="119.03999999999999"/>
        <n v="22.14"/>
        <n v="13.98"/>
        <n v="4.8960000000000008"/>
        <n v="145.76400000000001"/>
        <n v="9.6120000000000001"/>
        <n v="89.696000000000012"/>
        <n v="50.12"/>
        <n v="32.04"/>
        <n v="66.048000000000002"/>
        <n v="325.63200000000006"/>
        <n v="23.344000000000001"/>
        <n v="37.94"/>
        <n v="42.800000000000004"/>
        <n v="33.630000000000003"/>
        <n v="25.824000000000002"/>
        <n v="79.760000000000005"/>
        <n v="368.91"/>
        <n v="14.7"/>
        <n v="3.1680000000000001"/>
        <n v="454.86"/>
        <n v="91.391999999999996"/>
        <n v="283.92"/>
        <n v="107.97"/>
        <n v="113.82"/>
        <n v="8.2799999999999994"/>
        <n v="45.28"/>
        <n v="4.3040000000000003"/>
        <n v="56.3"/>
        <n v="55.424000000000007"/>
        <n v="13.899999999999999"/>
        <n v="2003.9200000000003"/>
        <n v="1913.3999999999999"/>
        <n v="2676.672"/>
        <n v="359.49899999999997"/>
        <n v="271.44"/>
        <n v="110.352"/>
        <n v="36.4"/>
        <n v="25.08"/>
        <n v="39"/>
        <n v="120.14999999999999"/>
        <n v="219.18400000000003"/>
        <n v="206.11199999999997"/>
        <n v="198.27200000000002"/>
        <n v="247.10399999999998"/>
        <n v="86.304000000000002"/>
        <n v="32.75"/>
        <n v="8.9600000000000009"/>
        <n v="3.96"/>
        <n v="2.61"/>
        <n v="79.92"/>
        <n v="221.96"/>
        <n v="236"/>
        <n v="15.696000000000002"/>
        <n v="13.120000000000001"/>
        <n v="69.576000000000008"/>
        <n v="58.08"/>
        <n v="52.416000000000004"/>
        <n v="54.920000000000009"/>
        <n v="364.95"/>
        <n v="85.055999999999997"/>
        <n v="27.695999999999998"/>
        <n v="110.52800000000001"/>
        <n v="348.92800000000005"/>
        <n v="24.448"/>
        <n v="2.21"/>
        <n v="166.5"/>
        <n v="360.38"/>
        <n v="97.88"/>
        <n v="299.94"/>
        <n v="25.76"/>
        <n v="134.47999999999999"/>
        <n v="494.37600000000009"/>
        <n v="29.2"/>
        <n v="248.85000000000002"/>
        <n v="36.24"/>
        <n v="8.0960000000000001"/>
        <n v="15.24"/>
        <n v="29.22"/>
        <n v="50"/>
        <n v="55.264000000000003"/>
        <n v="34.248000000000005"/>
        <n v="273.56799999999998"/>
        <n v="103.92"/>
        <n v="899.91"/>
        <n v="51.311999999999998"/>
        <n v="4.9800000000000004"/>
        <n v="135.98400000000001"/>
        <n v="92.960000000000008"/>
        <n v="6.8480000000000008"/>
        <n v="675.96"/>
        <n v="1265.8499999999999"/>
        <n v="7.9200000000000008"/>
        <n v="17.12"/>
        <n v="1618.37"/>
        <n v="99.6"/>
        <n v="60.984000000000009"/>
        <n v="590.05800000000011"/>
        <n v="14.04"/>
        <n v="106.232"/>
        <n v="111.98399999999999"/>
        <n v="19.936000000000003"/>
        <n v="45.92"/>
        <n v="1199.96"/>
        <n v="12.600000000000001"/>
        <n v="21.560000000000002"/>
        <n v="7.92"/>
        <n v="668.16"/>
        <n v="68.52"/>
        <n v="74.94"/>
        <n v="2548.5600000000004"/>
        <n v="287.88"/>
        <n v="114.46"/>
        <n v="34.58"/>
        <n v="349.95"/>
        <n v="377.92800000000005"/>
        <n v="69.98"/>
        <n v="24.849999999999998"/>
        <n v="11.648000000000001"/>
        <n v="90.570000000000007"/>
        <n v="153.56800000000001"/>
        <n v="1013.4879999999999"/>
        <n v="109.9"/>
        <n v="59.99"/>
        <n v="17.456"/>
        <n v="305.01"/>
        <n v="50.783999999999999"/>
        <n v="26.01"/>
        <n v="435.16800000000006"/>
        <n v="48.58"/>
        <n v="109.59200000000001"/>
        <n v="56.7"/>
        <n v="93.02"/>
        <n v="186.54"/>
        <n v="557.72799999999995"/>
        <n v="31.86"/>
        <n v="70.88"/>
        <n v="12.99"/>
        <n v="18.559999999999999"/>
        <n v="449.15"/>
        <n v="31.248000000000005"/>
        <n v="10.649999999999999"/>
        <n v="159.98400000000001"/>
        <n v="25.349999999999998"/>
        <n v="35.28"/>
        <n v="16.989999999999998"/>
        <n v="9.7020000000000017"/>
        <n v="4158.9120000000003"/>
        <n v="26.849999999999998"/>
        <n v="3357.6000000000004"/>
        <n v="104.69600000000001"/>
        <n v="676.55"/>
        <n v="154.9"/>
        <n v="30.56"/>
        <n v="770.35200000000009"/>
        <n v="157.91999999999999"/>
        <n v="203.184"/>
        <n v="28.28"/>
        <n v="4912.59"/>
        <n v="51.184000000000012"/>
        <n v="196.78399999999999"/>
        <n v="4.5439999999999996"/>
        <n v="1352.0320000000002"/>
        <n v="84.784000000000006"/>
        <n v="72.294000000000011"/>
        <n v="20.736000000000004"/>
        <n v="16.821000000000005"/>
        <n v="58.58"/>
        <n v="167.88800000000001"/>
        <n v="403.16800000000001"/>
        <n v="17.64"/>
        <n v="17.04"/>
        <n v="87.92"/>
        <n v="31.560000000000002"/>
        <n v="30.144000000000002"/>
        <n v="64.959999999999994"/>
        <n v="24.700000000000003"/>
        <n v="35.352000000000004"/>
        <n v="556.66499999999996"/>
        <n v="23.2"/>
        <n v="113.76"/>
        <n v="579.51"/>
        <n v="150.66"/>
        <n v="48.032000000000004"/>
        <n v="638.28800000000012"/>
        <n v="13.208000000000002"/>
        <n v="194.35200000000003"/>
        <n v="6.12"/>
        <n v="383.8"/>
        <n v="933.53600000000006"/>
        <n v="42.975999999999999"/>
        <n v="1121.568"/>
        <n v="143.69999999999999"/>
        <n v="28.799999999999997"/>
        <n v="257.49900000000002"/>
        <n v="39.960000000000008"/>
        <n v="5.46"/>
        <n v="73.2"/>
        <n v="9.3360000000000003"/>
        <n v="8.32"/>
        <n v="23.56"/>
        <n v="1272.6299999999999"/>
        <n v="28.484999999999999"/>
        <n v="185.376"/>
        <n v="78.272000000000006"/>
        <n v="251.52"/>
        <n v="71.97"/>
        <n v="3.9840000000000004"/>
        <n v="3.1080000000000001"/>
        <n v="29.472000000000001"/>
        <n v="41.568000000000005"/>
        <n v="111.88800000000001"/>
        <n v="246.16800000000001"/>
        <n v="6.7200000000000006"/>
        <n v="298.77600000000001"/>
        <n v="71.088000000000008"/>
        <n v="1685.88"/>
        <n v="5.7280000000000006"/>
        <n v="41.6"/>
        <n v="93.98"/>
        <n v="54.900000000000006"/>
        <n v="120"/>
        <n v="8.67"/>
        <n v="185.52800000000002"/>
        <n v="17.34"/>
        <n v="282.83999999999997"/>
        <n v="27.72"/>
        <n v="104.28"/>
        <n v="87.84"/>
        <n v="1049.2"/>
        <n v="15.424000000000001"/>
        <n v="40.635000000000012"/>
        <n v="55.176000000000002"/>
        <n v="66.260000000000005"/>
        <n v="2396.4"/>
        <n v="222.38400000000001"/>
        <n v="37.049999999999997"/>
        <n v="5.9399999999999995"/>
        <n v="484.70400000000006"/>
        <n v="371.97600000000006"/>
        <n v="13.38"/>
        <n v="262.24"/>
        <n v="131.6"/>
        <n v="22.620000000000005"/>
        <n v="14.952000000000004"/>
        <n v="2.3760000000000003"/>
        <n v="32.792000000000002"/>
        <n v="38.880000000000003"/>
        <n v="167.84"/>
        <n v="30.18"/>
        <n v="51.648000000000003"/>
        <n v="11.231999999999999"/>
        <n v="21.552000000000003"/>
        <n v="58.24"/>
        <n v="61.38"/>
        <n v="22.05"/>
        <n v="99.9"/>
        <n v="3023.9280000000003"/>
        <n v="477.6"/>
        <n v="4.7840000000000007"/>
        <n v="4.7300000000000004"/>
        <n v="177.48000000000002"/>
        <n v="20.7"/>
        <n v="1335.68"/>
        <n v="53.984000000000002"/>
        <n v="389.97"/>
        <n v="902.71199999999999"/>
        <n v="185.88"/>
        <n v="7.04"/>
        <n v="8.73"/>
        <n v="29.29"/>
        <n v="599.16499999999996"/>
        <n v="1293.4879999999998"/>
        <n v="1115.17"/>
        <n v="46.349999999999994"/>
        <n v="111.96"/>
        <n v="239.66599999999997"/>
        <n v="22.5"/>
        <n v="219.84"/>
        <n v="483.13599999999997"/>
        <n v="5.16"/>
        <n v="46.76"/>
        <n v="17.712"/>
        <n v="21.78"/>
        <n v="161.94"/>
        <n v="161.56800000000001"/>
        <n v="93.68"/>
        <n v="21.93"/>
        <n v="862.34400000000005"/>
        <n v="38.24"/>
        <n v="4476.8"/>
        <n v="60.81"/>
        <n v="231.72"/>
        <n v="12.48"/>
        <n v="7.7520000000000007"/>
        <n v="33.568000000000005"/>
        <n v="1499.95"/>
        <n v="2.4960000000000004"/>
        <n v="195.184"/>
        <n v="25.4"/>
        <n v="43.96"/>
        <n v="1279.165"/>
        <n v="27.92"/>
        <n v="215.65"/>
        <n v="2799.9600000000005"/>
        <n v="19.968000000000004"/>
        <n v="33.488000000000007"/>
        <n v="8.7360000000000024"/>
        <n v="662.88"/>
        <n v="107.98399999999999"/>
        <n v="16.768000000000001"/>
        <n v="44.856000000000009"/>
        <n v="95.76"/>
        <n v="380.86400000000003"/>
        <n v="110.376"/>
        <n v="151.62"/>
        <n v="30.8"/>
        <n v="12.419999999999998"/>
        <n v="428.40000000000003"/>
        <n v="24.75"/>
        <n v="69.52"/>
        <n v="20.784000000000002"/>
        <n v="12.816000000000001"/>
        <n v="1.8720000000000003"/>
        <n v="854.35200000000009"/>
        <n v="593.5680000000001"/>
        <n v="338.04"/>
        <n v="33.799999999999997"/>
        <n v="55.991999999999997"/>
        <n v="35.984000000000002"/>
        <n v="419.90000000000003"/>
        <n v="3.15"/>
        <n v="6.3"/>
        <n v="86.199999999999989"/>
        <n v="119.61600000000001"/>
        <n v="255.76"/>
        <n v="69.3"/>
        <n v="21.48"/>
        <n v="37.17"/>
        <n v="715.64"/>
        <n v="863.12800000000004"/>
        <n v="1039.7280000000001"/>
        <n v="45.96"/>
        <n v="136.46400000000003"/>
        <n v="12.544"/>
        <n v="302.38400000000001"/>
        <n v="20.952000000000002"/>
        <n v="11.784000000000001"/>
        <n v="513.024"/>
        <n v="487.91999999999996"/>
        <n v="15.54"/>
        <n v="105.55199999999999"/>
        <n v="18.882000000000005"/>
        <n v="122.328"/>
        <n v="312.03000000000003"/>
        <n v="165.60000000000002"/>
        <n v="37.520000000000003"/>
        <n v="161.28"/>
        <n v="15.712000000000002"/>
        <n v="12.672000000000001"/>
        <n v="254.96999999999997"/>
        <n v="31.983999999999998"/>
        <n v="2887.0560000000005"/>
        <n v="47.52"/>
        <n v="33.44"/>
        <n v="26.352000000000004"/>
        <n v="98.328000000000003"/>
        <n v="837.59999999999991"/>
        <n v="135.9"/>
        <n v="532.70400000000006"/>
        <n v="43.099999999999994"/>
        <n v="15.88"/>
        <n v="10.23"/>
        <n v="1603.1360000000002"/>
        <n v="15.48"/>
        <n v="108.57599999999999"/>
        <n v="47.04"/>
        <n v="21.88"/>
        <n v="12.78"/>
        <n v="46.53"/>
        <n v="999.98"/>
        <n v="215.976"/>
        <n v="65.94"/>
        <n v="94.679999999999993"/>
        <n v="23.669999999999998"/>
        <n v="18.689999999999998"/>
        <n v="568.72800000000007"/>
        <n v="24.27"/>
        <n v="116"/>
        <n v="96.08"/>
        <n v="4.3600000000000003"/>
        <n v="33.024000000000001"/>
        <n v="67.13600000000001"/>
        <n v="146.04000000000002"/>
        <n v="30.87"/>
        <n v="261.74"/>
        <n v="55.360000000000007"/>
        <n v="14.256000000000002"/>
        <n v="39.624000000000009"/>
        <n v="276.78400000000005"/>
        <n v="7.61"/>
        <n v="3347.37"/>
        <n v="332.94"/>
        <n v="39.872000000000007"/>
        <n v="2.9120000000000004"/>
        <n v="15.136000000000003"/>
        <n v="466.76800000000003"/>
        <n v="15.231999999999999"/>
        <n v="6.2640000000000002"/>
        <n v="10.47"/>
        <n v="11.07"/>
        <n v="20.704000000000001"/>
        <n v="146.952"/>
        <n v="83.13600000000001"/>
        <n v="48.664000000000001"/>
        <n v="20.416"/>
        <n v="1128.3899999999999"/>
        <n v="35.4"/>
        <n v="273.666"/>
        <n v="20.100000000000001"/>
        <n v="113.88800000000002"/>
        <n v="12.32"/>
        <n v="885.52800000000002"/>
        <n v="159.88"/>
        <n v="8.9280000000000008"/>
        <n v="65.789999999999992"/>
        <n v="271.98400000000004"/>
        <n v="77.52"/>
        <n v="48.64"/>
        <n v="163.88"/>
        <n v="68.432000000000016"/>
        <n v="13.68"/>
        <n v="4.08"/>
        <n v="13.216000000000001"/>
        <n v="41.96"/>
        <n v="41.7"/>
        <n v="63.2"/>
        <n v="21.44"/>
        <n v="511.05600000000004"/>
        <n v="563.24"/>
        <n v="60.048000000000002"/>
        <n v="5.0220000000000002"/>
        <n v="16.559999999999999"/>
        <n v="477.666"/>
        <n v="479.97600000000006"/>
        <n v="44.736000000000004"/>
        <n v="424.95749999999992"/>
        <n v="236.88"/>
        <n v="29.900000000000002"/>
        <n v="100"/>
        <n v="7.83"/>
        <n v="1001.5840000000001"/>
        <n v="18.97"/>
        <n v="27.240000000000002"/>
        <n v="10.496"/>
        <n v="859.2"/>
        <n v="194.84800000000001"/>
        <n v="54.792000000000009"/>
        <n v="97.82"/>
        <n v="703.71"/>
        <n v="17.904000000000003"/>
        <n v="11.976000000000003"/>
        <n v="67.959999999999994"/>
        <n v="27.263999999999999"/>
        <n v="93.36"/>
        <n v="1.4080000000000001"/>
        <n v="169.56800000000001"/>
        <n v="90.882000000000005"/>
        <n v="120.78399999999999"/>
        <n v="35.44"/>
        <n v="76.176000000000002"/>
        <n v="65.88"/>
        <n v="43.120000000000005"/>
        <n v="727.45"/>
        <n v="24.96"/>
        <n v="177"/>
        <n v="60.12"/>
        <n v="71.599999999999994"/>
        <n v="18.16"/>
        <n v="307.92"/>
        <n v="387.13600000000002"/>
        <n v="22.919999999999998"/>
        <n v="154.44"/>
        <n v="113.22"/>
        <n v="35.880000000000003"/>
        <n v="4535.9760000000006"/>
        <n v="242.13600000000002"/>
        <n v="19.96"/>
        <n v="6.68"/>
        <n v="8.34"/>
        <n v="101.94"/>
        <n v="17.05"/>
        <n v="359.98"/>
        <n v="199.99"/>
        <n v="450"/>
        <n v="93.06"/>
        <n v="50.96"/>
        <n v="49.536000000000001"/>
        <n v="11.744"/>
        <n v="3.62"/>
        <n v="1085.42"/>
        <n v="82.95"/>
        <n v="1101.48"/>
        <n v="15.260000000000002"/>
        <n v="43.32"/>
        <n v="43.584000000000003"/>
        <n v="116.28"/>
        <n v="9.2959999999999994"/>
        <n v="314.54999999999995"/>
        <n v="4.1580000000000004"/>
        <n v="179.99100000000004"/>
        <n v="209.88"/>
        <n v="38.29"/>
        <n v="192.8"/>
        <n v="17.584000000000003"/>
        <n v="104.78399999999999"/>
        <n v="47.952000000000005"/>
        <n v="650.35200000000009"/>
        <n v="629.18400000000008"/>
        <n v="15.176"/>
        <n v="4.1760000000000002"/>
        <n v="686.40000000000009"/>
        <n v="29.120000000000005"/>
        <n v="53.248000000000005"/>
        <n v="479.72"/>
        <n v="72"/>
        <n v="81.424000000000007"/>
        <n v="238.56"/>
        <n v="84.84"/>
        <n v="27.680000000000003"/>
        <n v="37.44"/>
        <n v="11.36"/>
        <n v="14.82"/>
        <n v="12.9"/>
        <n v="479.97"/>
        <n v="57.584000000000003"/>
        <n v="155.82000000000002"/>
        <n v="67.710000000000008"/>
        <n v="129.91999999999999"/>
        <n v="467.46"/>
        <n v="61.4"/>
        <n v="720.76"/>
        <n v="5.1840000000000011"/>
        <n v="9.98"/>
        <n v="29.74"/>
        <n v="6.96"/>
        <n v="451.15199999999993"/>
        <n v="31.504000000000005"/>
        <n v="6.27"/>
        <n v="4.3680000000000003"/>
        <n v="203.976"/>
        <n v="44.02"/>
        <n v="4.18"/>
        <n v="19.54"/>
        <n v="9.84"/>
        <n v="99.390000000000015"/>
        <n v="1016.792"/>
        <n v="38.136000000000003"/>
        <n v="361.37600000000003"/>
        <n v="28.4"/>
        <n v="10.776000000000002"/>
        <n v="49.5"/>
        <n v="61.192"/>
        <n v="67.84"/>
        <n v="595"/>
        <n v="61.120000000000005"/>
        <n v="31.96"/>
        <n v="27.88"/>
        <n v="33.520000000000003"/>
        <n v="9.94"/>
        <n v="24.784000000000002"/>
        <n v="659.9"/>
        <n v="1684.7520000000002"/>
        <n v="559.91999999999996"/>
        <n v="1219.96"/>
        <n v="82.26"/>
        <n v="3406.6640000000002"/>
        <n v="595.38"/>
        <n v="271.99200000000002"/>
        <n v="39.808"/>
        <n v="16.739999999999998"/>
        <n v="47.9"/>
        <n v="1112.94"/>
        <n v="23.04"/>
        <n v="40.46"/>
        <n v="33.869999999999997"/>
        <n v="24.704000000000001"/>
        <n v="59.699999999999996"/>
        <n v="104.184"/>
        <n v="1649.95"/>
        <n v="111.89999999999999"/>
        <n v="772.68"/>
        <n v="268.70400000000001"/>
        <n v="21.92"/>
        <n v="48.72"/>
        <n v="407.97600000000006"/>
        <n v="156.79200000000003"/>
        <n v="431.97600000000006"/>
        <n v="35.89"/>
        <n v="47.207999999999998"/>
        <n v="248.07999999999998"/>
        <n v="189.7"/>
        <n v="271.95999999999998"/>
        <n v="13.86"/>
        <n v="13.375999999999999"/>
        <n v="437.47200000000009"/>
        <n v="1421.6640000000002"/>
        <n v="34.049999999999997"/>
        <n v="352.38"/>
        <n v="273.92"/>
        <n v="321.56799999999998"/>
        <n v="153.55199999999999"/>
        <n v="65.34"/>
        <n v="35.099999999999994"/>
        <n v="44.75"/>
        <n v="80.28"/>
        <n v="243.38400000000001"/>
        <n v="119.80000000000001"/>
        <n v="300.76799999999997"/>
        <n v="14.8"/>
        <n v="316"/>
        <n v="403.92"/>
        <n v="209.60000000000002"/>
        <n v="23.32"/>
        <n v="30.98"/>
        <n v="119.96"/>
        <n v="363.92"/>
        <n v="122.688"/>
        <n v="892.13600000000008"/>
        <n v="50.22"/>
        <n v="83.42"/>
        <n v="5.8719999999999999"/>
        <n v="383.64"/>
        <n v="56.519999999999996"/>
        <n v="1114.2719999999999"/>
        <n v="134.80000000000001"/>
        <n v="14.76"/>
        <n v="564.19499999999994"/>
        <n v="87.168000000000006"/>
        <n v="563.91999999999996"/>
        <n v="21.209999999999997"/>
        <n v="2003.52"/>
        <n v="13.488"/>
        <n v="11.416"/>
        <n v="183.84"/>
        <n v="579.29999999999995"/>
        <n v="72.64"/>
        <n v="45.240000000000009"/>
        <n v="18.687999999999999"/>
        <n v="112.77600000000001"/>
        <n v="377.45"/>
        <n v="15.936000000000002"/>
        <n v="28.68"/>
        <n v="66.976000000000013"/>
        <n v="455.97"/>
        <n v="10.440000000000001"/>
        <n v="31.32"/>
        <n v="11.840000000000002"/>
        <n v="22.784000000000002"/>
        <n v="842.72"/>
        <n v="4.2"/>
        <n v="227.28"/>
        <n v="39.76"/>
        <n v="2575.944"/>
        <n v="254.24"/>
        <n v="1747.25"/>
        <n v="35.445"/>
        <n v="269.97000000000003"/>
        <n v="45.120000000000005"/>
        <n v="100.80000000000001"/>
        <n v="47.968000000000004"/>
        <n v="18.72"/>
        <n v="11.328000000000001"/>
        <n v="17.760000000000002"/>
        <n v="53.97"/>
        <n v="20.16"/>
        <n v="27.792000000000002"/>
        <n v="14.03"/>
        <n v="27.96"/>
        <n v="481.32"/>
        <n v="6.3840000000000003"/>
        <n v="3.64"/>
        <n v="159.768"/>
        <n v="38.376000000000005"/>
        <n v="474.43"/>
        <n v="16.59"/>
        <n v="2022.2720000000002"/>
        <n v="9.120000000000001"/>
        <n v="153.78"/>
        <n v="61.019999999999996"/>
        <n v="110.11"/>
        <n v="7.89"/>
        <n v="892.98"/>
        <n v="9.7799999999999994"/>
        <n v="169.06400000000002"/>
        <n v="168.624"/>
        <n v="399.67200000000003"/>
        <n v="160.77600000000001"/>
        <n v="24.2"/>
        <n v="359.97600000000006"/>
        <n v="99.695999999999998"/>
        <n v="84.98"/>
        <n v="2999.95"/>
        <n v="1126.02"/>
        <n v="86.352000000000004"/>
        <n v="95.984000000000009"/>
        <n v="4.9380000000000006"/>
        <n v="25.86"/>
        <n v="11.84"/>
        <n v="37.74"/>
        <n v="8.57"/>
        <n v="129.30000000000001"/>
        <n v="12.74"/>
        <n v="604.76800000000003"/>
        <n v="86.26"/>
        <n v="139.04"/>
        <n v="46.8"/>
        <n v="210.58"/>
        <n v="30.960000000000004"/>
        <n v="371.2"/>
        <n v="354.90000000000003"/>
        <n v="203.98299999999998"/>
        <n v="21.335999999999999"/>
        <n v="963.13600000000008"/>
        <n v="799.96"/>
        <n v="107.53"/>
        <n v="167.976"/>
        <n v="109.53"/>
        <n v="9.82"/>
        <n v="11.22"/>
        <n v="22.23"/>
        <n v="215.96799999999999"/>
        <n v="9.4320000000000004"/>
        <n v="31.992000000000004"/>
        <n v="51.168000000000006"/>
        <n v="10.64"/>
        <n v="68.703999999999994"/>
        <n v="386.91"/>
        <n v="71.959999999999994"/>
        <n v="81.92"/>
        <n v="889.53600000000006"/>
        <n v="223.92"/>
        <n v="23.12"/>
        <n v="356.78999999999996"/>
        <n v="196.77600000000001"/>
        <n v="479.93999999999994"/>
        <n v="1049.44"/>
        <n v="9.32"/>
        <n v="15.25"/>
        <n v="14.976000000000001"/>
        <n v="67.78"/>
        <n v="286.93"/>
        <n v="206.38400000000001"/>
        <n v="171.20000000000002"/>
        <n v="479.98400000000004"/>
        <n v="30.84"/>
        <n v="90.8"/>
        <n v="214.95000000000002"/>
        <n v="288.24"/>
        <n v="1332.4960000000001"/>
        <n v="46.51"/>
        <n v="659.97600000000011"/>
        <n v="70.463999999999999"/>
        <n v="140.67000000000002"/>
        <n v="46.2"/>
        <n v="19.399999999999999"/>
        <n v="90.86"/>
        <n v="19.824000000000002"/>
        <n v="657.50400000000002"/>
        <n v="99.54"/>
        <n v="14.624000000000002"/>
        <n v="697.16"/>
        <n v="30.93"/>
        <n v="27.496000000000002"/>
        <n v="381.35999999999996"/>
        <n v="265.93"/>
        <n v="725.84"/>
        <n v="10.896000000000001"/>
        <n v="8.5440000000000005"/>
        <n v="30.576000000000001"/>
        <n v="13.020000000000001"/>
        <n v="211.84"/>
        <n v="34.76"/>
        <n v="32.479999999999997"/>
        <n v="13999.96"/>
        <n v="176.04"/>
        <n v="185.92000000000002"/>
        <n v="19.829999999999998"/>
        <n v="11.94"/>
        <n v="26.48"/>
        <n v="532.72"/>
        <n v="26.72"/>
        <n v="795.48"/>
        <n v="6.08"/>
        <n v="164.79200000000003"/>
        <n v="94.2"/>
        <n v="121.67999999999999"/>
        <n v="482.66399999999999"/>
        <n v="4799.9839999999995"/>
        <n v="25.11"/>
        <n v="244.54999999999998"/>
        <n v="195.76"/>
        <n v="199.95000000000002"/>
        <n v="41.86"/>
        <n v="895.92"/>
        <n v="196.45"/>
        <n v="205.92"/>
        <n v="102.833"/>
        <n v="12.030000000000001"/>
        <n v="2549.9850000000006"/>
        <n v="21.594000000000005"/>
        <n v="8.9640000000000022"/>
        <n v="28.14"/>
        <n v="274.89"/>
        <n v="11.54"/>
        <n v="162.60000000000002"/>
        <n v="18.28"/>
        <n v="66.36"/>
        <n v="92.88000000000001"/>
        <n v="24.14"/>
        <n v="11.664000000000001"/>
        <n v="1.81"/>
        <n v="552"/>
        <n v="13.904"/>
        <n v="8.895999999999999"/>
        <n v="19.049999999999997"/>
        <n v="73.343999999999994"/>
        <n v="344.98099999999994"/>
        <n v="39.28"/>
        <n v="139.58000000000001"/>
        <n v="163.96"/>
        <n v="23.24"/>
        <n v="159.56"/>
        <n v="34.4"/>
        <n v="763.44"/>
        <n v="22.959999999999997"/>
        <n v="183.96"/>
        <n v="17.61"/>
        <n v="300.904"/>
        <n v="243.16"/>
        <n v="23.16"/>
        <n v="21.240000000000002"/>
        <n v="9.5520000000000014"/>
        <n v="89.991000000000014"/>
        <n v="152.94"/>
        <n v="84.415999999999997"/>
        <n v="79.989999999999995"/>
        <n v="419.94399999999996"/>
        <n v="3359.9520000000002"/>
        <n v="81.08"/>
        <n v="147.91999999999999"/>
        <n v="286.85000000000002"/>
        <n v="66.959999999999994"/>
        <n v="37.589999999999996"/>
        <n v="26.032"/>
        <n v="209.97900000000001"/>
        <n v="7.77"/>
        <n v="285.48"/>
        <n v="19.168000000000003"/>
        <n v="1399.93"/>
        <n v="440.18999999999994"/>
        <n v="64.400000000000006"/>
        <n v="29.592000000000002"/>
        <n v="42.624000000000002"/>
        <n v="220.96"/>
        <n v="344.70400000000001"/>
        <n v="97.16"/>
        <n v="681.40800000000013"/>
        <n v="3.52"/>
        <n v="5.58"/>
        <n v="36.32"/>
        <n v="133.12"/>
        <n v="518.27200000000005"/>
        <n v="6.98"/>
        <n v="343.20000000000005"/>
        <n v="1123.1280000000002"/>
        <n v="64.900000000000006"/>
        <n v="68.459999999999994"/>
        <n v="49.56"/>
        <n v="2.78"/>
        <n v="171.28800000000001"/>
        <n v="98.16"/>
        <n v="35"/>
        <n v="477.15000000000003"/>
        <n v="195.96000000000004"/>
        <n v="271.96800000000002"/>
        <n v="35.360000000000007"/>
        <n v="13.591999999999999"/>
        <n v="25.344000000000001"/>
        <n v="1099.5"/>
        <n v="3.9119999999999999"/>
        <n v="136.26"/>
        <n v="4.95"/>
        <n v="1497.6659999999999"/>
        <n v="17.52"/>
        <n v="89.544000000000011"/>
        <n v="35.167999999999999"/>
        <n v="514.16499999999996"/>
        <n v="279.95999999999998"/>
        <n v="15.58"/>
        <n v="14.700000000000001"/>
        <n v="122.97"/>
        <n v="280.79200000000003"/>
        <n v="68.448000000000008"/>
        <n v="88.04"/>
        <n v="15.872"/>
        <n v="215.59200000000001"/>
        <n v="385.80000000000007"/>
        <n v="102.96"/>
        <n v="174.42000000000002"/>
        <n v="291.13600000000002"/>
        <n v="47.975999999999999"/>
        <n v="4.26"/>
        <n v="1212.96"/>
        <n v="16.68"/>
        <n v="192.16"/>
        <n v="155.25"/>
        <n v="917.92349999999988"/>
        <n v="50.32"/>
        <n v="24.56"/>
        <n v="95.92"/>
        <n v="385.6"/>
        <n v="35.82"/>
        <n v="71.040000000000006"/>
        <n v="5.3440000000000003"/>
        <n v="11.304"/>
        <n v="871.4"/>
        <n v="83.76"/>
        <n v="431.92800000000005"/>
        <n v="126.30000000000001"/>
        <n v="1287.45"/>
        <n v="1295.78"/>
        <n v="312.55200000000002"/>
        <n v="130.71"/>
        <n v="75.792000000000002"/>
        <n v="204.95000000000002"/>
        <n v="545.85"/>
        <n v="59.98"/>
        <n v="2395.2000000000003"/>
        <n v="1687.8"/>
        <n v="7.9920000000000009"/>
        <n v="129.39000000000001"/>
        <n v="122.13600000000001"/>
        <n v="198.46"/>
        <n v="786.48"/>
        <n v="23.168000000000003"/>
        <n v="75.179999999999993"/>
        <n v="86.376000000000005"/>
        <n v="18.240000000000002"/>
        <n v="168.1"/>
        <n v="71.951999999999998"/>
        <n v="4.4479999999999995"/>
        <n v="276.69"/>
        <n v="71.92"/>
        <n v="18.84"/>
        <n v="140.97"/>
        <n v="470.37600000000009"/>
        <n v="57.9"/>
        <n v="1194.165"/>
        <n v="801.59999999999991"/>
        <n v="16.096"/>
        <n v="7.6560000000000006"/>
        <n v="71.928000000000011"/>
        <n v="25.99"/>
        <n v="16.34"/>
        <n v="1626.1920000000002"/>
        <n v="15.192"/>
        <n v="2399.96"/>
        <n v="362.35199999999998"/>
        <n v="26.2"/>
        <n v="234.95000000000002"/>
        <n v="9.9840000000000018"/>
        <n v="14.98"/>
        <n v="1145.6000000000001"/>
        <n v="115.96"/>
        <n v="26.25"/>
        <n v="56.56"/>
        <n v="36.96"/>
        <n v="54.896000000000008"/>
        <n v="51.75"/>
        <n v="123.96000000000001"/>
        <n v="99.87"/>
        <n v="16.059999999999999"/>
        <n v="7.9680000000000009"/>
        <n v="8.7840000000000007"/>
        <n v="159.96000000000004"/>
        <n v="13.76"/>
        <n v="707.88"/>
        <n v="31.128000000000004"/>
        <n v="55.76"/>
        <n v="207.18400000000003"/>
        <n v="1473.1"/>
        <n v="542.93999999999994"/>
        <n v="54.92"/>
        <n v="299.99"/>
        <n v="242.624"/>
        <n v="46.74"/>
        <n v="174.95000000000002"/>
        <n v="83.79"/>
        <n v="36.024000000000001"/>
        <n v="418.29599999999994"/>
        <n v="23.36"/>
        <n v="13.919999999999998"/>
        <n v="2518.29"/>
        <n v="221.05600000000001"/>
        <n v="843.9"/>
        <n v="1496.16"/>
        <n v="2793.5280000000002"/>
        <n v="1000.0200000000001"/>
        <n v="102.72"/>
        <n v="239.12000000000003"/>
        <n v="17.22"/>
        <n v="226.56"/>
        <n v="107.88"/>
        <n v="431.96800000000007"/>
        <n v="117.14400000000001"/>
        <n v="203.52"/>
        <n v="83.88"/>
        <n v="388.70400000000006"/>
        <n v="572.58000000000004"/>
        <n v="33.18"/>
        <n v="237.09600000000003"/>
        <n v="22.752000000000002"/>
        <n v="6.6720000000000006"/>
        <n v="210.00800000000001"/>
        <n v="321.92"/>
        <n v="879.98400000000004"/>
        <n v="841.5680000000001"/>
        <n v="120.57600000000001"/>
        <n v="1137.75"/>
        <n v="99.680000000000021"/>
        <n v="148.02000000000001"/>
        <n v="8.3760000000000012"/>
        <n v="6.6719999999999988"/>
        <n v="689.40800000000002"/>
        <n v="569.5680000000001"/>
        <n v="149.73000000000002"/>
        <n v="6.2080000000000002"/>
        <n v="193.95000000000002"/>
        <n v="19.989999999999998"/>
        <n v="22.92"/>
        <n v="7.58"/>
        <n v="314.60000000000002"/>
        <n v="283.56"/>
        <n v="6.57"/>
        <n v="9.3999999999999986"/>
        <n v="74"/>
        <n v="236.52800000000002"/>
        <n v="11.696"/>
        <n v="511.5"/>
        <n v="5.96"/>
        <n v="82.56"/>
        <n v="284.96999999999997"/>
        <n v="1322.3520000000001"/>
        <n v="5.5600000000000005"/>
        <n v="217.85"/>
        <n v="54.32"/>
        <n v="13.343999999999998"/>
        <n v="1478.2719999999999"/>
        <n v="421.1"/>
        <n v="88.074000000000012"/>
        <n v="47.94"/>
        <n v="279.94400000000002"/>
        <n v="7.857000000000002"/>
        <n v="25.16"/>
        <n v="126.56"/>
        <n v="19.760000000000002"/>
        <n v="455.71199999999999"/>
        <n v="25.98"/>
        <n v="243.92"/>
        <n v="159.96"/>
        <n v="11.176000000000002"/>
        <n v="22.18"/>
        <n v="2054.2720000000004"/>
        <n v="32.36"/>
        <n v="406.59999999999997"/>
        <n v="177.56800000000001"/>
        <n v="71.28"/>
        <n v="1471.96"/>
        <n v="79.959999999999994"/>
        <n v="143.952"/>
        <n v="8.36"/>
        <n v="56.699999999999996"/>
        <n v="2357.4880000000003"/>
        <n v="369.54399999999998"/>
        <n v="529.9"/>
        <n v="99.3"/>
        <n v="108.96"/>
        <n v="2.6880000000000002"/>
        <n v="295.05599999999998"/>
        <n v="1292.94"/>
        <n v="25.584000000000003"/>
        <n v="14.399999999999999"/>
        <n v="10.080000000000002"/>
        <n v="101.34"/>
        <n v="23.832000000000001"/>
        <n v="409.21600000000001"/>
        <n v="149.94999999999999"/>
        <n v="16.740000000000002"/>
        <n v="12.624000000000001"/>
        <n v="89.584000000000003"/>
        <n v="471.92"/>
        <n v="18.180000000000003"/>
        <n v="71.98"/>
        <n v="79.98"/>
        <n v="55.86"/>
        <n v="27.18"/>
        <n v="21.96"/>
        <n v="6.88"/>
        <n v="29.328000000000003"/>
        <n v="180.58800000000005"/>
        <n v="47.984000000000002"/>
        <n v="160.96"/>
        <n v="211.04"/>
        <n v="594.81600000000003"/>
        <n v="72.960000000000008"/>
        <n v="506.28"/>
        <n v="199.8"/>
        <n v="39.900000000000006"/>
        <n v="71.88"/>
        <n v="931.17600000000016"/>
        <n v="2.2239999999999998"/>
        <n v="32.776000000000003"/>
        <n v="147.184"/>
        <n v="54.384000000000007"/>
        <n v="76.77600000000001"/>
        <n v="209.79200000000003"/>
        <n v="72.784000000000006"/>
        <n v="97.84"/>
        <n v="46.672000000000004"/>
        <n v="97.3"/>
        <n v="167.94"/>
        <n v="3.89"/>
        <n v="91.84"/>
        <n v="81.088000000000008"/>
        <n v="1.4400000000000002"/>
        <n v="61.77600000000001"/>
        <n v="241.96"/>
        <n v="108.608"/>
        <n v="104.75"/>
        <n v="112.12000000000002"/>
        <n v="1575.14"/>
        <n v="217.76400000000001"/>
        <n v="22.638000000000002"/>
        <n v="95.143999999999991"/>
        <n v="17.46"/>
        <n v="369.16"/>
        <n v="63.824000000000005"/>
        <n v="15.8"/>
        <n v="72.900000000000006"/>
        <n v="206.35200000000003"/>
        <n v="227.84"/>
        <n v="9.3439999999999994"/>
        <n v="1115.9099999999999"/>
        <n v="128.744"/>
        <n v="79.920000000000016"/>
        <n v="103.19200000000001"/>
        <n v="36"/>
        <n v="239.96"/>
        <n v="35.200000000000003"/>
        <n v="79.872000000000014"/>
        <n v="0.99"/>
        <n v="101.84"/>
        <n v="435.84000000000003"/>
        <n v="209.94"/>
        <n v="5083.96"/>
        <n v="9.4600000000000009"/>
        <n v="46.36"/>
        <n v="510.24"/>
        <n v="152.65"/>
        <n v="307.77600000000001"/>
        <n v="599.98500000000013"/>
        <n v="31.5"/>
        <n v="24.368000000000002"/>
        <n v="3.75"/>
        <n v="20.928000000000001"/>
        <n v="28.400000000000002"/>
        <n v="8.5590000000000011"/>
        <n v="177.22499999999999"/>
        <n v="3.1680000000000006"/>
        <n v="579.13599999999997"/>
        <n v="95.84"/>
        <n v="189.57600000000002"/>
        <n v="44.783999999999999"/>
        <n v="9.64"/>
        <n v="43.86"/>
        <n v="148.47999999999999"/>
        <n v="7.42"/>
        <n v="71.992000000000004"/>
        <n v="1702.12"/>
        <n v="614.27200000000005"/>
        <n v="25.120000000000005"/>
        <n v="2665.62"/>
        <n v="23.849999999999998"/>
        <n v="76.58"/>
        <n v="8.8000000000000007"/>
        <n v="590.35199999999998"/>
        <n v="25.02"/>
        <n v="452.55000000000007"/>
        <n v="139.86000000000001"/>
        <n v="41.37"/>
        <n v="43.5"/>
        <n v="199.75"/>
        <n v="1673.1839999999997"/>
        <n v="18.368000000000002"/>
        <n v="486.36800000000005"/>
        <n v="2.3880000000000003"/>
        <n v="243.99200000000002"/>
        <n v="159.99"/>
        <n v="5.6820000000000013"/>
        <n v="5.68"/>
        <n v="16.95"/>
        <n v="2036.8600000000001"/>
        <n v="449.56800000000004"/>
        <n v="108.96000000000001"/>
        <n v="59.97"/>
        <n v="761.5440000000001"/>
        <n v="21.792000000000002"/>
        <n v="439.8"/>
        <n v="63.56"/>
        <n v="47.12"/>
        <n v="523.39200000000005"/>
        <n v="38.388000000000005"/>
        <n v="95.994000000000014"/>
        <n v="239.95200000000003"/>
        <n v="899.13600000000008"/>
        <n v="7.8000000000000007"/>
        <n v="400.79999999999995"/>
        <n v="28.792000000000002"/>
        <n v="111.79"/>
        <n v="241.42399999999998"/>
        <n v="10.89"/>
        <n v="121.6"/>
        <n v="34.92"/>
        <n v="23.120000000000005"/>
        <n v="113.56800000000001"/>
        <n v="671.98400000000004"/>
        <n v="9.2099999999999991"/>
        <n v="27.93"/>
        <n v="14.016"/>
        <n v="62.352000000000004"/>
        <n v="2404.7040000000002"/>
        <n v="563.024"/>
        <n v="22"/>
        <n v="811.28"/>
        <n v="73.679999999999993"/>
        <n v="139.91999999999999"/>
        <n v="17.309999999999999"/>
        <n v="119.94"/>
        <n v="19.608000000000001"/>
        <n v="169.68"/>
        <n v="132.52000000000001"/>
        <n v="2.96"/>
        <n v="95.94"/>
        <n v="31.968000000000004"/>
        <n v="18.7"/>
        <n v="84.056000000000012"/>
        <n v="70.98"/>
        <n v="9.02"/>
        <n v="8.6199999999999992"/>
        <n v="40.736000000000004"/>
        <n v="150.80000000000001"/>
        <n v="1039.992"/>
        <n v="51.84"/>
        <n v="20.724000000000004"/>
        <n v="415.87200000000007"/>
        <n v="27.76"/>
        <n v="364.08000000000004"/>
        <n v="223.58"/>
        <n v="10.48"/>
        <n v="34.08"/>
        <n v="166.16"/>
        <n v="57.567999999999998"/>
        <n v="88.768000000000001"/>
        <n v="62.65"/>
        <n v="25.83"/>
        <n v="31.152000000000001"/>
        <n v="6.7830000000000004"/>
        <n v="406.36799999999999"/>
        <n v="10.128"/>
        <n v="15.920000000000002"/>
        <n v="70.679999999999993"/>
        <n v="541.24"/>
        <n v="629.64"/>
        <n v="559.62"/>
        <n v="9.0240000000000009"/>
        <n v="79.47"/>
        <n v="10.08"/>
        <n v="39.992000000000004"/>
        <n v="1159.056"/>
        <n v="179.89999999999998"/>
        <n v="114.28800000000001"/>
        <n v="49.616000000000007"/>
        <n v="508.70400000000006"/>
        <n v="57.36"/>
        <n v="906.68000000000006"/>
        <n v="67.860000000000014"/>
        <n v="521.96"/>
        <n v="76.75200000000001"/>
        <n v="102.33600000000001"/>
        <n v="10.32"/>
        <n v="47.32"/>
        <n v="23.376000000000001"/>
        <n v="16.72"/>
        <n v="16.192"/>
        <n v="24.816000000000003"/>
        <n v="14.976000000000003"/>
        <n v="199.89999999999998"/>
        <n v="31.176000000000002"/>
        <n v="172.75200000000001"/>
        <n v="10.68"/>
        <n v="374.37600000000003"/>
        <n v="50.04"/>
        <n v="179.95000000000002"/>
        <n v="27.15"/>
        <n v="1004.0239999999999"/>
        <n v="9.68"/>
        <n v="28.349999999999998"/>
        <n v="55.98"/>
        <n v="1336.829"/>
        <n v="29.79"/>
        <n v="128.9"/>
        <n v="69.48"/>
        <n v="22.424000000000003"/>
        <n v="90.480000000000018"/>
        <n v="42.76"/>
        <n v="444.76800000000003"/>
        <n v="896.32799999999997"/>
        <n v="189"/>
        <n v="419.4"/>
        <n v="13.005000000000003"/>
        <n v="148.25700000000001"/>
        <n v="1669.6"/>
        <n v="49.08"/>
        <n v="324.90000000000003"/>
        <n v="201.04"/>
        <n v="43.7"/>
        <n v="22.77"/>
        <n v="81.567999999999998"/>
        <n v="97.184000000000012"/>
        <n v="24.320000000000004"/>
        <n v="18.96"/>
        <n v="5.9840000000000009"/>
        <n v="189.95000000000002"/>
        <n v="29.950000000000003"/>
        <n v="13.23"/>
        <n v="36.672000000000004"/>
        <n v="13.360000000000001"/>
        <n v="78.256"/>
        <n v="102.01800000000001"/>
        <n v="124.36"/>
        <n v="4.17"/>
        <n v="67.040000000000006"/>
        <n v="18.45"/>
        <n v="182.55"/>
        <n v="474.95"/>
        <n v="13.48"/>
        <n v="1003.6200000000001"/>
        <n v="2879.9520000000002"/>
        <n v="842.37600000000009"/>
        <n v="21.312000000000005"/>
        <n v="270.62"/>
        <n v="3.8560000000000003"/>
        <n v="7.4"/>
        <n v="1.1880000000000002"/>
        <n v="340.70400000000006"/>
        <n v="118.25"/>
        <n v="393.56799999999998"/>
        <n v="101.12"/>
        <n v="19.600000000000001"/>
        <n v="20.72"/>
        <n v="3.024"/>
      </sharedItems>
    </cacheField>
    <cacheField name="Qte_Vendida" numFmtId="0">
      <sharedItems containsSemiMixedTypes="0" containsString="0" containsNumber="1" containsInteger="1" minValue="1" maxValue="14" count="14">
        <n v="3"/>
        <n v="5"/>
        <n v="4"/>
        <n v="10"/>
        <n v="2"/>
        <n v="6"/>
        <n v="1"/>
        <n v="12"/>
        <n v="7"/>
        <n v="8"/>
        <n v="14"/>
        <n v="9"/>
        <n v="11"/>
        <n v="13"/>
      </sharedItems>
    </cacheField>
    <cacheField name="Dias (Data_Pedido)" numFmtId="0" databaseField="0">
      <fieldGroup base="0">
        <rangePr groupBy="days" startDate="2013-01-06T00:00:00" endDate="2016-12-31T00:00:00"/>
        <groupItems count="368">
          <s v="&lt;06/01/201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16"/>
        </groupItems>
      </fieldGroup>
    </cacheField>
    <cacheField name="Anos (Data_Pedido)" numFmtId="0" databaseField="0">
      <fieldGroup base="0">
        <rangePr groupBy="years" startDate="2013-01-06T00:00:00" endDate="2016-12-31T00:00:00"/>
        <groupItems count="6">
          <s v="&lt;06/01/2013"/>
          <s v="2013"/>
          <s v="2014"/>
          <s v="2015"/>
          <s v="2016"/>
          <s v="&gt;31/12/2016"/>
        </groupItems>
      </fieldGroup>
    </cacheField>
  </cacheFields>
  <extLst>
    <ext xmlns:x14="http://schemas.microsoft.com/office/spreadsheetml/2009/9/main" uri="{725AE2AE-9491-48be-B2B4-4EB974FC3084}">
      <x14:pivotCacheDefinition pivotCacheId="184357934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13.917773148147" createdVersion="6" refreshedVersion="6" minRefreshableVersion="3" recordCount="6405" xr:uid="{20F5519C-B9EE-6242-95FF-77E6D0F63A32}">
  <cacheSource type="worksheet">
    <worksheetSource ref="A1:K1048576" sheet="Base"/>
  </cacheSource>
  <cacheFields count="12">
    <cacheField name="Data_Pedido" numFmtId="0">
      <sharedItems containsNonDate="0" containsDate="1" containsString="0" containsBlank="1" minDate="2013-01-06T00:00:00" maxDate="2016-12-31T00:00:00" count="846">
        <d v="2013-01-06T00:00:00"/>
        <d v="2013-01-13T00:00:00"/>
        <d v="2013-01-18T00:00:00"/>
        <d v="2013-01-19T00:00:00"/>
        <d v="2013-01-20T00:00:00"/>
        <d v="2013-01-23T00:00:00"/>
        <d v="2013-01-27T00:00:00"/>
        <d v="2013-01-31T00:00:00"/>
        <d v="2013-02-02T00:00:00"/>
        <d v="2013-02-03T00:00:00"/>
        <d v="2013-02-04T00:00:00"/>
        <d v="2013-02-08T00:00:00"/>
        <d v="2013-02-12T00:00:00"/>
        <d v="2013-02-14T00:00:00"/>
        <d v="2013-02-15T00:00:00"/>
        <d v="2013-02-20T00:00:00"/>
        <d v="2013-02-22T00:00:00"/>
        <d v="2013-02-24T00:00:00"/>
        <d v="2013-03-01T00:00:00"/>
        <d v="2013-03-03T00:00:00"/>
        <d v="2013-03-07T00:00:00"/>
        <d v="2013-03-10T00:00:00"/>
        <d v="2013-03-11T00:00:00"/>
        <d v="2013-03-14T00:00:00"/>
        <d v="2013-03-18T00:00:00"/>
        <d v="2013-03-22T00:00:00"/>
        <d v="2013-03-23T00:00:00"/>
        <d v="2013-03-24T00:00:00"/>
        <d v="2013-03-25T00:00:00"/>
        <d v="2013-03-26T00:00:00"/>
        <d v="2013-03-28T00:00:00"/>
        <d v="2013-03-30T00:00:00"/>
        <d v="2013-03-31T00:00:00"/>
        <d v="2013-04-01T00:00:00"/>
        <d v="2013-04-03T00:00:00"/>
        <d v="2013-04-04T00:00:00"/>
        <d v="2013-04-06T00:00:00"/>
        <d v="2013-04-08T00:00:00"/>
        <d v="2013-04-11T00:00:00"/>
        <d v="2013-04-12T00:00:00"/>
        <d v="2013-04-15T00:00:00"/>
        <d v="2013-04-18T00:00:00"/>
        <d v="2013-04-19T00:00:00"/>
        <d v="2013-04-20T00:00:00"/>
        <d v="2013-04-21T00:00:00"/>
        <d v="2013-04-23T00:00:00"/>
        <d v="2013-04-25T00:00:00"/>
        <d v="2013-04-26T00:00:00"/>
        <d v="2013-04-28T00:00:00"/>
        <d v="2013-05-04T00:00:00"/>
        <d v="2013-05-06T00:00:00"/>
        <d v="2013-05-09T00:00:00"/>
        <d v="2013-05-10T00:00:00"/>
        <d v="2013-05-13T00:00:00"/>
        <d v="2013-05-16T00:00:00"/>
        <d v="2013-05-21T00:00:00"/>
        <d v="2013-05-23T00:00:00"/>
        <d v="2013-05-26T00:00:00"/>
        <d v="2013-05-27T00:00:00"/>
        <d v="2013-05-28T00:00:00"/>
        <d v="2013-06-02T00:00:00"/>
        <d v="2013-06-03T00:00:00"/>
        <d v="2013-06-08T00:00:00"/>
        <d v="2013-06-09T00:00:00"/>
        <d v="2013-06-13T00:00:00"/>
        <d v="2013-06-17T00:00:00"/>
        <d v="2013-06-18T00:00:00"/>
        <d v="2013-06-21T00:00:00"/>
        <d v="2013-06-22T00:00:00"/>
        <d v="2013-06-24T00:00:00"/>
        <d v="2013-06-25T00:00:00"/>
        <d v="2013-06-30T00:00:00"/>
        <d v="2013-07-01T00:00:00"/>
        <d v="2013-07-04T00:00:00"/>
        <d v="2013-07-05T00:00:00"/>
        <d v="2013-07-06T00:00:00"/>
        <d v="2013-07-08T00:00:00"/>
        <d v="2013-07-09T00:00:00"/>
        <d v="2013-07-12T00:00:00"/>
        <d v="2013-07-13T00:00:00"/>
        <d v="2013-07-14T00:00:00"/>
        <d v="2013-07-18T00:00:00"/>
        <d v="2013-07-19T00:00:00"/>
        <d v="2013-07-20T00:00:00"/>
        <d v="2013-07-21T00:00:00"/>
        <d v="2013-07-22T00:00:00"/>
        <d v="2013-07-23T00:00:00"/>
        <d v="2013-07-25T00:00:00"/>
        <d v="2013-07-26T00:00:00"/>
        <d v="2013-07-27T00:00:00"/>
        <d v="2013-07-30T00:00:00"/>
        <d v="2013-08-01T00:00:00"/>
        <d v="2013-08-03T00:00:00"/>
        <d v="2013-08-04T00:00:00"/>
        <d v="2013-08-05T00:00:00"/>
        <d v="2013-08-08T00:00:00"/>
        <d v="2013-08-09T00:00:00"/>
        <d v="2013-08-11T00:00:00"/>
        <d v="2013-08-12T00:00:00"/>
        <d v="2013-08-15T00:00:00"/>
        <d v="2013-08-19T00:00:00"/>
        <d v="2013-08-23T00:00:00"/>
        <d v="2013-08-24T00:00:00"/>
        <d v="2013-08-25T00:00:00"/>
        <d v="2013-08-26T00:00:00"/>
        <d v="2013-08-27T00:00:00"/>
        <d v="2013-08-29T00:00:00"/>
        <d v="2013-08-31T00:00:00"/>
        <d v="2013-09-01T00:00:00"/>
        <d v="2013-09-06T00:00:00"/>
        <d v="2013-09-07T00:00:00"/>
        <d v="2013-09-08T00:00:00"/>
        <d v="2013-09-10T00:00:00"/>
        <d v="2013-09-11T00:00:00"/>
        <d v="2013-09-13T00:00:00"/>
        <d v="2013-09-17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9T00:00:00"/>
        <d v="2013-10-10T00:00:00"/>
        <d v="2013-10-11T00:00:00"/>
        <d v="2013-10-12T00:00:00"/>
        <d v="2013-10-13T00:00:00"/>
        <d v="2013-10-16T00:00:00"/>
        <d v="2013-10-18T00:00:00"/>
        <d v="2013-10-19T00:00:00"/>
        <d v="2013-10-21T00:00:00"/>
        <d v="2013-10-24T00:00:00"/>
        <d v="2013-10-25T00:00:00"/>
        <d v="2013-10-26T00:00:00"/>
        <d v="2013-10-28T00:00:00"/>
        <d v="2013-10-31T00:00:00"/>
        <d v="2013-11-01T00:00:00"/>
        <d v="2013-11-02T00:00:00"/>
        <d v="2013-11-03T00:00:00"/>
        <d v="2013-11-04T00:00:00"/>
        <d v="2013-11-05T00:00:00"/>
        <d v="2013-11-07T00:00:00"/>
        <d v="2013-11-08T00:00:00"/>
        <d v="2013-11-09T00:00:00"/>
        <d v="2013-11-10T00:00:00"/>
        <d v="2013-11-11T00:00:00"/>
        <d v="2013-11-12T00:00:00"/>
        <d v="2013-11-15T00:00:00"/>
        <d v="2013-11-16T00:00:00"/>
        <d v="2013-11-17T00:00:00"/>
        <d v="2013-11-18T00:00:00"/>
        <d v="2013-11-19T00:00:00"/>
        <d v="2013-11-21T00:00:00"/>
        <d v="2013-11-22T00:00:00"/>
        <d v="2013-11-23T00:00:00"/>
        <d v="2013-11-24T00:00:00"/>
        <d v="2013-11-25T00:00:00"/>
        <d v="2013-11-26T00:00:00"/>
        <d v="2013-11-28T00:00:00"/>
        <d v="2013-11-29T00:00:00"/>
        <d v="2013-11-30T00:00:00"/>
        <d v="2013-12-01T00:00:00"/>
        <d v="2013-12-05T00:00:00"/>
        <d v="2013-12-06T00:00:00"/>
        <d v="2013-12-07T00:00:00"/>
        <d v="2013-12-08T00:00:00"/>
        <d v="2013-12-09T00:00:00"/>
        <d v="2013-12-10T00:00:00"/>
        <d v="2013-12-12T00:00:00"/>
        <d v="2013-12-13T00:00:00"/>
        <d v="2013-12-15T00:00:00"/>
        <d v="2013-12-16T00:00:00"/>
        <d v="2013-12-19T00:00:00"/>
        <d v="2013-12-20T00:00:00"/>
        <d v="2013-12-21T00:00:00"/>
        <d v="2013-12-22T00:00:00"/>
        <d v="2013-12-24T00:00:00"/>
        <d v="2013-12-26T00:00:00"/>
        <d v="2013-12-27T00:00:00"/>
        <d v="2013-12-28T00:00:00"/>
        <d v="2013-12-29T00:00:00"/>
        <d v="2013-12-30T00:00:00"/>
        <d v="2013-12-31T00:00:00"/>
        <d v="2014-01-05T00:00:00"/>
        <d v="2014-01-06T00:00:00"/>
        <d v="2014-01-13T00:00:00"/>
        <d v="2014-01-23T00:00:00"/>
        <d v="2014-01-26T00:00:00"/>
        <d v="2014-01-27T00:00:00"/>
        <d v="2014-01-30T00:00:00"/>
        <d v="2014-02-03T00:00:00"/>
        <d v="2014-02-06T00:00:00"/>
        <d v="2014-02-09T00:00:00"/>
        <d v="2014-02-15T00:00:00"/>
        <d v="2014-02-16T00:00:00"/>
        <d v="2014-02-18T00:00:00"/>
        <d v="2014-02-21T00:00:00"/>
        <d v="2014-02-27T00:00:00"/>
        <d v="2014-03-01T00:00:00"/>
        <d v="2014-03-02T00:00:00"/>
        <d v="2014-03-06T00:00:00"/>
        <d v="2014-03-08T00:00:00"/>
        <d v="2014-03-13T00:00:00"/>
        <d v="2014-03-14T00:00:00"/>
        <d v="2014-03-15T00:00:00"/>
        <d v="2014-03-16T00:00:00"/>
        <d v="2014-03-19T00:00:00"/>
        <d v="2014-03-20T00:00:00"/>
        <d v="2014-03-22T00:00:00"/>
        <d v="2014-03-23T00:00:00"/>
        <d v="2014-03-24T00:00:00"/>
        <d v="2014-03-26T00:00:00"/>
        <d v="2014-03-27T00:00:00"/>
        <d v="2014-03-28T00:00:00"/>
        <d v="2014-03-29T00:00:00"/>
        <d v="2014-04-02T00:00:00"/>
        <d v="2014-04-05T00:00:00"/>
        <d v="2014-04-09T00:00:00"/>
        <d v="2014-04-10T00:00:00"/>
        <d v="2014-04-11T00:00:00"/>
        <d v="2014-04-12T00:00:00"/>
        <d v="2014-04-13T00:00:00"/>
        <d v="2014-04-14T00:00:00"/>
        <d v="2014-04-17T00:00:00"/>
        <d v="2014-04-18T00:00:00"/>
        <d v="2014-04-22T00:00:00"/>
        <d v="2014-04-25T00:00:00"/>
        <d v="2014-04-26T00:00:00"/>
        <d v="2014-04-27T00:00:00"/>
        <d v="2014-04-30T00:00:00"/>
        <d v="2014-05-01T00:00:00"/>
        <d v="2014-05-03T00:00:00"/>
        <d v="2014-05-08T00:00:00"/>
        <d v="2014-05-10T00:00:00"/>
        <d v="2014-05-11T00:00:00"/>
        <d v="2014-05-12T00:00:00"/>
        <d v="2014-05-14T00:00:00"/>
        <d v="2014-05-18T00:00:00"/>
        <d v="2014-05-21T00:00:00"/>
        <d v="2014-05-22T00:00:00"/>
        <d v="2014-05-23T00:00:00"/>
        <d v="2014-05-25T00:00:00"/>
        <d v="2014-05-26T00:00:00"/>
        <d v="2014-05-28T00:00:00"/>
        <d v="2014-05-29T00:00:00"/>
        <d v="2014-05-31T00:00:00"/>
        <d v="2014-06-01T00:00:00"/>
        <d v="2014-06-04T00:00:00"/>
        <d v="2014-06-07T00:00:00"/>
        <d v="2014-06-09T00:00:00"/>
        <d v="2014-06-13T00:00:00"/>
        <d v="2014-06-15T00:00:00"/>
        <d v="2014-06-18T00:00:00"/>
        <d v="2014-06-19T00:00:00"/>
        <d v="2014-06-20T00:00:00"/>
        <d v="2014-06-22T00:00:00"/>
        <d v="2014-06-23T00:00:00"/>
        <d v="2014-06-25T00:00:00"/>
        <d v="2014-06-28T00:00:00"/>
        <d v="2014-07-04T00:00:00"/>
        <d v="2014-07-06T00:00:00"/>
        <d v="2014-07-10T00:00:00"/>
        <d v="2014-07-11T00:00:00"/>
        <d v="2014-07-14T00:00:00"/>
        <d v="2014-07-16T00:00:00"/>
        <d v="2014-07-17T00:00:00"/>
        <d v="2014-07-18T00:00:00"/>
        <d v="2014-07-19T00:00:00"/>
        <d v="2014-07-25T00:00:00"/>
        <d v="2014-07-26T00:00:00"/>
        <d v="2014-07-30T00:00:00"/>
        <d v="2014-08-01T00:00:00"/>
        <d v="2014-08-02T00:00:00"/>
        <d v="2014-08-07T00:00:00"/>
        <d v="2014-08-08T00:00:00"/>
        <d v="2014-08-10T00:00:00"/>
        <d v="2014-08-13T00:00:00"/>
        <d v="2014-08-15T00:00:00"/>
        <d v="2014-08-16T00:00:00"/>
        <d v="2014-08-17T00:00:00"/>
        <d v="2014-08-21T00:00:00"/>
        <d v="2014-08-24T00:00:00"/>
        <d v="2014-08-25T00:00:00"/>
        <d v="2014-08-27T00:00:00"/>
        <d v="2014-08-28T00:00:00"/>
        <d v="2014-08-31T00:00:00"/>
        <d v="2014-09-01T00:00:00"/>
        <d v="2014-09-03T00:00:00"/>
        <d v="2014-09-04T00:00:00"/>
        <d v="2014-09-05T00:00:00"/>
        <d v="2014-09-06T00:00:00"/>
        <d v="2014-09-07T00:00:00"/>
        <d v="2014-09-08T00:00:00"/>
        <d v="2014-09-10T00:00:00"/>
        <d v="2014-09-11T00:00:00"/>
        <d v="2014-09-12T00:00:00"/>
        <d v="2014-09-13T00:00:00"/>
        <d v="2014-09-14T00:00:00"/>
        <d v="2014-09-17T00:00:00"/>
        <d v="2014-09-18T00:00:00"/>
        <d v="2014-09-19T00:00:00"/>
        <d v="2014-09-20T00:00:00"/>
        <d v="2014-09-21T00:00:00"/>
        <d v="2014-09-22T00:00:00"/>
        <d v="2014-09-24T00:00:00"/>
        <d v="2014-09-25T00:00:00"/>
        <d v="2014-09-26T00:00:00"/>
        <d v="2014-09-27T00:00:00"/>
        <d v="2014-09-28T00:00:00"/>
        <d v="2014-10-01T00:00:00"/>
        <d v="2014-10-02T00:00:00"/>
        <d v="2014-10-03T00:00:00"/>
        <d v="2014-10-04T00:00:00"/>
        <d v="2014-10-05T00:00:00"/>
        <d v="2014-10-08T00:00:00"/>
        <d v="2014-10-10T00:00:00"/>
        <d v="2014-10-12T00:00:00"/>
        <d v="2014-10-17T00:00:00"/>
        <d v="2014-10-18T00:00:00"/>
        <d v="2014-10-19T00:00:00"/>
        <d v="2014-10-20T00:00:00"/>
        <d v="2014-10-23T00:00:00"/>
        <d v="2014-10-24T00:00:00"/>
        <d v="2014-10-25T00:00:00"/>
        <d v="2014-10-26T00:00:00"/>
        <d v="2014-10-29T00:00:00"/>
        <d v="2014-10-30T00:00:00"/>
        <d v="2014-10-31T00:00:00"/>
        <d v="2014-11-01T00:00:00"/>
        <d v="2014-11-02T00:00:00"/>
        <d v="2014-11-03T00:00:00"/>
        <d v="2014-11-05T00:00:00"/>
        <d v="2014-11-06T00:00:00"/>
        <d v="2014-11-07T00:00:00"/>
        <d v="2014-11-08T00:00:00"/>
        <d v="2014-11-09T00:00:00"/>
        <d v="2014-11-10T00:00:00"/>
        <d v="2014-11-12T00:00:00"/>
        <d v="2014-11-13T00:00:00"/>
        <d v="2014-11-14T00:00:00"/>
        <d v="2014-11-16T00:00:00"/>
        <d v="2014-11-17T00:00:00"/>
        <d v="2014-11-19T00:00:00"/>
        <d v="2014-11-20T00:00:00"/>
        <d v="2014-11-21T00:00:00"/>
        <d v="2014-11-22T00:00:00"/>
        <d v="2014-11-24T00:00:00"/>
        <d v="2014-11-27T00:00:00"/>
        <d v="2014-11-28T00:00:00"/>
        <d v="2014-11-29T00:00:00"/>
        <d v="2014-11-30T00:00:00"/>
        <d v="2014-12-01T00:00:00"/>
        <d v="2014-12-03T00:00:00"/>
        <d v="2014-12-04T00:00:00"/>
        <d v="2014-12-05T00:00:00"/>
        <d v="2014-12-06T00:00:00"/>
        <d v="2014-12-07T00:00:00"/>
        <d v="2014-12-08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4T00:00:00"/>
        <d v="2014-12-25T00:00:00"/>
        <d v="2014-12-27T00:00:00"/>
        <d v="2014-12-30T00:00:00"/>
        <d v="2014-12-31T00:00:00"/>
        <d v="2015-01-03T00:00:00"/>
        <d v="2015-01-07T00:00:00"/>
        <d v="2015-01-09T00:00:00"/>
        <d v="2015-01-10T00:00:00"/>
        <d v="2015-01-16T00:00:00"/>
        <d v="2015-01-21T00:00:00"/>
        <d v="2015-01-22T00:00:00"/>
        <d v="2015-01-23T00:00:00"/>
        <d v="2015-01-28T00:00:00"/>
        <d v="2015-01-30T00:00:00"/>
        <d v="2015-01-31T00:00:00"/>
        <d v="2015-02-01T00:00:00"/>
        <d v="2015-02-04T00:00:00"/>
        <d v="2015-02-05T00:00:00"/>
        <d v="2015-02-07T00:00:00"/>
        <d v="2015-02-09T00:00:00"/>
        <d v="2015-02-13T00:00:00"/>
        <d v="2015-02-19T00:00:00"/>
        <d v="2015-02-21T00:00:00"/>
        <d v="2015-02-22T00:00:00"/>
        <d v="2015-03-02T00:00:00"/>
        <d v="2015-03-04T00:00:00"/>
        <d v="2015-03-05T00:00:00"/>
        <d v="2015-03-09T00:00:00"/>
        <d v="2015-03-11T00:00:00"/>
        <d v="2015-03-13T00:00:00"/>
        <d v="2015-03-14T00:00:00"/>
        <d v="2015-03-15T00:00:00"/>
        <d v="2015-03-16T00:00:00"/>
        <d v="2015-03-18T00:00:00"/>
        <d v="2015-03-20T00:00:00"/>
        <d v="2015-03-21T00:00:00"/>
        <d v="2015-03-23T00:00:00"/>
        <d v="2015-03-25T00:00:00"/>
        <d v="2015-03-27T00:00:00"/>
        <d v="2015-03-29T00:00:00"/>
        <d v="2015-04-02T00:00:00"/>
        <d v="2015-04-08T00:00:00"/>
        <d v="2015-04-09T00:00:00"/>
        <d v="2015-04-10T00:00:00"/>
        <d v="2015-04-11T00:00:00"/>
        <d v="2015-04-13T00:00:00"/>
        <d v="2015-04-14T00:00:00"/>
        <d v="2015-04-15T00:00:00"/>
        <d v="2015-04-16T00:00:00"/>
        <d v="2015-04-17T00:00:00"/>
        <d v="2015-04-18T00:00:00"/>
        <d v="2015-04-20T00:00:00"/>
        <d v="2015-04-22T00:00:00"/>
        <d v="2015-04-23T00:00:00"/>
        <d v="2015-04-24T00:00:00"/>
        <d v="2015-04-25T00:00:00"/>
        <d v="2015-04-29T00:00:00"/>
        <d v="2015-05-01T00:00:00"/>
        <d v="2015-05-06T00:00:00"/>
        <d v="2015-05-07T00:00:00"/>
        <d v="2015-05-09T00:00:00"/>
        <d v="2015-05-10T00:00:00"/>
        <d v="2015-05-11T00:00:00"/>
        <d v="2015-05-12T00:00:00"/>
        <d v="2015-05-13T00:00:00"/>
        <d v="2015-05-15T00:00:00"/>
        <d v="2015-05-17T00:00:00"/>
        <d v="2015-05-19T00:00:00"/>
        <d v="2015-05-20T00:00:00"/>
        <d v="2015-05-21T00:00:00"/>
        <d v="2015-05-22T00:00:00"/>
        <d v="2015-05-23T00:00:00"/>
        <d v="2015-05-24T00:00:00"/>
        <d v="2015-05-27T00:00:00"/>
        <d v="2015-05-28T00:00:00"/>
        <d v="2015-05-29T00:00:00"/>
        <d v="2015-05-31T00:00:00"/>
        <d v="2015-06-03T00:00:00"/>
        <d v="2015-06-04T00:00:00"/>
        <d v="2015-06-06T00:00:00"/>
        <d v="2015-06-07T00:00:00"/>
        <d v="2015-06-08T00:00:00"/>
        <d v="2015-06-10T00:00:00"/>
        <d v="2015-06-11T00:00:00"/>
        <d v="2015-06-12T00:00:00"/>
        <d v="2015-06-13T00:00:00"/>
        <d v="2015-06-15T00:00:00"/>
        <d v="2015-06-17T00:00:00"/>
        <d v="2015-06-18T00:00:00"/>
        <d v="2015-06-20T00:00:00"/>
        <d v="2015-06-21T00:00:00"/>
        <d v="2015-06-24T00:00:00"/>
        <d v="2015-06-25T00:00:00"/>
        <d v="2015-06-26T00:00:00"/>
        <d v="2015-06-27T00:00:00"/>
        <d v="2015-06-28T00:00:00"/>
        <d v="2015-06-29T00:00:00"/>
        <d v="2015-07-02T00:00:00"/>
        <d v="2015-07-03T00:00:00"/>
        <d v="2015-07-04T00:00:00"/>
        <d v="2015-07-05T00:00:00"/>
        <d v="2015-07-08T00:00:00"/>
        <d v="2015-07-09T00:00:00"/>
        <d v="2015-07-11T00:00:00"/>
        <d v="2015-07-13T00:00:00"/>
        <d v="2015-07-15T00:00:00"/>
        <d v="2015-07-16T00:00:00"/>
        <d v="2015-07-18T00:00:00"/>
        <d v="2015-07-19T00:00:00"/>
        <d v="2015-07-20T00:00:00"/>
        <d v="2015-07-22T00:00:00"/>
        <d v="2015-07-23T00:00:00"/>
        <d v="2015-07-26T00:00:00"/>
        <d v="2015-07-29T00:00:00"/>
        <d v="2015-07-31T00:00:00"/>
        <d v="2015-08-01T00:00:00"/>
        <d v="2015-08-02T00:00:00"/>
        <d v="2015-08-03T00:00:00"/>
        <d v="2015-08-05T00:00:00"/>
        <d v="2015-08-07T00:00:00"/>
        <d v="2015-08-08T00:00:00"/>
        <d v="2015-08-09T00:00:00"/>
        <d v="2015-08-15T00:00:00"/>
        <d v="2015-08-16T00:00:00"/>
        <d v="2015-08-17T00:00:00"/>
        <d v="2015-08-18T00:00:00"/>
        <d v="2015-08-22T00:00:00"/>
        <d v="2015-08-23T00:00:00"/>
        <d v="2015-08-24T00:00:00"/>
        <d v="2015-08-27T00:00:00"/>
        <d v="2015-08-29T00:00:00"/>
        <d v="2015-08-31T00:00:00"/>
        <d v="2015-09-02T00:00:00"/>
        <d v="2015-09-03T00:00:00"/>
        <d v="2015-09-05T00:00:00"/>
        <d v="2015-09-06T00:00:00"/>
        <d v="2015-09-09T00:00:00"/>
        <d v="2015-09-10T00:00:00"/>
        <d v="2015-09-11T00:00:00"/>
        <d v="2015-09-12T00:00:00"/>
        <d v="2015-09-13T00:00:00"/>
        <d v="2015-09-16T00:00:00"/>
        <d v="2015-09-17T00:00:00"/>
        <d v="2015-09-18T00:00:00"/>
        <d v="2015-09-19T00:00:00"/>
        <d v="2015-09-20T00:00:00"/>
        <d v="2015-09-21T00:00:00"/>
        <d v="2015-09-23T00:00:00"/>
        <d v="2015-09-24T00:00:00"/>
        <d v="2015-09-25T00:00:00"/>
        <d v="2015-09-26T00:00:00"/>
        <d v="2015-09-27T00:00:00"/>
        <d v="2015-09-28T00:00:00"/>
        <d v="2015-09-30T00:00:00"/>
        <d v="2015-10-02T00:00:00"/>
        <d v="2015-10-03T00:00:00"/>
        <d v="2015-10-04T00:00:00"/>
        <d v="2015-10-07T00:00:00"/>
        <d v="2015-10-08T00:00:00"/>
        <d v="2015-10-09T00:00:00"/>
        <d v="2015-10-10T00:00:00"/>
        <d v="2015-10-11T00:00:00"/>
        <d v="2015-10-14T00:00:00"/>
        <d v="2015-10-15T00:00:00"/>
        <d v="2015-10-16T00:00:00"/>
        <d v="2015-10-18T00:00:00"/>
        <d v="2015-10-19T00:00:00"/>
        <d v="2015-10-21T00:00:00"/>
        <d v="2015-10-22T00:00:00"/>
        <d v="2015-10-23T00:00:00"/>
        <d v="2015-10-24T00:00:00"/>
        <d v="2015-10-25T00:00:00"/>
        <d v="2015-10-28T00:00:00"/>
        <d v="2015-10-29T00:00:00"/>
        <d v="2015-10-30T00:00:00"/>
        <d v="2015-10-31T00:00:00"/>
        <d v="2015-11-01T00:00:00"/>
        <d v="2015-11-04T00:00:00"/>
        <d v="2015-11-05T00:00:00"/>
        <d v="2015-11-06T00:00:00"/>
        <d v="2015-11-07T00:00:00"/>
        <d v="2015-11-08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5T00:00:00"/>
        <d v="2015-11-26T00:00:00"/>
        <d v="2015-11-27T00:00:00"/>
        <d v="2015-11-28T00:00:00"/>
        <d v="2015-12-02T00:00:00"/>
        <d v="2015-12-03T00:00:00"/>
        <d v="2015-12-04T00:00:00"/>
        <d v="2015-12-05T00:00:00"/>
        <d v="2015-12-06T00:00:00"/>
        <d v="2015-12-07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3T00:00:00"/>
        <d v="2015-12-24T00:00:00"/>
        <d v="2015-12-25T00:00:00"/>
        <d v="2015-12-26T00:00:00"/>
        <d v="2015-12-27T00:00:00"/>
        <d v="2015-12-28T00:00:00"/>
        <d v="2015-12-30T00:00:00"/>
        <d v="2015-12-31T00:00:00"/>
        <d v="2016-01-01T00:00:00"/>
        <d v="2016-01-02T00:00:00"/>
        <d v="2016-01-03T00:00:00"/>
        <d v="2016-01-04T00:00:00"/>
        <d v="2016-01-08T00:00:00"/>
        <d v="2016-01-09T00:00:00"/>
        <d v="2016-01-13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7T00:00:00"/>
        <d v="2016-01-29T00:00:00"/>
        <d v="2016-01-30T00:00:00"/>
        <d v="2016-01-31T00:00:00"/>
        <d v="2016-02-03T00:00:00"/>
        <d v="2016-02-06T00:00:00"/>
        <d v="2016-02-07T00:00:00"/>
        <d v="2016-02-10T00:00:00"/>
        <d v="2016-02-11T00:00:00"/>
        <d v="2016-02-12T00:00:00"/>
        <d v="2016-02-14T00:00:00"/>
        <d v="2016-02-19T00:00:00"/>
        <d v="2016-02-20T00:00:00"/>
        <d v="2016-02-21T00:00:00"/>
        <d v="2016-02-24T00:00:00"/>
        <d v="2016-02-27T00:00:00"/>
        <d v="2016-03-02T00:00:00"/>
        <d v="2016-03-03T00:00:00"/>
        <d v="2016-03-04T00:00:00"/>
        <d v="2016-03-06T00:00:00"/>
        <d v="2016-03-08T00:00:00"/>
        <d v="2016-03-09T00:00:00"/>
        <d v="2016-03-10T00:00:00"/>
        <d v="2016-03-12T00:00:00"/>
        <d v="2016-03-13T00:00:00"/>
        <d v="2016-03-16T00:00:00"/>
        <d v="2016-03-17T00:00:00"/>
        <d v="2016-03-18T00:00:00"/>
        <d v="2016-03-19T00:00:00"/>
        <d v="2016-03-20T00:00:00"/>
        <d v="2016-03-21T00:00:00"/>
        <d v="2016-03-23T00:00:00"/>
        <d v="2016-03-25T00:00:00"/>
        <d v="2016-03-26T00:00:00"/>
        <d v="2016-03-27T00:00:00"/>
        <d v="2016-03-28T00:00:00"/>
        <d v="2016-03-30T00:00:00"/>
        <d v="2016-03-31T00:00:00"/>
        <d v="2016-04-01T00:00:00"/>
        <d v="2016-04-02T00:00:00"/>
        <d v="2016-04-08T00:00:00"/>
        <d v="2016-04-11T00:00:00"/>
        <d v="2016-04-13T00:00:00"/>
        <d v="2016-04-15T00:00:00"/>
        <d v="2016-04-16T00:00:00"/>
        <d v="2016-04-17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30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1T00:00:00"/>
        <d v="2016-05-12T00:00:00"/>
        <d v="2016-05-13T00:00:00"/>
        <d v="2016-05-14T00:00:00"/>
        <d v="2016-05-15T00:00:00"/>
        <d v="2016-05-18T00:00:00"/>
        <d v="2016-05-19T00:00:00"/>
        <d v="2016-05-20T00:00:00"/>
        <d v="2016-05-22T00:00:00"/>
        <d v="2016-05-23T00:00:00"/>
        <d v="2016-05-26T00:00:00"/>
        <d v="2016-05-27T00:00:00"/>
        <d v="2016-05-28T00:00:00"/>
        <d v="2016-05-30T00:00:00"/>
        <d v="2016-06-02T00:00:00"/>
        <d v="2016-06-03T00:00:00"/>
        <d v="2016-06-06T00:00:00"/>
        <d v="2016-06-08T00:00:00"/>
        <d v="2016-06-10T00:00:00"/>
        <d v="2016-06-11T00:00:00"/>
        <d v="2016-06-12T00:00:00"/>
        <d v="2016-06-13T00:00:00"/>
        <d v="2016-06-15T00:00:00"/>
        <d v="2016-06-16T00:00:00"/>
        <d v="2016-06-17T00:00:00"/>
        <d v="2016-06-18T00:00:00"/>
        <d v="2016-06-19T00:00:00"/>
        <d v="2016-06-24T00:00:00"/>
        <d v="2016-06-25T00:00:00"/>
        <d v="2016-06-26T00:00:00"/>
        <d v="2016-06-27T00:00:00"/>
        <d v="2016-06-29T00:00:00"/>
        <d v="2016-06-30T00:00:00"/>
        <d v="2016-07-03T00:00:00"/>
        <d v="2016-07-06T00:00:00"/>
        <d v="2016-07-07T00:00:00"/>
        <d v="2016-07-08T00:00:00"/>
        <d v="2016-07-09T00:00:00"/>
        <d v="2016-07-11T00:00:00"/>
        <d v="2016-07-14T00:00:00"/>
        <d v="2016-07-17T00:00:00"/>
        <d v="2016-07-18T00:00:00"/>
        <d v="2016-07-21T00:00:00"/>
        <d v="2016-07-23T00:00:00"/>
        <d v="2016-07-24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3T00:00:00"/>
        <d v="2016-08-04T00:00:00"/>
        <d v="2016-08-07T00:00:00"/>
        <d v="2016-08-12T00:00:00"/>
        <d v="2016-08-13T00:00:00"/>
        <d v="2016-08-14T00:00:00"/>
        <d v="2016-08-17T00:00:00"/>
        <d v="2016-08-18T00:00:00"/>
        <d v="2016-08-19T00:00:00"/>
        <d v="2016-08-20T00:00:00"/>
        <d v="2016-08-21T00:00:00"/>
        <d v="2016-08-22T00:00:00"/>
        <d v="2016-08-27T00:00:00"/>
        <d v="2016-08-28T00:00:00"/>
        <d v="2016-08-29T00:00:00"/>
        <d v="2016-08-31T00:00:00"/>
        <d v="2016-09-01T00:00:00"/>
        <d v="2016-09-02T00:00:00"/>
        <d v="2016-09-03T00:00:00"/>
        <d v="2016-09-04T00:00:00"/>
        <d v="2016-09-05T00:00:00"/>
        <d v="2016-09-07T00:00:00"/>
        <d v="2016-09-09T00:00:00"/>
        <d v="2016-09-10T00:00:00"/>
        <d v="2016-09-11T00:00:00"/>
        <d v="2016-09-12T00:00:00"/>
        <d v="2016-09-14T00:00:00"/>
        <d v="2016-09-15T00:00:00"/>
        <d v="2016-09-16T00:00:00"/>
        <d v="2016-09-17T00:00:00"/>
        <d v="2016-09-18T00:00:00"/>
        <d v="2016-09-19T00:00:00"/>
        <d v="2016-09-21T00:00:00"/>
        <d v="2016-09-22T00:00:00"/>
        <d v="2016-09-23T00:00:00"/>
        <d v="2016-09-24T00:00:00"/>
        <d v="2016-09-25T00:00:00"/>
        <d v="2016-09-26T00:00:00"/>
        <d v="2016-09-28T00:00:00"/>
        <d v="2016-09-29T00:00:00"/>
        <d v="2016-09-30T00:00:00"/>
        <d v="2016-10-01T00:00:00"/>
        <d v="2016-10-02T00:00:00"/>
        <d v="2016-10-03T00:00:00"/>
        <d v="2016-10-05T00:00:00"/>
        <d v="2016-10-06T00:00:00"/>
        <d v="2016-10-07T00:00:00"/>
        <d v="2016-10-08T00:00:00"/>
        <d v="2016-10-09T00:00:00"/>
        <d v="2016-10-12T00:00:00"/>
        <d v="2016-10-13T00:00:00"/>
        <d v="2016-10-14T00:00:00"/>
        <d v="2016-10-15T00:00:00"/>
        <d v="2016-10-16T00:00:00"/>
        <d v="2016-10-17T00:00:00"/>
        <d v="2016-10-19T00:00:00"/>
        <d v="2016-10-20T00:00:00"/>
        <d v="2016-10-21T00:00:00"/>
        <d v="2016-10-22T00:00:00"/>
        <d v="2016-10-27T00:00:00"/>
        <d v="2016-10-30T00:00:00"/>
        <d v="2016-11-01T00:00:00"/>
        <d v="2016-11-02T00:00:00"/>
        <d v="2016-11-03T00:00:00"/>
        <d v="2016-11-05T00:00:00"/>
        <d v="2016-11-06T00:00:00"/>
        <d v="2016-11-07T00:00:00"/>
        <d v="2016-11-09T00:00:00"/>
        <d v="2016-11-10T00:00:00"/>
        <d v="2016-11-11T00:00:00"/>
        <d v="2016-11-12T00:00:00"/>
        <d v="2016-11-13T00:00:00"/>
        <d v="2016-11-14T00:00:00"/>
        <d v="2016-11-16T00:00:00"/>
        <d v="2016-11-17T00:00:00"/>
        <d v="2016-11-18T00:00:00"/>
        <d v="2016-11-19T00:00:00"/>
        <d v="2016-11-20T00:00:00"/>
        <d v="2016-11-21T00:00:00"/>
        <d v="2016-11-24T00:00:00"/>
        <d v="2016-11-25T00:00:00"/>
        <d v="2016-11-27T00:00:00"/>
        <d v="2016-11-28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1T00:00:00"/>
        <d v="2016-12-22T00:00:00"/>
        <d v="2016-12-23T00:00:00"/>
        <d v="2016-12-24T00:00:00"/>
        <d v="2016-12-25T00:00:00"/>
        <d v="2016-12-28T00:00:00"/>
        <d v="2016-12-29T00:00:00"/>
        <d v="2016-12-30T00:00:00"/>
        <m/>
      </sharedItems>
    </cacheField>
    <cacheField name="Data_Entrega" numFmtId="0">
      <sharedItems containsNonDate="0" containsDate="1" containsString="0" containsBlank="1" minDate="2013-01-08T00:00:00" maxDate="2017-01-06T00:00:00"/>
    </cacheField>
    <cacheField name="Tempo_de_Entrega(Dias)" numFmtId="0">
      <sharedItems containsString="0" containsBlank="1" containsNumber="1" containsInteger="1" minValue="0" maxValue="7"/>
    </cacheField>
    <cacheField name="Tipo_Entrega" numFmtId="0">
      <sharedItems containsBlank="1" count="5">
        <s v="Second Class"/>
        <s v="Standard Class"/>
        <s v="First Class"/>
        <s v="Same Day"/>
        <m/>
      </sharedItems>
    </cacheField>
    <cacheField name="ID_Cliente" numFmtId="0">
      <sharedItems containsBlank="1"/>
    </cacheField>
    <cacheField name="Nome_Cliente" numFmtId="0">
      <sharedItems containsBlank="1"/>
    </cacheField>
    <cacheField name="Estado" numFmtId="0">
      <sharedItems containsBlank="1"/>
    </cacheField>
    <cacheField name="Categoria" numFmtId="0">
      <sharedItems containsBlank="1" count="4">
        <s v="Office Supplies"/>
        <s v="Furniture"/>
        <s v="Technology"/>
        <m/>
      </sharedItems>
    </cacheField>
    <cacheField name="Sub-Categoria" numFmtId="0">
      <sharedItems containsBlank="1"/>
    </cacheField>
    <cacheField name="Nome_Produto" numFmtId="0">
      <sharedItems containsBlank="1"/>
    </cacheField>
    <cacheField name="Valor_Venda" numFmtId="0">
      <sharedItems containsString="0" containsBlank="1" containsNumber="1" minValue="0.99" maxValue="13999.96"/>
    </cacheField>
    <cacheField name="Qte_Vendida" numFmtId="0">
      <sharedItems containsString="0" containsBlank="1" containsNumber="1" containsInteger="1" minValue="1" maxValue="14"/>
    </cacheField>
  </cacheFields>
  <extLst>
    <ext xmlns:x14="http://schemas.microsoft.com/office/spreadsheetml/2009/9/main" uri="{725AE2AE-9491-48be-B2B4-4EB974FC3084}">
      <x14:pivotCacheDefinition pivotCacheId="484260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7">
  <r>
    <x v="0"/>
    <s v="California"/>
    <s v="Office Supplies"/>
    <s v="Paper"/>
    <x v="0"/>
  </r>
  <r>
    <x v="1"/>
    <s v="California"/>
    <s v="Office Supplies"/>
    <s v="Storage"/>
    <x v="1"/>
  </r>
  <r>
    <x v="1"/>
    <s v="California"/>
    <s v="Furniture"/>
    <s v="Bookcases"/>
    <x v="2"/>
  </r>
  <r>
    <x v="1"/>
    <s v="California"/>
    <s v="Office Supplies"/>
    <s v="Art"/>
    <x v="3"/>
  </r>
  <r>
    <x v="2"/>
    <s v="Oregon"/>
    <s v="Office Supplies"/>
    <s v="Appliances"/>
    <x v="4"/>
  </r>
  <r>
    <x v="3"/>
    <s v="Arizona"/>
    <s v="Office Supplies"/>
    <s v="Binders"/>
    <x v="5"/>
  </r>
  <r>
    <x v="3"/>
    <s v="Arizona"/>
    <s v="Office Supplies"/>
    <s v="Paper"/>
    <x v="6"/>
  </r>
  <r>
    <x v="3"/>
    <s v="Arizona"/>
    <s v="Office Supplies"/>
    <s v="Envelopes"/>
    <x v="7"/>
  </r>
  <r>
    <x v="3"/>
    <s v="Arizona"/>
    <s v="Furniture"/>
    <s v="Bookcases"/>
    <x v="8"/>
  </r>
  <r>
    <x v="4"/>
    <s v="California"/>
    <s v="Office Supplies"/>
    <s v="Paper"/>
    <x v="9"/>
  </r>
  <r>
    <x v="4"/>
    <s v="California"/>
    <s v="Furniture"/>
    <s v="Furnishings"/>
    <x v="10"/>
  </r>
  <r>
    <x v="5"/>
    <s v="Nevada"/>
    <s v="Office Supplies"/>
    <s v="Paper"/>
    <x v="11"/>
  </r>
  <r>
    <x v="6"/>
    <s v="California"/>
    <s v="Office Supplies"/>
    <s v="Storage"/>
    <x v="12"/>
  </r>
  <r>
    <x v="6"/>
    <s v="California"/>
    <s v="Furniture"/>
    <s v="Tables"/>
    <x v="13"/>
  </r>
  <r>
    <x v="6"/>
    <s v="California"/>
    <s v="Office Supplies"/>
    <s v="Art"/>
    <x v="14"/>
  </r>
  <r>
    <x v="7"/>
    <s v="California"/>
    <s v="Furniture"/>
    <s v="Bookcases"/>
    <x v="15"/>
  </r>
  <r>
    <x v="8"/>
    <s v="California"/>
    <s v="Office Supplies"/>
    <s v="Fasteners"/>
    <x v="16"/>
  </r>
  <r>
    <x v="9"/>
    <s v="Washington"/>
    <s v="Office Supplies"/>
    <s v="Binders"/>
    <x v="17"/>
  </r>
  <r>
    <x v="9"/>
    <s v="Washington"/>
    <s v="Office Supplies"/>
    <s v="Binders"/>
    <x v="18"/>
  </r>
  <r>
    <x v="10"/>
    <s v="California"/>
    <s v="Office Supplies"/>
    <s v="Binders"/>
    <x v="19"/>
  </r>
  <r>
    <x v="10"/>
    <s v="California"/>
    <s v="Office Supplies"/>
    <s v="Paper"/>
    <x v="20"/>
  </r>
  <r>
    <x v="11"/>
    <s v="California"/>
    <s v="Office Supplies"/>
    <s v="Binders"/>
    <x v="5"/>
  </r>
  <r>
    <x v="12"/>
    <s v="Nevada"/>
    <s v="Furniture"/>
    <s v="Furnishings"/>
    <x v="21"/>
  </r>
  <r>
    <x v="13"/>
    <s v="California"/>
    <s v="Furniture"/>
    <s v="Chairs"/>
    <x v="22"/>
  </r>
  <r>
    <x v="14"/>
    <s v="Washington"/>
    <s v="Technology"/>
    <s v="Accessories"/>
    <x v="23"/>
  </r>
  <r>
    <x v="14"/>
    <s v="Washington"/>
    <s v="Office Supplies"/>
    <s v="Appliances"/>
    <x v="24"/>
  </r>
  <r>
    <x v="14"/>
    <s v="Washington"/>
    <s v="Office Supplies"/>
    <s v="Supplies"/>
    <x v="25"/>
  </r>
  <r>
    <x v="15"/>
    <s v="Washington"/>
    <s v="Office Supplies"/>
    <s v="Binders"/>
    <x v="26"/>
  </r>
  <r>
    <x v="16"/>
    <s v="California"/>
    <s v="Office Supplies"/>
    <s v="Paper"/>
    <x v="27"/>
  </r>
  <r>
    <x v="17"/>
    <s v="California"/>
    <s v="Office Supplies"/>
    <s v="Paper"/>
    <x v="28"/>
  </r>
  <r>
    <x v="18"/>
    <s v="Oregon"/>
    <s v="Office Supplies"/>
    <s v="Paper"/>
    <x v="29"/>
  </r>
  <r>
    <x v="18"/>
    <s v="Oregon"/>
    <s v="Office Supplies"/>
    <s v="Paper"/>
    <x v="30"/>
  </r>
  <r>
    <x v="19"/>
    <s v="Washington"/>
    <s v="Furniture"/>
    <s v="Chairs"/>
    <x v="31"/>
  </r>
  <r>
    <x v="20"/>
    <s v="California"/>
    <s v="Furniture"/>
    <s v="Tables"/>
    <x v="32"/>
  </r>
  <r>
    <x v="21"/>
    <s v="Washington"/>
    <s v="Furniture"/>
    <s v="Chairs"/>
    <x v="33"/>
  </r>
  <r>
    <x v="21"/>
    <s v="Washington"/>
    <s v="Office Supplies"/>
    <s v="Art"/>
    <x v="34"/>
  </r>
  <r>
    <x v="21"/>
    <s v="Washington"/>
    <s v="Office Supplies"/>
    <s v="Storage"/>
    <x v="35"/>
  </r>
  <r>
    <x v="22"/>
    <s v="Washington"/>
    <s v="Office Supplies"/>
    <s v="Binders"/>
    <x v="36"/>
  </r>
  <r>
    <x v="23"/>
    <s v="Washington"/>
    <s v="Office Supplies"/>
    <s v="Art"/>
    <x v="37"/>
  </r>
  <r>
    <x v="23"/>
    <s v="Washington"/>
    <s v="Office Supplies"/>
    <s v="Storage"/>
    <x v="38"/>
  </r>
  <r>
    <x v="23"/>
    <s v="Washington"/>
    <s v="Furniture"/>
    <s v="Chairs"/>
    <x v="39"/>
  </r>
  <r>
    <x v="23"/>
    <s v="Washington"/>
    <s v="Furniture"/>
    <s v="Chairs"/>
    <x v="40"/>
  </r>
  <r>
    <x v="24"/>
    <s v="Colorado"/>
    <s v="Office Supplies"/>
    <s v="Storage"/>
    <x v="1"/>
  </r>
  <r>
    <x v="24"/>
    <s v="Colorado"/>
    <s v="Office Supplies"/>
    <s v="Art"/>
    <x v="41"/>
  </r>
  <r>
    <x v="25"/>
    <s v="California"/>
    <s v="Office Supplies"/>
    <s v="Art"/>
    <x v="42"/>
  </r>
  <r>
    <x v="26"/>
    <s v="California"/>
    <s v="Office Supplies"/>
    <s v="Paper"/>
    <x v="43"/>
  </r>
  <r>
    <x v="26"/>
    <s v="California"/>
    <s v="Office Supplies"/>
    <s v="Art"/>
    <x v="44"/>
  </r>
  <r>
    <x v="27"/>
    <s v="Utah"/>
    <s v="Office Supplies"/>
    <s v="Binders"/>
    <x v="45"/>
  </r>
  <r>
    <x v="27"/>
    <s v="Utah"/>
    <s v="Office Supplies"/>
    <s v="Storage"/>
    <x v="46"/>
  </r>
  <r>
    <x v="27"/>
    <s v="Utah"/>
    <s v="Technology"/>
    <s v="Accessories"/>
    <x v="47"/>
  </r>
  <r>
    <x v="27"/>
    <s v="Utah"/>
    <s v="Office Supplies"/>
    <s v="Storage"/>
    <x v="48"/>
  </r>
  <r>
    <x v="27"/>
    <s v="Utah"/>
    <s v="Office Supplies"/>
    <s v="Binders"/>
    <x v="49"/>
  </r>
  <r>
    <x v="28"/>
    <s v="California"/>
    <s v="Furniture"/>
    <s v="Bookcases"/>
    <x v="50"/>
  </r>
  <r>
    <x v="29"/>
    <s v="California"/>
    <s v="Furniture"/>
    <s v="Furnishings"/>
    <x v="51"/>
  </r>
  <r>
    <x v="29"/>
    <s v="California"/>
    <s v="Technology"/>
    <s v="Machines"/>
    <x v="52"/>
  </r>
  <r>
    <x v="29"/>
    <s v="California"/>
    <s v="Office Supplies"/>
    <s v="Storage"/>
    <x v="1"/>
  </r>
  <r>
    <x v="30"/>
    <s v="Arizona"/>
    <s v="Office Supplies"/>
    <s v="Paper"/>
    <x v="53"/>
  </r>
  <r>
    <x v="30"/>
    <s v="Arizona"/>
    <s v="Furniture"/>
    <s v="Chairs"/>
    <x v="54"/>
  </r>
  <r>
    <x v="31"/>
    <s v="California"/>
    <s v="Office Supplies"/>
    <s v="Storage"/>
    <x v="55"/>
  </r>
  <r>
    <x v="31"/>
    <s v="California"/>
    <s v="Technology"/>
    <s v="Phones"/>
    <x v="56"/>
  </r>
  <r>
    <x v="32"/>
    <s v="California"/>
    <s v="Furniture"/>
    <s v="Furnishings"/>
    <x v="57"/>
  </r>
  <r>
    <x v="33"/>
    <s v="California"/>
    <s v="Office Supplies"/>
    <s v="Art"/>
    <x v="58"/>
  </r>
  <r>
    <x v="33"/>
    <s v="California"/>
    <s v="Office Supplies"/>
    <s v="Art"/>
    <x v="59"/>
  </r>
  <r>
    <x v="33"/>
    <s v="California"/>
    <s v="Technology"/>
    <s v="Accessories"/>
    <x v="60"/>
  </r>
  <r>
    <x v="33"/>
    <s v="California"/>
    <s v="Office Supplies"/>
    <s v="Art"/>
    <x v="61"/>
  </r>
  <r>
    <x v="34"/>
    <s v="California"/>
    <s v="Technology"/>
    <s v="Accessories"/>
    <x v="62"/>
  </r>
  <r>
    <x v="35"/>
    <s v="California"/>
    <s v="Office Supplies"/>
    <s v="Art"/>
    <x v="63"/>
  </r>
  <r>
    <x v="35"/>
    <s v="California"/>
    <s v="Office Supplies"/>
    <s v="Binders"/>
    <x v="64"/>
  </r>
  <r>
    <x v="35"/>
    <s v="California"/>
    <s v="Technology"/>
    <s v="Phones"/>
    <x v="65"/>
  </r>
  <r>
    <x v="36"/>
    <s v="California"/>
    <s v="Office Supplies"/>
    <s v="Labels"/>
    <x v="66"/>
  </r>
  <r>
    <x v="37"/>
    <s v="New Mexico"/>
    <s v="Technology"/>
    <s v="Phones"/>
    <x v="67"/>
  </r>
  <r>
    <x v="38"/>
    <s v="Washington"/>
    <s v="Office Supplies"/>
    <s v="Storage"/>
    <x v="68"/>
  </r>
  <r>
    <x v="38"/>
    <s v="Washington"/>
    <s v="Office Supplies"/>
    <s v="Labels"/>
    <x v="69"/>
  </r>
  <r>
    <x v="39"/>
    <s v="California"/>
    <s v="Furniture"/>
    <s v="Bookcases"/>
    <x v="70"/>
  </r>
  <r>
    <x v="40"/>
    <s v="California"/>
    <s v="Office Supplies"/>
    <s v="Binders"/>
    <x v="71"/>
  </r>
  <r>
    <x v="40"/>
    <s v="California"/>
    <s v="Office Supplies"/>
    <s v="Appliances"/>
    <x v="72"/>
  </r>
  <r>
    <x v="41"/>
    <s v="California"/>
    <s v="Office Supplies"/>
    <s v="Labels"/>
    <x v="69"/>
  </r>
  <r>
    <x v="41"/>
    <s v="California"/>
    <s v="Office Supplies"/>
    <s v="Binders"/>
    <x v="73"/>
  </r>
  <r>
    <x v="42"/>
    <s v="California"/>
    <s v="Office Supplies"/>
    <s v="Envelopes"/>
    <x v="74"/>
  </r>
  <r>
    <x v="42"/>
    <s v="California"/>
    <s v="Technology"/>
    <s v="Accessories"/>
    <x v="75"/>
  </r>
  <r>
    <x v="42"/>
    <s v="California"/>
    <s v="Technology"/>
    <s v="Accessories"/>
    <x v="23"/>
  </r>
  <r>
    <x v="43"/>
    <s v="California"/>
    <s v="Office Supplies"/>
    <s v="Labels"/>
    <x v="76"/>
  </r>
  <r>
    <x v="44"/>
    <s v="California"/>
    <s v="Office Supplies"/>
    <s v="Binders"/>
    <x v="77"/>
  </r>
  <r>
    <x v="45"/>
    <s v="Washington"/>
    <s v="Furniture"/>
    <s v="Tables"/>
    <x v="78"/>
  </r>
  <r>
    <x v="45"/>
    <s v="Washington"/>
    <s v="Technology"/>
    <s v="Accessories"/>
    <x v="79"/>
  </r>
  <r>
    <x v="46"/>
    <s v="California"/>
    <s v="Furniture"/>
    <s v="Furnishings"/>
    <x v="80"/>
  </r>
  <r>
    <x v="46"/>
    <s v="California"/>
    <s v="Furniture"/>
    <s v="Furnishings"/>
    <x v="81"/>
  </r>
  <r>
    <x v="46"/>
    <s v="California"/>
    <s v="Office Supplies"/>
    <s v="Paper"/>
    <x v="82"/>
  </r>
  <r>
    <x v="46"/>
    <s v="California"/>
    <s v="Office Supplies"/>
    <s v="Paper"/>
    <x v="83"/>
  </r>
  <r>
    <x v="47"/>
    <s v="California"/>
    <s v="Office Supplies"/>
    <s v="Art"/>
    <x v="84"/>
  </r>
  <r>
    <x v="47"/>
    <s v="California"/>
    <s v="Office Supplies"/>
    <s v="Binders"/>
    <x v="85"/>
  </r>
  <r>
    <x v="47"/>
    <s v="California"/>
    <s v="Technology"/>
    <s v="Accessories"/>
    <x v="86"/>
  </r>
  <r>
    <x v="48"/>
    <s v="Arizona"/>
    <s v="Office Supplies"/>
    <s v="Fasteners"/>
    <x v="87"/>
  </r>
  <r>
    <x v="48"/>
    <s v="Arizona"/>
    <s v="Office Supplies"/>
    <s v="Paper"/>
    <x v="88"/>
  </r>
  <r>
    <x v="49"/>
    <s v="Arizona"/>
    <s v="Office Supplies"/>
    <s v="Fasteners"/>
    <x v="89"/>
  </r>
  <r>
    <x v="12"/>
    <s v="California"/>
    <s v="Furniture"/>
    <s v="Tables"/>
    <x v="90"/>
  </r>
  <r>
    <x v="12"/>
    <s v="California"/>
    <s v="Technology"/>
    <s v="Accessories"/>
    <x v="91"/>
  </r>
  <r>
    <x v="50"/>
    <s v="Idaho"/>
    <s v="Office Supplies"/>
    <s v="Binders"/>
    <x v="92"/>
  </r>
  <r>
    <x v="51"/>
    <s v="Montana"/>
    <s v="Office Supplies"/>
    <s v="Storage"/>
    <x v="93"/>
  </r>
  <r>
    <x v="51"/>
    <s v="Montana"/>
    <s v="Technology"/>
    <s v="Phones"/>
    <x v="94"/>
  </r>
  <r>
    <x v="51"/>
    <s v="Montana"/>
    <s v="Technology"/>
    <s v="Accessories"/>
    <x v="95"/>
  </r>
  <r>
    <x v="52"/>
    <s v="California"/>
    <s v="Technology"/>
    <s v="Phones"/>
    <x v="96"/>
  </r>
  <r>
    <x v="52"/>
    <s v="California"/>
    <s v="Technology"/>
    <s v="Phones"/>
    <x v="97"/>
  </r>
  <r>
    <x v="52"/>
    <s v="California"/>
    <s v="Office Supplies"/>
    <s v="Binders"/>
    <x v="98"/>
  </r>
  <r>
    <x v="52"/>
    <s v="California"/>
    <s v="Furniture"/>
    <s v="Bookcases"/>
    <x v="70"/>
  </r>
  <r>
    <x v="53"/>
    <s v="California"/>
    <s v="Office Supplies"/>
    <s v="Art"/>
    <x v="99"/>
  </r>
  <r>
    <x v="54"/>
    <s v="California"/>
    <s v="Office Supplies"/>
    <s v="Appliances"/>
    <x v="100"/>
  </r>
  <r>
    <x v="54"/>
    <s v="California"/>
    <s v="Furniture"/>
    <s v="Furnishings"/>
    <x v="101"/>
  </r>
  <r>
    <x v="55"/>
    <s v="California"/>
    <s v="Technology"/>
    <s v="Machines"/>
    <x v="102"/>
  </r>
  <r>
    <x v="55"/>
    <s v="California"/>
    <s v="Office Supplies"/>
    <s v="Art"/>
    <x v="103"/>
  </r>
  <r>
    <x v="55"/>
    <s v="California"/>
    <s v="Office Supplies"/>
    <s v="Art"/>
    <x v="104"/>
  </r>
  <r>
    <x v="55"/>
    <s v="California"/>
    <s v="Office Supplies"/>
    <s v="Fasteners"/>
    <x v="105"/>
  </r>
  <r>
    <x v="56"/>
    <s v="California"/>
    <s v="Furniture"/>
    <s v="Furnishings"/>
    <x v="106"/>
  </r>
  <r>
    <x v="57"/>
    <s v="California"/>
    <s v="Furniture"/>
    <s v="Furnishings"/>
    <x v="107"/>
  </r>
  <r>
    <x v="58"/>
    <s v="California"/>
    <s v="Office Supplies"/>
    <s v="Binders"/>
    <x v="108"/>
  </r>
  <r>
    <x v="12"/>
    <s v="California"/>
    <s v="Office Supplies"/>
    <s v="Paper"/>
    <x v="109"/>
  </r>
  <r>
    <x v="59"/>
    <s v="California"/>
    <s v="Furniture"/>
    <s v="Furnishings"/>
    <x v="110"/>
  </r>
  <r>
    <x v="59"/>
    <s v="California"/>
    <s v="Office Supplies"/>
    <s v="Appliances"/>
    <x v="111"/>
  </r>
  <r>
    <x v="59"/>
    <s v="California"/>
    <s v="Furniture"/>
    <s v="Chairs"/>
    <x v="112"/>
  </r>
  <r>
    <x v="60"/>
    <s v="California"/>
    <s v="Furniture"/>
    <s v="Chairs"/>
    <x v="113"/>
  </r>
  <r>
    <x v="60"/>
    <s v="California"/>
    <s v="Office Supplies"/>
    <s v="Binders"/>
    <x v="114"/>
  </r>
  <r>
    <x v="61"/>
    <s v="California"/>
    <s v="Office Supplies"/>
    <s v="Art"/>
    <x v="115"/>
  </r>
  <r>
    <x v="61"/>
    <s v="California"/>
    <s v="Office Supplies"/>
    <s v="Labels"/>
    <x v="116"/>
  </r>
  <r>
    <x v="62"/>
    <s v="California"/>
    <s v="Technology"/>
    <s v="Phones"/>
    <x v="117"/>
  </r>
  <r>
    <x v="63"/>
    <s v="Washington"/>
    <s v="Furniture"/>
    <s v="Furnishings"/>
    <x v="118"/>
  </r>
  <r>
    <x v="63"/>
    <s v="Washington"/>
    <s v="Office Supplies"/>
    <s v="Appliances"/>
    <x v="119"/>
  </r>
  <r>
    <x v="64"/>
    <s v="California"/>
    <s v="Office Supplies"/>
    <s v="Binders"/>
    <x v="120"/>
  </r>
  <r>
    <x v="65"/>
    <s v="California"/>
    <s v="Office Supplies"/>
    <s v="Labels"/>
    <x v="121"/>
  </r>
  <r>
    <x v="65"/>
    <s v="California"/>
    <s v="Office Supplies"/>
    <s v="Art"/>
    <x v="122"/>
  </r>
  <r>
    <x v="66"/>
    <s v="California"/>
    <s v="Technology"/>
    <s v="Accessories"/>
    <x v="79"/>
  </r>
  <r>
    <x v="66"/>
    <s v="California"/>
    <s v="Technology"/>
    <s v="Accessories"/>
    <x v="123"/>
  </r>
  <r>
    <x v="62"/>
    <s v="Washington"/>
    <s v="Office Supplies"/>
    <s v="Envelopes"/>
    <x v="124"/>
  </r>
  <r>
    <x v="62"/>
    <s v="Washington"/>
    <s v="Technology"/>
    <s v="Phones"/>
    <x v="125"/>
  </r>
  <r>
    <x v="67"/>
    <s v="California"/>
    <s v="Office Supplies"/>
    <s v="Paper"/>
    <x v="126"/>
  </r>
  <r>
    <x v="67"/>
    <s v="California"/>
    <s v="Technology"/>
    <s v="Phones"/>
    <x v="127"/>
  </r>
  <r>
    <x v="67"/>
    <s v="California"/>
    <s v="Office Supplies"/>
    <s v="Supplies"/>
    <x v="128"/>
  </r>
  <r>
    <x v="67"/>
    <s v="California"/>
    <s v="Furniture"/>
    <s v="Chairs"/>
    <x v="129"/>
  </r>
  <r>
    <x v="68"/>
    <s v="Utah"/>
    <s v="Office Supplies"/>
    <s v="Storage"/>
    <x v="130"/>
  </r>
  <r>
    <x v="69"/>
    <s v="California"/>
    <s v="Technology"/>
    <s v="Accessories"/>
    <x v="131"/>
  </r>
  <r>
    <x v="70"/>
    <s v="California"/>
    <s v="Furniture"/>
    <s v="Chairs"/>
    <x v="132"/>
  </r>
  <r>
    <x v="70"/>
    <s v="California"/>
    <s v="Office Supplies"/>
    <s v="Paper"/>
    <x v="133"/>
  </r>
  <r>
    <x v="71"/>
    <s v="California"/>
    <s v="Furniture"/>
    <s v="Chairs"/>
    <x v="132"/>
  </r>
  <r>
    <x v="72"/>
    <s v="California"/>
    <s v="Technology"/>
    <s v="Accessories"/>
    <x v="134"/>
  </r>
  <r>
    <x v="73"/>
    <s v="California"/>
    <s v="Office Supplies"/>
    <s v="Art"/>
    <x v="3"/>
  </r>
  <r>
    <x v="74"/>
    <s v="Washington"/>
    <s v="Office Supplies"/>
    <s v="Paper"/>
    <x v="135"/>
  </r>
  <r>
    <x v="14"/>
    <s v="California"/>
    <s v="Furniture"/>
    <s v="Bookcases"/>
    <x v="136"/>
  </r>
  <r>
    <x v="14"/>
    <s v="California"/>
    <s v="Technology"/>
    <s v="Phones"/>
    <x v="137"/>
  </r>
  <r>
    <x v="14"/>
    <s v="California"/>
    <s v="Technology"/>
    <s v="Phones"/>
    <x v="138"/>
  </r>
  <r>
    <x v="75"/>
    <s v="California"/>
    <s v="Furniture"/>
    <s v="Chairs"/>
    <x v="139"/>
  </r>
  <r>
    <x v="76"/>
    <s v="Utah"/>
    <s v="Office Supplies"/>
    <s v="Paper"/>
    <x v="9"/>
  </r>
  <r>
    <x v="77"/>
    <s v="California"/>
    <s v="Furniture"/>
    <s v="Tables"/>
    <x v="140"/>
  </r>
  <r>
    <x v="77"/>
    <s v="California"/>
    <s v="Office Supplies"/>
    <s v="Storage"/>
    <x v="141"/>
  </r>
  <r>
    <x v="78"/>
    <s v="California"/>
    <s v="Technology"/>
    <s v="Phones"/>
    <x v="142"/>
  </r>
  <r>
    <x v="78"/>
    <s v="California"/>
    <s v="Technology"/>
    <s v="Accessories"/>
    <x v="143"/>
  </r>
  <r>
    <x v="79"/>
    <s v="Washington"/>
    <s v="Technology"/>
    <s v="Phones"/>
    <x v="144"/>
  </r>
  <r>
    <x v="79"/>
    <s v="Washington"/>
    <s v="Technology"/>
    <s v="Accessories"/>
    <x v="47"/>
  </r>
  <r>
    <x v="80"/>
    <s v="Washington"/>
    <s v="Office Supplies"/>
    <s v="Binders"/>
    <x v="145"/>
  </r>
  <r>
    <x v="81"/>
    <s v="Utah"/>
    <s v="Office Supplies"/>
    <s v="Binders"/>
    <x v="146"/>
  </r>
  <r>
    <x v="81"/>
    <s v="Utah"/>
    <s v="Furniture"/>
    <s v="Furnishings"/>
    <x v="147"/>
  </r>
  <r>
    <x v="82"/>
    <s v="Washington"/>
    <s v="Furniture"/>
    <s v="Tables"/>
    <x v="148"/>
  </r>
  <r>
    <x v="83"/>
    <s v="Washington"/>
    <s v="Furniture"/>
    <s v="Chairs"/>
    <x v="149"/>
  </r>
  <r>
    <x v="84"/>
    <s v="California"/>
    <s v="Furniture"/>
    <s v="Furnishings"/>
    <x v="150"/>
  </r>
  <r>
    <x v="84"/>
    <s v="California"/>
    <s v="Office Supplies"/>
    <s v="Art"/>
    <x v="151"/>
  </r>
  <r>
    <x v="84"/>
    <s v="California"/>
    <s v="Technology"/>
    <s v="Phones"/>
    <x v="152"/>
  </r>
  <r>
    <x v="84"/>
    <s v="California"/>
    <s v="Office Supplies"/>
    <s v="Binders"/>
    <x v="153"/>
  </r>
  <r>
    <x v="84"/>
    <s v="California"/>
    <s v="Office Supplies"/>
    <s v="Appliances"/>
    <x v="154"/>
  </r>
  <r>
    <x v="84"/>
    <s v="California"/>
    <s v="Furniture"/>
    <s v="Tables"/>
    <x v="155"/>
  </r>
  <r>
    <x v="84"/>
    <s v="California"/>
    <s v="Technology"/>
    <s v="Phones"/>
    <x v="156"/>
  </r>
  <r>
    <x v="85"/>
    <s v="California"/>
    <s v="Office Supplies"/>
    <s v="Supplies"/>
    <x v="157"/>
  </r>
  <r>
    <x v="85"/>
    <s v="California"/>
    <s v="Office Supplies"/>
    <s v="Art"/>
    <x v="158"/>
  </r>
  <r>
    <x v="86"/>
    <s v="Nevada"/>
    <s v="Office Supplies"/>
    <s v="Art"/>
    <x v="159"/>
  </r>
  <r>
    <x v="86"/>
    <s v="Nevada"/>
    <s v="Office Supplies"/>
    <s v="Paper"/>
    <x v="160"/>
  </r>
  <r>
    <x v="86"/>
    <s v="Nevada"/>
    <s v="Furniture"/>
    <s v="Furnishings"/>
    <x v="161"/>
  </r>
  <r>
    <x v="87"/>
    <s v="California"/>
    <s v="Office Supplies"/>
    <s v="Art"/>
    <x v="162"/>
  </r>
  <r>
    <x v="88"/>
    <s v="Washington"/>
    <s v="Furniture"/>
    <s v="Furnishings"/>
    <x v="163"/>
  </r>
  <r>
    <x v="88"/>
    <s v="Washington"/>
    <s v="Office Supplies"/>
    <s v="Fasteners"/>
    <x v="164"/>
  </r>
  <r>
    <x v="88"/>
    <s v="Washington"/>
    <s v="Office Supplies"/>
    <s v="Binders"/>
    <x v="165"/>
  </r>
  <r>
    <x v="89"/>
    <s v="California"/>
    <s v="Technology"/>
    <s v="Phones"/>
    <x v="166"/>
  </r>
  <r>
    <x v="90"/>
    <s v="Colorado"/>
    <s v="Office Supplies"/>
    <s v="Binders"/>
    <x v="167"/>
  </r>
  <r>
    <x v="90"/>
    <s v="Colorado"/>
    <s v="Office Supplies"/>
    <s v="Binders"/>
    <x v="168"/>
  </r>
  <r>
    <x v="91"/>
    <s v="Colorado"/>
    <s v="Technology"/>
    <s v="Accessories"/>
    <x v="169"/>
  </r>
  <r>
    <x v="92"/>
    <s v="Arizona"/>
    <s v="Office Supplies"/>
    <s v="Binders"/>
    <x v="170"/>
  </r>
  <r>
    <x v="93"/>
    <s v="Arizona"/>
    <s v="Furniture"/>
    <s v="Furnishings"/>
    <x v="171"/>
  </r>
  <r>
    <x v="94"/>
    <s v="California"/>
    <s v="Furniture"/>
    <s v="Tables"/>
    <x v="172"/>
  </r>
  <r>
    <x v="95"/>
    <s v="Oregon"/>
    <s v="Technology"/>
    <s v="Phones"/>
    <x v="173"/>
  </r>
  <r>
    <x v="95"/>
    <s v="Oregon"/>
    <s v="Office Supplies"/>
    <s v="Art"/>
    <x v="174"/>
  </r>
  <r>
    <x v="95"/>
    <s v="Oregon"/>
    <s v="Office Supplies"/>
    <s v="Art"/>
    <x v="175"/>
  </r>
  <r>
    <x v="96"/>
    <s v="California"/>
    <s v="Office Supplies"/>
    <s v="Art"/>
    <x v="176"/>
  </r>
  <r>
    <x v="38"/>
    <s v="Washington"/>
    <s v="Office Supplies"/>
    <s v="Binders"/>
    <x v="177"/>
  </r>
  <r>
    <x v="42"/>
    <s v="Colorado"/>
    <s v="Office Supplies"/>
    <s v="Paper"/>
    <x v="83"/>
  </r>
  <r>
    <x v="42"/>
    <s v="Colorado"/>
    <s v="Office Supplies"/>
    <s v="Appliances"/>
    <x v="4"/>
  </r>
  <r>
    <x v="97"/>
    <s v="California"/>
    <s v="Office Supplies"/>
    <s v="Binders"/>
    <x v="178"/>
  </r>
  <r>
    <x v="98"/>
    <s v="California"/>
    <s v="Furniture"/>
    <s v="Chairs"/>
    <x v="179"/>
  </r>
  <r>
    <x v="99"/>
    <s v="California"/>
    <s v="Furniture"/>
    <s v="Tables"/>
    <x v="180"/>
  </r>
  <r>
    <x v="99"/>
    <s v="California"/>
    <s v="Office Supplies"/>
    <s v="Binders"/>
    <x v="181"/>
  </r>
  <r>
    <x v="100"/>
    <s v="California"/>
    <s v="Office Supplies"/>
    <s v="Labels"/>
    <x v="182"/>
  </r>
  <r>
    <x v="100"/>
    <s v="California"/>
    <s v="Office Supplies"/>
    <s v="Binders"/>
    <x v="64"/>
  </r>
  <r>
    <x v="100"/>
    <s v="California"/>
    <s v="Office Supplies"/>
    <s v="Storage"/>
    <x v="183"/>
  </r>
  <r>
    <x v="101"/>
    <s v="California"/>
    <s v="Office Supplies"/>
    <s v="Binders"/>
    <x v="184"/>
  </r>
  <r>
    <x v="101"/>
    <s v="California"/>
    <s v="Furniture"/>
    <s v="Bookcases"/>
    <x v="50"/>
  </r>
  <r>
    <x v="101"/>
    <s v="California"/>
    <s v="Office Supplies"/>
    <s v="Art"/>
    <x v="185"/>
  </r>
  <r>
    <x v="101"/>
    <s v="California"/>
    <s v="Office Supplies"/>
    <s v="Paper"/>
    <x v="186"/>
  </r>
  <r>
    <x v="102"/>
    <s v="California"/>
    <s v="Office Supplies"/>
    <s v="Binders"/>
    <x v="187"/>
  </r>
  <r>
    <x v="102"/>
    <s v="California"/>
    <s v="Furniture"/>
    <s v="Tables"/>
    <x v="188"/>
  </r>
  <r>
    <x v="103"/>
    <s v="California"/>
    <s v="Office Supplies"/>
    <s v="Storage"/>
    <x v="130"/>
  </r>
  <r>
    <x v="103"/>
    <s v="California"/>
    <s v="Technology"/>
    <s v="Phones"/>
    <x v="189"/>
  </r>
  <r>
    <x v="104"/>
    <s v="Washington"/>
    <s v="Furniture"/>
    <s v="Chairs"/>
    <x v="190"/>
  </r>
  <r>
    <x v="104"/>
    <s v="Washington"/>
    <s v="Office Supplies"/>
    <s v="Binders"/>
    <x v="191"/>
  </r>
  <r>
    <x v="95"/>
    <s v="California"/>
    <s v="Furniture"/>
    <s v="Tables"/>
    <x v="192"/>
  </r>
  <r>
    <x v="105"/>
    <s v="Arizona"/>
    <s v="Office Supplies"/>
    <s v="Storage"/>
    <x v="193"/>
  </r>
  <r>
    <x v="106"/>
    <s v="Arizona"/>
    <s v="Furniture"/>
    <s v="Chairs"/>
    <x v="194"/>
  </r>
  <r>
    <x v="107"/>
    <s v="Montana"/>
    <s v="Office Supplies"/>
    <s v="Binders"/>
    <x v="195"/>
  </r>
  <r>
    <x v="108"/>
    <s v="California"/>
    <s v="Office Supplies"/>
    <s v="Paper"/>
    <x v="196"/>
  </r>
  <r>
    <x v="108"/>
    <s v="California"/>
    <s v="Office Supplies"/>
    <s v="Binders"/>
    <x v="197"/>
  </r>
  <r>
    <x v="108"/>
    <s v="California"/>
    <s v="Office Supplies"/>
    <s v="Paper"/>
    <x v="198"/>
  </r>
  <r>
    <x v="108"/>
    <s v="California"/>
    <s v="Furniture"/>
    <s v="Furnishings"/>
    <x v="199"/>
  </r>
  <r>
    <x v="109"/>
    <s v="California"/>
    <s v="Office Supplies"/>
    <s v="Binders"/>
    <x v="200"/>
  </r>
  <r>
    <x v="109"/>
    <s v="California"/>
    <s v="Office Supplies"/>
    <s v="Paper"/>
    <x v="201"/>
  </r>
  <r>
    <x v="34"/>
    <s v="California"/>
    <s v="Technology"/>
    <s v="Accessories"/>
    <x v="202"/>
  </r>
  <r>
    <x v="34"/>
    <s v="California"/>
    <s v="Office Supplies"/>
    <s v="Paper"/>
    <x v="203"/>
  </r>
  <r>
    <x v="34"/>
    <s v="California"/>
    <s v="Office Supplies"/>
    <s v="Art"/>
    <x v="204"/>
  </r>
  <r>
    <x v="34"/>
    <s v="California"/>
    <s v="Office Supplies"/>
    <s v="Storage"/>
    <x v="205"/>
  </r>
  <r>
    <x v="110"/>
    <s v="California"/>
    <s v="Office Supplies"/>
    <s v="Art"/>
    <x v="206"/>
  </r>
  <r>
    <x v="110"/>
    <s v="California"/>
    <s v="Furniture"/>
    <s v="Chairs"/>
    <x v="207"/>
  </r>
  <r>
    <x v="110"/>
    <s v="California"/>
    <s v="Furniture"/>
    <s v="Tables"/>
    <x v="208"/>
  </r>
  <r>
    <x v="69"/>
    <s v="California"/>
    <s v="Office Supplies"/>
    <s v="Art"/>
    <x v="209"/>
  </r>
  <r>
    <x v="69"/>
    <s v="California"/>
    <s v="Furniture"/>
    <s v="Chairs"/>
    <x v="179"/>
  </r>
  <r>
    <x v="69"/>
    <s v="California"/>
    <s v="Office Supplies"/>
    <s v="Storage"/>
    <x v="210"/>
  </r>
  <r>
    <x v="69"/>
    <s v="California"/>
    <s v="Furniture"/>
    <s v="Tables"/>
    <x v="211"/>
  </r>
  <r>
    <x v="111"/>
    <s v="California"/>
    <s v="Office Supplies"/>
    <s v="Art"/>
    <x v="212"/>
  </r>
  <r>
    <x v="112"/>
    <s v="Arizona"/>
    <s v="Office Supplies"/>
    <s v="Binders"/>
    <x v="197"/>
  </r>
  <r>
    <x v="112"/>
    <s v="Arizona"/>
    <s v="Technology"/>
    <s v="Accessories"/>
    <x v="213"/>
  </r>
  <r>
    <x v="112"/>
    <s v="Arizona"/>
    <s v="Office Supplies"/>
    <s v="Art"/>
    <x v="214"/>
  </r>
  <r>
    <x v="112"/>
    <s v="Arizona"/>
    <s v="Technology"/>
    <s v="Accessories"/>
    <x v="215"/>
  </r>
  <r>
    <x v="113"/>
    <s v="California"/>
    <s v="Technology"/>
    <s v="Phones"/>
    <x v="137"/>
  </r>
  <r>
    <x v="113"/>
    <s v="California"/>
    <s v="Office Supplies"/>
    <s v="Supplies"/>
    <x v="216"/>
  </r>
  <r>
    <x v="113"/>
    <s v="California"/>
    <s v="Technology"/>
    <s v="Phones"/>
    <x v="217"/>
  </r>
  <r>
    <x v="113"/>
    <s v="California"/>
    <s v="Technology"/>
    <s v="Accessories"/>
    <x v="218"/>
  </r>
  <r>
    <x v="114"/>
    <s v="California"/>
    <s v="Office Supplies"/>
    <s v="Storage"/>
    <x v="219"/>
  </r>
  <r>
    <x v="114"/>
    <s v="California"/>
    <s v="Office Supplies"/>
    <s v="Supplies"/>
    <x v="220"/>
  </r>
  <r>
    <x v="114"/>
    <s v="California"/>
    <s v="Furniture"/>
    <s v="Furnishings"/>
    <x v="221"/>
  </r>
  <r>
    <x v="115"/>
    <s v="California"/>
    <s v="Office Supplies"/>
    <s v="Paper"/>
    <x v="222"/>
  </r>
  <r>
    <x v="115"/>
    <s v="California"/>
    <s v="Office Supplies"/>
    <s v="Supplies"/>
    <x v="223"/>
  </r>
  <r>
    <x v="41"/>
    <s v="Nevada"/>
    <s v="Technology"/>
    <s v="Phones"/>
    <x v="224"/>
  </r>
  <r>
    <x v="41"/>
    <s v="Nevada"/>
    <s v="Furniture"/>
    <s v="Chairs"/>
    <x v="225"/>
  </r>
  <r>
    <x v="41"/>
    <s v="Nevada"/>
    <s v="Furniture"/>
    <s v="Furnishings"/>
    <x v="226"/>
  </r>
  <r>
    <x v="41"/>
    <s v="Nevada"/>
    <s v="Technology"/>
    <s v="Accessories"/>
    <x v="227"/>
  </r>
  <r>
    <x v="116"/>
    <s v="Utah"/>
    <s v="Technology"/>
    <s v="Accessories"/>
    <x v="228"/>
  </r>
  <r>
    <x v="117"/>
    <s v="California"/>
    <s v="Technology"/>
    <s v="Accessories"/>
    <x v="229"/>
  </r>
  <r>
    <x v="118"/>
    <s v="California"/>
    <s v="Office Supplies"/>
    <s v="Storage"/>
    <x v="230"/>
  </r>
  <r>
    <x v="119"/>
    <s v="Washington"/>
    <s v="Furniture"/>
    <s v="Bookcases"/>
    <x v="231"/>
  </r>
  <r>
    <x v="120"/>
    <s v="California"/>
    <s v="Office Supplies"/>
    <s v="Binders"/>
    <x v="232"/>
  </r>
  <r>
    <x v="121"/>
    <s v="Colorado"/>
    <s v="Furniture"/>
    <s v="Tables"/>
    <x v="233"/>
  </r>
  <r>
    <x v="121"/>
    <s v="Colorado"/>
    <s v="Office Supplies"/>
    <s v="Appliances"/>
    <x v="234"/>
  </r>
  <r>
    <x v="100"/>
    <s v="Arizona"/>
    <s v="Office Supplies"/>
    <s v="Paper"/>
    <x v="235"/>
  </r>
  <r>
    <x v="122"/>
    <s v="Utah"/>
    <s v="Office Supplies"/>
    <s v="Appliances"/>
    <x v="236"/>
  </r>
  <r>
    <x v="122"/>
    <s v="Utah"/>
    <s v="Office Supplies"/>
    <s v="Paper"/>
    <x v="237"/>
  </r>
  <r>
    <x v="122"/>
    <s v="Utah"/>
    <s v="Office Supplies"/>
    <s v="Art"/>
    <x v="238"/>
  </r>
  <r>
    <x v="122"/>
    <s v="Utah"/>
    <s v="Technology"/>
    <s v="Phones"/>
    <x v="239"/>
  </r>
  <r>
    <x v="122"/>
    <s v="Utah"/>
    <s v="Office Supplies"/>
    <s v="Storage"/>
    <x v="240"/>
  </r>
  <r>
    <x v="122"/>
    <s v="Utah"/>
    <s v="Office Supplies"/>
    <s v="Binders"/>
    <x v="241"/>
  </r>
  <r>
    <x v="123"/>
    <s v="California"/>
    <s v="Office Supplies"/>
    <s v="Paper"/>
    <x v="242"/>
  </r>
  <r>
    <x v="123"/>
    <s v="California"/>
    <s v="Office Supplies"/>
    <s v="Paper"/>
    <x v="243"/>
  </r>
  <r>
    <x v="123"/>
    <s v="California"/>
    <s v="Furniture"/>
    <s v="Chairs"/>
    <x v="244"/>
  </r>
  <r>
    <x v="124"/>
    <s v="California"/>
    <s v="Technology"/>
    <s v="Accessories"/>
    <x v="245"/>
  </r>
  <r>
    <x v="124"/>
    <s v="California"/>
    <s v="Office Supplies"/>
    <s v="Storage"/>
    <x v="246"/>
  </r>
  <r>
    <x v="124"/>
    <s v="California"/>
    <s v="Office Supplies"/>
    <s v="Art"/>
    <x v="247"/>
  </r>
  <r>
    <x v="125"/>
    <s v="California"/>
    <s v="Office Supplies"/>
    <s v="Appliances"/>
    <x v="248"/>
  </r>
  <r>
    <x v="125"/>
    <s v="California"/>
    <s v="Technology"/>
    <s v="Copiers"/>
    <x v="249"/>
  </r>
  <r>
    <x v="125"/>
    <s v="California"/>
    <s v="Technology"/>
    <s v="Phones"/>
    <x v="250"/>
  </r>
  <r>
    <x v="125"/>
    <s v="California"/>
    <s v="Furniture"/>
    <s v="Furnishings"/>
    <x v="251"/>
  </r>
  <r>
    <x v="126"/>
    <s v="Arizona"/>
    <s v="Furniture"/>
    <s v="Furnishings"/>
    <x v="252"/>
  </r>
  <r>
    <x v="126"/>
    <s v="Arizona"/>
    <s v="Technology"/>
    <s v="Accessories"/>
    <x v="253"/>
  </r>
  <r>
    <x v="127"/>
    <s v="California"/>
    <s v="Office Supplies"/>
    <s v="Storage"/>
    <x v="254"/>
  </r>
  <r>
    <x v="128"/>
    <s v="California"/>
    <s v="Office Supplies"/>
    <s v="Labels"/>
    <x v="255"/>
  </r>
  <r>
    <x v="129"/>
    <s v="Washington"/>
    <s v="Technology"/>
    <s v="Phones"/>
    <x v="256"/>
  </r>
  <r>
    <x v="129"/>
    <s v="Washington"/>
    <s v="Technology"/>
    <s v="Phones"/>
    <x v="257"/>
  </r>
  <r>
    <x v="130"/>
    <s v="Washington"/>
    <s v="Office Supplies"/>
    <s v="Binders"/>
    <x v="258"/>
  </r>
  <r>
    <x v="131"/>
    <s v="California"/>
    <s v="Office Supplies"/>
    <s v="Paper"/>
    <x v="259"/>
  </r>
  <r>
    <x v="109"/>
    <s v="Arizona"/>
    <s v="Office Supplies"/>
    <s v="Fasteners"/>
    <x v="260"/>
  </r>
  <r>
    <x v="109"/>
    <s v="Arizona"/>
    <s v="Office Supplies"/>
    <s v="Binders"/>
    <x v="261"/>
  </r>
  <r>
    <x v="67"/>
    <s v="Washington"/>
    <s v="Furniture"/>
    <s v="Furnishings"/>
    <x v="262"/>
  </r>
  <r>
    <x v="67"/>
    <s v="Washington"/>
    <s v="Office Supplies"/>
    <s v="Art"/>
    <x v="263"/>
  </r>
  <r>
    <x v="67"/>
    <s v="Washington"/>
    <s v="Office Supplies"/>
    <s v="Fasteners"/>
    <x v="264"/>
  </r>
  <r>
    <x v="132"/>
    <s v="California"/>
    <s v="Technology"/>
    <s v="Phones"/>
    <x v="265"/>
  </r>
  <r>
    <x v="132"/>
    <s v="California"/>
    <s v="Furniture"/>
    <s v="Furnishings"/>
    <x v="266"/>
  </r>
  <r>
    <x v="1"/>
    <s v="California"/>
    <s v="Office Supplies"/>
    <s v="Appliances"/>
    <x v="267"/>
  </r>
  <r>
    <x v="1"/>
    <s v="California"/>
    <s v="Office Supplies"/>
    <s v="Paper"/>
    <x v="268"/>
  </r>
  <r>
    <x v="1"/>
    <s v="California"/>
    <s v="Office Supplies"/>
    <s v="Binders"/>
    <x v="269"/>
  </r>
  <r>
    <x v="1"/>
    <s v="California"/>
    <s v="Office Supplies"/>
    <s v="Binders"/>
    <x v="270"/>
  </r>
  <r>
    <x v="1"/>
    <s v="California"/>
    <s v="Furniture"/>
    <s v="Chairs"/>
    <x v="271"/>
  </r>
  <r>
    <x v="2"/>
    <s v="California"/>
    <s v="Furniture"/>
    <s v="Furnishings"/>
    <x v="272"/>
  </r>
  <r>
    <x v="2"/>
    <s v="California"/>
    <s v="Office Supplies"/>
    <s v="Binders"/>
    <x v="273"/>
  </r>
  <r>
    <x v="133"/>
    <s v="California"/>
    <s v="Office Supplies"/>
    <s v="Binders"/>
    <x v="274"/>
  </r>
  <r>
    <x v="134"/>
    <s v="Colorado"/>
    <s v="Office Supplies"/>
    <s v="Paper"/>
    <x v="275"/>
  </r>
  <r>
    <x v="134"/>
    <s v="Colorado"/>
    <s v="Office Supplies"/>
    <s v="Supplies"/>
    <x v="276"/>
  </r>
  <r>
    <x v="134"/>
    <s v="Colorado"/>
    <s v="Furniture"/>
    <s v="Furnishings"/>
    <x v="277"/>
  </r>
  <r>
    <x v="134"/>
    <s v="Colorado"/>
    <s v="Technology"/>
    <s v="Phones"/>
    <x v="278"/>
  </r>
  <r>
    <x v="134"/>
    <s v="Colorado"/>
    <s v="Office Supplies"/>
    <s v="Paper"/>
    <x v="279"/>
  </r>
  <r>
    <x v="134"/>
    <s v="Colorado"/>
    <s v="Office Supplies"/>
    <s v="Paper"/>
    <x v="280"/>
  </r>
  <r>
    <x v="133"/>
    <s v="Montana"/>
    <s v="Office Supplies"/>
    <s v="Binders"/>
    <x v="281"/>
  </r>
  <r>
    <x v="135"/>
    <s v="California"/>
    <s v="Furniture"/>
    <s v="Furnishings"/>
    <x v="282"/>
  </r>
  <r>
    <x v="135"/>
    <s v="California"/>
    <s v="Technology"/>
    <s v="Accessories"/>
    <x v="283"/>
  </r>
  <r>
    <x v="135"/>
    <s v="California"/>
    <s v="Office Supplies"/>
    <s v="Paper"/>
    <x v="284"/>
  </r>
  <r>
    <x v="135"/>
    <s v="California"/>
    <s v="Office Supplies"/>
    <s v="Storage"/>
    <x v="285"/>
  </r>
  <r>
    <x v="136"/>
    <s v="Washington"/>
    <s v="Technology"/>
    <s v="Phones"/>
    <x v="286"/>
  </r>
  <r>
    <x v="137"/>
    <s v="California"/>
    <s v="Technology"/>
    <s v="Accessories"/>
    <x v="62"/>
  </r>
  <r>
    <x v="138"/>
    <s v="California"/>
    <s v="Office Supplies"/>
    <s v="Art"/>
    <x v="287"/>
  </r>
  <r>
    <x v="138"/>
    <s v="California"/>
    <s v="Technology"/>
    <s v="Phones"/>
    <x v="288"/>
  </r>
  <r>
    <x v="138"/>
    <s v="California"/>
    <s v="Office Supplies"/>
    <s v="Binders"/>
    <x v="289"/>
  </r>
  <r>
    <x v="139"/>
    <s v="California"/>
    <s v="Office Supplies"/>
    <s v="Paper"/>
    <x v="290"/>
  </r>
  <r>
    <x v="139"/>
    <s v="California"/>
    <s v="Office Supplies"/>
    <s v="Paper"/>
    <x v="291"/>
  </r>
  <r>
    <x v="140"/>
    <s v="New Mexico"/>
    <s v="Technology"/>
    <s v="Accessories"/>
    <x v="292"/>
  </r>
  <r>
    <x v="141"/>
    <s v="California"/>
    <s v="Office Supplies"/>
    <s v="Art"/>
    <x v="293"/>
  </r>
  <r>
    <x v="142"/>
    <s v="California"/>
    <s v="Furniture"/>
    <s v="Furnishings"/>
    <x v="150"/>
  </r>
  <r>
    <x v="142"/>
    <s v="California"/>
    <s v="Office Supplies"/>
    <s v="Labels"/>
    <x v="294"/>
  </r>
  <r>
    <x v="143"/>
    <s v="California"/>
    <s v="Office Supplies"/>
    <s v="Supplies"/>
    <x v="295"/>
  </r>
  <r>
    <x v="143"/>
    <s v="California"/>
    <s v="Office Supplies"/>
    <s v="Paper"/>
    <x v="29"/>
  </r>
  <r>
    <x v="143"/>
    <s v="California"/>
    <s v="Office Supplies"/>
    <s v="Binders"/>
    <x v="296"/>
  </r>
  <r>
    <x v="144"/>
    <s v="California"/>
    <s v="Technology"/>
    <s v="Accessories"/>
    <x v="297"/>
  </r>
  <r>
    <x v="97"/>
    <s v="California"/>
    <s v="Office Supplies"/>
    <s v="Appliances"/>
    <x v="298"/>
  </r>
  <r>
    <x v="97"/>
    <s v="California"/>
    <s v="Office Supplies"/>
    <s v="Storage"/>
    <x v="299"/>
  </r>
  <r>
    <x v="97"/>
    <s v="California"/>
    <s v="Office Supplies"/>
    <s v="Fasteners"/>
    <x v="300"/>
  </r>
  <r>
    <x v="145"/>
    <s v="Washington"/>
    <s v="Office Supplies"/>
    <s v="Art"/>
    <x v="301"/>
  </r>
  <r>
    <x v="145"/>
    <s v="Washington"/>
    <s v="Furniture"/>
    <s v="Chairs"/>
    <x v="302"/>
  </r>
  <r>
    <x v="145"/>
    <s v="Washington"/>
    <s v="Office Supplies"/>
    <s v="Art"/>
    <x v="303"/>
  </r>
  <r>
    <x v="145"/>
    <s v="Washington"/>
    <s v="Office Supplies"/>
    <s v="Storage"/>
    <x v="46"/>
  </r>
  <r>
    <x v="3"/>
    <s v="California"/>
    <s v="Office Supplies"/>
    <s v="Binders"/>
    <x v="304"/>
  </r>
  <r>
    <x v="104"/>
    <s v="Oregon"/>
    <s v="Office Supplies"/>
    <s v="Envelopes"/>
    <x v="305"/>
  </r>
  <r>
    <x v="104"/>
    <s v="Oregon"/>
    <s v="Furniture"/>
    <s v="Chairs"/>
    <x v="112"/>
  </r>
  <r>
    <x v="146"/>
    <s v="California"/>
    <s v="Furniture"/>
    <s v="Furnishings"/>
    <x v="306"/>
  </r>
  <r>
    <x v="147"/>
    <s v="Arizona"/>
    <s v="Office Supplies"/>
    <s v="Storage"/>
    <x v="307"/>
  </r>
  <r>
    <x v="148"/>
    <s v="Washington"/>
    <s v="Office Supplies"/>
    <s v="Fasteners"/>
    <x v="308"/>
  </r>
  <r>
    <x v="148"/>
    <s v="Washington"/>
    <s v="Furniture"/>
    <s v="Furnishings"/>
    <x v="81"/>
  </r>
  <r>
    <x v="148"/>
    <s v="Washington"/>
    <s v="Office Supplies"/>
    <s v="Supplies"/>
    <x v="309"/>
  </r>
  <r>
    <x v="148"/>
    <s v="Washington"/>
    <s v="Technology"/>
    <s v="Accessories"/>
    <x v="143"/>
  </r>
  <r>
    <x v="148"/>
    <s v="Washington"/>
    <s v="Technology"/>
    <s v="Accessories"/>
    <x v="95"/>
  </r>
  <r>
    <x v="148"/>
    <s v="Washington"/>
    <s v="Technology"/>
    <s v="Accessories"/>
    <x v="310"/>
  </r>
  <r>
    <x v="148"/>
    <s v="Washington"/>
    <s v="Office Supplies"/>
    <s v="Paper"/>
    <x v="311"/>
  </r>
  <r>
    <x v="148"/>
    <s v="Washington"/>
    <s v="Office Supplies"/>
    <s v="Appliances"/>
    <x v="298"/>
  </r>
  <r>
    <x v="149"/>
    <s v="Washington"/>
    <s v="Office Supplies"/>
    <s v="Storage"/>
    <x v="312"/>
  </r>
  <r>
    <x v="149"/>
    <s v="Washington"/>
    <s v="Office Supplies"/>
    <s v="Storage"/>
    <x v="313"/>
  </r>
  <r>
    <x v="149"/>
    <s v="Washington"/>
    <s v="Furniture"/>
    <s v="Furnishings"/>
    <x v="314"/>
  </r>
  <r>
    <x v="149"/>
    <s v="Washington"/>
    <s v="Office Supplies"/>
    <s v="Binders"/>
    <x v="315"/>
  </r>
  <r>
    <x v="150"/>
    <s v="California"/>
    <s v="Office Supplies"/>
    <s v="Envelopes"/>
    <x v="316"/>
  </r>
  <r>
    <x v="151"/>
    <s v="Oregon"/>
    <s v="Office Supplies"/>
    <s v="Art"/>
    <x v="317"/>
  </r>
  <r>
    <x v="151"/>
    <s v="Oregon"/>
    <s v="Office Supplies"/>
    <s v="Art"/>
    <x v="318"/>
  </r>
  <r>
    <x v="151"/>
    <s v="Oregon"/>
    <s v="Office Supplies"/>
    <s v="Paper"/>
    <x v="319"/>
  </r>
  <r>
    <x v="151"/>
    <s v="Oregon"/>
    <s v="Technology"/>
    <s v="Machines"/>
    <x v="320"/>
  </r>
  <r>
    <x v="151"/>
    <s v="Oregon"/>
    <s v="Office Supplies"/>
    <s v="Paper"/>
    <x v="321"/>
  </r>
  <r>
    <x v="151"/>
    <s v="Oregon"/>
    <s v="Technology"/>
    <s v="Accessories"/>
    <x v="322"/>
  </r>
  <r>
    <x v="152"/>
    <s v="California"/>
    <s v="Office Supplies"/>
    <s v="Fasteners"/>
    <x v="164"/>
  </r>
  <r>
    <x v="153"/>
    <s v="Washington"/>
    <s v="Office Supplies"/>
    <s v="Storage"/>
    <x v="323"/>
  </r>
  <r>
    <x v="154"/>
    <s v="California"/>
    <s v="Office Supplies"/>
    <s v="Fasteners"/>
    <x v="324"/>
  </r>
  <r>
    <x v="155"/>
    <s v="Arizona"/>
    <s v="Furniture"/>
    <s v="Tables"/>
    <x v="325"/>
  </r>
  <r>
    <x v="156"/>
    <s v="California"/>
    <s v="Office Supplies"/>
    <s v="Labels"/>
    <x v="326"/>
  </r>
  <r>
    <x v="156"/>
    <s v="California"/>
    <s v="Office Supplies"/>
    <s v="Paper"/>
    <x v="327"/>
  </r>
  <r>
    <x v="157"/>
    <s v="California"/>
    <s v="Office Supplies"/>
    <s v="Appliances"/>
    <x v="328"/>
  </r>
  <r>
    <x v="157"/>
    <s v="California"/>
    <s v="Office Supplies"/>
    <s v="Binders"/>
    <x v="329"/>
  </r>
  <r>
    <x v="158"/>
    <s v="California"/>
    <s v="Office Supplies"/>
    <s v="Paper"/>
    <x v="330"/>
  </r>
  <r>
    <x v="159"/>
    <s v="Washington"/>
    <s v="Technology"/>
    <s v="Phones"/>
    <x v="331"/>
  </r>
  <r>
    <x v="159"/>
    <s v="Washington"/>
    <s v="Technology"/>
    <s v="Copiers"/>
    <x v="332"/>
  </r>
  <r>
    <x v="75"/>
    <s v="California"/>
    <s v="Office Supplies"/>
    <s v="Envelopes"/>
    <x v="74"/>
  </r>
  <r>
    <x v="75"/>
    <s v="California"/>
    <s v="Office Supplies"/>
    <s v="Envelopes"/>
    <x v="333"/>
  </r>
  <r>
    <x v="75"/>
    <s v="California"/>
    <s v="Office Supplies"/>
    <s v="Art"/>
    <x v="334"/>
  </r>
  <r>
    <x v="75"/>
    <s v="California"/>
    <s v="Office Supplies"/>
    <s v="Paper"/>
    <x v="335"/>
  </r>
  <r>
    <x v="75"/>
    <s v="California"/>
    <s v="Technology"/>
    <s v="Phones"/>
    <x v="336"/>
  </r>
  <r>
    <x v="75"/>
    <s v="California"/>
    <s v="Office Supplies"/>
    <s v="Paper"/>
    <x v="337"/>
  </r>
  <r>
    <x v="50"/>
    <s v="California"/>
    <s v="Office Supplies"/>
    <s v="Storage"/>
    <x v="338"/>
  </r>
  <r>
    <x v="50"/>
    <s v="California"/>
    <s v="Office Supplies"/>
    <s v="Storage"/>
    <x v="339"/>
  </r>
  <r>
    <x v="160"/>
    <s v="California"/>
    <s v="Furniture"/>
    <s v="Bookcases"/>
    <x v="231"/>
  </r>
  <r>
    <x v="160"/>
    <s v="California"/>
    <s v="Technology"/>
    <s v="Phones"/>
    <x v="138"/>
  </r>
  <r>
    <x v="161"/>
    <s v="California"/>
    <s v="Office Supplies"/>
    <s v="Storage"/>
    <x v="340"/>
  </r>
  <r>
    <x v="162"/>
    <s v="Colorado"/>
    <s v="Office Supplies"/>
    <s v="Art"/>
    <x v="14"/>
  </r>
  <r>
    <x v="163"/>
    <s v="California"/>
    <s v="Furniture"/>
    <s v="Chairs"/>
    <x v="341"/>
  </r>
  <r>
    <x v="164"/>
    <s v="Washington"/>
    <s v="Office Supplies"/>
    <s v="Storage"/>
    <x v="342"/>
  </r>
  <r>
    <x v="165"/>
    <s v="California"/>
    <s v="Furniture"/>
    <s v="Chairs"/>
    <x v="302"/>
  </r>
  <r>
    <x v="165"/>
    <s v="California"/>
    <s v="Office Supplies"/>
    <s v="Paper"/>
    <x v="343"/>
  </r>
  <r>
    <x v="166"/>
    <s v="California"/>
    <s v="Furniture"/>
    <s v="Chairs"/>
    <x v="344"/>
  </r>
  <r>
    <x v="166"/>
    <s v="California"/>
    <s v="Office Supplies"/>
    <s v="Paper"/>
    <x v="345"/>
  </r>
  <r>
    <x v="134"/>
    <s v="California"/>
    <s v="Furniture"/>
    <s v="Furnishings"/>
    <x v="346"/>
  </r>
  <r>
    <x v="134"/>
    <s v="California"/>
    <s v="Office Supplies"/>
    <s v="Fasteners"/>
    <x v="347"/>
  </r>
  <r>
    <x v="134"/>
    <s v="California"/>
    <s v="Office Supplies"/>
    <s v="Paper"/>
    <x v="348"/>
  </r>
  <r>
    <x v="134"/>
    <s v="California"/>
    <s v="Technology"/>
    <s v="Machines"/>
    <x v="349"/>
  </r>
  <r>
    <x v="134"/>
    <s v="California"/>
    <s v="Office Supplies"/>
    <s v="Storage"/>
    <x v="350"/>
  </r>
  <r>
    <x v="167"/>
    <s v="Washington"/>
    <s v="Furniture"/>
    <s v="Furnishings"/>
    <x v="351"/>
  </r>
  <r>
    <x v="167"/>
    <s v="Washington"/>
    <s v="Furniture"/>
    <s v="Tables"/>
    <x v="32"/>
  </r>
  <r>
    <x v="168"/>
    <s v="Washington"/>
    <s v="Office Supplies"/>
    <s v="Binders"/>
    <x v="352"/>
  </r>
  <r>
    <x v="168"/>
    <s v="Washington"/>
    <s v="Office Supplies"/>
    <s v="Storage"/>
    <x v="353"/>
  </r>
  <r>
    <x v="169"/>
    <s v="Washington"/>
    <s v="Office Supplies"/>
    <s v="Binders"/>
    <x v="153"/>
  </r>
  <r>
    <x v="170"/>
    <s v="Nevada"/>
    <s v="Office Supplies"/>
    <s v="Fasteners"/>
    <x v="354"/>
  </r>
  <r>
    <x v="171"/>
    <s v="Arizona"/>
    <s v="Office Supplies"/>
    <s v="Paper"/>
    <x v="355"/>
  </r>
  <r>
    <x v="171"/>
    <s v="Arizona"/>
    <s v="Office Supplies"/>
    <s v="Fasteners"/>
    <x v="16"/>
  </r>
  <r>
    <x v="171"/>
    <s v="Arizona"/>
    <s v="Technology"/>
    <s v="Phones"/>
    <x v="356"/>
  </r>
  <r>
    <x v="171"/>
    <s v="Arizona"/>
    <s v="Office Supplies"/>
    <s v="Envelopes"/>
    <x v="357"/>
  </r>
  <r>
    <x v="171"/>
    <s v="Arizona"/>
    <s v="Office Supplies"/>
    <s v="Supplies"/>
    <x v="358"/>
  </r>
  <r>
    <x v="171"/>
    <s v="Arizona"/>
    <s v="Technology"/>
    <s v="Phones"/>
    <x v="96"/>
  </r>
  <r>
    <x v="171"/>
    <s v="Arizona"/>
    <s v="Technology"/>
    <s v="Accessories"/>
    <x v="359"/>
  </r>
  <r>
    <x v="172"/>
    <s v="California"/>
    <s v="Furniture"/>
    <s v="Tables"/>
    <x v="360"/>
  </r>
  <r>
    <x v="172"/>
    <s v="California"/>
    <s v="Furniture"/>
    <s v="Chairs"/>
    <x v="361"/>
  </r>
  <r>
    <x v="173"/>
    <s v="California"/>
    <s v="Office Supplies"/>
    <s v="Labels"/>
    <x v="362"/>
  </r>
  <r>
    <x v="173"/>
    <s v="California"/>
    <s v="Office Supplies"/>
    <s v="Binders"/>
    <x v="363"/>
  </r>
  <r>
    <x v="174"/>
    <s v="Washington"/>
    <s v="Office Supplies"/>
    <s v="Labels"/>
    <x v="364"/>
  </r>
  <r>
    <x v="175"/>
    <s v="California"/>
    <s v="Technology"/>
    <s v="Accessories"/>
    <x v="131"/>
  </r>
  <r>
    <x v="176"/>
    <s v="California"/>
    <s v="Technology"/>
    <s v="Accessories"/>
    <x v="365"/>
  </r>
  <r>
    <x v="140"/>
    <s v="California"/>
    <s v="Office Supplies"/>
    <s v="Art"/>
    <x v="366"/>
  </r>
  <r>
    <x v="140"/>
    <s v="California"/>
    <s v="Technology"/>
    <s v="Phones"/>
    <x v="367"/>
  </r>
  <r>
    <x v="177"/>
    <s v="California"/>
    <s v="Furniture"/>
    <s v="Chairs"/>
    <x v="361"/>
  </r>
  <r>
    <x v="177"/>
    <s v="California"/>
    <s v="Office Supplies"/>
    <s v="Envelopes"/>
    <x v="368"/>
  </r>
  <r>
    <x v="178"/>
    <s v="Arizona"/>
    <s v="Furniture"/>
    <s v="Furnishings"/>
    <x v="369"/>
  </r>
  <r>
    <x v="179"/>
    <s v="New Mexico"/>
    <s v="Office Supplies"/>
    <s v="Art"/>
    <x v="370"/>
  </r>
  <r>
    <x v="76"/>
    <s v="Washington"/>
    <s v="Furniture"/>
    <s v="Furnishings"/>
    <x v="371"/>
  </r>
  <r>
    <x v="76"/>
    <s v="Washington"/>
    <s v="Technology"/>
    <s v="Accessories"/>
    <x v="372"/>
  </r>
  <r>
    <x v="180"/>
    <s v="California"/>
    <s v="Office Supplies"/>
    <s v="Storage"/>
    <x v="373"/>
  </r>
  <r>
    <x v="180"/>
    <s v="California"/>
    <s v="Furniture"/>
    <s v="Chairs"/>
    <x v="374"/>
  </r>
  <r>
    <x v="181"/>
    <s v="California"/>
    <s v="Office Supplies"/>
    <s v="Envelopes"/>
    <x v="368"/>
  </r>
  <r>
    <x v="182"/>
    <s v="California"/>
    <s v="Office Supplies"/>
    <s v="Art"/>
    <x v="375"/>
  </r>
  <r>
    <x v="182"/>
    <s v="California"/>
    <s v="Office Supplies"/>
    <s v="Storage"/>
    <x v="376"/>
  </r>
  <r>
    <x v="183"/>
    <s v="Washington"/>
    <s v="Office Supplies"/>
    <s v="Art"/>
    <x v="209"/>
  </r>
  <r>
    <x v="183"/>
    <s v="Washington"/>
    <s v="Furniture"/>
    <s v="Tables"/>
    <x v="377"/>
  </r>
  <r>
    <x v="183"/>
    <s v="Washington"/>
    <s v="Office Supplies"/>
    <s v="Appliances"/>
    <x v="100"/>
  </r>
  <r>
    <x v="183"/>
    <s v="Washington"/>
    <s v="Technology"/>
    <s v="Accessories"/>
    <x v="378"/>
  </r>
  <r>
    <x v="184"/>
    <s v="California"/>
    <s v="Office Supplies"/>
    <s v="Binders"/>
    <x v="379"/>
  </r>
  <r>
    <x v="184"/>
    <s v="California"/>
    <s v="Technology"/>
    <s v="Accessories"/>
    <x v="380"/>
  </r>
  <r>
    <x v="185"/>
    <s v="Washington"/>
    <s v="Office Supplies"/>
    <s v="Paper"/>
    <x v="268"/>
  </r>
  <r>
    <x v="185"/>
    <s v="Washington"/>
    <s v="Office Supplies"/>
    <s v="Binders"/>
    <x v="381"/>
  </r>
  <r>
    <x v="186"/>
    <s v="California"/>
    <s v="Office Supplies"/>
    <s v="Paper"/>
    <x v="382"/>
  </r>
  <r>
    <x v="187"/>
    <s v="California"/>
    <s v="Office Supplies"/>
    <s v="Binders"/>
    <x v="383"/>
  </r>
  <r>
    <x v="187"/>
    <s v="California"/>
    <s v="Office Supplies"/>
    <s v="Binders"/>
    <x v="384"/>
  </r>
  <r>
    <x v="187"/>
    <s v="California"/>
    <s v="Office Supplies"/>
    <s v="Paper"/>
    <x v="385"/>
  </r>
  <r>
    <x v="187"/>
    <s v="California"/>
    <s v="Office Supplies"/>
    <s v="Labels"/>
    <x v="386"/>
  </r>
  <r>
    <x v="187"/>
    <s v="California"/>
    <s v="Technology"/>
    <s v="Phones"/>
    <x v="387"/>
  </r>
  <r>
    <x v="188"/>
    <s v="California"/>
    <s v="Technology"/>
    <s v="Phones"/>
    <x v="388"/>
  </r>
  <r>
    <x v="189"/>
    <s v="California"/>
    <s v="Office Supplies"/>
    <s v="Binders"/>
    <x v="389"/>
  </r>
  <r>
    <x v="58"/>
    <s v="California"/>
    <s v="Office Supplies"/>
    <s v="Binders"/>
    <x v="390"/>
  </r>
  <r>
    <x v="70"/>
    <s v="California"/>
    <s v="Office Supplies"/>
    <s v="Binders"/>
    <x v="391"/>
  </r>
  <r>
    <x v="190"/>
    <s v="Washington"/>
    <s v="Furniture"/>
    <s v="Furnishings"/>
    <x v="392"/>
  </r>
  <r>
    <x v="190"/>
    <s v="Washington"/>
    <s v="Technology"/>
    <s v="Phones"/>
    <x v="393"/>
  </r>
  <r>
    <x v="191"/>
    <s v="California"/>
    <s v="Office Supplies"/>
    <s v="Binders"/>
    <x v="77"/>
  </r>
  <r>
    <x v="191"/>
    <s v="California"/>
    <s v="Office Supplies"/>
    <s v="Supplies"/>
    <x v="394"/>
  </r>
  <r>
    <x v="191"/>
    <s v="California"/>
    <s v="Office Supplies"/>
    <s v="Supplies"/>
    <x v="395"/>
  </r>
  <r>
    <x v="191"/>
    <s v="California"/>
    <s v="Furniture"/>
    <s v="Bookcases"/>
    <x v="70"/>
  </r>
  <r>
    <x v="191"/>
    <s v="California"/>
    <s v="Office Supplies"/>
    <s v="Storage"/>
    <x v="396"/>
  </r>
  <r>
    <x v="192"/>
    <s v="California"/>
    <s v="Office Supplies"/>
    <s v="Fasteners"/>
    <x v="16"/>
  </r>
  <r>
    <x v="192"/>
    <s v="California"/>
    <s v="Office Supplies"/>
    <s v="Storage"/>
    <x v="397"/>
  </r>
  <r>
    <x v="192"/>
    <s v="California"/>
    <s v="Office Supplies"/>
    <s v="Binders"/>
    <x v="398"/>
  </r>
  <r>
    <x v="192"/>
    <s v="California"/>
    <s v="Office Supplies"/>
    <s v="Paper"/>
    <x v="399"/>
  </r>
  <r>
    <x v="192"/>
    <s v="California"/>
    <s v="Office Supplies"/>
    <s v="Binders"/>
    <x v="400"/>
  </r>
  <r>
    <x v="192"/>
    <s v="California"/>
    <s v="Office Supplies"/>
    <s v="Storage"/>
    <x v="401"/>
  </r>
  <r>
    <x v="192"/>
    <s v="California"/>
    <s v="Furniture"/>
    <s v="Chairs"/>
    <x v="271"/>
  </r>
  <r>
    <x v="192"/>
    <s v="California"/>
    <s v="Technology"/>
    <s v="Accessories"/>
    <x v="402"/>
  </r>
  <r>
    <x v="192"/>
    <s v="California"/>
    <s v="Office Supplies"/>
    <s v="Art"/>
    <x v="403"/>
  </r>
  <r>
    <x v="193"/>
    <s v="Arizona"/>
    <s v="Technology"/>
    <s v="Phones"/>
    <x v="142"/>
  </r>
  <r>
    <x v="194"/>
    <s v="California"/>
    <s v="Technology"/>
    <s v="Phones"/>
    <x v="404"/>
  </r>
  <r>
    <x v="195"/>
    <s v="Colorado"/>
    <s v="Office Supplies"/>
    <s v="Art"/>
    <x v="122"/>
  </r>
  <r>
    <x v="195"/>
    <s v="Colorado"/>
    <s v="Technology"/>
    <s v="Phones"/>
    <x v="405"/>
  </r>
  <r>
    <x v="196"/>
    <s v="Oregon"/>
    <s v="Office Supplies"/>
    <s v="Storage"/>
    <x v="406"/>
  </r>
  <r>
    <x v="196"/>
    <s v="Oregon"/>
    <s v="Technology"/>
    <s v="Phones"/>
    <x v="407"/>
  </r>
  <r>
    <x v="197"/>
    <s v="California"/>
    <s v="Office Supplies"/>
    <s v="Labels"/>
    <x v="408"/>
  </r>
  <r>
    <x v="197"/>
    <s v="California"/>
    <s v="Office Supplies"/>
    <s v="Paper"/>
    <x v="409"/>
  </r>
  <r>
    <x v="198"/>
    <s v="California"/>
    <s v="Technology"/>
    <s v="Phones"/>
    <x v="410"/>
  </r>
  <r>
    <x v="198"/>
    <s v="California"/>
    <s v="Office Supplies"/>
    <s v="Storage"/>
    <x v="411"/>
  </r>
  <r>
    <x v="199"/>
    <s v="Washington"/>
    <s v="Technology"/>
    <s v="Accessories"/>
    <x v="202"/>
  </r>
  <r>
    <x v="199"/>
    <s v="Washington"/>
    <s v="Technology"/>
    <s v="Phones"/>
    <x v="412"/>
  </r>
  <r>
    <x v="200"/>
    <s v="California"/>
    <s v="Office Supplies"/>
    <s v="Art"/>
    <x v="413"/>
  </r>
  <r>
    <x v="201"/>
    <s v="California"/>
    <s v="Furniture"/>
    <s v="Furnishings"/>
    <x v="314"/>
  </r>
  <r>
    <x v="202"/>
    <s v="California"/>
    <s v="Technology"/>
    <s v="Phones"/>
    <x v="414"/>
  </r>
  <r>
    <x v="202"/>
    <s v="California"/>
    <s v="Furniture"/>
    <s v="Tables"/>
    <x v="415"/>
  </r>
  <r>
    <x v="202"/>
    <s v="California"/>
    <s v="Office Supplies"/>
    <s v="Binders"/>
    <x v="416"/>
  </r>
  <r>
    <x v="202"/>
    <s v="California"/>
    <s v="Office Supplies"/>
    <s v="Paper"/>
    <x v="417"/>
  </r>
  <r>
    <x v="202"/>
    <s v="California"/>
    <s v="Technology"/>
    <s v="Machines"/>
    <x v="418"/>
  </r>
  <r>
    <x v="203"/>
    <s v="California"/>
    <s v="Office Supplies"/>
    <s v="Art"/>
    <x v="419"/>
  </r>
  <r>
    <x v="204"/>
    <s v="California"/>
    <s v="Furniture"/>
    <s v="Furnishings"/>
    <x v="420"/>
  </r>
  <r>
    <x v="205"/>
    <s v="California"/>
    <s v="Office Supplies"/>
    <s v="Binders"/>
    <x v="120"/>
  </r>
  <r>
    <x v="206"/>
    <s v="Oregon"/>
    <s v="Office Supplies"/>
    <s v="Paper"/>
    <x v="421"/>
  </r>
  <r>
    <x v="206"/>
    <s v="Oregon"/>
    <s v="Office Supplies"/>
    <s v="Art"/>
    <x v="422"/>
  </r>
  <r>
    <x v="207"/>
    <s v="California"/>
    <s v="Technology"/>
    <s v="Phones"/>
    <x v="423"/>
  </r>
  <r>
    <x v="208"/>
    <s v="California"/>
    <s v="Office Supplies"/>
    <s v="Storage"/>
    <x v="424"/>
  </r>
  <r>
    <x v="208"/>
    <s v="California"/>
    <s v="Furniture"/>
    <s v="Bookcases"/>
    <x v="425"/>
  </r>
  <r>
    <x v="208"/>
    <s v="California"/>
    <s v="Technology"/>
    <s v="Phones"/>
    <x v="426"/>
  </r>
  <r>
    <x v="208"/>
    <s v="California"/>
    <s v="Office Supplies"/>
    <s v="Storage"/>
    <x v="323"/>
  </r>
  <r>
    <x v="208"/>
    <s v="California"/>
    <s v="Office Supplies"/>
    <s v="Paper"/>
    <x v="427"/>
  </r>
  <r>
    <x v="208"/>
    <s v="California"/>
    <s v="Office Supplies"/>
    <s v="Paper"/>
    <x v="428"/>
  </r>
  <r>
    <x v="209"/>
    <s v="California"/>
    <s v="Technology"/>
    <s v="Phones"/>
    <x v="429"/>
  </r>
  <r>
    <x v="209"/>
    <s v="California"/>
    <s v="Technology"/>
    <s v="Accessories"/>
    <x v="430"/>
  </r>
  <r>
    <x v="209"/>
    <s v="California"/>
    <s v="Furniture"/>
    <s v="Furnishings"/>
    <x v="431"/>
  </r>
  <r>
    <x v="209"/>
    <s v="California"/>
    <s v="Office Supplies"/>
    <s v="Paper"/>
    <x v="432"/>
  </r>
  <r>
    <x v="209"/>
    <s v="California"/>
    <s v="Furniture"/>
    <s v="Furnishings"/>
    <x v="433"/>
  </r>
  <r>
    <x v="209"/>
    <s v="California"/>
    <s v="Office Supplies"/>
    <s v="Labels"/>
    <x v="434"/>
  </r>
  <r>
    <x v="210"/>
    <s v="Colorado"/>
    <s v="Office Supplies"/>
    <s v="Art"/>
    <x v="61"/>
  </r>
  <r>
    <x v="210"/>
    <s v="Colorado"/>
    <s v="Technology"/>
    <s v="Phones"/>
    <x v="435"/>
  </r>
  <r>
    <x v="210"/>
    <s v="Colorado"/>
    <s v="Furniture"/>
    <s v="Chairs"/>
    <x v="436"/>
  </r>
  <r>
    <x v="134"/>
    <s v="California"/>
    <s v="Office Supplies"/>
    <s v="Art"/>
    <x v="437"/>
  </r>
  <r>
    <x v="134"/>
    <s v="California"/>
    <s v="Furniture"/>
    <s v="Chairs"/>
    <x v="139"/>
  </r>
  <r>
    <x v="211"/>
    <s v="California"/>
    <s v="Technology"/>
    <s v="Phones"/>
    <x v="438"/>
  </r>
  <r>
    <x v="211"/>
    <s v="California"/>
    <s v="Office Supplies"/>
    <s v="Appliances"/>
    <x v="439"/>
  </r>
  <r>
    <x v="211"/>
    <s v="California"/>
    <s v="Office Supplies"/>
    <s v="Paper"/>
    <x v="440"/>
  </r>
  <r>
    <x v="44"/>
    <s v="Washington"/>
    <s v="Office Supplies"/>
    <s v="Appliances"/>
    <x v="154"/>
  </r>
  <r>
    <x v="44"/>
    <s v="Washington"/>
    <s v="Technology"/>
    <s v="Accessories"/>
    <x v="441"/>
  </r>
  <r>
    <x v="44"/>
    <s v="Washington"/>
    <s v="Office Supplies"/>
    <s v="Binders"/>
    <x v="442"/>
  </r>
  <r>
    <x v="151"/>
    <s v="California"/>
    <s v="Office Supplies"/>
    <s v="Paper"/>
    <x v="443"/>
  </r>
  <r>
    <x v="151"/>
    <s v="California"/>
    <s v="Furniture"/>
    <s v="Tables"/>
    <x v="444"/>
  </r>
  <r>
    <x v="212"/>
    <s v="California"/>
    <s v="Furniture"/>
    <s v="Furnishings"/>
    <x v="445"/>
  </r>
  <r>
    <x v="212"/>
    <s v="California"/>
    <s v="Technology"/>
    <s v="Accessories"/>
    <x v="446"/>
  </r>
  <r>
    <x v="212"/>
    <s v="California"/>
    <s v="Office Supplies"/>
    <s v="Supplies"/>
    <x v="447"/>
  </r>
  <r>
    <x v="45"/>
    <s v="California"/>
    <s v="Office Supplies"/>
    <s v="Supplies"/>
    <x v="309"/>
  </r>
  <r>
    <x v="213"/>
    <s v="California"/>
    <s v="Office Supplies"/>
    <s v="Labels"/>
    <x v="448"/>
  </r>
  <r>
    <x v="214"/>
    <s v="California"/>
    <s v="Technology"/>
    <s v="Phones"/>
    <x v="449"/>
  </r>
  <r>
    <x v="214"/>
    <s v="California"/>
    <s v="Furniture"/>
    <s v="Bookcases"/>
    <x v="450"/>
  </r>
  <r>
    <x v="214"/>
    <s v="California"/>
    <s v="Office Supplies"/>
    <s v="Storage"/>
    <x v="451"/>
  </r>
  <r>
    <x v="86"/>
    <s v="California"/>
    <s v="Technology"/>
    <s v="Accessories"/>
    <x v="452"/>
  </r>
  <r>
    <x v="86"/>
    <s v="California"/>
    <s v="Office Supplies"/>
    <s v="Paper"/>
    <x v="453"/>
  </r>
  <r>
    <x v="86"/>
    <s v="California"/>
    <s v="Office Supplies"/>
    <s v="Appliances"/>
    <x v="454"/>
  </r>
  <r>
    <x v="215"/>
    <s v="Colorado"/>
    <s v="Furniture"/>
    <s v="Tables"/>
    <x v="455"/>
  </r>
  <r>
    <x v="215"/>
    <s v="Colorado"/>
    <s v="Office Supplies"/>
    <s v="Paper"/>
    <x v="456"/>
  </r>
  <r>
    <x v="216"/>
    <s v="Utah"/>
    <s v="Office Supplies"/>
    <s v="Paper"/>
    <x v="457"/>
  </r>
  <r>
    <x v="77"/>
    <s v="Washington"/>
    <s v="Furniture"/>
    <s v="Furnishings"/>
    <x v="458"/>
  </r>
  <r>
    <x v="77"/>
    <s v="Washington"/>
    <s v="Furniture"/>
    <s v="Tables"/>
    <x v="459"/>
  </r>
  <r>
    <x v="217"/>
    <s v="Utah"/>
    <s v="Office Supplies"/>
    <s v="Paper"/>
    <x v="460"/>
  </r>
  <r>
    <x v="218"/>
    <s v="California"/>
    <s v="Office Supplies"/>
    <s v="Paper"/>
    <x v="82"/>
  </r>
  <r>
    <x v="219"/>
    <s v="California"/>
    <s v="Office Supplies"/>
    <s v="Paper"/>
    <x v="461"/>
  </r>
  <r>
    <x v="219"/>
    <s v="California"/>
    <s v="Technology"/>
    <s v="Accessories"/>
    <x v="462"/>
  </r>
  <r>
    <x v="220"/>
    <s v="California"/>
    <s v="Office Supplies"/>
    <s v="Paper"/>
    <x v="463"/>
  </r>
  <r>
    <x v="13"/>
    <s v="California"/>
    <s v="Furniture"/>
    <s v="Chairs"/>
    <x v="464"/>
  </r>
  <r>
    <x v="13"/>
    <s v="California"/>
    <s v="Office Supplies"/>
    <s v="Envelopes"/>
    <x v="465"/>
  </r>
  <r>
    <x v="13"/>
    <s v="California"/>
    <s v="Technology"/>
    <s v="Accessories"/>
    <x v="466"/>
  </r>
  <r>
    <x v="13"/>
    <s v="California"/>
    <s v="Furniture"/>
    <s v="Chairs"/>
    <x v="467"/>
  </r>
  <r>
    <x v="221"/>
    <s v="Arizona"/>
    <s v="Office Supplies"/>
    <s v="Envelopes"/>
    <x v="74"/>
  </r>
  <r>
    <x v="222"/>
    <s v="California"/>
    <s v="Furniture"/>
    <s v="Furnishings"/>
    <x v="252"/>
  </r>
  <r>
    <x v="223"/>
    <s v="Washington"/>
    <s v="Office Supplies"/>
    <s v="Binders"/>
    <x v="468"/>
  </r>
  <r>
    <x v="223"/>
    <s v="Washington"/>
    <s v="Office Supplies"/>
    <s v="Storage"/>
    <x v="35"/>
  </r>
  <r>
    <x v="223"/>
    <s v="Washington"/>
    <s v="Office Supplies"/>
    <s v="Paper"/>
    <x v="28"/>
  </r>
  <r>
    <x v="223"/>
    <s v="Washington"/>
    <s v="Office Supplies"/>
    <s v="Storage"/>
    <x v="469"/>
  </r>
  <r>
    <x v="74"/>
    <s v="California"/>
    <s v="Furniture"/>
    <s v="Chairs"/>
    <x v="470"/>
  </r>
  <r>
    <x v="224"/>
    <s v="California"/>
    <s v="Office Supplies"/>
    <s v="Appliances"/>
    <x v="100"/>
  </r>
  <r>
    <x v="224"/>
    <s v="California"/>
    <s v="Furniture"/>
    <s v="Furnishings"/>
    <x v="221"/>
  </r>
  <r>
    <x v="224"/>
    <s v="California"/>
    <s v="Office Supplies"/>
    <s v="Paper"/>
    <x v="471"/>
  </r>
  <r>
    <x v="50"/>
    <s v="Oregon"/>
    <s v="Office Supplies"/>
    <s v="Art"/>
    <x v="14"/>
  </r>
  <r>
    <x v="25"/>
    <s v="California"/>
    <s v="Technology"/>
    <s v="Phones"/>
    <x v="472"/>
  </r>
  <r>
    <x v="25"/>
    <s v="California"/>
    <s v="Furniture"/>
    <s v="Chairs"/>
    <x v="473"/>
  </r>
  <r>
    <x v="25"/>
    <s v="California"/>
    <s v="Office Supplies"/>
    <s v="Art"/>
    <x v="162"/>
  </r>
  <r>
    <x v="225"/>
    <s v="Oregon"/>
    <s v="Office Supplies"/>
    <s v="Paper"/>
    <x v="474"/>
  </r>
  <r>
    <x v="225"/>
    <s v="Oregon"/>
    <s v="Office Supplies"/>
    <s v="Storage"/>
    <x v="475"/>
  </r>
  <r>
    <x v="225"/>
    <s v="Oregon"/>
    <s v="Technology"/>
    <s v="Phones"/>
    <x v="257"/>
  </r>
  <r>
    <x v="226"/>
    <s v="California"/>
    <s v="Office Supplies"/>
    <s v="Paper"/>
    <x v="476"/>
  </r>
  <r>
    <x v="227"/>
    <s v="California"/>
    <s v="Office Supplies"/>
    <s v="Binders"/>
    <x v="477"/>
  </r>
  <r>
    <x v="227"/>
    <s v="California"/>
    <s v="Office Supplies"/>
    <s v="Paper"/>
    <x v="478"/>
  </r>
  <r>
    <x v="227"/>
    <s v="California"/>
    <s v="Office Supplies"/>
    <s v="Appliances"/>
    <x v="4"/>
  </r>
  <r>
    <x v="227"/>
    <s v="California"/>
    <s v="Office Supplies"/>
    <s v="Binders"/>
    <x v="170"/>
  </r>
  <r>
    <x v="228"/>
    <s v="California"/>
    <s v="Office Supplies"/>
    <s v="Supplies"/>
    <x v="157"/>
  </r>
  <r>
    <x v="228"/>
    <s v="California"/>
    <s v="Office Supplies"/>
    <s v="Labels"/>
    <x v="479"/>
  </r>
  <r>
    <x v="228"/>
    <s v="California"/>
    <s v="Furniture"/>
    <s v="Bookcases"/>
    <x v="480"/>
  </r>
  <r>
    <x v="229"/>
    <s v="California"/>
    <s v="Office Supplies"/>
    <s v="Appliances"/>
    <x v="481"/>
  </r>
  <r>
    <x v="229"/>
    <s v="California"/>
    <s v="Technology"/>
    <s v="Accessories"/>
    <x v="482"/>
  </r>
  <r>
    <x v="230"/>
    <s v="California"/>
    <s v="Technology"/>
    <s v="Phones"/>
    <x v="483"/>
  </r>
  <r>
    <x v="230"/>
    <s v="California"/>
    <s v="Office Supplies"/>
    <s v="Fasteners"/>
    <x v="16"/>
  </r>
  <r>
    <x v="105"/>
    <s v="Arizona"/>
    <s v="Office Supplies"/>
    <s v="Supplies"/>
    <x v="484"/>
  </r>
  <r>
    <x v="105"/>
    <s v="Arizona"/>
    <s v="Technology"/>
    <s v="Accessories"/>
    <x v="485"/>
  </r>
  <r>
    <x v="231"/>
    <s v="California"/>
    <s v="Furniture"/>
    <s v="Furnishings"/>
    <x v="486"/>
  </r>
  <r>
    <x v="232"/>
    <s v="Arizona"/>
    <s v="Office Supplies"/>
    <s v="Art"/>
    <x v="487"/>
  </r>
  <r>
    <x v="232"/>
    <s v="Arizona"/>
    <s v="Technology"/>
    <s v="Phones"/>
    <x v="138"/>
  </r>
  <r>
    <x v="233"/>
    <s v="California"/>
    <s v="Office Supplies"/>
    <s v="Art"/>
    <x v="301"/>
  </r>
  <r>
    <x v="233"/>
    <s v="California"/>
    <s v="Office Supplies"/>
    <s v="Paper"/>
    <x v="488"/>
  </r>
  <r>
    <x v="233"/>
    <s v="California"/>
    <s v="Office Supplies"/>
    <s v="Fasteners"/>
    <x v="489"/>
  </r>
  <r>
    <x v="234"/>
    <s v="California"/>
    <s v="Office Supplies"/>
    <s v="Appliances"/>
    <x v="490"/>
  </r>
  <r>
    <x v="235"/>
    <s v="Oregon"/>
    <s v="Office Supplies"/>
    <s v="Storage"/>
    <x v="491"/>
  </r>
  <r>
    <x v="235"/>
    <s v="Oregon"/>
    <s v="Furniture"/>
    <s v="Tables"/>
    <x v="492"/>
  </r>
  <r>
    <x v="236"/>
    <s v="California"/>
    <s v="Office Supplies"/>
    <s v="Storage"/>
    <x v="493"/>
  </r>
  <r>
    <x v="237"/>
    <s v="California"/>
    <s v="Office Supplies"/>
    <s v="Art"/>
    <x v="209"/>
  </r>
  <r>
    <x v="238"/>
    <s v="Washington"/>
    <s v="Office Supplies"/>
    <s v="Storage"/>
    <x v="254"/>
  </r>
  <r>
    <x v="239"/>
    <s v="California"/>
    <s v="Office Supplies"/>
    <s v="Paper"/>
    <x v="494"/>
  </r>
  <r>
    <x v="240"/>
    <s v="Oregon"/>
    <s v="Office Supplies"/>
    <s v="Labels"/>
    <x v="326"/>
  </r>
  <r>
    <x v="240"/>
    <s v="Oregon"/>
    <s v="Office Supplies"/>
    <s v="Binders"/>
    <x v="495"/>
  </r>
  <r>
    <x v="240"/>
    <s v="Oregon"/>
    <s v="Technology"/>
    <s v="Phones"/>
    <x v="496"/>
  </r>
  <r>
    <x v="240"/>
    <s v="Oregon"/>
    <s v="Office Supplies"/>
    <s v="Supplies"/>
    <x v="497"/>
  </r>
  <r>
    <x v="240"/>
    <s v="Oregon"/>
    <s v="Technology"/>
    <s v="Accessories"/>
    <x v="498"/>
  </r>
  <r>
    <x v="240"/>
    <s v="Oregon"/>
    <s v="Office Supplies"/>
    <s v="Labels"/>
    <x v="499"/>
  </r>
  <r>
    <x v="240"/>
    <s v="Oregon"/>
    <s v="Office Supplies"/>
    <s v="Paper"/>
    <x v="500"/>
  </r>
  <r>
    <x v="240"/>
    <s v="Oregon"/>
    <s v="Office Supplies"/>
    <s v="Storage"/>
    <x v="501"/>
  </r>
  <r>
    <x v="241"/>
    <s v="Washington"/>
    <s v="Office Supplies"/>
    <s v="Paper"/>
    <x v="502"/>
  </r>
  <r>
    <x v="241"/>
    <s v="Washington"/>
    <s v="Furniture"/>
    <s v="Chairs"/>
    <x v="344"/>
  </r>
  <r>
    <x v="242"/>
    <s v="California"/>
    <s v="Furniture"/>
    <s v="Furnishings"/>
    <x v="431"/>
  </r>
  <r>
    <x v="242"/>
    <s v="California"/>
    <s v="Furniture"/>
    <s v="Furnishings"/>
    <x v="503"/>
  </r>
  <r>
    <x v="243"/>
    <s v="California"/>
    <s v="Office Supplies"/>
    <s v="Paper"/>
    <x v="504"/>
  </r>
  <r>
    <x v="244"/>
    <s v="Arizona"/>
    <s v="Office Supplies"/>
    <s v="Storage"/>
    <x v="505"/>
  </r>
  <r>
    <x v="245"/>
    <s v="Idaho"/>
    <s v="Furniture"/>
    <s v="Chairs"/>
    <x v="506"/>
  </r>
  <r>
    <x v="245"/>
    <s v="Idaho"/>
    <s v="Office Supplies"/>
    <s v="Paper"/>
    <x v="279"/>
  </r>
  <r>
    <x v="245"/>
    <s v="Idaho"/>
    <s v="Office Supplies"/>
    <s v="Paper"/>
    <x v="507"/>
  </r>
  <r>
    <x v="246"/>
    <s v="California"/>
    <s v="Furniture"/>
    <s v="Tables"/>
    <x v="508"/>
  </r>
  <r>
    <x v="246"/>
    <s v="California"/>
    <s v="Furniture"/>
    <s v="Tables"/>
    <x v="509"/>
  </r>
  <r>
    <x v="246"/>
    <s v="California"/>
    <s v="Furniture"/>
    <s v="Bookcases"/>
    <x v="510"/>
  </r>
  <r>
    <x v="202"/>
    <s v="California"/>
    <s v="Furniture"/>
    <s v="Furnishings"/>
    <x v="511"/>
  </r>
  <r>
    <x v="247"/>
    <s v="California"/>
    <s v="Furniture"/>
    <s v="Furnishings"/>
    <x v="512"/>
  </r>
  <r>
    <x v="247"/>
    <s v="California"/>
    <s v="Office Supplies"/>
    <s v="Storage"/>
    <x v="513"/>
  </r>
  <r>
    <x v="247"/>
    <s v="California"/>
    <s v="Furniture"/>
    <s v="Furnishings"/>
    <x v="351"/>
  </r>
  <r>
    <x v="248"/>
    <s v="California"/>
    <s v="Office Supplies"/>
    <s v="Paper"/>
    <x v="514"/>
  </r>
  <r>
    <x v="249"/>
    <s v="Arizona"/>
    <s v="Furniture"/>
    <s v="Furnishings"/>
    <x v="515"/>
  </r>
  <r>
    <x v="249"/>
    <s v="Arizona"/>
    <s v="Office Supplies"/>
    <s v="Binders"/>
    <x v="516"/>
  </r>
  <r>
    <x v="250"/>
    <s v="California"/>
    <s v="Furniture"/>
    <s v="Furnishings"/>
    <x v="517"/>
  </r>
  <r>
    <x v="251"/>
    <s v="California"/>
    <s v="Furniture"/>
    <s v="Furnishings"/>
    <x v="518"/>
  </r>
  <r>
    <x v="251"/>
    <s v="California"/>
    <s v="Furniture"/>
    <s v="Chairs"/>
    <x v="344"/>
  </r>
  <r>
    <x v="251"/>
    <s v="California"/>
    <s v="Technology"/>
    <s v="Accessories"/>
    <x v="519"/>
  </r>
  <r>
    <x v="251"/>
    <s v="California"/>
    <s v="Technology"/>
    <s v="Phones"/>
    <x v="520"/>
  </r>
  <r>
    <x v="252"/>
    <s v="California"/>
    <s v="Furniture"/>
    <s v="Chairs"/>
    <x v="521"/>
  </r>
  <r>
    <x v="253"/>
    <s v="California"/>
    <s v="Office Supplies"/>
    <s v="Labels"/>
    <x v="294"/>
  </r>
  <r>
    <x v="253"/>
    <s v="California"/>
    <s v="Office Supplies"/>
    <s v="Fasteners"/>
    <x v="522"/>
  </r>
  <r>
    <x v="253"/>
    <s v="California"/>
    <s v="Technology"/>
    <s v="Phones"/>
    <x v="523"/>
  </r>
  <r>
    <x v="253"/>
    <s v="California"/>
    <s v="Technology"/>
    <s v="Phones"/>
    <x v="524"/>
  </r>
  <r>
    <x v="175"/>
    <s v="Washington"/>
    <s v="Office Supplies"/>
    <s v="Labels"/>
    <x v="479"/>
  </r>
  <r>
    <x v="254"/>
    <s v="California"/>
    <s v="Office Supplies"/>
    <s v="Binders"/>
    <x v="525"/>
  </r>
  <r>
    <x v="254"/>
    <s v="California"/>
    <s v="Office Supplies"/>
    <s v="Art"/>
    <x v="84"/>
  </r>
  <r>
    <x v="254"/>
    <s v="California"/>
    <s v="Office Supplies"/>
    <s v="Art"/>
    <x v="526"/>
  </r>
  <r>
    <x v="254"/>
    <s v="California"/>
    <s v="Office Supplies"/>
    <s v="Binders"/>
    <x v="49"/>
  </r>
  <r>
    <x v="255"/>
    <s v="Colorado"/>
    <s v="Technology"/>
    <s v="Accessories"/>
    <x v="527"/>
  </r>
  <r>
    <x v="256"/>
    <s v="Arizona"/>
    <s v="Furniture"/>
    <s v="Furnishings"/>
    <x v="528"/>
  </r>
  <r>
    <x v="256"/>
    <s v="Arizona"/>
    <s v="Technology"/>
    <s v="Accessories"/>
    <x v="529"/>
  </r>
  <r>
    <x v="256"/>
    <s v="Arizona"/>
    <s v="Furniture"/>
    <s v="Chairs"/>
    <x v="530"/>
  </r>
  <r>
    <x v="256"/>
    <s v="Arizona"/>
    <s v="Office Supplies"/>
    <s v="Paper"/>
    <x v="460"/>
  </r>
  <r>
    <x v="256"/>
    <s v="Arizona"/>
    <s v="Office Supplies"/>
    <s v="Paper"/>
    <x v="531"/>
  </r>
  <r>
    <x v="257"/>
    <s v="California"/>
    <s v="Furniture"/>
    <s v="Chairs"/>
    <x v="532"/>
  </r>
  <r>
    <x v="257"/>
    <s v="California"/>
    <s v="Furniture"/>
    <s v="Chairs"/>
    <x v="467"/>
  </r>
  <r>
    <x v="258"/>
    <s v="California"/>
    <s v="Office Supplies"/>
    <s v="Art"/>
    <x v="533"/>
  </r>
  <r>
    <x v="259"/>
    <s v="California"/>
    <s v="Office Supplies"/>
    <s v="Storage"/>
    <x v="534"/>
  </r>
  <r>
    <x v="259"/>
    <s v="California"/>
    <s v="Furniture"/>
    <s v="Chairs"/>
    <x v="535"/>
  </r>
  <r>
    <x v="103"/>
    <s v="California"/>
    <s v="Technology"/>
    <s v="Phones"/>
    <x v="536"/>
  </r>
  <r>
    <x v="103"/>
    <s v="California"/>
    <s v="Office Supplies"/>
    <s v="Appliances"/>
    <x v="537"/>
  </r>
  <r>
    <x v="103"/>
    <s v="California"/>
    <s v="Technology"/>
    <s v="Accessories"/>
    <x v="538"/>
  </r>
  <r>
    <x v="103"/>
    <s v="California"/>
    <s v="Technology"/>
    <s v="Phones"/>
    <x v="256"/>
  </r>
  <r>
    <x v="103"/>
    <s v="California"/>
    <s v="Office Supplies"/>
    <s v="Storage"/>
    <x v="339"/>
  </r>
  <r>
    <x v="103"/>
    <s v="California"/>
    <s v="Furniture"/>
    <s v="Furnishings"/>
    <x v="539"/>
  </r>
  <r>
    <x v="260"/>
    <s v="California"/>
    <s v="Office Supplies"/>
    <s v="Appliances"/>
    <x v="540"/>
  </r>
  <r>
    <x v="261"/>
    <s v="Colorado"/>
    <s v="Furniture"/>
    <s v="Furnishings"/>
    <x v="101"/>
  </r>
  <r>
    <x v="261"/>
    <s v="Colorado"/>
    <s v="Furniture"/>
    <s v="Chairs"/>
    <x v="541"/>
  </r>
  <r>
    <x v="261"/>
    <s v="Colorado"/>
    <s v="Furniture"/>
    <s v="Furnishings"/>
    <x v="542"/>
  </r>
  <r>
    <x v="261"/>
    <s v="Colorado"/>
    <s v="Office Supplies"/>
    <s v="Binders"/>
    <x v="17"/>
  </r>
  <r>
    <x v="261"/>
    <s v="Colorado"/>
    <s v="Office Supplies"/>
    <s v="Fasteners"/>
    <x v="264"/>
  </r>
  <r>
    <x v="262"/>
    <s v="California"/>
    <s v="Office Supplies"/>
    <s v="Supplies"/>
    <x v="543"/>
  </r>
  <r>
    <x v="262"/>
    <s v="California"/>
    <s v="Furniture"/>
    <s v="Furnishings"/>
    <x v="118"/>
  </r>
  <r>
    <x v="263"/>
    <s v="California"/>
    <s v="Office Supplies"/>
    <s v="Labels"/>
    <x v="121"/>
  </r>
  <r>
    <x v="186"/>
    <s v="California"/>
    <s v="Furniture"/>
    <s v="Chairs"/>
    <x v="113"/>
  </r>
  <r>
    <x v="186"/>
    <s v="California"/>
    <s v="Office Supplies"/>
    <s v="Paper"/>
    <x v="544"/>
  </r>
  <r>
    <x v="8"/>
    <s v="California"/>
    <s v="Office Supplies"/>
    <s v="Appliances"/>
    <x v="328"/>
  </r>
  <r>
    <x v="8"/>
    <s v="California"/>
    <s v="Office Supplies"/>
    <s v="Fasteners"/>
    <x v="16"/>
  </r>
  <r>
    <x v="8"/>
    <s v="California"/>
    <s v="Office Supplies"/>
    <s v="Storage"/>
    <x v="545"/>
  </r>
  <r>
    <x v="8"/>
    <s v="California"/>
    <s v="Office Supplies"/>
    <s v="Binders"/>
    <x v="391"/>
  </r>
  <r>
    <x v="148"/>
    <s v="Arizona"/>
    <s v="Office Supplies"/>
    <s v="Binders"/>
    <x v="546"/>
  </r>
  <r>
    <x v="264"/>
    <s v="California"/>
    <s v="Office Supplies"/>
    <s v="Storage"/>
    <x v="406"/>
  </r>
  <r>
    <x v="264"/>
    <s v="California"/>
    <s v="Office Supplies"/>
    <s v="Supplies"/>
    <x v="447"/>
  </r>
  <r>
    <x v="265"/>
    <s v="California"/>
    <s v="Furniture"/>
    <s v="Furnishings"/>
    <x v="547"/>
  </r>
  <r>
    <x v="265"/>
    <s v="California"/>
    <s v="Office Supplies"/>
    <s v="Paper"/>
    <x v="548"/>
  </r>
  <r>
    <x v="265"/>
    <s v="California"/>
    <s v="Technology"/>
    <s v="Machines"/>
    <x v="549"/>
  </r>
  <r>
    <x v="265"/>
    <s v="California"/>
    <s v="Office Supplies"/>
    <s v="Binders"/>
    <x v="550"/>
  </r>
  <r>
    <x v="265"/>
    <s v="California"/>
    <s v="Technology"/>
    <s v="Phones"/>
    <x v="438"/>
  </r>
  <r>
    <x v="265"/>
    <s v="California"/>
    <s v="Office Supplies"/>
    <s v="Labels"/>
    <x v="551"/>
  </r>
  <r>
    <x v="265"/>
    <s v="California"/>
    <s v="Furniture"/>
    <s v="Furnishings"/>
    <x v="552"/>
  </r>
  <r>
    <x v="266"/>
    <s v="New Mexico"/>
    <s v="Technology"/>
    <s v="Phones"/>
    <x v="553"/>
  </r>
  <r>
    <x v="266"/>
    <s v="New Mexico"/>
    <s v="Office Supplies"/>
    <s v="Storage"/>
    <x v="554"/>
  </r>
  <r>
    <x v="62"/>
    <s v="California"/>
    <s v="Office Supplies"/>
    <s v="Labels"/>
    <x v="555"/>
  </r>
  <r>
    <x v="62"/>
    <s v="California"/>
    <s v="Technology"/>
    <s v="Phones"/>
    <x v="556"/>
  </r>
  <r>
    <x v="267"/>
    <s v="Arizona"/>
    <s v="Office Supplies"/>
    <s v="Binders"/>
    <x v="258"/>
  </r>
  <r>
    <x v="268"/>
    <s v="Nevada"/>
    <s v="Technology"/>
    <s v="Phones"/>
    <x v="557"/>
  </r>
  <r>
    <x v="16"/>
    <s v="Washington"/>
    <s v="Furniture"/>
    <s v="Chairs"/>
    <x v="558"/>
  </r>
  <r>
    <x v="268"/>
    <s v="California"/>
    <s v="Office Supplies"/>
    <s v="Appliances"/>
    <x v="481"/>
  </r>
  <r>
    <x v="268"/>
    <s v="California"/>
    <s v="Office Supplies"/>
    <s v="Binders"/>
    <x v="559"/>
  </r>
  <r>
    <x v="269"/>
    <s v="Colorado"/>
    <s v="Office Supplies"/>
    <s v="Paper"/>
    <x v="560"/>
  </r>
  <r>
    <x v="269"/>
    <s v="Colorado"/>
    <s v="Office Supplies"/>
    <s v="Binders"/>
    <x v="98"/>
  </r>
  <r>
    <x v="105"/>
    <s v="California"/>
    <s v="Office Supplies"/>
    <s v="Binders"/>
    <x v="561"/>
  </r>
  <r>
    <x v="105"/>
    <s v="California"/>
    <s v="Furniture"/>
    <s v="Furnishings"/>
    <x v="486"/>
  </r>
  <r>
    <x v="105"/>
    <s v="California"/>
    <s v="Furniture"/>
    <s v="Furnishings"/>
    <x v="562"/>
  </r>
  <r>
    <x v="270"/>
    <s v="Montana"/>
    <s v="Office Supplies"/>
    <s v="Paper"/>
    <x v="9"/>
  </r>
  <r>
    <x v="270"/>
    <s v="Montana"/>
    <s v="Office Supplies"/>
    <s v="Labels"/>
    <x v="563"/>
  </r>
  <r>
    <x v="271"/>
    <s v="California"/>
    <s v="Office Supplies"/>
    <s v="Paper"/>
    <x v="564"/>
  </r>
  <r>
    <x v="272"/>
    <s v="California"/>
    <s v="Furniture"/>
    <s v="Chairs"/>
    <x v="565"/>
  </r>
  <r>
    <x v="108"/>
    <s v="California"/>
    <s v="Furniture"/>
    <s v="Furnishings"/>
    <x v="528"/>
  </r>
  <r>
    <x v="108"/>
    <s v="California"/>
    <s v="Technology"/>
    <s v="Machines"/>
    <x v="566"/>
  </r>
  <r>
    <x v="273"/>
    <s v="California"/>
    <s v="Furniture"/>
    <s v="Furnishings"/>
    <x v="567"/>
  </r>
  <r>
    <x v="274"/>
    <s v="Utah"/>
    <s v="Office Supplies"/>
    <s v="Binders"/>
    <x v="568"/>
  </r>
  <r>
    <x v="275"/>
    <s v="Washington"/>
    <s v="Office Supplies"/>
    <s v="Art"/>
    <x v="569"/>
  </r>
  <r>
    <x v="276"/>
    <s v="California"/>
    <s v="Furniture"/>
    <s v="Chairs"/>
    <x v="361"/>
  </r>
  <r>
    <x v="277"/>
    <s v="California"/>
    <s v="Office Supplies"/>
    <s v="Paper"/>
    <x v="570"/>
  </r>
  <r>
    <x v="277"/>
    <s v="California"/>
    <s v="Office Supplies"/>
    <s v="Binders"/>
    <x v="571"/>
  </r>
  <r>
    <x v="277"/>
    <s v="California"/>
    <s v="Office Supplies"/>
    <s v="Binders"/>
    <x v="572"/>
  </r>
  <r>
    <x v="277"/>
    <s v="California"/>
    <s v="Office Supplies"/>
    <s v="Appliances"/>
    <x v="111"/>
  </r>
  <r>
    <x v="277"/>
    <s v="California"/>
    <s v="Office Supplies"/>
    <s v="Paper"/>
    <x v="573"/>
  </r>
  <r>
    <x v="278"/>
    <s v="California"/>
    <s v="Office Supplies"/>
    <s v="Paper"/>
    <x v="574"/>
  </r>
  <r>
    <x v="278"/>
    <s v="California"/>
    <s v="Office Supplies"/>
    <s v="Labels"/>
    <x v="575"/>
  </r>
  <r>
    <x v="279"/>
    <s v="California"/>
    <s v="Office Supplies"/>
    <s v="Labels"/>
    <x v="576"/>
  </r>
  <r>
    <x v="280"/>
    <s v="California"/>
    <s v="Office Supplies"/>
    <s v="Labels"/>
    <x v="577"/>
  </r>
  <r>
    <x v="280"/>
    <s v="California"/>
    <s v="Furniture"/>
    <s v="Tables"/>
    <x v="578"/>
  </r>
  <r>
    <x v="281"/>
    <s v="New Mexico"/>
    <s v="Office Supplies"/>
    <s v="Paper"/>
    <x v="409"/>
  </r>
  <r>
    <x v="282"/>
    <s v="Washington"/>
    <s v="Technology"/>
    <s v="Accessories"/>
    <x v="215"/>
  </r>
  <r>
    <x v="283"/>
    <s v="California"/>
    <s v="Technology"/>
    <s v="Phones"/>
    <x v="579"/>
  </r>
  <r>
    <x v="283"/>
    <s v="California"/>
    <s v="Furniture"/>
    <s v="Chairs"/>
    <x v="558"/>
  </r>
  <r>
    <x v="284"/>
    <s v="Washington"/>
    <s v="Furniture"/>
    <s v="Tables"/>
    <x v="580"/>
  </r>
  <r>
    <x v="285"/>
    <s v="California"/>
    <s v="Furniture"/>
    <s v="Furnishings"/>
    <x v="581"/>
  </r>
  <r>
    <x v="285"/>
    <s v="California"/>
    <s v="Technology"/>
    <s v="Copiers"/>
    <x v="582"/>
  </r>
  <r>
    <x v="179"/>
    <s v="Colorado"/>
    <s v="Office Supplies"/>
    <s v="Art"/>
    <x v="583"/>
  </r>
  <r>
    <x v="145"/>
    <s v="Washington"/>
    <s v="Furniture"/>
    <s v="Bookcases"/>
    <x v="584"/>
  </r>
  <r>
    <x v="56"/>
    <s v="California"/>
    <s v="Furniture"/>
    <s v="Chairs"/>
    <x v="31"/>
  </r>
  <r>
    <x v="56"/>
    <s v="California"/>
    <s v="Furniture"/>
    <s v="Furnishings"/>
    <x v="251"/>
  </r>
  <r>
    <x v="62"/>
    <s v="California"/>
    <s v="Office Supplies"/>
    <s v="Paper"/>
    <x v="348"/>
  </r>
  <r>
    <x v="286"/>
    <s v="Utah"/>
    <s v="Technology"/>
    <s v="Phones"/>
    <x v="585"/>
  </r>
  <r>
    <x v="287"/>
    <s v="Washington"/>
    <s v="Furniture"/>
    <s v="Tables"/>
    <x v="148"/>
  </r>
  <r>
    <x v="288"/>
    <s v="California"/>
    <s v="Furniture"/>
    <s v="Furnishings"/>
    <x v="586"/>
  </r>
  <r>
    <x v="289"/>
    <s v="Washington"/>
    <s v="Technology"/>
    <s v="Phones"/>
    <x v="587"/>
  </r>
  <r>
    <x v="290"/>
    <s v="Washington"/>
    <s v="Office Supplies"/>
    <s v="Storage"/>
    <x v="588"/>
  </r>
  <r>
    <x v="290"/>
    <s v="Washington"/>
    <s v="Technology"/>
    <s v="Copiers"/>
    <x v="589"/>
  </r>
  <r>
    <x v="290"/>
    <s v="Washington"/>
    <s v="Office Supplies"/>
    <s v="Paper"/>
    <x v="590"/>
  </r>
  <r>
    <x v="291"/>
    <s v="California"/>
    <s v="Office Supplies"/>
    <s v="Binders"/>
    <x v="591"/>
  </r>
  <r>
    <x v="291"/>
    <s v="California"/>
    <s v="Office Supplies"/>
    <s v="Labels"/>
    <x v="592"/>
  </r>
  <r>
    <x v="291"/>
    <s v="California"/>
    <s v="Office Supplies"/>
    <s v="Supplies"/>
    <x v="593"/>
  </r>
  <r>
    <x v="291"/>
    <s v="California"/>
    <s v="Office Supplies"/>
    <s v="Paper"/>
    <x v="594"/>
  </r>
  <r>
    <x v="153"/>
    <s v="California"/>
    <s v="Office Supplies"/>
    <s v="Paper"/>
    <x v="443"/>
  </r>
  <r>
    <x v="39"/>
    <s v="California"/>
    <s v="Office Supplies"/>
    <s v="Fasteners"/>
    <x v="347"/>
  </r>
  <r>
    <x v="292"/>
    <s v="Oregon"/>
    <s v="Office Supplies"/>
    <s v="Storage"/>
    <x v="285"/>
  </r>
  <r>
    <x v="209"/>
    <s v="California"/>
    <s v="Technology"/>
    <s v="Phones"/>
    <x v="579"/>
  </r>
  <r>
    <x v="214"/>
    <s v="California"/>
    <s v="Office Supplies"/>
    <s v="Paper"/>
    <x v="409"/>
  </r>
  <r>
    <x v="214"/>
    <s v="California"/>
    <s v="Furniture"/>
    <s v="Furnishings"/>
    <x v="80"/>
  </r>
  <r>
    <x v="214"/>
    <s v="California"/>
    <s v="Technology"/>
    <s v="Phones"/>
    <x v="405"/>
  </r>
  <r>
    <x v="253"/>
    <s v="California"/>
    <s v="Office Supplies"/>
    <s v="Paper"/>
    <x v="595"/>
  </r>
  <r>
    <x v="293"/>
    <s v="California"/>
    <s v="Office Supplies"/>
    <s v="Paper"/>
    <x v="6"/>
  </r>
  <r>
    <x v="293"/>
    <s v="California"/>
    <s v="Technology"/>
    <s v="Accessories"/>
    <x v="23"/>
  </r>
  <r>
    <x v="294"/>
    <s v="Washington"/>
    <s v="Furniture"/>
    <s v="Furnishings"/>
    <x v="596"/>
  </r>
  <r>
    <x v="295"/>
    <s v="Washington"/>
    <s v="Furniture"/>
    <s v="Tables"/>
    <x v="597"/>
  </r>
  <r>
    <x v="4"/>
    <s v="Washington"/>
    <s v="Office Supplies"/>
    <s v="Storage"/>
    <x v="598"/>
  </r>
  <r>
    <x v="296"/>
    <s v="California"/>
    <s v="Technology"/>
    <s v="Accessories"/>
    <x v="599"/>
  </r>
  <r>
    <x v="296"/>
    <s v="California"/>
    <s v="Office Supplies"/>
    <s v="Paper"/>
    <x v="600"/>
  </r>
  <r>
    <x v="297"/>
    <s v="Washington"/>
    <s v="Office Supplies"/>
    <s v="Appliances"/>
    <x v="601"/>
  </r>
  <r>
    <x v="25"/>
    <s v="California"/>
    <s v="Office Supplies"/>
    <s v="Paper"/>
    <x v="602"/>
  </r>
  <r>
    <x v="25"/>
    <s v="California"/>
    <s v="Office Supplies"/>
    <s v="Paper"/>
    <x v="461"/>
  </r>
  <r>
    <x v="25"/>
    <s v="California"/>
    <s v="Technology"/>
    <s v="Accessories"/>
    <x v="603"/>
  </r>
  <r>
    <x v="25"/>
    <s v="California"/>
    <s v="Furniture"/>
    <s v="Furnishings"/>
    <x v="604"/>
  </r>
  <r>
    <x v="298"/>
    <s v="California"/>
    <s v="Technology"/>
    <s v="Machines"/>
    <x v="605"/>
  </r>
  <r>
    <x v="285"/>
    <s v="Arizona"/>
    <s v="Technology"/>
    <s v="Phones"/>
    <x v="496"/>
  </r>
  <r>
    <x v="299"/>
    <s v="California"/>
    <s v="Furniture"/>
    <s v="Chairs"/>
    <x v="112"/>
  </r>
  <r>
    <x v="300"/>
    <s v="Washington"/>
    <s v="Technology"/>
    <s v="Accessories"/>
    <x v="253"/>
  </r>
  <r>
    <x v="300"/>
    <s v="Washington"/>
    <s v="Office Supplies"/>
    <s v="Art"/>
    <x v="606"/>
  </r>
  <r>
    <x v="301"/>
    <s v="California"/>
    <s v="Furniture"/>
    <s v="Tables"/>
    <x v="607"/>
  </r>
  <r>
    <x v="244"/>
    <s v="California"/>
    <s v="Office Supplies"/>
    <s v="Binders"/>
    <x v="608"/>
  </r>
  <r>
    <x v="302"/>
    <s v="California"/>
    <s v="Technology"/>
    <s v="Copiers"/>
    <x v="609"/>
  </r>
  <r>
    <x v="302"/>
    <s v="California"/>
    <s v="Office Supplies"/>
    <s v="Paper"/>
    <x v="409"/>
  </r>
  <r>
    <x v="303"/>
    <s v="Washington"/>
    <s v="Office Supplies"/>
    <s v="Storage"/>
    <x v="610"/>
  </r>
  <r>
    <x v="183"/>
    <s v="California"/>
    <s v="Technology"/>
    <s v="Accessories"/>
    <x v="131"/>
  </r>
  <r>
    <x v="183"/>
    <s v="California"/>
    <s v="Furniture"/>
    <s v="Tables"/>
    <x v="611"/>
  </r>
  <r>
    <x v="304"/>
    <s v="New Mexico"/>
    <s v="Office Supplies"/>
    <s v="Supplies"/>
    <x v="612"/>
  </r>
  <r>
    <x v="305"/>
    <s v="Arizona"/>
    <s v="Office Supplies"/>
    <s v="Paper"/>
    <x v="613"/>
  </r>
  <r>
    <x v="305"/>
    <s v="Arizona"/>
    <s v="Office Supplies"/>
    <s v="Paper"/>
    <x v="614"/>
  </r>
  <r>
    <x v="306"/>
    <s v="California"/>
    <s v="Furniture"/>
    <s v="Furnishings"/>
    <x v="615"/>
  </r>
  <r>
    <x v="306"/>
    <s v="California"/>
    <s v="Technology"/>
    <s v="Phones"/>
    <x v="616"/>
  </r>
  <r>
    <x v="306"/>
    <s v="California"/>
    <s v="Office Supplies"/>
    <s v="Appliances"/>
    <x v="617"/>
  </r>
  <r>
    <x v="307"/>
    <s v="California"/>
    <s v="Furniture"/>
    <s v="Tables"/>
    <x v="618"/>
  </r>
  <r>
    <x v="307"/>
    <s v="California"/>
    <s v="Technology"/>
    <s v="Phones"/>
    <x v="619"/>
  </r>
  <r>
    <x v="166"/>
    <s v="Arizona"/>
    <s v="Office Supplies"/>
    <s v="Storage"/>
    <x v="620"/>
  </r>
  <r>
    <x v="308"/>
    <s v="Oregon"/>
    <s v="Office Supplies"/>
    <s v="Appliances"/>
    <x v="621"/>
  </r>
  <r>
    <x v="309"/>
    <s v="California"/>
    <s v="Office Supplies"/>
    <s v="Art"/>
    <x v="185"/>
  </r>
  <r>
    <x v="309"/>
    <s v="California"/>
    <s v="Technology"/>
    <s v="Accessories"/>
    <x v="622"/>
  </r>
  <r>
    <x v="309"/>
    <s v="California"/>
    <s v="Technology"/>
    <s v="Phones"/>
    <x v="623"/>
  </r>
  <r>
    <x v="309"/>
    <s v="California"/>
    <s v="Office Supplies"/>
    <s v="Appliances"/>
    <x v="624"/>
  </r>
  <r>
    <x v="309"/>
    <s v="California"/>
    <s v="Office Supplies"/>
    <s v="Paper"/>
    <x v="625"/>
  </r>
  <r>
    <x v="204"/>
    <s v="California"/>
    <s v="Office Supplies"/>
    <s v="Storage"/>
    <x v="626"/>
  </r>
  <r>
    <x v="204"/>
    <s v="California"/>
    <s v="Office Supplies"/>
    <s v="Paper"/>
    <x v="627"/>
  </r>
  <r>
    <x v="310"/>
    <s v="California"/>
    <s v="Office Supplies"/>
    <s v="Storage"/>
    <x v="254"/>
  </r>
  <r>
    <x v="311"/>
    <s v="California"/>
    <s v="Technology"/>
    <s v="Phones"/>
    <x v="628"/>
  </r>
  <r>
    <x v="311"/>
    <s v="California"/>
    <s v="Office Supplies"/>
    <s v="Art"/>
    <x v="629"/>
  </r>
  <r>
    <x v="312"/>
    <s v="California"/>
    <s v="Office Supplies"/>
    <s v="Binders"/>
    <x v="630"/>
  </r>
  <r>
    <x v="313"/>
    <s v="California"/>
    <s v="Office Supplies"/>
    <s v="Envelopes"/>
    <x v="631"/>
  </r>
  <r>
    <x v="314"/>
    <s v="California"/>
    <s v="Furniture"/>
    <s v="Chairs"/>
    <x v="632"/>
  </r>
  <r>
    <x v="314"/>
    <s v="California"/>
    <s v="Office Supplies"/>
    <s v="Art"/>
    <x v="633"/>
  </r>
  <r>
    <x v="314"/>
    <s v="California"/>
    <s v="Technology"/>
    <s v="Phones"/>
    <x v="634"/>
  </r>
  <r>
    <x v="314"/>
    <s v="California"/>
    <s v="Office Supplies"/>
    <s v="Binders"/>
    <x v="635"/>
  </r>
  <r>
    <x v="315"/>
    <s v="Colorado"/>
    <s v="Office Supplies"/>
    <s v="Appliances"/>
    <x v="636"/>
  </r>
  <r>
    <x v="315"/>
    <s v="Colorado"/>
    <s v="Office Supplies"/>
    <s v="Supplies"/>
    <x v="309"/>
  </r>
  <r>
    <x v="316"/>
    <s v="California"/>
    <s v="Office Supplies"/>
    <s v="Art"/>
    <x v="214"/>
  </r>
  <r>
    <x v="316"/>
    <s v="California"/>
    <s v="Technology"/>
    <s v="Phones"/>
    <x v="637"/>
  </r>
  <r>
    <x v="317"/>
    <s v="California"/>
    <s v="Technology"/>
    <s v="Phones"/>
    <x v="638"/>
  </r>
  <r>
    <x v="318"/>
    <s v="California"/>
    <s v="Office Supplies"/>
    <s v="Binders"/>
    <x v="639"/>
  </r>
  <r>
    <x v="318"/>
    <s v="California"/>
    <s v="Office Supplies"/>
    <s v="Storage"/>
    <x v="93"/>
  </r>
  <r>
    <x v="318"/>
    <s v="California"/>
    <s v="Office Supplies"/>
    <s v="Supplies"/>
    <x v="640"/>
  </r>
  <r>
    <x v="319"/>
    <s v="California"/>
    <s v="Furniture"/>
    <s v="Furnishings"/>
    <x v="641"/>
  </r>
  <r>
    <x v="320"/>
    <s v="California"/>
    <s v="Office Supplies"/>
    <s v="Art"/>
    <x v="642"/>
  </r>
  <r>
    <x v="320"/>
    <s v="California"/>
    <s v="Office Supplies"/>
    <s v="Binders"/>
    <x v="643"/>
  </r>
  <r>
    <x v="320"/>
    <s v="California"/>
    <s v="Technology"/>
    <s v="Accessories"/>
    <x v="644"/>
  </r>
  <r>
    <x v="320"/>
    <s v="California"/>
    <s v="Office Supplies"/>
    <s v="Binders"/>
    <x v="274"/>
  </r>
  <r>
    <x v="56"/>
    <s v="California"/>
    <s v="Office Supplies"/>
    <s v="Binders"/>
    <x v="645"/>
  </r>
  <r>
    <x v="58"/>
    <s v="Oregon"/>
    <s v="Office Supplies"/>
    <s v="Art"/>
    <x v="646"/>
  </r>
  <r>
    <x v="296"/>
    <s v="Colorado"/>
    <s v="Technology"/>
    <s v="Accessories"/>
    <x v="441"/>
  </r>
  <r>
    <x v="54"/>
    <s v="Arizona"/>
    <s v="Furniture"/>
    <s v="Chairs"/>
    <x v="647"/>
  </r>
  <r>
    <x v="36"/>
    <s v="California"/>
    <s v="Office Supplies"/>
    <s v="Paper"/>
    <x v="648"/>
  </r>
  <r>
    <x v="36"/>
    <s v="California"/>
    <s v="Office Supplies"/>
    <s v="Paper"/>
    <x v="649"/>
  </r>
  <r>
    <x v="141"/>
    <s v="Colorado"/>
    <s v="Technology"/>
    <s v="Phones"/>
    <x v="137"/>
  </r>
  <r>
    <x v="321"/>
    <s v="Washington"/>
    <s v="Office Supplies"/>
    <s v="Binders"/>
    <x v="650"/>
  </r>
  <r>
    <x v="322"/>
    <s v="California"/>
    <s v="Office Supplies"/>
    <s v="Storage"/>
    <x v="651"/>
  </r>
  <r>
    <x v="323"/>
    <s v="California"/>
    <s v="Furniture"/>
    <s v="Bookcases"/>
    <x v="450"/>
  </r>
  <r>
    <x v="323"/>
    <s v="California"/>
    <s v="Furniture"/>
    <s v="Furnishings"/>
    <x v="251"/>
  </r>
  <r>
    <x v="323"/>
    <s v="California"/>
    <s v="Furniture"/>
    <s v="Chairs"/>
    <x v="271"/>
  </r>
  <r>
    <x v="323"/>
    <s v="California"/>
    <s v="Furniture"/>
    <s v="Chairs"/>
    <x v="40"/>
  </r>
  <r>
    <x v="324"/>
    <s v="California"/>
    <s v="Office Supplies"/>
    <s v="Paper"/>
    <x v="327"/>
  </r>
  <r>
    <x v="110"/>
    <s v="Washington"/>
    <s v="Office Supplies"/>
    <s v="Binders"/>
    <x v="329"/>
  </r>
  <r>
    <x v="325"/>
    <s v="California"/>
    <s v="Office Supplies"/>
    <s v="Labels"/>
    <x v="652"/>
  </r>
  <r>
    <x v="325"/>
    <s v="California"/>
    <s v="Technology"/>
    <s v="Machines"/>
    <x v="653"/>
  </r>
  <r>
    <x v="325"/>
    <s v="California"/>
    <s v="Office Supplies"/>
    <s v="Storage"/>
    <x v="299"/>
  </r>
  <r>
    <x v="325"/>
    <s v="California"/>
    <s v="Technology"/>
    <s v="Phones"/>
    <x v="616"/>
  </r>
  <r>
    <x v="207"/>
    <s v="Arizona"/>
    <s v="Office Supplies"/>
    <s v="Binders"/>
    <x v="416"/>
  </r>
  <r>
    <x v="207"/>
    <s v="Arizona"/>
    <s v="Office Supplies"/>
    <s v="Appliances"/>
    <x v="248"/>
  </r>
  <r>
    <x v="326"/>
    <s v="Colorado"/>
    <s v="Office Supplies"/>
    <s v="Appliances"/>
    <x v="654"/>
  </r>
  <r>
    <x v="22"/>
    <s v="California"/>
    <s v="Furniture"/>
    <s v="Furnishings"/>
    <x v="655"/>
  </r>
  <r>
    <x v="209"/>
    <s v="Washington"/>
    <s v="Furniture"/>
    <s v="Furnishings"/>
    <x v="656"/>
  </r>
  <r>
    <x v="327"/>
    <s v="Washington"/>
    <s v="Office Supplies"/>
    <s v="Art"/>
    <x v="657"/>
  </r>
  <r>
    <x v="285"/>
    <s v="Washington"/>
    <s v="Office Supplies"/>
    <s v="Paper"/>
    <x v="658"/>
  </r>
  <r>
    <x v="285"/>
    <s v="Washington"/>
    <s v="Office Supplies"/>
    <s v="Storage"/>
    <x v="493"/>
  </r>
  <r>
    <x v="285"/>
    <s v="Washington"/>
    <s v="Office Supplies"/>
    <s v="Binders"/>
    <x v="168"/>
  </r>
  <r>
    <x v="328"/>
    <s v="California"/>
    <s v="Office Supplies"/>
    <s v="Paper"/>
    <x v="659"/>
  </r>
  <r>
    <x v="328"/>
    <s v="California"/>
    <s v="Office Supplies"/>
    <s v="Paper"/>
    <x v="660"/>
  </r>
  <r>
    <x v="328"/>
    <s v="California"/>
    <s v="Office Supplies"/>
    <s v="Storage"/>
    <x v="661"/>
  </r>
  <r>
    <x v="127"/>
    <s v="Utah"/>
    <s v="Furniture"/>
    <s v="Bookcases"/>
    <x v="662"/>
  </r>
  <r>
    <x v="127"/>
    <s v="Utah"/>
    <s v="Office Supplies"/>
    <s v="Labels"/>
    <x v="663"/>
  </r>
  <r>
    <x v="127"/>
    <s v="Utah"/>
    <s v="Office Supplies"/>
    <s v="Storage"/>
    <x v="353"/>
  </r>
  <r>
    <x v="329"/>
    <s v="California"/>
    <s v="Office Supplies"/>
    <s v="Paper"/>
    <x v="355"/>
  </r>
  <r>
    <x v="330"/>
    <s v="Washington"/>
    <s v="Office Supplies"/>
    <s v="Labels"/>
    <x v="664"/>
  </r>
  <r>
    <x v="330"/>
    <s v="Washington"/>
    <s v="Office Supplies"/>
    <s v="Art"/>
    <x v="665"/>
  </r>
  <r>
    <x v="331"/>
    <s v="California"/>
    <s v="Technology"/>
    <s v="Accessories"/>
    <x v="666"/>
  </r>
  <r>
    <x v="331"/>
    <s v="California"/>
    <s v="Technology"/>
    <s v="Accessories"/>
    <x v="667"/>
  </r>
  <r>
    <x v="332"/>
    <s v="California"/>
    <s v="Office Supplies"/>
    <s v="Binders"/>
    <x v="668"/>
  </r>
  <r>
    <x v="333"/>
    <s v="Idaho"/>
    <s v="Furniture"/>
    <s v="Furnishings"/>
    <x v="669"/>
  </r>
  <r>
    <x v="333"/>
    <s v="Idaho"/>
    <s v="Technology"/>
    <s v="Phones"/>
    <x v="670"/>
  </r>
  <r>
    <x v="334"/>
    <s v="California"/>
    <s v="Office Supplies"/>
    <s v="Binders"/>
    <x v="671"/>
  </r>
  <r>
    <x v="335"/>
    <s v="Arizona"/>
    <s v="Office Supplies"/>
    <s v="Paper"/>
    <x v="463"/>
  </r>
  <r>
    <x v="335"/>
    <s v="Arizona"/>
    <s v="Office Supplies"/>
    <s v="Storage"/>
    <x v="672"/>
  </r>
  <r>
    <x v="335"/>
    <s v="Arizona"/>
    <s v="Furniture"/>
    <s v="Furnishings"/>
    <x v="673"/>
  </r>
  <r>
    <x v="335"/>
    <s v="Arizona"/>
    <s v="Furniture"/>
    <s v="Furnishings"/>
    <x v="674"/>
  </r>
  <r>
    <x v="95"/>
    <s v="California"/>
    <s v="Technology"/>
    <s v="Phones"/>
    <x v="429"/>
  </r>
  <r>
    <x v="336"/>
    <s v="Arizona"/>
    <s v="Office Supplies"/>
    <s v="Paper"/>
    <x v="675"/>
  </r>
  <r>
    <x v="336"/>
    <s v="Arizona"/>
    <s v="Office Supplies"/>
    <s v="Binders"/>
    <x v="468"/>
  </r>
  <r>
    <x v="336"/>
    <s v="Arizona"/>
    <s v="Office Supplies"/>
    <s v="Binders"/>
    <x v="671"/>
  </r>
  <r>
    <x v="336"/>
    <s v="Arizona"/>
    <s v="Furniture"/>
    <s v="Furnishings"/>
    <x v="615"/>
  </r>
  <r>
    <x v="337"/>
    <s v="California"/>
    <s v="Office Supplies"/>
    <s v="Art"/>
    <x v="41"/>
  </r>
  <r>
    <x v="247"/>
    <s v="California"/>
    <s v="Furniture"/>
    <s v="Furnishings"/>
    <x v="676"/>
  </r>
  <r>
    <x v="247"/>
    <s v="California"/>
    <s v="Office Supplies"/>
    <s v="Paper"/>
    <x v="677"/>
  </r>
  <r>
    <x v="247"/>
    <s v="California"/>
    <s v="Office Supplies"/>
    <s v="Envelopes"/>
    <x v="678"/>
  </r>
  <r>
    <x v="338"/>
    <s v="California"/>
    <s v="Furniture"/>
    <s v="Furnishings"/>
    <x v="679"/>
  </r>
  <r>
    <x v="338"/>
    <s v="California"/>
    <s v="Technology"/>
    <s v="Phones"/>
    <x v="138"/>
  </r>
  <r>
    <x v="277"/>
    <s v="Colorado"/>
    <s v="Technology"/>
    <s v="Phones"/>
    <x v="680"/>
  </r>
  <r>
    <x v="114"/>
    <s v="Utah"/>
    <s v="Office Supplies"/>
    <s v="Fasteners"/>
    <x v="681"/>
  </r>
  <r>
    <x v="339"/>
    <s v="Washington"/>
    <s v="Technology"/>
    <s v="Phones"/>
    <x v="682"/>
  </r>
  <r>
    <x v="340"/>
    <s v="California"/>
    <s v="Technology"/>
    <s v="Phones"/>
    <x v="683"/>
  </r>
  <r>
    <x v="340"/>
    <s v="California"/>
    <s v="Office Supplies"/>
    <s v="Fasteners"/>
    <x v="684"/>
  </r>
  <r>
    <x v="340"/>
    <s v="California"/>
    <s v="Technology"/>
    <s v="Phones"/>
    <x v="685"/>
  </r>
  <r>
    <x v="341"/>
    <s v="California"/>
    <s v="Furniture"/>
    <s v="Furnishings"/>
    <x v="251"/>
  </r>
  <r>
    <x v="296"/>
    <s v="California"/>
    <s v="Office Supplies"/>
    <s v="Art"/>
    <x v="162"/>
  </r>
  <r>
    <x v="296"/>
    <s v="California"/>
    <s v="Office Supplies"/>
    <s v="Binders"/>
    <x v="686"/>
  </r>
  <r>
    <x v="296"/>
    <s v="California"/>
    <s v="Office Supplies"/>
    <s v="Storage"/>
    <x v="401"/>
  </r>
  <r>
    <x v="342"/>
    <s v="Arizona"/>
    <s v="Office Supplies"/>
    <s v="Labels"/>
    <x v="664"/>
  </r>
  <r>
    <x v="342"/>
    <s v="Arizona"/>
    <s v="Furniture"/>
    <s v="Furnishings"/>
    <x v="687"/>
  </r>
  <r>
    <x v="343"/>
    <s v="California"/>
    <s v="Office Supplies"/>
    <s v="Binders"/>
    <x v="390"/>
  </r>
  <r>
    <x v="276"/>
    <s v="California"/>
    <s v="Furniture"/>
    <s v="Chairs"/>
    <x v="688"/>
  </r>
  <r>
    <x v="344"/>
    <s v="Arizona"/>
    <s v="Office Supplies"/>
    <s v="Binders"/>
    <x v="383"/>
  </r>
  <r>
    <x v="345"/>
    <s v="California"/>
    <s v="Office Supplies"/>
    <s v="Binders"/>
    <x v="689"/>
  </r>
  <r>
    <x v="346"/>
    <s v="Washington"/>
    <s v="Office Supplies"/>
    <s v="Paper"/>
    <x v="690"/>
  </r>
  <r>
    <x v="346"/>
    <s v="Washington"/>
    <s v="Office Supplies"/>
    <s v="Binders"/>
    <x v="181"/>
  </r>
  <r>
    <x v="347"/>
    <s v="Arizona"/>
    <s v="Office Supplies"/>
    <s v="Storage"/>
    <x v="424"/>
  </r>
  <r>
    <x v="347"/>
    <s v="Arizona"/>
    <s v="Office Supplies"/>
    <s v="Paper"/>
    <x v="691"/>
  </r>
  <r>
    <x v="347"/>
    <s v="Arizona"/>
    <s v="Furniture"/>
    <s v="Chairs"/>
    <x v="532"/>
  </r>
  <r>
    <x v="347"/>
    <s v="Arizona"/>
    <s v="Furniture"/>
    <s v="Bookcases"/>
    <x v="692"/>
  </r>
  <r>
    <x v="332"/>
    <s v="California"/>
    <s v="Furniture"/>
    <s v="Chairs"/>
    <x v="225"/>
  </r>
  <r>
    <x v="332"/>
    <s v="California"/>
    <s v="Furniture"/>
    <s v="Chairs"/>
    <x v="693"/>
  </r>
  <r>
    <x v="348"/>
    <s v="California"/>
    <s v="Furniture"/>
    <s v="Bookcases"/>
    <x v="694"/>
  </r>
  <r>
    <x v="349"/>
    <s v="California"/>
    <s v="Technology"/>
    <s v="Accessories"/>
    <x v="695"/>
  </r>
  <r>
    <x v="350"/>
    <s v="Arizona"/>
    <s v="Office Supplies"/>
    <s v="Binders"/>
    <x v="696"/>
  </r>
  <r>
    <x v="351"/>
    <s v="Washington"/>
    <s v="Office Supplies"/>
    <s v="Fasteners"/>
    <x v="697"/>
  </r>
  <r>
    <x v="351"/>
    <s v="Washington"/>
    <s v="Office Supplies"/>
    <s v="Paper"/>
    <x v="698"/>
  </r>
  <r>
    <x v="351"/>
    <s v="Washington"/>
    <s v="Furniture"/>
    <s v="Bookcases"/>
    <x v="699"/>
  </r>
  <r>
    <x v="351"/>
    <s v="Washington"/>
    <s v="Furniture"/>
    <s v="Chairs"/>
    <x v="521"/>
  </r>
  <r>
    <x v="352"/>
    <s v="California"/>
    <s v="Technology"/>
    <s v="Phones"/>
    <x v="700"/>
  </r>
  <r>
    <x v="353"/>
    <s v="Arizona"/>
    <s v="Furniture"/>
    <s v="Tables"/>
    <x v="444"/>
  </r>
  <r>
    <x v="180"/>
    <s v="California"/>
    <s v="Office Supplies"/>
    <s v="Envelopes"/>
    <x v="701"/>
  </r>
  <r>
    <x v="253"/>
    <s v="California"/>
    <s v="Office Supplies"/>
    <s v="Binders"/>
    <x v="702"/>
  </r>
  <r>
    <x v="253"/>
    <s v="California"/>
    <s v="Office Supplies"/>
    <s v="Binders"/>
    <x v="187"/>
  </r>
  <r>
    <x v="253"/>
    <s v="California"/>
    <s v="Office Supplies"/>
    <s v="Art"/>
    <x v="206"/>
  </r>
  <r>
    <x v="243"/>
    <s v="Arizona"/>
    <s v="Furniture"/>
    <s v="Chairs"/>
    <x v="703"/>
  </r>
  <r>
    <x v="180"/>
    <s v="California"/>
    <s v="Technology"/>
    <s v="Accessories"/>
    <x v="529"/>
  </r>
  <r>
    <x v="180"/>
    <s v="California"/>
    <s v="Furniture"/>
    <s v="Furnishings"/>
    <x v="277"/>
  </r>
  <r>
    <x v="180"/>
    <s v="California"/>
    <s v="Office Supplies"/>
    <s v="Binders"/>
    <x v="704"/>
  </r>
  <r>
    <x v="49"/>
    <s v="California"/>
    <s v="Office Supplies"/>
    <s v="Art"/>
    <x v="413"/>
  </r>
  <r>
    <x v="49"/>
    <s v="California"/>
    <s v="Furniture"/>
    <s v="Tables"/>
    <x v="180"/>
  </r>
  <r>
    <x v="354"/>
    <s v="Washington"/>
    <s v="Office Supplies"/>
    <s v="Binders"/>
    <x v="705"/>
  </r>
  <r>
    <x v="354"/>
    <s v="Washington"/>
    <s v="Technology"/>
    <s v="Machines"/>
    <x v="706"/>
  </r>
  <r>
    <x v="355"/>
    <s v="Oregon"/>
    <s v="Furniture"/>
    <s v="Tables"/>
    <x v="13"/>
  </r>
  <r>
    <x v="94"/>
    <s v="Idaho"/>
    <s v="Office Supplies"/>
    <s v="Binders"/>
    <x v="707"/>
  </r>
  <r>
    <x v="356"/>
    <s v="California"/>
    <s v="Office Supplies"/>
    <s v="Binders"/>
    <x v="708"/>
  </r>
  <r>
    <x v="357"/>
    <s v="California"/>
    <s v="Office Supplies"/>
    <s v="Binders"/>
    <x v="707"/>
  </r>
  <r>
    <x v="357"/>
    <s v="California"/>
    <s v="Office Supplies"/>
    <s v="Binders"/>
    <x v="704"/>
  </r>
  <r>
    <x v="357"/>
    <s v="California"/>
    <s v="Furniture"/>
    <s v="Chairs"/>
    <x v="709"/>
  </r>
  <r>
    <x v="202"/>
    <s v="Oregon"/>
    <s v="Technology"/>
    <s v="Phones"/>
    <x v="97"/>
  </r>
  <r>
    <x v="202"/>
    <s v="Oregon"/>
    <s v="Technology"/>
    <s v="Phones"/>
    <x v="449"/>
  </r>
  <r>
    <x v="202"/>
    <s v="Oregon"/>
    <s v="Office Supplies"/>
    <s v="Appliances"/>
    <x v="490"/>
  </r>
  <r>
    <x v="147"/>
    <s v="California"/>
    <s v="Office Supplies"/>
    <s v="Art"/>
    <x v="437"/>
  </r>
  <r>
    <x v="358"/>
    <s v="California"/>
    <s v="Furniture"/>
    <s v="Furnishings"/>
    <x v="710"/>
  </r>
  <r>
    <x v="359"/>
    <s v="California"/>
    <s v="Office Supplies"/>
    <s v="Storage"/>
    <x v="353"/>
  </r>
  <r>
    <x v="360"/>
    <s v="California"/>
    <s v="Furniture"/>
    <s v="Furnishings"/>
    <x v="226"/>
  </r>
  <r>
    <x v="360"/>
    <s v="California"/>
    <s v="Office Supplies"/>
    <s v="Storage"/>
    <x v="711"/>
  </r>
  <r>
    <x v="361"/>
    <s v="Arizona"/>
    <s v="Office Supplies"/>
    <s v="Art"/>
    <x v="712"/>
  </r>
  <r>
    <x v="361"/>
    <s v="Arizona"/>
    <s v="Technology"/>
    <s v="Phones"/>
    <x v="713"/>
  </r>
  <r>
    <x v="361"/>
    <s v="Arizona"/>
    <s v="Office Supplies"/>
    <s v="Paper"/>
    <x v="109"/>
  </r>
  <r>
    <x v="361"/>
    <s v="Arizona"/>
    <s v="Office Supplies"/>
    <s v="Labels"/>
    <x v="714"/>
  </r>
  <r>
    <x v="82"/>
    <s v="Arizona"/>
    <s v="Technology"/>
    <s v="Accessories"/>
    <x v="134"/>
  </r>
  <r>
    <x v="82"/>
    <s v="Arizona"/>
    <s v="Office Supplies"/>
    <s v="Paper"/>
    <x v="715"/>
  </r>
  <r>
    <x v="82"/>
    <s v="Arizona"/>
    <s v="Office Supplies"/>
    <s v="Art"/>
    <x v="716"/>
  </r>
  <r>
    <x v="82"/>
    <s v="Arizona"/>
    <s v="Technology"/>
    <s v="Accessories"/>
    <x v="519"/>
  </r>
  <r>
    <x v="362"/>
    <s v="California"/>
    <s v="Furniture"/>
    <s v="Chairs"/>
    <x v="473"/>
  </r>
  <r>
    <x v="362"/>
    <s v="California"/>
    <s v="Office Supplies"/>
    <s v="Paper"/>
    <x v="717"/>
  </r>
  <r>
    <x v="362"/>
    <s v="California"/>
    <s v="Office Supplies"/>
    <s v="Paper"/>
    <x v="443"/>
  </r>
  <r>
    <x v="362"/>
    <s v="California"/>
    <s v="Office Supplies"/>
    <s v="Paper"/>
    <x v="544"/>
  </r>
  <r>
    <x v="363"/>
    <s v="California"/>
    <s v="Furniture"/>
    <s v="Bookcases"/>
    <x v="718"/>
  </r>
  <r>
    <x v="363"/>
    <s v="California"/>
    <s v="Office Supplies"/>
    <s v="Storage"/>
    <x v="46"/>
  </r>
  <r>
    <x v="297"/>
    <s v="Oregon"/>
    <s v="Office Supplies"/>
    <s v="Art"/>
    <x v="375"/>
  </r>
  <r>
    <x v="194"/>
    <s v="California"/>
    <s v="Furniture"/>
    <s v="Chairs"/>
    <x v="361"/>
  </r>
  <r>
    <x v="194"/>
    <s v="California"/>
    <s v="Office Supplies"/>
    <s v="Appliances"/>
    <x v="72"/>
  </r>
  <r>
    <x v="364"/>
    <s v="California"/>
    <s v="Office Supplies"/>
    <s v="Storage"/>
    <x v="353"/>
  </r>
  <r>
    <x v="365"/>
    <s v="California"/>
    <s v="Office Supplies"/>
    <s v="Supplies"/>
    <x v="719"/>
  </r>
  <r>
    <x v="365"/>
    <s v="California"/>
    <s v="Office Supplies"/>
    <s v="Paper"/>
    <x v="614"/>
  </r>
  <r>
    <x v="365"/>
    <s v="California"/>
    <s v="Office Supplies"/>
    <s v="Labels"/>
    <x v="720"/>
  </r>
  <r>
    <x v="251"/>
    <s v="California"/>
    <s v="Office Supplies"/>
    <s v="Binders"/>
    <x v="721"/>
  </r>
  <r>
    <x v="366"/>
    <s v="California"/>
    <s v="Office Supplies"/>
    <s v="Storage"/>
    <x v="205"/>
  </r>
  <r>
    <x v="366"/>
    <s v="California"/>
    <s v="Furniture"/>
    <s v="Bookcases"/>
    <x v="722"/>
  </r>
  <r>
    <x v="366"/>
    <s v="California"/>
    <s v="Office Supplies"/>
    <s v="Storage"/>
    <x v="46"/>
  </r>
  <r>
    <x v="366"/>
    <s v="California"/>
    <s v="Office Supplies"/>
    <s v="Binders"/>
    <x v="45"/>
  </r>
  <r>
    <x v="366"/>
    <s v="California"/>
    <s v="Technology"/>
    <s v="Phones"/>
    <x v="723"/>
  </r>
  <r>
    <x v="366"/>
    <s v="California"/>
    <s v="Furniture"/>
    <s v="Furnishings"/>
    <x v="163"/>
  </r>
  <r>
    <x v="367"/>
    <s v="California"/>
    <s v="Office Supplies"/>
    <s v="Paper"/>
    <x v="724"/>
  </r>
  <r>
    <x v="45"/>
    <s v="California"/>
    <s v="Furniture"/>
    <s v="Bookcases"/>
    <x v="725"/>
  </r>
  <r>
    <x v="45"/>
    <s v="California"/>
    <s v="Office Supplies"/>
    <s v="Binders"/>
    <x v="315"/>
  </r>
  <r>
    <x v="45"/>
    <s v="California"/>
    <s v="Technology"/>
    <s v="Accessories"/>
    <x v="726"/>
  </r>
  <r>
    <x v="45"/>
    <s v="California"/>
    <s v="Technology"/>
    <s v="Machines"/>
    <x v="727"/>
  </r>
  <r>
    <x v="368"/>
    <s v="California"/>
    <s v="Technology"/>
    <s v="Phones"/>
    <x v="423"/>
  </r>
  <r>
    <x v="169"/>
    <s v="California"/>
    <s v="Office Supplies"/>
    <s v="Binders"/>
    <x v="728"/>
  </r>
  <r>
    <x v="169"/>
    <s v="California"/>
    <s v="Technology"/>
    <s v="Copiers"/>
    <x v="729"/>
  </r>
  <r>
    <x v="169"/>
    <s v="California"/>
    <s v="Office Supplies"/>
    <s v="Binders"/>
    <x v="77"/>
  </r>
  <r>
    <x v="369"/>
    <s v="California"/>
    <s v="Office Supplies"/>
    <s v="Storage"/>
    <x v="730"/>
  </r>
  <r>
    <x v="369"/>
    <s v="California"/>
    <s v="Technology"/>
    <s v="Accessories"/>
    <x v="359"/>
  </r>
  <r>
    <x v="369"/>
    <s v="California"/>
    <s v="Technology"/>
    <s v="Accessories"/>
    <x v="731"/>
  </r>
  <r>
    <x v="238"/>
    <s v="California"/>
    <s v="Furniture"/>
    <s v="Chairs"/>
    <x v="194"/>
  </r>
  <r>
    <x v="238"/>
    <s v="California"/>
    <s v="Office Supplies"/>
    <s v="Binders"/>
    <x v="732"/>
  </r>
  <r>
    <x v="294"/>
    <s v="Arizona"/>
    <s v="Furniture"/>
    <s v="Furnishings"/>
    <x v="733"/>
  </r>
  <r>
    <x v="316"/>
    <s v="Oregon"/>
    <s v="Office Supplies"/>
    <s v="Binders"/>
    <x v="734"/>
  </r>
  <r>
    <x v="112"/>
    <s v="California"/>
    <s v="Furniture"/>
    <s v="Bookcases"/>
    <x v="480"/>
  </r>
  <r>
    <x v="112"/>
    <s v="California"/>
    <s v="Office Supplies"/>
    <s v="Binders"/>
    <x v="735"/>
  </r>
  <r>
    <x v="112"/>
    <s v="California"/>
    <s v="Furniture"/>
    <s v="Bookcases"/>
    <x v="694"/>
  </r>
  <r>
    <x v="59"/>
    <s v="Washington"/>
    <s v="Office Supplies"/>
    <s v="Binders"/>
    <x v="736"/>
  </r>
  <r>
    <x v="59"/>
    <s v="Washington"/>
    <s v="Furniture"/>
    <s v="Furnishings"/>
    <x v="737"/>
  </r>
  <r>
    <x v="370"/>
    <s v="California"/>
    <s v="Technology"/>
    <s v="Accessories"/>
    <x v="738"/>
  </r>
  <r>
    <x v="180"/>
    <s v="California"/>
    <s v="Office Supplies"/>
    <s v="Storage"/>
    <x v="739"/>
  </r>
  <r>
    <x v="371"/>
    <s v="California"/>
    <s v="Office Supplies"/>
    <s v="Paper"/>
    <x v="740"/>
  </r>
  <r>
    <x v="371"/>
    <s v="California"/>
    <s v="Office Supplies"/>
    <s v="Storage"/>
    <x v="741"/>
  </r>
  <r>
    <x v="108"/>
    <s v="California"/>
    <s v="Office Supplies"/>
    <s v="Supplies"/>
    <x v="612"/>
  </r>
  <r>
    <x v="372"/>
    <s v="Washington"/>
    <s v="Office Supplies"/>
    <s v="Storage"/>
    <x v="742"/>
  </r>
  <r>
    <x v="152"/>
    <s v="California"/>
    <s v="Furniture"/>
    <s v="Furnishings"/>
    <x v="743"/>
  </r>
  <r>
    <x v="82"/>
    <s v="California"/>
    <s v="Office Supplies"/>
    <s v="Art"/>
    <x v="744"/>
  </r>
  <r>
    <x v="82"/>
    <s v="California"/>
    <s v="Office Supplies"/>
    <s v="Labels"/>
    <x v="745"/>
  </r>
  <r>
    <x v="373"/>
    <s v="California"/>
    <s v="Office Supplies"/>
    <s v="Art"/>
    <x v="303"/>
  </r>
  <r>
    <x v="374"/>
    <s v="Colorado"/>
    <s v="Furniture"/>
    <s v="Furnishings"/>
    <x v="746"/>
  </r>
  <r>
    <x v="375"/>
    <s v="Washington"/>
    <s v="Technology"/>
    <s v="Accessories"/>
    <x v="430"/>
  </r>
  <r>
    <x v="376"/>
    <s v="California"/>
    <s v="Furniture"/>
    <s v="Furnishings"/>
    <x v="615"/>
  </r>
  <r>
    <x v="376"/>
    <s v="California"/>
    <s v="Office Supplies"/>
    <s v="Binders"/>
    <x v="571"/>
  </r>
  <r>
    <x v="376"/>
    <s v="California"/>
    <s v="Furniture"/>
    <s v="Chairs"/>
    <x v="179"/>
  </r>
  <r>
    <x v="376"/>
    <s v="California"/>
    <s v="Furniture"/>
    <s v="Furnishings"/>
    <x v="747"/>
  </r>
  <r>
    <x v="376"/>
    <s v="California"/>
    <s v="Furniture"/>
    <s v="Furnishings"/>
    <x v="226"/>
  </r>
  <r>
    <x v="376"/>
    <s v="California"/>
    <s v="Office Supplies"/>
    <s v="Paper"/>
    <x v="748"/>
  </r>
  <r>
    <x v="33"/>
    <s v="Utah"/>
    <s v="Furniture"/>
    <s v="Tables"/>
    <x v="459"/>
  </r>
  <r>
    <x v="269"/>
    <s v="California"/>
    <s v="Furniture"/>
    <s v="Tables"/>
    <x v="140"/>
  </r>
  <r>
    <x v="377"/>
    <s v="California"/>
    <s v="Office Supplies"/>
    <s v="Paper"/>
    <x v="749"/>
  </r>
  <r>
    <x v="378"/>
    <s v="Washington"/>
    <s v="Office Supplies"/>
    <s v="Binders"/>
    <x v="571"/>
  </r>
  <r>
    <x v="333"/>
    <s v="California"/>
    <s v="Office Supplies"/>
    <s v="Paper"/>
    <x v="750"/>
  </r>
  <r>
    <x v="333"/>
    <s v="California"/>
    <s v="Office Supplies"/>
    <s v="Paper"/>
    <x v="751"/>
  </r>
  <r>
    <x v="333"/>
    <s v="California"/>
    <s v="Office Supplies"/>
    <s v="Supplies"/>
    <x v="309"/>
  </r>
  <r>
    <x v="374"/>
    <s v="California"/>
    <s v="Office Supplies"/>
    <s v="Art"/>
    <x v="752"/>
  </r>
  <r>
    <x v="374"/>
    <s v="California"/>
    <s v="Office Supplies"/>
    <s v="Supplies"/>
    <x v="753"/>
  </r>
  <r>
    <x v="374"/>
    <s v="California"/>
    <s v="Furniture"/>
    <s v="Furnishings"/>
    <x v="754"/>
  </r>
  <r>
    <x v="379"/>
    <s v="Washington"/>
    <s v="Office Supplies"/>
    <s v="Paper"/>
    <x v="755"/>
  </r>
  <r>
    <x v="380"/>
    <s v="California"/>
    <s v="Office Supplies"/>
    <s v="Storage"/>
    <x v="756"/>
  </r>
  <r>
    <x v="273"/>
    <s v="California"/>
    <s v="Office Supplies"/>
    <s v="Paper"/>
    <x v="750"/>
  </r>
  <r>
    <x v="61"/>
    <s v="New Mexico"/>
    <s v="Office Supplies"/>
    <s v="Art"/>
    <x v="757"/>
  </r>
  <r>
    <x v="381"/>
    <s v="California"/>
    <s v="Furniture"/>
    <s v="Furnishings"/>
    <x v="758"/>
  </r>
  <r>
    <x v="382"/>
    <s v="Nevada"/>
    <s v="Office Supplies"/>
    <s v="Binders"/>
    <x v="759"/>
  </r>
  <r>
    <x v="123"/>
    <s v="Washington"/>
    <s v="Office Supplies"/>
    <s v="Storage"/>
    <x v="554"/>
  </r>
  <r>
    <x v="8"/>
    <s v="California"/>
    <s v="Furniture"/>
    <s v="Chairs"/>
    <x v="760"/>
  </r>
  <r>
    <x v="8"/>
    <s v="California"/>
    <s v="Office Supplies"/>
    <s v="Fasteners"/>
    <x v="761"/>
  </r>
  <r>
    <x v="383"/>
    <s v="California"/>
    <s v="Furniture"/>
    <s v="Furnishings"/>
    <x v="346"/>
  </r>
  <r>
    <x v="384"/>
    <s v="California"/>
    <s v="Office Supplies"/>
    <s v="Appliances"/>
    <x v="762"/>
  </r>
  <r>
    <x v="385"/>
    <s v="Washington"/>
    <s v="Office Supplies"/>
    <s v="Art"/>
    <x v="293"/>
  </r>
  <r>
    <x v="385"/>
    <s v="Washington"/>
    <s v="Office Supplies"/>
    <s v="Binders"/>
    <x v="261"/>
  </r>
  <r>
    <x v="386"/>
    <s v="California"/>
    <s v="Furniture"/>
    <s v="Furnishings"/>
    <x v="763"/>
  </r>
  <r>
    <x v="386"/>
    <s v="California"/>
    <s v="Office Supplies"/>
    <s v="Appliances"/>
    <x v="624"/>
  </r>
  <r>
    <x v="387"/>
    <s v="Arizona"/>
    <s v="Technology"/>
    <s v="Phones"/>
    <x v="496"/>
  </r>
  <r>
    <x v="41"/>
    <s v="Arizona"/>
    <s v="Office Supplies"/>
    <s v="Art"/>
    <x v="14"/>
  </r>
  <r>
    <x v="41"/>
    <s v="Arizona"/>
    <s v="Technology"/>
    <s v="Accessories"/>
    <x v="764"/>
  </r>
  <r>
    <x v="41"/>
    <s v="Arizona"/>
    <s v="Office Supplies"/>
    <s v="Art"/>
    <x v="642"/>
  </r>
  <r>
    <x v="207"/>
    <s v="Utah"/>
    <s v="Furniture"/>
    <s v="Tables"/>
    <x v="765"/>
  </r>
  <r>
    <x v="382"/>
    <s v="California"/>
    <s v="Office Supplies"/>
    <s v="Envelopes"/>
    <x v="766"/>
  </r>
  <r>
    <x v="245"/>
    <s v="Washington"/>
    <s v="Furniture"/>
    <s v="Chairs"/>
    <x v="767"/>
  </r>
  <r>
    <x v="245"/>
    <s v="Washington"/>
    <s v="Office Supplies"/>
    <s v="Labels"/>
    <x v="768"/>
  </r>
  <r>
    <x v="245"/>
    <s v="Washington"/>
    <s v="Technology"/>
    <s v="Accessories"/>
    <x v="769"/>
  </r>
  <r>
    <x v="388"/>
    <s v="Oregon"/>
    <s v="Office Supplies"/>
    <s v="Paper"/>
    <x v="409"/>
  </r>
  <r>
    <x v="388"/>
    <s v="Oregon"/>
    <s v="Technology"/>
    <s v="Accessories"/>
    <x v="770"/>
  </r>
  <r>
    <x v="388"/>
    <s v="Oregon"/>
    <s v="Office Supplies"/>
    <s v="Paper"/>
    <x v="749"/>
  </r>
  <r>
    <x v="273"/>
    <s v="Arizona"/>
    <s v="Office Supplies"/>
    <s v="Paper"/>
    <x v="771"/>
  </r>
  <r>
    <x v="273"/>
    <s v="Arizona"/>
    <s v="Office Supplies"/>
    <s v="Binders"/>
    <x v="772"/>
  </r>
  <r>
    <x v="273"/>
    <s v="Arizona"/>
    <s v="Office Supplies"/>
    <s v="Appliances"/>
    <x v="617"/>
  </r>
  <r>
    <x v="273"/>
    <s v="Arizona"/>
    <s v="Office Supplies"/>
    <s v="Binders"/>
    <x v="773"/>
  </r>
  <r>
    <x v="273"/>
    <s v="Arizona"/>
    <s v="Office Supplies"/>
    <s v="Storage"/>
    <x v="774"/>
  </r>
  <r>
    <x v="273"/>
    <s v="Arizona"/>
    <s v="Technology"/>
    <s v="Phones"/>
    <x v="412"/>
  </r>
  <r>
    <x v="273"/>
    <s v="Arizona"/>
    <s v="Office Supplies"/>
    <s v="Storage"/>
    <x v="424"/>
  </r>
  <r>
    <x v="389"/>
    <s v="California"/>
    <s v="Office Supplies"/>
    <s v="Storage"/>
    <x v="376"/>
  </r>
  <r>
    <x v="389"/>
    <s v="California"/>
    <s v="Office Supplies"/>
    <s v="Envelopes"/>
    <x v="678"/>
  </r>
  <r>
    <x v="368"/>
    <s v="California"/>
    <s v="Office Supplies"/>
    <s v="Storage"/>
    <x v="775"/>
  </r>
  <r>
    <x v="368"/>
    <s v="California"/>
    <s v="Office Supplies"/>
    <s v="Paper"/>
    <x v="776"/>
  </r>
  <r>
    <x v="368"/>
    <s v="California"/>
    <s v="Office Supplies"/>
    <s v="Paper"/>
    <x v="724"/>
  </r>
  <r>
    <x v="390"/>
    <s v="Washington"/>
    <s v="Office Supplies"/>
    <s v="Art"/>
    <x v="206"/>
  </r>
  <r>
    <x v="158"/>
    <s v="California"/>
    <s v="Office Supplies"/>
    <s v="Appliances"/>
    <x v="119"/>
  </r>
  <r>
    <x v="158"/>
    <s v="California"/>
    <s v="Office Supplies"/>
    <s v="Appliances"/>
    <x v="777"/>
  </r>
  <r>
    <x v="183"/>
    <s v="Colorado"/>
    <s v="Office Supplies"/>
    <s v="Envelopes"/>
    <x v="333"/>
  </r>
  <r>
    <x v="183"/>
    <s v="Colorado"/>
    <s v="Office Supplies"/>
    <s v="Binders"/>
    <x v="477"/>
  </r>
  <r>
    <x v="183"/>
    <s v="Colorado"/>
    <s v="Office Supplies"/>
    <s v="Fasteners"/>
    <x v="16"/>
  </r>
  <r>
    <x v="391"/>
    <s v="California"/>
    <s v="Office Supplies"/>
    <s v="Appliances"/>
    <x v="778"/>
  </r>
  <r>
    <x v="391"/>
    <s v="California"/>
    <s v="Office Supplies"/>
    <s v="Binders"/>
    <x v="779"/>
  </r>
  <r>
    <x v="391"/>
    <s v="California"/>
    <s v="Office Supplies"/>
    <s v="Supplies"/>
    <x v="780"/>
  </r>
  <r>
    <x v="391"/>
    <s v="California"/>
    <s v="Technology"/>
    <s v="Phones"/>
    <x v="781"/>
  </r>
  <r>
    <x v="386"/>
    <s v="Colorado"/>
    <s v="Office Supplies"/>
    <s v="Storage"/>
    <x v="782"/>
  </r>
  <r>
    <x v="392"/>
    <s v="Oregon"/>
    <s v="Technology"/>
    <s v="Phones"/>
    <x v="127"/>
  </r>
  <r>
    <x v="99"/>
    <s v="California"/>
    <s v="Office Supplies"/>
    <s v="Binders"/>
    <x v="92"/>
  </r>
  <r>
    <x v="164"/>
    <s v="California"/>
    <s v="Office Supplies"/>
    <s v="Storage"/>
    <x v="313"/>
  </r>
  <r>
    <x v="393"/>
    <s v="California"/>
    <s v="Office Supplies"/>
    <s v="Binders"/>
    <x v="783"/>
  </r>
  <r>
    <x v="393"/>
    <s v="California"/>
    <s v="Office Supplies"/>
    <s v="Binders"/>
    <x v="784"/>
  </r>
  <r>
    <x v="393"/>
    <s v="California"/>
    <s v="Technology"/>
    <s v="Phones"/>
    <x v="785"/>
  </r>
  <r>
    <x v="148"/>
    <s v="Colorado"/>
    <s v="Office Supplies"/>
    <s v="Supplies"/>
    <x v="295"/>
  </r>
  <r>
    <x v="394"/>
    <s v="Oregon"/>
    <s v="Furniture"/>
    <s v="Furnishings"/>
    <x v="786"/>
  </r>
  <r>
    <x v="394"/>
    <s v="Oregon"/>
    <s v="Technology"/>
    <s v="Accessories"/>
    <x v="62"/>
  </r>
  <r>
    <x v="121"/>
    <s v="California"/>
    <s v="Furniture"/>
    <s v="Bookcases"/>
    <x v="584"/>
  </r>
  <r>
    <x v="40"/>
    <s v="California"/>
    <s v="Office Supplies"/>
    <s v="Storage"/>
    <x v="661"/>
  </r>
  <r>
    <x v="186"/>
    <s v="Oregon"/>
    <s v="Furniture"/>
    <s v="Bookcases"/>
    <x v="787"/>
  </r>
  <r>
    <x v="186"/>
    <s v="Oregon"/>
    <s v="Furniture"/>
    <s v="Chairs"/>
    <x v="788"/>
  </r>
  <r>
    <x v="126"/>
    <s v="California"/>
    <s v="Furniture"/>
    <s v="Furnishings"/>
    <x v="789"/>
  </r>
  <r>
    <x v="242"/>
    <s v="California"/>
    <s v="Office Supplies"/>
    <s v="Paper"/>
    <x v="658"/>
  </r>
  <r>
    <x v="395"/>
    <s v="California"/>
    <s v="Furniture"/>
    <s v="Chairs"/>
    <x v="470"/>
  </r>
  <r>
    <x v="395"/>
    <s v="California"/>
    <s v="Office Supplies"/>
    <s v="Labels"/>
    <x v="790"/>
  </r>
  <r>
    <x v="396"/>
    <s v="Washington"/>
    <s v="Technology"/>
    <s v="Accessories"/>
    <x v="359"/>
  </r>
  <r>
    <x v="396"/>
    <s v="Washington"/>
    <s v="Office Supplies"/>
    <s v="Storage"/>
    <x v="38"/>
  </r>
  <r>
    <x v="380"/>
    <s v="California"/>
    <s v="Office Supplies"/>
    <s v="Storage"/>
    <x v="791"/>
  </r>
  <r>
    <x v="397"/>
    <s v="Washington"/>
    <s v="Technology"/>
    <s v="Phones"/>
    <x v="700"/>
  </r>
  <r>
    <x v="397"/>
    <s v="Washington"/>
    <s v="Office Supplies"/>
    <s v="Paper"/>
    <x v="625"/>
  </r>
  <r>
    <x v="397"/>
    <s v="Washington"/>
    <s v="Furniture"/>
    <s v="Furnishings"/>
    <x v="445"/>
  </r>
  <r>
    <x v="398"/>
    <s v="California"/>
    <s v="Office Supplies"/>
    <s v="Appliances"/>
    <x v="792"/>
  </r>
  <r>
    <x v="398"/>
    <s v="California"/>
    <s v="Technology"/>
    <s v="Accessories"/>
    <x v="793"/>
  </r>
  <r>
    <x v="94"/>
    <s v="California"/>
    <s v="Technology"/>
    <s v="Accessories"/>
    <x v="769"/>
  </r>
  <r>
    <x v="94"/>
    <s v="California"/>
    <s v="Furniture"/>
    <s v="Furnishings"/>
    <x v="171"/>
  </r>
  <r>
    <x v="90"/>
    <s v="California"/>
    <s v="Furniture"/>
    <s v="Furnishings"/>
    <x v="794"/>
  </r>
  <r>
    <x v="90"/>
    <s v="California"/>
    <s v="Furniture"/>
    <s v="Tables"/>
    <x v="795"/>
  </r>
  <r>
    <x v="399"/>
    <s v="California"/>
    <s v="Technology"/>
    <s v="Accessories"/>
    <x v="796"/>
  </r>
  <r>
    <x v="399"/>
    <s v="California"/>
    <s v="Furniture"/>
    <s v="Chairs"/>
    <x v="40"/>
  </r>
  <r>
    <x v="399"/>
    <s v="California"/>
    <s v="Furniture"/>
    <s v="Chairs"/>
    <x v="647"/>
  </r>
  <r>
    <x v="399"/>
    <s v="California"/>
    <s v="Office Supplies"/>
    <s v="Paper"/>
    <x v="797"/>
  </r>
  <r>
    <x v="399"/>
    <s v="California"/>
    <s v="Office Supplies"/>
    <s v="Envelopes"/>
    <x v="798"/>
  </r>
  <r>
    <x v="399"/>
    <s v="California"/>
    <s v="Furniture"/>
    <s v="Chairs"/>
    <x v="521"/>
  </r>
  <r>
    <x v="400"/>
    <s v="Washington"/>
    <s v="Office Supplies"/>
    <s v="Binders"/>
    <x v="77"/>
  </r>
  <r>
    <x v="303"/>
    <s v="California"/>
    <s v="Furniture"/>
    <s v="Chairs"/>
    <x v="799"/>
  </r>
  <r>
    <x v="401"/>
    <s v="California"/>
    <s v="Office Supplies"/>
    <s v="Art"/>
    <x v="744"/>
  </r>
  <r>
    <x v="401"/>
    <s v="California"/>
    <s v="Furniture"/>
    <s v="Tables"/>
    <x v="800"/>
  </r>
  <r>
    <x v="300"/>
    <s v="Nevada"/>
    <s v="Office Supplies"/>
    <s v="Art"/>
    <x v="801"/>
  </r>
  <r>
    <x v="402"/>
    <s v="Colorado"/>
    <s v="Furniture"/>
    <s v="Chairs"/>
    <x v="788"/>
  </r>
  <r>
    <x v="403"/>
    <s v="California"/>
    <s v="Office Supplies"/>
    <s v="Labels"/>
    <x v="802"/>
  </r>
  <r>
    <x v="400"/>
    <s v="Arizona"/>
    <s v="Technology"/>
    <s v="Phones"/>
    <x v="803"/>
  </r>
  <r>
    <x v="400"/>
    <s v="Arizona"/>
    <s v="Technology"/>
    <s v="Phones"/>
    <x v="804"/>
  </r>
  <r>
    <x v="404"/>
    <s v="Oregon"/>
    <s v="Office Supplies"/>
    <s v="Labels"/>
    <x v="551"/>
  </r>
  <r>
    <x v="404"/>
    <s v="Oregon"/>
    <s v="Office Supplies"/>
    <s v="Paper"/>
    <x v="805"/>
  </r>
  <r>
    <x v="404"/>
    <s v="Oregon"/>
    <s v="Office Supplies"/>
    <s v="Appliances"/>
    <x v="267"/>
  </r>
  <r>
    <x v="404"/>
    <s v="Oregon"/>
    <s v="Office Supplies"/>
    <s v="Binders"/>
    <x v="806"/>
  </r>
  <r>
    <x v="404"/>
    <s v="Oregon"/>
    <s v="Office Supplies"/>
    <s v="Storage"/>
    <x v="141"/>
  </r>
  <r>
    <x v="405"/>
    <s v="California"/>
    <s v="Office Supplies"/>
    <s v="Paper"/>
    <x v="807"/>
  </r>
  <r>
    <x v="405"/>
    <s v="California"/>
    <s v="Office Supplies"/>
    <s v="Envelopes"/>
    <x v="124"/>
  </r>
  <r>
    <x v="152"/>
    <s v="Colorado"/>
    <s v="Technology"/>
    <s v="Machines"/>
    <x v="727"/>
  </r>
  <r>
    <x v="152"/>
    <s v="Colorado"/>
    <s v="Technology"/>
    <s v="Copiers"/>
    <x v="808"/>
  </r>
  <r>
    <x v="152"/>
    <s v="Colorado"/>
    <s v="Technology"/>
    <s v="Phones"/>
    <x v="809"/>
  </r>
  <r>
    <x v="152"/>
    <s v="Colorado"/>
    <s v="Furniture"/>
    <s v="Furnishings"/>
    <x v="810"/>
  </r>
  <r>
    <x v="44"/>
    <s v="California"/>
    <s v="Office Supplies"/>
    <s v="Envelopes"/>
    <x v="811"/>
  </r>
  <r>
    <x v="35"/>
    <s v="California"/>
    <s v="Office Supplies"/>
    <s v="Binders"/>
    <x v="650"/>
  </r>
  <r>
    <x v="35"/>
    <s v="California"/>
    <s v="Office Supplies"/>
    <s v="Envelopes"/>
    <x v="798"/>
  </r>
  <r>
    <x v="35"/>
    <s v="California"/>
    <s v="Office Supplies"/>
    <s v="Binders"/>
    <x v="812"/>
  </r>
  <r>
    <x v="35"/>
    <s v="California"/>
    <s v="Office Supplies"/>
    <s v="Labels"/>
    <x v="577"/>
  </r>
  <r>
    <x v="406"/>
    <s v="California"/>
    <s v="Office Supplies"/>
    <s v="Paper"/>
    <x v="717"/>
  </r>
  <r>
    <x v="406"/>
    <s v="California"/>
    <s v="Office Supplies"/>
    <s v="Binders"/>
    <x v="813"/>
  </r>
  <r>
    <x v="406"/>
    <s v="California"/>
    <s v="Office Supplies"/>
    <s v="Art"/>
    <x v="63"/>
  </r>
  <r>
    <x v="406"/>
    <s v="California"/>
    <s v="Office Supplies"/>
    <s v="Fasteners"/>
    <x v="814"/>
  </r>
  <r>
    <x v="406"/>
    <s v="California"/>
    <s v="Furniture"/>
    <s v="Chairs"/>
    <x v="815"/>
  </r>
  <r>
    <x v="406"/>
    <s v="California"/>
    <s v="Office Supplies"/>
    <s v="Supplies"/>
    <x v="816"/>
  </r>
  <r>
    <x v="406"/>
    <s v="California"/>
    <s v="Technology"/>
    <s v="Phones"/>
    <x v="817"/>
  </r>
  <r>
    <x v="406"/>
    <s v="California"/>
    <s v="Office Supplies"/>
    <s v="Storage"/>
    <x v="711"/>
  </r>
  <r>
    <x v="406"/>
    <s v="California"/>
    <s v="Furniture"/>
    <s v="Bookcases"/>
    <x v="818"/>
  </r>
  <r>
    <x v="39"/>
    <s v="Oregon"/>
    <s v="Office Supplies"/>
    <s v="Art"/>
    <x v="819"/>
  </r>
  <r>
    <x v="250"/>
    <s v="California"/>
    <s v="Furniture"/>
    <s v="Tables"/>
    <x v="377"/>
  </r>
  <r>
    <x v="407"/>
    <s v="Washington"/>
    <s v="Technology"/>
    <s v="Accessories"/>
    <x v="820"/>
  </r>
  <r>
    <x v="408"/>
    <s v="California"/>
    <s v="Furniture"/>
    <s v="Furnishings"/>
    <x v="821"/>
  </r>
  <r>
    <x v="408"/>
    <s v="California"/>
    <s v="Office Supplies"/>
    <s v="Binders"/>
    <x v="635"/>
  </r>
  <r>
    <x v="408"/>
    <s v="California"/>
    <s v="Office Supplies"/>
    <s v="Binders"/>
    <x v="177"/>
  </r>
  <r>
    <x v="408"/>
    <s v="California"/>
    <s v="Furniture"/>
    <s v="Bookcases"/>
    <x v="662"/>
  </r>
  <r>
    <x v="409"/>
    <s v="California"/>
    <s v="Technology"/>
    <s v="Phones"/>
    <x v="822"/>
  </r>
  <r>
    <x v="409"/>
    <s v="California"/>
    <s v="Technology"/>
    <s v="Accessories"/>
    <x v="823"/>
  </r>
  <r>
    <x v="409"/>
    <s v="California"/>
    <s v="Furniture"/>
    <s v="Furnishings"/>
    <x v="824"/>
  </r>
  <r>
    <x v="277"/>
    <s v="California"/>
    <s v="Office Supplies"/>
    <s v="Storage"/>
    <x v="825"/>
  </r>
  <r>
    <x v="114"/>
    <s v="Washington"/>
    <s v="Office Supplies"/>
    <s v="Binders"/>
    <x v="85"/>
  </r>
  <r>
    <x v="410"/>
    <s v="Arizona"/>
    <s v="Office Supplies"/>
    <s v="Envelopes"/>
    <x v="798"/>
  </r>
  <r>
    <x v="410"/>
    <s v="Arizona"/>
    <s v="Office Supplies"/>
    <s v="Binders"/>
    <x v="826"/>
  </r>
  <r>
    <x v="411"/>
    <s v="California"/>
    <s v="Furniture"/>
    <s v="Chairs"/>
    <x v="467"/>
  </r>
  <r>
    <x v="412"/>
    <s v="California"/>
    <s v="Office Supplies"/>
    <s v="Fasteners"/>
    <x v="489"/>
  </r>
  <r>
    <x v="412"/>
    <s v="California"/>
    <s v="Technology"/>
    <s v="Accessories"/>
    <x v="827"/>
  </r>
  <r>
    <x v="13"/>
    <s v="Utah"/>
    <s v="Office Supplies"/>
    <s v="Fasteners"/>
    <x v="828"/>
  </r>
  <r>
    <x v="13"/>
    <s v="Utah"/>
    <s v="Office Supplies"/>
    <s v="Paper"/>
    <x v="280"/>
  </r>
  <r>
    <x v="13"/>
    <s v="Utah"/>
    <s v="Furniture"/>
    <s v="Furnishings"/>
    <x v="518"/>
  </r>
  <r>
    <x v="13"/>
    <s v="Utah"/>
    <s v="Office Supplies"/>
    <s v="Binders"/>
    <x v="829"/>
  </r>
  <r>
    <x v="413"/>
    <s v="California"/>
    <s v="Technology"/>
    <s v="Accessories"/>
    <x v="770"/>
  </r>
  <r>
    <x v="289"/>
    <s v="California"/>
    <s v="Office Supplies"/>
    <s v="Fasteners"/>
    <x v="681"/>
  </r>
  <r>
    <x v="230"/>
    <s v="California"/>
    <s v="Technology"/>
    <s v="Accessories"/>
    <x v="830"/>
  </r>
  <r>
    <x v="414"/>
    <s v="California"/>
    <s v="Office Supplies"/>
    <s v="Paper"/>
    <x v="457"/>
  </r>
  <r>
    <x v="320"/>
    <s v="Colorado"/>
    <s v="Technology"/>
    <s v="Accessories"/>
    <x v="820"/>
  </r>
  <r>
    <x v="320"/>
    <s v="Colorado"/>
    <s v="Furniture"/>
    <s v="Furnishings"/>
    <x v="306"/>
  </r>
  <r>
    <x v="320"/>
    <s v="Colorado"/>
    <s v="Office Supplies"/>
    <s v="Binders"/>
    <x v="85"/>
  </r>
  <r>
    <x v="415"/>
    <s v="Montana"/>
    <s v="Technology"/>
    <s v="Phones"/>
    <x v="557"/>
  </r>
  <r>
    <x v="415"/>
    <s v="Montana"/>
    <s v="Furniture"/>
    <s v="Furnishings"/>
    <x v="831"/>
  </r>
  <r>
    <x v="175"/>
    <s v="California"/>
    <s v="Office Supplies"/>
    <s v="Binders"/>
    <x v="832"/>
  </r>
  <r>
    <x v="175"/>
    <s v="California"/>
    <s v="Furniture"/>
    <s v="Bookcases"/>
    <x v="662"/>
  </r>
  <r>
    <x v="175"/>
    <s v="California"/>
    <s v="Office Supplies"/>
    <s v="Paper"/>
    <x v="330"/>
  </r>
  <r>
    <x v="316"/>
    <s v="Oregon"/>
    <s v="Office Supplies"/>
    <s v="Fasteners"/>
    <x v="833"/>
  </r>
  <r>
    <x v="316"/>
    <s v="Oregon"/>
    <s v="Technology"/>
    <s v="Accessories"/>
    <x v="834"/>
  </r>
  <r>
    <x v="316"/>
    <s v="Oregon"/>
    <s v="Technology"/>
    <s v="Accessories"/>
    <x v="131"/>
  </r>
  <r>
    <x v="144"/>
    <s v="New Mexico"/>
    <s v="Furniture"/>
    <s v="Chairs"/>
    <x v="532"/>
  </r>
  <r>
    <x v="144"/>
    <s v="New Mexico"/>
    <s v="Furniture"/>
    <s v="Chairs"/>
    <x v="541"/>
  </r>
  <r>
    <x v="416"/>
    <s v="Idaho"/>
    <s v="Furniture"/>
    <s v="Tables"/>
    <x v="765"/>
  </r>
  <r>
    <x v="416"/>
    <s v="Idaho"/>
    <s v="Technology"/>
    <s v="Phones"/>
    <x v="835"/>
  </r>
  <r>
    <x v="216"/>
    <s v="California"/>
    <s v="Office Supplies"/>
    <s v="Labels"/>
    <x v="836"/>
  </r>
  <r>
    <x v="417"/>
    <s v="California"/>
    <s v="Technology"/>
    <s v="Phones"/>
    <x v="634"/>
  </r>
  <r>
    <x v="417"/>
    <s v="California"/>
    <s v="Office Supplies"/>
    <s v="Storage"/>
    <x v="837"/>
  </r>
  <r>
    <x v="417"/>
    <s v="California"/>
    <s v="Furniture"/>
    <s v="Furnishings"/>
    <x v="57"/>
  </r>
  <r>
    <x v="417"/>
    <s v="California"/>
    <s v="Office Supplies"/>
    <s v="Storage"/>
    <x v="838"/>
  </r>
  <r>
    <x v="417"/>
    <s v="California"/>
    <s v="Office Supplies"/>
    <s v="Paper"/>
    <x v="839"/>
  </r>
  <r>
    <x v="417"/>
    <s v="California"/>
    <s v="Furniture"/>
    <s v="Chairs"/>
    <x v="506"/>
  </r>
  <r>
    <x v="417"/>
    <s v="California"/>
    <s v="Furniture"/>
    <s v="Furnishings"/>
    <x v="754"/>
  </r>
  <r>
    <x v="315"/>
    <s v="Washington"/>
    <s v="Furniture"/>
    <s v="Furnishings"/>
    <x v="840"/>
  </r>
  <r>
    <x v="60"/>
    <s v="Nevada"/>
    <s v="Office Supplies"/>
    <s v="Appliances"/>
    <x v="841"/>
  </r>
  <r>
    <x v="336"/>
    <s v="California"/>
    <s v="Office Supplies"/>
    <s v="Art"/>
    <x v="842"/>
  </r>
  <r>
    <x v="78"/>
    <s v="California"/>
    <s v="Technology"/>
    <s v="Phones"/>
    <x v="843"/>
  </r>
  <r>
    <x v="78"/>
    <s v="California"/>
    <s v="Furniture"/>
    <s v="Chairs"/>
    <x v="467"/>
  </r>
  <r>
    <x v="418"/>
    <s v="California"/>
    <s v="Office Supplies"/>
    <s v="Binders"/>
    <x v="844"/>
  </r>
  <r>
    <x v="419"/>
    <s v="Washington"/>
    <s v="Office Supplies"/>
    <s v="Art"/>
    <x v="206"/>
  </r>
  <r>
    <x v="419"/>
    <s v="Washington"/>
    <s v="Furniture"/>
    <s v="Furnishings"/>
    <x v="845"/>
  </r>
  <r>
    <x v="419"/>
    <s v="Washington"/>
    <s v="Technology"/>
    <s v="Accessories"/>
    <x v="846"/>
  </r>
  <r>
    <x v="51"/>
    <s v="Colorado"/>
    <s v="Office Supplies"/>
    <s v="Binders"/>
    <x v="197"/>
  </r>
  <r>
    <x v="51"/>
    <s v="Colorado"/>
    <s v="Furniture"/>
    <s v="Bookcases"/>
    <x v="847"/>
  </r>
  <r>
    <x v="51"/>
    <s v="Colorado"/>
    <s v="Office Supplies"/>
    <s v="Binders"/>
    <x v="848"/>
  </r>
  <r>
    <x v="420"/>
    <s v="California"/>
    <s v="Office Supplies"/>
    <s v="Binders"/>
    <x v="849"/>
  </r>
  <r>
    <x v="420"/>
    <s v="California"/>
    <s v="Office Supplies"/>
    <s v="Labels"/>
    <x v="575"/>
  </r>
  <r>
    <x v="421"/>
    <s v="California"/>
    <s v="Furniture"/>
    <s v="Furnishings"/>
    <x v="850"/>
  </r>
  <r>
    <x v="225"/>
    <s v="Nevada"/>
    <s v="Furniture"/>
    <s v="Bookcases"/>
    <x v="851"/>
  </r>
  <r>
    <x v="225"/>
    <s v="Nevada"/>
    <s v="Office Supplies"/>
    <s v="Binders"/>
    <x v="852"/>
  </r>
  <r>
    <x v="422"/>
    <s v="Arizona"/>
    <s v="Office Supplies"/>
    <s v="Appliances"/>
    <x v="853"/>
  </r>
  <r>
    <x v="422"/>
    <s v="Arizona"/>
    <s v="Technology"/>
    <s v="Accessories"/>
    <x v="441"/>
  </r>
  <r>
    <x v="422"/>
    <s v="Arizona"/>
    <s v="Office Supplies"/>
    <s v="Labels"/>
    <x v="854"/>
  </r>
  <r>
    <x v="423"/>
    <s v="California"/>
    <s v="Office Supplies"/>
    <s v="Paper"/>
    <x v="855"/>
  </r>
  <r>
    <x v="423"/>
    <s v="California"/>
    <s v="Office Supplies"/>
    <s v="Paper"/>
    <x v="335"/>
  </r>
  <r>
    <x v="423"/>
    <s v="California"/>
    <s v="Office Supplies"/>
    <s v="Storage"/>
    <x v="856"/>
  </r>
  <r>
    <x v="41"/>
    <s v="California"/>
    <s v="Technology"/>
    <s v="Accessories"/>
    <x v="322"/>
  </r>
  <r>
    <x v="41"/>
    <s v="California"/>
    <s v="Office Supplies"/>
    <s v="Binders"/>
    <x v="857"/>
  </r>
  <r>
    <x v="41"/>
    <s v="California"/>
    <s v="Office Supplies"/>
    <s v="Paper"/>
    <x v="858"/>
  </r>
  <r>
    <x v="41"/>
    <s v="California"/>
    <s v="Furniture"/>
    <s v="Furnishings"/>
    <x v="431"/>
  </r>
  <r>
    <x v="424"/>
    <s v="California"/>
    <s v="Office Supplies"/>
    <s v="Paper"/>
    <x v="345"/>
  </r>
  <r>
    <x v="424"/>
    <s v="California"/>
    <s v="Office Supplies"/>
    <s v="Art"/>
    <x v="301"/>
  </r>
  <r>
    <x v="3"/>
    <s v="California"/>
    <s v="Office Supplies"/>
    <s v="Binders"/>
    <x v="859"/>
  </r>
  <r>
    <x v="3"/>
    <s v="California"/>
    <s v="Office Supplies"/>
    <s v="Paper"/>
    <x v="0"/>
  </r>
  <r>
    <x v="3"/>
    <s v="California"/>
    <s v="Office Supplies"/>
    <s v="Storage"/>
    <x v="860"/>
  </r>
  <r>
    <x v="3"/>
    <s v="California"/>
    <s v="Office Supplies"/>
    <s v="Binders"/>
    <x v="390"/>
  </r>
  <r>
    <x v="425"/>
    <s v="California"/>
    <s v="Furniture"/>
    <s v="Chairs"/>
    <x v="861"/>
  </r>
  <r>
    <x v="65"/>
    <s v="California"/>
    <s v="Technology"/>
    <s v="Accessories"/>
    <x v="862"/>
  </r>
  <r>
    <x v="65"/>
    <s v="California"/>
    <s v="Office Supplies"/>
    <s v="Paper"/>
    <x v="863"/>
  </r>
  <r>
    <x v="157"/>
    <s v="New Mexico"/>
    <s v="Office Supplies"/>
    <s v="Art"/>
    <x v="864"/>
  </r>
  <r>
    <x v="426"/>
    <s v="California"/>
    <s v="Office Supplies"/>
    <s v="Appliances"/>
    <x v="865"/>
  </r>
  <r>
    <x v="427"/>
    <s v="California"/>
    <s v="Office Supplies"/>
    <s v="Binders"/>
    <x v="857"/>
  </r>
  <r>
    <x v="28"/>
    <s v="California"/>
    <s v="Office Supplies"/>
    <s v="Art"/>
    <x v="866"/>
  </r>
  <r>
    <x v="361"/>
    <s v="Nevada"/>
    <s v="Furniture"/>
    <s v="Furnishings"/>
    <x v="57"/>
  </r>
  <r>
    <x v="361"/>
    <s v="Nevada"/>
    <s v="Office Supplies"/>
    <s v="Paper"/>
    <x v="867"/>
  </r>
  <r>
    <x v="428"/>
    <s v="Washington"/>
    <s v="Office Supplies"/>
    <s v="Binders"/>
    <x v="868"/>
  </r>
  <r>
    <x v="59"/>
    <s v="Washington"/>
    <s v="Office Supplies"/>
    <s v="Art"/>
    <x v="185"/>
  </r>
  <r>
    <x v="429"/>
    <s v="Washington"/>
    <s v="Furniture"/>
    <s v="Chairs"/>
    <x v="207"/>
  </r>
  <r>
    <x v="429"/>
    <s v="Washington"/>
    <s v="Office Supplies"/>
    <s v="Paper"/>
    <x v="869"/>
  </r>
  <r>
    <x v="429"/>
    <s v="Washington"/>
    <s v="Furniture"/>
    <s v="Tables"/>
    <x v="870"/>
  </r>
  <r>
    <x v="429"/>
    <s v="Washington"/>
    <s v="Office Supplies"/>
    <s v="Storage"/>
    <x v="871"/>
  </r>
  <r>
    <x v="429"/>
    <s v="Washington"/>
    <s v="Office Supplies"/>
    <s v="Paper"/>
    <x v="507"/>
  </r>
  <r>
    <x v="430"/>
    <s v="California"/>
    <s v="Furniture"/>
    <s v="Chairs"/>
    <x v="112"/>
  </r>
  <r>
    <x v="215"/>
    <s v="California"/>
    <s v="Furniture"/>
    <s v="Bookcases"/>
    <x v="699"/>
  </r>
  <r>
    <x v="431"/>
    <s v="California"/>
    <s v="Office Supplies"/>
    <s v="Envelopes"/>
    <x v="872"/>
  </r>
  <r>
    <x v="431"/>
    <s v="California"/>
    <s v="Technology"/>
    <s v="Phones"/>
    <x v="873"/>
  </r>
  <r>
    <x v="431"/>
    <s v="California"/>
    <s v="Furniture"/>
    <s v="Furnishings"/>
    <x v="21"/>
  </r>
  <r>
    <x v="210"/>
    <s v="California"/>
    <s v="Office Supplies"/>
    <s v="Art"/>
    <x v="44"/>
  </r>
  <r>
    <x v="210"/>
    <s v="California"/>
    <s v="Furniture"/>
    <s v="Furnishings"/>
    <x v="512"/>
  </r>
  <r>
    <x v="432"/>
    <s v="California"/>
    <s v="Furniture"/>
    <s v="Furnishings"/>
    <x v="518"/>
  </r>
  <r>
    <x v="374"/>
    <s v="California"/>
    <s v="Technology"/>
    <s v="Accessories"/>
    <x v="874"/>
  </r>
  <r>
    <x v="374"/>
    <s v="California"/>
    <s v="Office Supplies"/>
    <s v="Labels"/>
    <x v="714"/>
  </r>
  <r>
    <x v="69"/>
    <s v="California"/>
    <s v="Office Supplies"/>
    <s v="Art"/>
    <x v="875"/>
  </r>
  <r>
    <x v="69"/>
    <s v="California"/>
    <s v="Technology"/>
    <s v="Phones"/>
    <x v="97"/>
  </r>
  <r>
    <x v="88"/>
    <s v="Arizona"/>
    <s v="Furniture"/>
    <s v="Furnishings"/>
    <x v="679"/>
  </r>
  <r>
    <x v="88"/>
    <s v="Arizona"/>
    <s v="Office Supplies"/>
    <s v="Paper"/>
    <x v="478"/>
  </r>
  <r>
    <x v="88"/>
    <s v="Arizona"/>
    <s v="Office Supplies"/>
    <s v="Paper"/>
    <x v="321"/>
  </r>
  <r>
    <x v="88"/>
    <s v="Arizona"/>
    <s v="Office Supplies"/>
    <s v="Storage"/>
    <x v="672"/>
  </r>
  <r>
    <x v="88"/>
    <s v="Arizona"/>
    <s v="Office Supplies"/>
    <s v="Art"/>
    <x v="293"/>
  </r>
  <r>
    <x v="433"/>
    <s v="California"/>
    <s v="Office Supplies"/>
    <s v="Paper"/>
    <x v="876"/>
  </r>
  <r>
    <x v="120"/>
    <s v="Nevada"/>
    <s v="Office Supplies"/>
    <s v="Paper"/>
    <x v="877"/>
  </r>
  <r>
    <x v="120"/>
    <s v="Nevada"/>
    <s v="Office Supplies"/>
    <s v="Storage"/>
    <x v="1"/>
  </r>
  <r>
    <x v="120"/>
    <s v="Nevada"/>
    <s v="Office Supplies"/>
    <s v="Labels"/>
    <x v="878"/>
  </r>
  <r>
    <x v="434"/>
    <s v="California"/>
    <s v="Office Supplies"/>
    <s v="Appliances"/>
    <x v="439"/>
  </r>
  <r>
    <x v="369"/>
    <s v="California"/>
    <s v="Office Supplies"/>
    <s v="Paper"/>
    <x v="382"/>
  </r>
  <r>
    <x v="186"/>
    <s v="Washington"/>
    <s v="Office Supplies"/>
    <s v="Fasteners"/>
    <x v="879"/>
  </r>
  <r>
    <x v="186"/>
    <s v="Washington"/>
    <s v="Office Supplies"/>
    <s v="Labels"/>
    <x v="880"/>
  </r>
  <r>
    <x v="435"/>
    <s v="California"/>
    <s v="Furniture"/>
    <s v="Furnishings"/>
    <x v="881"/>
  </r>
  <r>
    <x v="404"/>
    <s v="California"/>
    <s v="Office Supplies"/>
    <s v="Paper"/>
    <x v="882"/>
  </r>
  <r>
    <x v="436"/>
    <s v="California"/>
    <s v="Office Supplies"/>
    <s v="Storage"/>
    <x v="756"/>
  </r>
  <r>
    <x v="436"/>
    <s v="California"/>
    <s v="Technology"/>
    <s v="Accessories"/>
    <x v="310"/>
  </r>
  <r>
    <x v="158"/>
    <s v="Colorado"/>
    <s v="Office Supplies"/>
    <s v="Paper"/>
    <x v="883"/>
  </r>
  <r>
    <x v="381"/>
    <s v="California"/>
    <s v="Office Supplies"/>
    <s v="Art"/>
    <x v="866"/>
  </r>
  <r>
    <x v="410"/>
    <s v="California"/>
    <s v="Office Supplies"/>
    <s v="Labels"/>
    <x v="884"/>
  </r>
  <r>
    <x v="437"/>
    <s v="Colorado"/>
    <s v="Office Supplies"/>
    <s v="Art"/>
    <x v="317"/>
  </r>
  <r>
    <x v="437"/>
    <s v="Colorado"/>
    <s v="Furniture"/>
    <s v="Bookcases"/>
    <x v="885"/>
  </r>
  <r>
    <x v="437"/>
    <s v="Colorado"/>
    <s v="Office Supplies"/>
    <s v="Art"/>
    <x v="886"/>
  </r>
  <r>
    <x v="437"/>
    <s v="Colorado"/>
    <s v="Technology"/>
    <s v="Accessories"/>
    <x v="887"/>
  </r>
  <r>
    <x v="437"/>
    <s v="Colorado"/>
    <s v="Furniture"/>
    <s v="Furnishings"/>
    <x v="888"/>
  </r>
  <r>
    <x v="437"/>
    <s v="Colorado"/>
    <s v="Furniture"/>
    <s v="Furnishings"/>
    <x v="889"/>
  </r>
  <r>
    <x v="437"/>
    <s v="Colorado"/>
    <s v="Furniture"/>
    <s v="Tables"/>
    <x v="455"/>
  </r>
  <r>
    <x v="437"/>
    <s v="Colorado"/>
    <s v="Office Supplies"/>
    <s v="Paper"/>
    <x v="890"/>
  </r>
  <r>
    <x v="437"/>
    <s v="Colorado"/>
    <s v="Office Supplies"/>
    <s v="Paper"/>
    <x v="891"/>
  </r>
  <r>
    <x v="154"/>
    <s v="California"/>
    <s v="Office Supplies"/>
    <s v="Binders"/>
    <x v="19"/>
  </r>
  <r>
    <x v="408"/>
    <s v="California"/>
    <s v="Furniture"/>
    <s v="Chairs"/>
    <x v="892"/>
  </r>
  <r>
    <x v="438"/>
    <s v="California"/>
    <s v="Office Supplies"/>
    <s v="Fasteners"/>
    <x v="16"/>
  </r>
  <r>
    <x v="438"/>
    <s v="California"/>
    <s v="Office Supplies"/>
    <s v="Binders"/>
    <x v="893"/>
  </r>
  <r>
    <x v="176"/>
    <s v="California"/>
    <s v="Office Supplies"/>
    <s v="Art"/>
    <x v="657"/>
  </r>
  <r>
    <x v="176"/>
    <s v="California"/>
    <s v="Office Supplies"/>
    <s v="Envelopes"/>
    <x v="305"/>
  </r>
  <r>
    <x v="176"/>
    <s v="California"/>
    <s v="Office Supplies"/>
    <s v="Paper"/>
    <x v="894"/>
  </r>
  <r>
    <x v="439"/>
    <s v="California"/>
    <s v="Furniture"/>
    <s v="Furnishings"/>
    <x v="51"/>
  </r>
  <r>
    <x v="439"/>
    <s v="California"/>
    <s v="Office Supplies"/>
    <s v="Storage"/>
    <x v="493"/>
  </r>
  <r>
    <x v="34"/>
    <s v="Nevada"/>
    <s v="Office Supplies"/>
    <s v="Paper"/>
    <x v="895"/>
  </r>
  <r>
    <x v="34"/>
    <s v="Nevada"/>
    <s v="Office Supplies"/>
    <s v="Paper"/>
    <x v="776"/>
  </r>
  <r>
    <x v="440"/>
    <s v="California"/>
    <s v="Technology"/>
    <s v="Accessories"/>
    <x v="896"/>
  </r>
  <r>
    <x v="440"/>
    <s v="California"/>
    <s v="Office Supplies"/>
    <s v="Supplies"/>
    <x v="157"/>
  </r>
  <r>
    <x v="187"/>
    <s v="California"/>
    <s v="Office Supplies"/>
    <s v="Paper"/>
    <x v="897"/>
  </r>
  <r>
    <x v="187"/>
    <s v="California"/>
    <s v="Office Supplies"/>
    <s v="Appliances"/>
    <x v="898"/>
  </r>
  <r>
    <x v="372"/>
    <s v="California"/>
    <s v="Office Supplies"/>
    <s v="Labels"/>
    <x v="899"/>
  </r>
  <r>
    <x v="278"/>
    <s v="California"/>
    <s v="Technology"/>
    <s v="Phones"/>
    <x v="900"/>
  </r>
  <r>
    <x v="278"/>
    <s v="California"/>
    <s v="Office Supplies"/>
    <s v="Binders"/>
    <x v="901"/>
  </r>
  <r>
    <x v="278"/>
    <s v="California"/>
    <s v="Technology"/>
    <s v="Accessories"/>
    <x v="820"/>
  </r>
  <r>
    <x v="278"/>
    <s v="California"/>
    <s v="Technology"/>
    <s v="Accessories"/>
    <x v="95"/>
  </r>
  <r>
    <x v="441"/>
    <s v="Oregon"/>
    <s v="Technology"/>
    <s v="Phones"/>
    <x v="556"/>
  </r>
  <r>
    <x v="339"/>
    <s v="California"/>
    <s v="Office Supplies"/>
    <s v="Binders"/>
    <x v="568"/>
  </r>
  <r>
    <x v="167"/>
    <s v="California"/>
    <s v="Furniture"/>
    <s v="Furnishings"/>
    <x v="902"/>
  </r>
  <r>
    <x v="344"/>
    <s v="California"/>
    <s v="Furniture"/>
    <s v="Furnishings"/>
    <x v="221"/>
  </r>
  <r>
    <x v="426"/>
    <s v="California"/>
    <s v="Technology"/>
    <s v="Accessories"/>
    <x v="903"/>
  </r>
  <r>
    <x v="442"/>
    <s v="California"/>
    <s v="Office Supplies"/>
    <s v="Binders"/>
    <x v="904"/>
  </r>
  <r>
    <x v="442"/>
    <s v="California"/>
    <s v="Office Supplies"/>
    <s v="Paper"/>
    <x v="284"/>
  </r>
  <r>
    <x v="442"/>
    <s v="California"/>
    <s v="Office Supplies"/>
    <s v="Binders"/>
    <x v="905"/>
  </r>
  <r>
    <x v="442"/>
    <s v="California"/>
    <s v="Furniture"/>
    <s v="Tables"/>
    <x v="906"/>
  </r>
  <r>
    <x v="130"/>
    <s v="Washington"/>
    <s v="Office Supplies"/>
    <s v="Appliances"/>
    <x v="907"/>
  </r>
  <r>
    <x v="130"/>
    <s v="Washington"/>
    <s v="Technology"/>
    <s v="Accessories"/>
    <x v="908"/>
  </r>
  <r>
    <x v="130"/>
    <s v="Washington"/>
    <s v="Office Supplies"/>
    <s v="Binders"/>
    <x v="909"/>
  </r>
  <r>
    <x v="406"/>
    <s v="Washington"/>
    <s v="Office Supplies"/>
    <s v="Paper"/>
    <x v="910"/>
  </r>
  <r>
    <x v="443"/>
    <s v="California"/>
    <s v="Office Supplies"/>
    <s v="Art"/>
    <x v="263"/>
  </r>
  <r>
    <x v="443"/>
    <s v="California"/>
    <s v="Technology"/>
    <s v="Phones"/>
    <x v="557"/>
  </r>
  <r>
    <x v="443"/>
    <s v="California"/>
    <s v="Office Supplies"/>
    <s v="Art"/>
    <x v="911"/>
  </r>
  <r>
    <x v="443"/>
    <s v="California"/>
    <s v="Office Supplies"/>
    <s v="Binders"/>
    <x v="912"/>
  </r>
  <r>
    <x v="444"/>
    <s v="Colorado"/>
    <s v="Office Supplies"/>
    <s v="Art"/>
    <x v="913"/>
  </r>
  <r>
    <x v="445"/>
    <s v="California"/>
    <s v="Technology"/>
    <s v="Phones"/>
    <x v="914"/>
  </r>
  <r>
    <x v="445"/>
    <s v="California"/>
    <s v="Technology"/>
    <s v="Accessories"/>
    <x v="915"/>
  </r>
  <r>
    <x v="144"/>
    <s v="Arizona"/>
    <s v="Office Supplies"/>
    <s v="Envelopes"/>
    <x v="916"/>
  </r>
  <r>
    <x v="144"/>
    <s v="Arizona"/>
    <s v="Furniture"/>
    <s v="Furnishings"/>
    <x v="917"/>
  </r>
  <r>
    <x v="62"/>
    <s v="California"/>
    <s v="Office Supplies"/>
    <s v="Paper"/>
    <x v="409"/>
  </r>
  <r>
    <x v="446"/>
    <s v="Washington"/>
    <s v="Furniture"/>
    <s v="Tables"/>
    <x v="90"/>
  </r>
  <r>
    <x v="446"/>
    <s v="Washington"/>
    <s v="Technology"/>
    <s v="Accessories"/>
    <x v="918"/>
  </r>
  <r>
    <x v="447"/>
    <s v="Colorado"/>
    <s v="Office Supplies"/>
    <s v="Appliances"/>
    <x v="636"/>
  </r>
  <r>
    <x v="448"/>
    <s v="Colorado"/>
    <s v="Furniture"/>
    <s v="Bookcases"/>
    <x v="919"/>
  </r>
  <r>
    <x v="448"/>
    <s v="Colorado"/>
    <s v="Office Supplies"/>
    <s v="Art"/>
    <x v="920"/>
  </r>
  <r>
    <x v="449"/>
    <s v="Arizona"/>
    <s v="Office Supplies"/>
    <s v="Paper"/>
    <x v="921"/>
  </r>
  <r>
    <x v="449"/>
    <s v="Arizona"/>
    <s v="Technology"/>
    <s v="Phones"/>
    <x v="922"/>
  </r>
  <r>
    <x v="449"/>
    <s v="Arizona"/>
    <s v="Furniture"/>
    <s v="Furnishings"/>
    <x v="923"/>
  </r>
  <r>
    <x v="223"/>
    <s v="Arizona"/>
    <s v="Furniture"/>
    <s v="Chairs"/>
    <x v="532"/>
  </r>
  <r>
    <x v="163"/>
    <s v="California"/>
    <s v="Office Supplies"/>
    <s v="Binders"/>
    <x v="261"/>
  </r>
  <r>
    <x v="163"/>
    <s v="California"/>
    <s v="Office Supplies"/>
    <s v="Fasteners"/>
    <x v="264"/>
  </r>
  <r>
    <x v="450"/>
    <s v="California"/>
    <s v="Technology"/>
    <s v="Copiers"/>
    <x v="924"/>
  </r>
  <r>
    <x v="450"/>
    <s v="California"/>
    <s v="Office Supplies"/>
    <s v="Paper"/>
    <x v="925"/>
  </r>
  <r>
    <x v="450"/>
    <s v="California"/>
    <s v="Office Supplies"/>
    <s v="Paper"/>
    <x v="259"/>
  </r>
  <r>
    <x v="451"/>
    <s v="California"/>
    <s v="Office Supplies"/>
    <s v="Paper"/>
    <x v="926"/>
  </r>
  <r>
    <x v="112"/>
    <s v="California"/>
    <s v="Office Supplies"/>
    <s v="Appliances"/>
    <x v="100"/>
  </r>
  <r>
    <x v="112"/>
    <s v="California"/>
    <s v="Office Supplies"/>
    <s v="Labels"/>
    <x v="927"/>
  </r>
  <r>
    <x v="52"/>
    <s v="California"/>
    <s v="Technology"/>
    <s v="Accessories"/>
    <x v="928"/>
  </r>
  <r>
    <x v="70"/>
    <s v="California"/>
    <s v="Office Supplies"/>
    <s v="Storage"/>
    <x v="353"/>
  </r>
  <r>
    <x v="70"/>
    <s v="California"/>
    <s v="Technology"/>
    <s v="Phones"/>
    <x v="929"/>
  </r>
  <r>
    <x v="104"/>
    <s v="California"/>
    <s v="Office Supplies"/>
    <s v="Paper"/>
    <x v="930"/>
  </r>
  <r>
    <x v="104"/>
    <s v="California"/>
    <s v="Office Supplies"/>
    <s v="Storage"/>
    <x v="774"/>
  </r>
  <r>
    <x v="104"/>
    <s v="California"/>
    <s v="Technology"/>
    <s v="Machines"/>
    <x v="653"/>
  </r>
  <r>
    <x v="104"/>
    <s v="California"/>
    <s v="Office Supplies"/>
    <s v="Envelopes"/>
    <x v="872"/>
  </r>
  <r>
    <x v="104"/>
    <s v="California"/>
    <s v="Technology"/>
    <s v="Phones"/>
    <x v="931"/>
  </r>
  <r>
    <x v="250"/>
    <s v="Montana"/>
    <s v="Office Supplies"/>
    <s v="Binders"/>
    <x v="525"/>
  </r>
  <r>
    <x v="125"/>
    <s v="California"/>
    <s v="Office Supplies"/>
    <s v="Storage"/>
    <x v="12"/>
  </r>
  <r>
    <x v="452"/>
    <s v="California"/>
    <s v="Office Supplies"/>
    <s v="Art"/>
    <x v="932"/>
  </r>
  <r>
    <x v="453"/>
    <s v="California"/>
    <s v="Technology"/>
    <s v="Accessories"/>
    <x v="933"/>
  </r>
  <r>
    <x v="453"/>
    <s v="California"/>
    <s v="Technology"/>
    <s v="Phones"/>
    <x v="138"/>
  </r>
  <r>
    <x v="316"/>
    <s v="Washington"/>
    <s v="Furniture"/>
    <s v="Furnishings"/>
    <x v="934"/>
  </r>
  <r>
    <x v="316"/>
    <s v="Washington"/>
    <s v="Technology"/>
    <s v="Accessories"/>
    <x v="935"/>
  </r>
  <r>
    <x v="454"/>
    <s v="Washington"/>
    <s v="Furniture"/>
    <s v="Furnishings"/>
    <x v="763"/>
  </r>
  <r>
    <x v="344"/>
    <s v="California"/>
    <s v="Office Supplies"/>
    <s v="Binders"/>
    <x v="936"/>
  </r>
  <r>
    <x v="344"/>
    <s v="California"/>
    <s v="Technology"/>
    <s v="Accessories"/>
    <x v="937"/>
  </r>
  <r>
    <x v="455"/>
    <s v="California"/>
    <s v="Furniture"/>
    <s v="Chairs"/>
    <x v="767"/>
  </r>
  <r>
    <x v="455"/>
    <s v="California"/>
    <s v="Furniture"/>
    <s v="Chairs"/>
    <x v="709"/>
  </r>
  <r>
    <x v="265"/>
    <s v="Washington"/>
    <s v="Furniture"/>
    <s v="Furnishings"/>
    <x v="938"/>
  </r>
  <r>
    <x v="145"/>
    <s v="Washington"/>
    <s v="Office Supplies"/>
    <s v="Paper"/>
    <x v="882"/>
  </r>
  <r>
    <x v="237"/>
    <s v="California"/>
    <s v="Office Supplies"/>
    <s v="Labels"/>
    <x v="408"/>
  </r>
  <r>
    <x v="237"/>
    <s v="California"/>
    <s v="Office Supplies"/>
    <s v="Labels"/>
    <x v="652"/>
  </r>
  <r>
    <x v="456"/>
    <s v="California"/>
    <s v="Furniture"/>
    <s v="Furnishings"/>
    <x v="939"/>
  </r>
  <r>
    <x v="158"/>
    <s v="California"/>
    <s v="Office Supplies"/>
    <s v="Art"/>
    <x v="633"/>
  </r>
  <r>
    <x v="186"/>
    <s v="California"/>
    <s v="Office Supplies"/>
    <s v="Binders"/>
    <x v="940"/>
  </r>
  <r>
    <x v="82"/>
    <s v="California"/>
    <s v="Office Supplies"/>
    <s v="Storage"/>
    <x v="338"/>
  </r>
  <r>
    <x v="82"/>
    <s v="California"/>
    <s v="Office Supplies"/>
    <s v="Binders"/>
    <x v="941"/>
  </r>
  <r>
    <x v="82"/>
    <s v="California"/>
    <s v="Office Supplies"/>
    <s v="Labels"/>
    <x v="362"/>
  </r>
  <r>
    <x v="240"/>
    <s v="Washington"/>
    <s v="Furniture"/>
    <s v="Chairs"/>
    <x v="942"/>
  </r>
  <r>
    <x v="240"/>
    <s v="Washington"/>
    <s v="Furniture"/>
    <s v="Bookcases"/>
    <x v="943"/>
  </r>
  <r>
    <x v="29"/>
    <s v="California"/>
    <s v="Technology"/>
    <s v="Phones"/>
    <x v="944"/>
  </r>
  <r>
    <x v="29"/>
    <s v="California"/>
    <s v="Office Supplies"/>
    <s v="Paper"/>
    <x v="409"/>
  </r>
  <r>
    <x v="457"/>
    <s v="California"/>
    <s v="Office Supplies"/>
    <s v="Paper"/>
    <x v="660"/>
  </r>
  <r>
    <x v="388"/>
    <s v="Arizona"/>
    <s v="Furniture"/>
    <s v="Furnishings"/>
    <x v="917"/>
  </r>
  <r>
    <x v="317"/>
    <s v="California"/>
    <s v="Office Supplies"/>
    <s v="Storage"/>
    <x v="945"/>
  </r>
  <r>
    <x v="311"/>
    <s v="California"/>
    <s v="Office Supplies"/>
    <s v="Labels"/>
    <x v="946"/>
  </r>
  <r>
    <x v="311"/>
    <s v="California"/>
    <s v="Office Supplies"/>
    <s v="Storage"/>
    <x v="350"/>
  </r>
  <r>
    <x v="311"/>
    <s v="California"/>
    <s v="Furniture"/>
    <s v="Tables"/>
    <x v="947"/>
  </r>
  <r>
    <x v="311"/>
    <s v="California"/>
    <s v="Technology"/>
    <s v="Phones"/>
    <x v="948"/>
  </r>
  <r>
    <x v="458"/>
    <s v="California"/>
    <s v="Technology"/>
    <s v="Phones"/>
    <x v="700"/>
  </r>
  <r>
    <x v="459"/>
    <s v="California"/>
    <s v="Technology"/>
    <s v="Accessories"/>
    <x v="529"/>
  </r>
  <r>
    <x v="459"/>
    <s v="California"/>
    <s v="Technology"/>
    <s v="Accessories"/>
    <x v="949"/>
  </r>
  <r>
    <x v="460"/>
    <s v="California"/>
    <s v="Office Supplies"/>
    <s v="Paper"/>
    <x v="950"/>
  </r>
  <r>
    <x v="461"/>
    <s v="California"/>
    <s v="Office Supplies"/>
    <s v="Paper"/>
    <x v="602"/>
  </r>
  <r>
    <x v="462"/>
    <s v="California"/>
    <s v="Technology"/>
    <s v="Accessories"/>
    <x v="498"/>
  </r>
  <r>
    <x v="462"/>
    <s v="California"/>
    <s v="Office Supplies"/>
    <s v="Binders"/>
    <x v="951"/>
  </r>
  <r>
    <x v="462"/>
    <s v="California"/>
    <s v="Office Supplies"/>
    <s v="Storage"/>
    <x v="141"/>
  </r>
  <r>
    <x v="462"/>
    <s v="California"/>
    <s v="Office Supplies"/>
    <s v="Binders"/>
    <x v="269"/>
  </r>
  <r>
    <x v="210"/>
    <s v="California"/>
    <s v="Technology"/>
    <s v="Phones"/>
    <x v="250"/>
  </r>
  <r>
    <x v="210"/>
    <s v="California"/>
    <s v="Technology"/>
    <s v="Accessories"/>
    <x v="95"/>
  </r>
  <r>
    <x v="210"/>
    <s v="California"/>
    <s v="Office Supplies"/>
    <s v="Fasteners"/>
    <x v="952"/>
  </r>
  <r>
    <x v="147"/>
    <s v="Colorado"/>
    <s v="Technology"/>
    <s v="Phones"/>
    <x v="953"/>
  </r>
  <r>
    <x v="463"/>
    <s v="California"/>
    <s v="Office Supplies"/>
    <s v="Supplies"/>
    <x v="753"/>
  </r>
  <r>
    <x v="463"/>
    <s v="California"/>
    <s v="Furniture"/>
    <s v="Furnishings"/>
    <x v="552"/>
  </r>
  <r>
    <x v="464"/>
    <s v="California"/>
    <s v="Office Supplies"/>
    <s v="Art"/>
    <x v="954"/>
  </r>
  <r>
    <x v="66"/>
    <s v="Arizona"/>
    <s v="Office Supplies"/>
    <s v="Binders"/>
    <x v="5"/>
  </r>
  <r>
    <x v="165"/>
    <s v="California"/>
    <s v="Office Supplies"/>
    <s v="Paper"/>
    <x v="955"/>
  </r>
  <r>
    <x v="165"/>
    <s v="California"/>
    <s v="Technology"/>
    <s v="Phones"/>
    <x v="956"/>
  </r>
  <r>
    <x v="368"/>
    <s v="California"/>
    <s v="Technology"/>
    <s v="Accessories"/>
    <x v="359"/>
  </r>
  <r>
    <x v="368"/>
    <s v="California"/>
    <s v="Technology"/>
    <s v="Machines"/>
    <x v="957"/>
  </r>
  <r>
    <x v="77"/>
    <s v="Arizona"/>
    <s v="Office Supplies"/>
    <s v="Storage"/>
    <x v="958"/>
  </r>
  <r>
    <x v="26"/>
    <s v="California"/>
    <s v="Office Supplies"/>
    <s v="Storage"/>
    <x v="626"/>
  </r>
  <r>
    <x v="26"/>
    <s v="California"/>
    <s v="Office Supplies"/>
    <s v="Appliances"/>
    <x v="959"/>
  </r>
  <r>
    <x v="26"/>
    <s v="California"/>
    <s v="Office Supplies"/>
    <s v="Envelopes"/>
    <x v="960"/>
  </r>
  <r>
    <x v="26"/>
    <s v="California"/>
    <s v="Furniture"/>
    <s v="Chairs"/>
    <x v="961"/>
  </r>
  <r>
    <x v="465"/>
    <s v="California"/>
    <s v="Office Supplies"/>
    <s v="Paper"/>
    <x v="962"/>
  </r>
  <r>
    <x v="429"/>
    <s v="Arizona"/>
    <s v="Office Supplies"/>
    <s v="Appliances"/>
    <x v="963"/>
  </r>
  <r>
    <x v="429"/>
    <s v="Arizona"/>
    <s v="Technology"/>
    <s v="Phones"/>
    <x v="835"/>
  </r>
  <r>
    <x v="53"/>
    <s v="California"/>
    <s v="Furniture"/>
    <s v="Furnishings"/>
    <x v="964"/>
  </r>
  <r>
    <x v="53"/>
    <s v="California"/>
    <s v="Office Supplies"/>
    <s v="Supplies"/>
    <x v="220"/>
  </r>
  <r>
    <x v="217"/>
    <s v="California"/>
    <s v="Office Supplies"/>
    <s v="Binders"/>
    <x v="416"/>
  </r>
  <r>
    <x v="384"/>
    <s v="Washington"/>
    <s v="Furniture"/>
    <s v="Chairs"/>
    <x v="965"/>
  </r>
  <r>
    <x v="328"/>
    <s v="California"/>
    <s v="Office Supplies"/>
    <s v="Binders"/>
    <x v="64"/>
  </r>
  <r>
    <x v="179"/>
    <s v="California"/>
    <s v="Office Supplies"/>
    <s v="Binders"/>
    <x v="966"/>
  </r>
  <r>
    <x v="179"/>
    <s v="California"/>
    <s v="Furniture"/>
    <s v="Chairs"/>
    <x v="967"/>
  </r>
  <r>
    <x v="466"/>
    <s v="California"/>
    <s v="Technology"/>
    <s v="Phones"/>
    <x v="968"/>
  </r>
  <r>
    <x v="467"/>
    <s v="Colorado"/>
    <s v="Furniture"/>
    <s v="Bookcases"/>
    <x v="969"/>
  </r>
  <r>
    <x v="183"/>
    <s v="Oregon"/>
    <s v="Technology"/>
    <s v="Phones"/>
    <x v="968"/>
  </r>
  <r>
    <x v="183"/>
    <s v="Oregon"/>
    <s v="Office Supplies"/>
    <s v="Paper"/>
    <x v="0"/>
  </r>
  <r>
    <x v="183"/>
    <s v="Oregon"/>
    <s v="Office Supplies"/>
    <s v="Binders"/>
    <x v="200"/>
  </r>
  <r>
    <x v="183"/>
    <s v="Oregon"/>
    <s v="Office Supplies"/>
    <s v="Paper"/>
    <x v="658"/>
  </r>
  <r>
    <x v="133"/>
    <s v="Nevada"/>
    <s v="Technology"/>
    <s v="Accessories"/>
    <x v="970"/>
  </r>
  <r>
    <x v="145"/>
    <s v="Washington"/>
    <s v="Furniture"/>
    <s v="Chairs"/>
    <x v="971"/>
  </r>
  <r>
    <x v="468"/>
    <s v="Oregon"/>
    <s v="Technology"/>
    <s v="Phones"/>
    <x v="265"/>
  </r>
  <r>
    <x v="4"/>
    <s v="Idaho"/>
    <s v="Office Supplies"/>
    <s v="Paper"/>
    <x v="355"/>
  </r>
  <r>
    <x v="4"/>
    <s v="Idaho"/>
    <s v="Office Supplies"/>
    <s v="Binders"/>
    <x v="289"/>
  </r>
  <r>
    <x v="469"/>
    <s v="California"/>
    <s v="Office Supplies"/>
    <s v="Storage"/>
    <x v="972"/>
  </r>
  <r>
    <x v="469"/>
    <s v="California"/>
    <s v="Office Supplies"/>
    <s v="Paper"/>
    <x v="973"/>
  </r>
  <r>
    <x v="118"/>
    <s v="Arizona"/>
    <s v="Office Supplies"/>
    <s v="Fasteners"/>
    <x v="16"/>
  </r>
  <r>
    <x v="118"/>
    <s v="Arizona"/>
    <s v="Office Supplies"/>
    <s v="Appliances"/>
    <x v="974"/>
  </r>
  <r>
    <x v="414"/>
    <s v="California"/>
    <s v="Technology"/>
    <s v="Copiers"/>
    <x v="975"/>
  </r>
  <r>
    <x v="428"/>
    <s v="California"/>
    <s v="Office Supplies"/>
    <s v="Paper"/>
    <x v="976"/>
  </r>
  <r>
    <x v="428"/>
    <s v="California"/>
    <s v="Office Supplies"/>
    <s v="Storage"/>
    <x v="977"/>
  </r>
  <r>
    <x v="428"/>
    <s v="California"/>
    <s v="Office Supplies"/>
    <s v="Paper"/>
    <x v="279"/>
  </r>
  <r>
    <x v="262"/>
    <s v="California"/>
    <s v="Furniture"/>
    <s v="Furnishings"/>
    <x v="978"/>
  </r>
  <r>
    <x v="470"/>
    <s v="Washington"/>
    <s v="Office Supplies"/>
    <s v="Binders"/>
    <x v="979"/>
  </r>
  <r>
    <x v="75"/>
    <s v="California"/>
    <s v="Furniture"/>
    <s v="Bookcases"/>
    <x v="980"/>
  </r>
  <r>
    <x v="87"/>
    <s v="California"/>
    <s v="Office Supplies"/>
    <s v="Paper"/>
    <x v="981"/>
  </r>
  <r>
    <x v="87"/>
    <s v="California"/>
    <s v="Office Supplies"/>
    <s v="Binders"/>
    <x v="951"/>
  </r>
  <r>
    <x v="471"/>
    <s v="California"/>
    <s v="Office Supplies"/>
    <s v="Appliances"/>
    <x v="617"/>
  </r>
  <r>
    <x v="471"/>
    <s v="California"/>
    <s v="Office Supplies"/>
    <s v="Storage"/>
    <x v="982"/>
  </r>
  <r>
    <x v="471"/>
    <s v="California"/>
    <s v="Office Supplies"/>
    <s v="Storage"/>
    <x v="598"/>
  </r>
  <r>
    <x v="471"/>
    <s v="California"/>
    <s v="Office Supplies"/>
    <s v="Binders"/>
    <x v="983"/>
  </r>
  <r>
    <x v="472"/>
    <s v="California"/>
    <s v="Furniture"/>
    <s v="Chairs"/>
    <x v="984"/>
  </r>
  <r>
    <x v="472"/>
    <s v="California"/>
    <s v="Office Supplies"/>
    <s v="Binders"/>
    <x v="985"/>
  </r>
  <r>
    <x v="27"/>
    <s v="California"/>
    <s v="Office Supplies"/>
    <s v="Paper"/>
    <x v="986"/>
  </r>
  <r>
    <x v="27"/>
    <s v="California"/>
    <s v="Furniture"/>
    <s v="Chairs"/>
    <x v="22"/>
  </r>
  <r>
    <x v="27"/>
    <s v="California"/>
    <s v="Office Supplies"/>
    <s v="Binders"/>
    <x v="671"/>
  </r>
  <r>
    <x v="220"/>
    <s v="California"/>
    <s v="Office Supplies"/>
    <s v="Envelopes"/>
    <x v="811"/>
  </r>
  <r>
    <x v="105"/>
    <s v="California"/>
    <s v="Furniture"/>
    <s v="Chairs"/>
    <x v="113"/>
  </r>
  <r>
    <x v="163"/>
    <s v="Arizona"/>
    <s v="Furniture"/>
    <s v="Chairs"/>
    <x v="693"/>
  </r>
  <r>
    <x v="163"/>
    <s v="Arizona"/>
    <s v="Office Supplies"/>
    <s v="Storage"/>
    <x v="219"/>
  </r>
  <r>
    <x v="473"/>
    <s v="California"/>
    <s v="Furniture"/>
    <s v="Chairs"/>
    <x v="565"/>
  </r>
  <r>
    <x v="474"/>
    <s v="California"/>
    <s v="Office Supplies"/>
    <s v="Paper"/>
    <x v="987"/>
  </r>
  <r>
    <x v="292"/>
    <s v="Washington"/>
    <s v="Office Supplies"/>
    <s v="Supplies"/>
    <x v="358"/>
  </r>
  <r>
    <x v="348"/>
    <s v="California"/>
    <s v="Furniture"/>
    <s v="Bookcases"/>
    <x v="988"/>
  </r>
  <r>
    <x v="250"/>
    <s v="California"/>
    <s v="Technology"/>
    <s v="Phones"/>
    <x v="989"/>
  </r>
  <r>
    <x v="250"/>
    <s v="California"/>
    <s v="Office Supplies"/>
    <s v="Art"/>
    <x v="990"/>
  </r>
  <r>
    <x v="250"/>
    <s v="California"/>
    <s v="Office Supplies"/>
    <s v="Art"/>
    <x v="991"/>
  </r>
  <r>
    <x v="250"/>
    <s v="California"/>
    <s v="Office Supplies"/>
    <s v="Binders"/>
    <x v="901"/>
  </r>
  <r>
    <x v="250"/>
    <s v="California"/>
    <s v="Office Supplies"/>
    <s v="Paper"/>
    <x v="992"/>
  </r>
  <r>
    <x v="250"/>
    <s v="California"/>
    <s v="Office Supplies"/>
    <s v="Binders"/>
    <x v="993"/>
  </r>
  <r>
    <x v="182"/>
    <s v="Washington"/>
    <s v="Office Supplies"/>
    <s v="Binders"/>
    <x v="994"/>
  </r>
  <r>
    <x v="177"/>
    <s v="Arizona"/>
    <s v="Furniture"/>
    <s v="Furnishings"/>
    <x v="163"/>
  </r>
  <r>
    <x v="177"/>
    <s v="Arizona"/>
    <s v="Furniture"/>
    <s v="Tables"/>
    <x v="597"/>
  </r>
  <r>
    <x v="177"/>
    <s v="Arizona"/>
    <s v="Office Supplies"/>
    <s v="Binders"/>
    <x v="995"/>
  </r>
  <r>
    <x v="177"/>
    <s v="Arizona"/>
    <s v="Office Supplies"/>
    <s v="Supplies"/>
    <x v="996"/>
  </r>
  <r>
    <x v="177"/>
    <s v="Arizona"/>
    <s v="Office Supplies"/>
    <s v="Appliances"/>
    <x v="997"/>
  </r>
  <r>
    <x v="443"/>
    <s v="California"/>
    <s v="Furniture"/>
    <s v="Furnishings"/>
    <x v="710"/>
  </r>
  <r>
    <x v="95"/>
    <s v="California"/>
    <s v="Office Supplies"/>
    <s v="Binders"/>
    <x v="17"/>
  </r>
  <r>
    <x v="95"/>
    <s v="California"/>
    <s v="Technology"/>
    <s v="Accessories"/>
    <x v="91"/>
  </r>
  <r>
    <x v="434"/>
    <s v="California"/>
    <s v="Office Supplies"/>
    <s v="Binders"/>
    <x v="98"/>
  </r>
  <r>
    <x v="434"/>
    <s v="California"/>
    <s v="Office Supplies"/>
    <s v="Envelopes"/>
    <x v="998"/>
  </r>
  <r>
    <x v="475"/>
    <s v="California"/>
    <s v="Office Supplies"/>
    <s v="Binders"/>
    <x v="177"/>
  </r>
  <r>
    <x v="476"/>
    <s v="Colorado"/>
    <s v="Office Supplies"/>
    <s v="Paper"/>
    <x v="724"/>
  </r>
  <r>
    <x v="476"/>
    <s v="Colorado"/>
    <s v="Furniture"/>
    <s v="Chairs"/>
    <x v="532"/>
  </r>
  <r>
    <x v="476"/>
    <s v="Colorado"/>
    <s v="Office Supplies"/>
    <s v="Binders"/>
    <x v="759"/>
  </r>
  <r>
    <x v="239"/>
    <s v="Colorado"/>
    <s v="Office Supplies"/>
    <s v="Paper"/>
    <x v="574"/>
  </r>
  <r>
    <x v="477"/>
    <s v="California"/>
    <s v="Furniture"/>
    <s v="Chairs"/>
    <x v="999"/>
  </r>
  <r>
    <x v="376"/>
    <s v="Arizona"/>
    <s v="Furniture"/>
    <s v="Furnishings"/>
    <x v="881"/>
  </r>
  <r>
    <x v="162"/>
    <s v="California"/>
    <s v="Office Supplies"/>
    <s v="Storage"/>
    <x v="183"/>
  </r>
  <r>
    <x v="162"/>
    <s v="California"/>
    <s v="Technology"/>
    <s v="Phones"/>
    <x v="1000"/>
  </r>
  <r>
    <x v="478"/>
    <s v="California"/>
    <s v="Office Supplies"/>
    <s v="Binders"/>
    <x v="381"/>
  </r>
  <r>
    <x v="478"/>
    <s v="California"/>
    <s v="Furniture"/>
    <s v="Tables"/>
    <x v="90"/>
  </r>
  <r>
    <x v="479"/>
    <s v="California"/>
    <s v="Furniture"/>
    <s v="Tables"/>
    <x v="578"/>
  </r>
  <r>
    <x v="480"/>
    <s v="Nevada"/>
    <s v="Furniture"/>
    <s v="Tables"/>
    <x v="1001"/>
  </r>
  <r>
    <x v="480"/>
    <s v="Nevada"/>
    <s v="Office Supplies"/>
    <s v="Binders"/>
    <x v="1002"/>
  </r>
  <r>
    <x v="131"/>
    <s v="California"/>
    <s v="Furniture"/>
    <s v="Furnishings"/>
    <x v="1003"/>
  </r>
  <r>
    <x v="401"/>
    <s v="California"/>
    <s v="Office Supplies"/>
    <s v="Paper"/>
    <x v="1004"/>
  </r>
  <r>
    <x v="124"/>
    <s v="Washington"/>
    <s v="Technology"/>
    <s v="Accessories"/>
    <x v="1005"/>
  </r>
  <r>
    <x v="481"/>
    <s v="California"/>
    <s v="Office Supplies"/>
    <s v="Paper"/>
    <x v="1006"/>
  </r>
  <r>
    <x v="109"/>
    <s v="Washington"/>
    <s v="Office Supplies"/>
    <s v="Paper"/>
    <x v="203"/>
  </r>
  <r>
    <x v="482"/>
    <s v="California"/>
    <s v="Office Supplies"/>
    <s v="Paper"/>
    <x v="1004"/>
  </r>
  <r>
    <x v="483"/>
    <s v="Washington"/>
    <s v="Office Supplies"/>
    <s v="Envelopes"/>
    <x v="1007"/>
  </r>
  <r>
    <x v="484"/>
    <s v="California"/>
    <s v="Technology"/>
    <s v="Accessories"/>
    <x v="1008"/>
  </r>
  <r>
    <x v="484"/>
    <s v="California"/>
    <s v="Office Supplies"/>
    <s v="Appliances"/>
    <x v="328"/>
  </r>
  <r>
    <x v="203"/>
    <s v="Arizona"/>
    <s v="Technology"/>
    <s v="Accessories"/>
    <x v="1009"/>
  </r>
  <r>
    <x v="297"/>
    <s v="California"/>
    <s v="Office Supplies"/>
    <s v="Paper"/>
    <x v="797"/>
  </r>
  <r>
    <x v="13"/>
    <s v="California"/>
    <s v="Furniture"/>
    <s v="Furnishings"/>
    <x v="1010"/>
  </r>
  <r>
    <x v="13"/>
    <s v="California"/>
    <s v="Office Supplies"/>
    <s v="Labels"/>
    <x v="1011"/>
  </r>
  <r>
    <x v="485"/>
    <s v="California"/>
    <s v="Office Supplies"/>
    <s v="Storage"/>
    <x v="1012"/>
  </r>
  <r>
    <x v="485"/>
    <s v="California"/>
    <s v="Office Supplies"/>
    <s v="Paper"/>
    <x v="1013"/>
  </r>
  <r>
    <x v="306"/>
    <s v="California"/>
    <s v="Office Supplies"/>
    <s v="Binders"/>
    <x v="92"/>
  </r>
  <r>
    <x v="486"/>
    <s v="California"/>
    <s v="Office Supplies"/>
    <s v="Appliances"/>
    <x v="328"/>
  </r>
  <r>
    <x v="487"/>
    <s v="California"/>
    <s v="Furniture"/>
    <s v="Furnishings"/>
    <x v="1014"/>
  </r>
  <r>
    <x v="487"/>
    <s v="California"/>
    <s v="Office Supplies"/>
    <s v="Binders"/>
    <x v="1015"/>
  </r>
  <r>
    <x v="188"/>
    <s v="Colorado"/>
    <s v="Office Supplies"/>
    <s v="Binders"/>
    <x v="270"/>
  </r>
  <r>
    <x v="247"/>
    <s v="California"/>
    <s v="Technology"/>
    <s v="Phones"/>
    <x v="781"/>
  </r>
  <r>
    <x v="247"/>
    <s v="California"/>
    <s v="Technology"/>
    <s v="Accessories"/>
    <x v="1009"/>
  </r>
  <r>
    <x v="488"/>
    <s v="Nevada"/>
    <s v="Technology"/>
    <s v="Machines"/>
    <x v="1016"/>
  </r>
  <r>
    <x v="489"/>
    <s v="California"/>
    <s v="Technology"/>
    <s v="Phones"/>
    <x v="1017"/>
  </r>
  <r>
    <x v="490"/>
    <s v="California"/>
    <s v="Furniture"/>
    <s v="Furnishings"/>
    <x v="262"/>
  </r>
  <r>
    <x v="90"/>
    <s v="California"/>
    <s v="Office Supplies"/>
    <s v="Fasteners"/>
    <x v="879"/>
  </r>
  <r>
    <x v="90"/>
    <s v="California"/>
    <s v="Office Supplies"/>
    <s v="Paper"/>
    <x v="1018"/>
  </r>
  <r>
    <x v="90"/>
    <s v="California"/>
    <s v="Technology"/>
    <s v="Phones"/>
    <x v="1019"/>
  </r>
  <r>
    <x v="90"/>
    <s v="California"/>
    <s v="Furniture"/>
    <s v="Chairs"/>
    <x v="530"/>
  </r>
  <r>
    <x v="90"/>
    <s v="California"/>
    <s v="Technology"/>
    <s v="Machines"/>
    <x v="1020"/>
  </r>
  <r>
    <x v="184"/>
    <s v="California"/>
    <s v="Office Supplies"/>
    <s v="Paper"/>
    <x v="471"/>
  </r>
  <r>
    <x v="104"/>
    <s v="California"/>
    <s v="Office Supplies"/>
    <s v="Appliances"/>
    <x v="1021"/>
  </r>
  <r>
    <x v="104"/>
    <s v="California"/>
    <s v="Office Supplies"/>
    <s v="Paper"/>
    <x v="564"/>
  </r>
  <r>
    <x v="104"/>
    <s v="California"/>
    <s v="Technology"/>
    <s v="Accessories"/>
    <x v="134"/>
  </r>
  <r>
    <x v="104"/>
    <s v="California"/>
    <s v="Office Supplies"/>
    <s v="Binders"/>
    <x v="289"/>
  </r>
  <r>
    <x v="104"/>
    <s v="California"/>
    <s v="Technology"/>
    <s v="Machines"/>
    <x v="706"/>
  </r>
  <r>
    <x v="403"/>
    <s v="Colorado"/>
    <s v="Office Supplies"/>
    <s v="Binders"/>
    <x v="178"/>
  </r>
  <r>
    <x v="403"/>
    <s v="Colorado"/>
    <s v="Office Supplies"/>
    <s v="Binders"/>
    <x v="146"/>
  </r>
  <r>
    <x v="403"/>
    <s v="Colorado"/>
    <s v="Furniture"/>
    <s v="Chairs"/>
    <x v="207"/>
  </r>
  <r>
    <x v="403"/>
    <s v="Colorado"/>
    <s v="Office Supplies"/>
    <s v="Binders"/>
    <x v="1022"/>
  </r>
  <r>
    <x v="403"/>
    <s v="Colorado"/>
    <s v="Office Supplies"/>
    <s v="Paper"/>
    <x v="1023"/>
  </r>
  <r>
    <x v="194"/>
    <s v="California"/>
    <s v="Office Supplies"/>
    <s v="Paper"/>
    <x v="698"/>
  </r>
  <r>
    <x v="491"/>
    <s v="California"/>
    <s v="Furniture"/>
    <s v="Furnishings"/>
    <x v="1024"/>
  </r>
  <r>
    <x v="53"/>
    <s v="Washington"/>
    <s v="Office Supplies"/>
    <s v="Paper"/>
    <x v="319"/>
  </r>
  <r>
    <x v="53"/>
    <s v="Washington"/>
    <s v="Office Supplies"/>
    <s v="Binders"/>
    <x v="857"/>
  </r>
  <r>
    <x v="53"/>
    <s v="Washington"/>
    <s v="Office Supplies"/>
    <s v="Binders"/>
    <x v="1025"/>
  </r>
  <r>
    <x v="492"/>
    <s v="California"/>
    <s v="Furniture"/>
    <s v="Tables"/>
    <x v="578"/>
  </r>
  <r>
    <x v="394"/>
    <s v="California"/>
    <s v="Office Supplies"/>
    <s v="Binders"/>
    <x v="77"/>
  </r>
  <r>
    <x v="394"/>
    <s v="California"/>
    <s v="Office Supplies"/>
    <s v="Appliances"/>
    <x v="481"/>
  </r>
  <r>
    <x v="493"/>
    <s v="Washington"/>
    <s v="Office Supplies"/>
    <s v="Supplies"/>
    <x v="447"/>
  </r>
  <r>
    <x v="494"/>
    <s v="California"/>
    <s v="Office Supplies"/>
    <s v="Labels"/>
    <x v="714"/>
  </r>
  <r>
    <x v="494"/>
    <s v="California"/>
    <s v="Office Supplies"/>
    <s v="Paper"/>
    <x v="1026"/>
  </r>
  <r>
    <x v="495"/>
    <s v="California"/>
    <s v="Technology"/>
    <s v="Phones"/>
    <x v="117"/>
  </r>
  <r>
    <x v="495"/>
    <s v="California"/>
    <s v="Technology"/>
    <s v="Accessories"/>
    <x v="1027"/>
  </r>
  <r>
    <x v="495"/>
    <s v="California"/>
    <s v="Technology"/>
    <s v="Phones"/>
    <x v="356"/>
  </r>
  <r>
    <x v="137"/>
    <s v="California"/>
    <s v="Office Supplies"/>
    <s v="Binders"/>
    <x v="550"/>
  </r>
  <r>
    <x v="137"/>
    <s v="California"/>
    <s v="Office Supplies"/>
    <s v="Paper"/>
    <x v="1028"/>
  </r>
  <r>
    <x v="67"/>
    <s v="California"/>
    <s v="Technology"/>
    <s v="Phones"/>
    <x v="1029"/>
  </r>
  <r>
    <x v="496"/>
    <s v="California"/>
    <s v="Furniture"/>
    <s v="Chairs"/>
    <x v="361"/>
  </r>
  <r>
    <x v="497"/>
    <s v="California"/>
    <s v="Office Supplies"/>
    <s v="Labels"/>
    <x v="1030"/>
  </r>
  <r>
    <x v="497"/>
    <s v="California"/>
    <s v="Furniture"/>
    <s v="Tables"/>
    <x v="1031"/>
  </r>
  <r>
    <x v="497"/>
    <s v="California"/>
    <s v="Office Supplies"/>
    <s v="Paper"/>
    <x v="724"/>
  </r>
  <r>
    <x v="50"/>
    <s v="Washington"/>
    <s v="Office Supplies"/>
    <s v="Labels"/>
    <x v="1032"/>
  </r>
  <r>
    <x v="50"/>
    <s v="Washington"/>
    <s v="Office Supplies"/>
    <s v="Binders"/>
    <x v="1015"/>
  </r>
  <r>
    <x v="50"/>
    <s v="Washington"/>
    <s v="Technology"/>
    <s v="Accessories"/>
    <x v="695"/>
  </r>
  <r>
    <x v="498"/>
    <s v="California"/>
    <s v="Furniture"/>
    <s v="Tables"/>
    <x v="509"/>
  </r>
  <r>
    <x v="499"/>
    <s v="California"/>
    <s v="Office Supplies"/>
    <s v="Labels"/>
    <x v="592"/>
  </r>
  <r>
    <x v="500"/>
    <s v="California"/>
    <s v="Office Supplies"/>
    <s v="Paper"/>
    <x v="1033"/>
  </r>
  <r>
    <x v="500"/>
    <s v="California"/>
    <s v="Office Supplies"/>
    <s v="Paper"/>
    <x v="698"/>
  </r>
  <r>
    <x v="501"/>
    <s v="California"/>
    <s v="Office Supplies"/>
    <s v="Art"/>
    <x v="886"/>
  </r>
  <r>
    <x v="501"/>
    <s v="California"/>
    <s v="Furniture"/>
    <s v="Furnishings"/>
    <x v="1034"/>
  </r>
  <r>
    <x v="501"/>
    <s v="California"/>
    <s v="Technology"/>
    <s v="Accessories"/>
    <x v="970"/>
  </r>
  <r>
    <x v="501"/>
    <s v="California"/>
    <s v="Office Supplies"/>
    <s v="Art"/>
    <x v="712"/>
  </r>
  <r>
    <x v="61"/>
    <s v="California"/>
    <s v="Furniture"/>
    <s v="Bookcases"/>
    <x v="50"/>
  </r>
  <r>
    <x v="99"/>
    <s v="California"/>
    <s v="Furniture"/>
    <s v="Tables"/>
    <x v="1035"/>
  </r>
  <r>
    <x v="96"/>
    <s v="Washington"/>
    <s v="Furniture"/>
    <s v="Tables"/>
    <x v="508"/>
  </r>
  <r>
    <x v="473"/>
    <s v="California"/>
    <s v="Office Supplies"/>
    <s v="Paper"/>
    <x v="755"/>
  </r>
  <r>
    <x v="185"/>
    <s v="California"/>
    <s v="Office Supplies"/>
    <s v="Paper"/>
    <x v="237"/>
  </r>
  <r>
    <x v="345"/>
    <s v="California"/>
    <s v="Furniture"/>
    <s v="Bookcases"/>
    <x v="50"/>
  </r>
  <r>
    <x v="345"/>
    <s v="California"/>
    <s v="Office Supplies"/>
    <s v="Labels"/>
    <x v="1036"/>
  </r>
  <r>
    <x v="345"/>
    <s v="California"/>
    <s v="Office Supplies"/>
    <s v="Paper"/>
    <x v="805"/>
  </r>
  <r>
    <x v="78"/>
    <s v="Colorado"/>
    <s v="Furniture"/>
    <s v="Furnishings"/>
    <x v="641"/>
  </r>
  <r>
    <x v="78"/>
    <s v="Colorado"/>
    <s v="Furniture"/>
    <s v="Chairs"/>
    <x v="1037"/>
  </r>
  <r>
    <x v="502"/>
    <s v="California"/>
    <s v="Office Supplies"/>
    <s v="Paper"/>
    <x v="20"/>
  </r>
  <r>
    <x v="503"/>
    <s v="California"/>
    <s v="Office Supplies"/>
    <s v="Art"/>
    <x v="159"/>
  </r>
  <r>
    <x v="503"/>
    <s v="California"/>
    <s v="Office Supplies"/>
    <s v="Paper"/>
    <x v="1038"/>
  </r>
  <r>
    <x v="504"/>
    <s v="California"/>
    <s v="Office Supplies"/>
    <s v="Paper"/>
    <x v="807"/>
  </r>
  <r>
    <x v="504"/>
    <s v="California"/>
    <s v="Office Supplies"/>
    <s v="Binders"/>
    <x v="1039"/>
  </r>
  <r>
    <x v="504"/>
    <s v="California"/>
    <s v="Office Supplies"/>
    <s v="Appliances"/>
    <x v="636"/>
  </r>
  <r>
    <x v="504"/>
    <s v="California"/>
    <s v="Office Supplies"/>
    <s v="Storage"/>
    <x v="1040"/>
  </r>
  <r>
    <x v="504"/>
    <s v="California"/>
    <s v="Furniture"/>
    <s v="Chairs"/>
    <x v="1041"/>
  </r>
  <r>
    <x v="209"/>
    <s v="California"/>
    <s v="Office Supplies"/>
    <s v="Storage"/>
    <x v="711"/>
  </r>
  <r>
    <x v="209"/>
    <s v="California"/>
    <s v="Office Supplies"/>
    <s v="Labels"/>
    <x v="294"/>
  </r>
  <r>
    <x v="209"/>
    <s v="California"/>
    <s v="Technology"/>
    <s v="Phones"/>
    <x v="331"/>
  </r>
  <r>
    <x v="209"/>
    <s v="California"/>
    <s v="Office Supplies"/>
    <s v="Paper"/>
    <x v="1042"/>
  </r>
  <r>
    <x v="473"/>
    <s v="California"/>
    <s v="Technology"/>
    <s v="Phones"/>
    <x v="1043"/>
  </r>
  <r>
    <x v="505"/>
    <s v="California"/>
    <s v="Technology"/>
    <s v="Machines"/>
    <x v="957"/>
  </r>
  <r>
    <x v="505"/>
    <s v="California"/>
    <s v="Office Supplies"/>
    <s v="Paper"/>
    <x v="196"/>
  </r>
  <r>
    <x v="505"/>
    <s v="California"/>
    <s v="Office Supplies"/>
    <s v="Appliances"/>
    <x v="454"/>
  </r>
  <r>
    <x v="181"/>
    <s v="California"/>
    <s v="Office Supplies"/>
    <s v="Appliances"/>
    <x v="4"/>
  </r>
  <r>
    <x v="182"/>
    <s v="California"/>
    <s v="Furniture"/>
    <s v="Furnishings"/>
    <x v="845"/>
  </r>
  <r>
    <x v="213"/>
    <s v="California"/>
    <s v="Office Supplies"/>
    <s v="Supplies"/>
    <x v="996"/>
  </r>
  <r>
    <x v="213"/>
    <s v="California"/>
    <s v="Office Supplies"/>
    <s v="Fasteners"/>
    <x v="164"/>
  </r>
  <r>
    <x v="213"/>
    <s v="California"/>
    <s v="Office Supplies"/>
    <s v="Paper"/>
    <x v="1044"/>
  </r>
  <r>
    <x v="466"/>
    <s v="California"/>
    <s v="Technology"/>
    <s v="Phones"/>
    <x v="56"/>
  </r>
  <r>
    <x v="420"/>
    <s v="California"/>
    <s v="Office Supplies"/>
    <s v="Binders"/>
    <x v="98"/>
  </r>
  <r>
    <x v="420"/>
    <s v="California"/>
    <s v="Office Supplies"/>
    <s v="Binders"/>
    <x v="635"/>
  </r>
  <r>
    <x v="107"/>
    <s v="Utah"/>
    <s v="Technology"/>
    <s v="Copiers"/>
    <x v="1045"/>
  </r>
  <r>
    <x v="362"/>
    <s v="Washington"/>
    <s v="Office Supplies"/>
    <s v="Binders"/>
    <x v="1046"/>
  </r>
  <r>
    <x v="374"/>
    <s v="California"/>
    <s v="Furniture"/>
    <s v="Chairs"/>
    <x v="1047"/>
  </r>
  <r>
    <x v="280"/>
    <s v="California"/>
    <s v="Office Supplies"/>
    <s v="Paper"/>
    <x v="1048"/>
  </r>
  <r>
    <x v="280"/>
    <s v="California"/>
    <s v="Office Supplies"/>
    <s v="Fasteners"/>
    <x v="1049"/>
  </r>
  <r>
    <x v="506"/>
    <s v="California"/>
    <s v="Furniture"/>
    <s v="Furnishings"/>
    <x v="1050"/>
  </r>
  <r>
    <x v="506"/>
    <s v="California"/>
    <s v="Office Supplies"/>
    <s v="Envelopes"/>
    <x v="1051"/>
  </r>
  <r>
    <x v="506"/>
    <s v="California"/>
    <s v="Furniture"/>
    <s v="Bookcases"/>
    <x v="1052"/>
  </r>
  <r>
    <x v="506"/>
    <s v="California"/>
    <s v="Office Supplies"/>
    <s v="Storage"/>
    <x v="741"/>
  </r>
  <r>
    <x v="487"/>
    <s v="Washington"/>
    <s v="Furniture"/>
    <s v="Furnishings"/>
    <x v="1050"/>
  </r>
  <r>
    <x v="487"/>
    <s v="Washington"/>
    <s v="Technology"/>
    <s v="Phones"/>
    <x v="1029"/>
  </r>
  <r>
    <x v="487"/>
    <s v="Washington"/>
    <s v="Technology"/>
    <s v="Phones"/>
    <x v="1053"/>
  </r>
  <r>
    <x v="507"/>
    <s v="California"/>
    <s v="Furniture"/>
    <s v="Furnishings"/>
    <x v="1054"/>
  </r>
  <r>
    <x v="508"/>
    <s v="California"/>
    <s v="Furniture"/>
    <s v="Chairs"/>
    <x v="1055"/>
  </r>
  <r>
    <x v="508"/>
    <s v="California"/>
    <s v="Technology"/>
    <s v="Copiers"/>
    <x v="582"/>
  </r>
  <r>
    <x v="508"/>
    <s v="California"/>
    <s v="Office Supplies"/>
    <s v="Paper"/>
    <x v="311"/>
  </r>
  <r>
    <x v="505"/>
    <s v="Utah"/>
    <s v="Office Supplies"/>
    <s v="Paper"/>
    <x v="724"/>
  </r>
  <r>
    <x v="505"/>
    <s v="Utah"/>
    <s v="Office Supplies"/>
    <s v="Art"/>
    <x v="247"/>
  </r>
  <r>
    <x v="281"/>
    <s v="Colorado"/>
    <s v="Office Supplies"/>
    <s v="Binders"/>
    <x v="1056"/>
  </r>
  <r>
    <x v="281"/>
    <s v="Colorado"/>
    <s v="Office Supplies"/>
    <s v="Storage"/>
    <x v="183"/>
  </r>
  <r>
    <x v="281"/>
    <s v="Colorado"/>
    <s v="Office Supplies"/>
    <s v="Binders"/>
    <x v="936"/>
  </r>
  <r>
    <x v="281"/>
    <s v="Colorado"/>
    <s v="Furniture"/>
    <s v="Chairs"/>
    <x v="532"/>
  </r>
  <r>
    <x v="469"/>
    <s v="Washington"/>
    <s v="Technology"/>
    <s v="Phones"/>
    <x v="472"/>
  </r>
  <r>
    <x v="469"/>
    <s v="Washington"/>
    <s v="Office Supplies"/>
    <s v="Binders"/>
    <x v="400"/>
  </r>
  <r>
    <x v="58"/>
    <s v="Arizona"/>
    <s v="Office Supplies"/>
    <s v="Storage"/>
    <x v="730"/>
  </r>
  <r>
    <x v="362"/>
    <s v="Arizona"/>
    <s v="Office Supplies"/>
    <s v="Binders"/>
    <x v="146"/>
  </r>
  <r>
    <x v="404"/>
    <s v="California"/>
    <s v="Technology"/>
    <s v="Phones"/>
    <x v="278"/>
  </r>
  <r>
    <x v="171"/>
    <s v="Arizona"/>
    <s v="Technology"/>
    <s v="Phones"/>
    <x v="1057"/>
  </r>
  <r>
    <x v="509"/>
    <s v="California"/>
    <s v="Technology"/>
    <s v="Phones"/>
    <x v="1058"/>
  </r>
  <r>
    <x v="509"/>
    <s v="California"/>
    <s v="Office Supplies"/>
    <s v="Appliances"/>
    <x v="1059"/>
  </r>
  <r>
    <x v="509"/>
    <s v="California"/>
    <s v="Furniture"/>
    <s v="Furnishings"/>
    <x v="746"/>
  </r>
  <r>
    <x v="368"/>
    <s v="Utah"/>
    <s v="Office Supplies"/>
    <s v="Supplies"/>
    <x v="1060"/>
  </r>
  <r>
    <x v="510"/>
    <s v="Oregon"/>
    <s v="Furniture"/>
    <s v="Chairs"/>
    <x v="113"/>
  </r>
  <r>
    <x v="510"/>
    <s v="Oregon"/>
    <s v="Office Supplies"/>
    <s v="Paper"/>
    <x v="160"/>
  </r>
  <r>
    <x v="511"/>
    <s v="California"/>
    <s v="Office Supplies"/>
    <s v="Storage"/>
    <x v="791"/>
  </r>
  <r>
    <x v="438"/>
    <s v="Washington"/>
    <s v="Furniture"/>
    <s v="Furnishings"/>
    <x v="1061"/>
  </r>
  <r>
    <x v="438"/>
    <s v="Washington"/>
    <s v="Technology"/>
    <s v="Accessories"/>
    <x v="1062"/>
  </r>
  <r>
    <x v="438"/>
    <s v="Washington"/>
    <s v="Furniture"/>
    <s v="Furnishings"/>
    <x v="1063"/>
  </r>
  <r>
    <x v="438"/>
    <s v="Washington"/>
    <s v="Office Supplies"/>
    <s v="Labels"/>
    <x v="1064"/>
  </r>
  <r>
    <x v="438"/>
    <s v="Washington"/>
    <s v="Office Supplies"/>
    <s v="Storage"/>
    <x v="1012"/>
  </r>
  <r>
    <x v="438"/>
    <s v="Washington"/>
    <s v="Technology"/>
    <s v="Phones"/>
    <x v="1065"/>
  </r>
  <r>
    <x v="438"/>
    <s v="Washington"/>
    <s v="Office Supplies"/>
    <s v="Binders"/>
    <x v="73"/>
  </r>
  <r>
    <x v="313"/>
    <s v="Colorado"/>
    <s v="Furniture"/>
    <s v="Chairs"/>
    <x v="473"/>
  </r>
  <r>
    <x v="313"/>
    <s v="Colorado"/>
    <s v="Office Supplies"/>
    <s v="Binders"/>
    <x v="994"/>
  </r>
  <r>
    <x v="313"/>
    <s v="Colorado"/>
    <s v="Furniture"/>
    <s v="Chairs"/>
    <x v="1066"/>
  </r>
  <r>
    <x v="313"/>
    <s v="Colorado"/>
    <s v="Office Supplies"/>
    <s v="Storage"/>
    <x v="1067"/>
  </r>
  <r>
    <x v="313"/>
    <s v="Colorado"/>
    <s v="Office Supplies"/>
    <s v="Storage"/>
    <x v="1068"/>
  </r>
  <r>
    <x v="512"/>
    <s v="Arizona"/>
    <s v="Office Supplies"/>
    <s v="Supplies"/>
    <x v="753"/>
  </r>
  <r>
    <x v="282"/>
    <s v="Arizona"/>
    <s v="Technology"/>
    <s v="Phones"/>
    <x v="1069"/>
  </r>
  <r>
    <x v="200"/>
    <s v="California"/>
    <s v="Technology"/>
    <s v="Phones"/>
    <x v="680"/>
  </r>
  <r>
    <x v="200"/>
    <s v="California"/>
    <s v="Technology"/>
    <s v="Accessories"/>
    <x v="695"/>
  </r>
  <r>
    <x v="35"/>
    <s v="California"/>
    <s v="Office Supplies"/>
    <s v="Envelopes"/>
    <x v="1070"/>
  </r>
  <r>
    <x v="35"/>
    <s v="California"/>
    <s v="Office Supplies"/>
    <s v="Labels"/>
    <x v="663"/>
  </r>
  <r>
    <x v="513"/>
    <s v="California"/>
    <s v="Office Supplies"/>
    <s v="Labels"/>
    <x v="663"/>
  </r>
  <r>
    <x v="514"/>
    <s v="Nevada"/>
    <s v="Office Supplies"/>
    <s v="Supplies"/>
    <x v="1071"/>
  </r>
  <r>
    <x v="13"/>
    <s v="California"/>
    <s v="Office Supplies"/>
    <s v="Binders"/>
    <x v="200"/>
  </r>
  <r>
    <x v="13"/>
    <s v="California"/>
    <s v="Furniture"/>
    <s v="Furnishings"/>
    <x v="1072"/>
  </r>
  <r>
    <x v="13"/>
    <s v="California"/>
    <s v="Furniture"/>
    <s v="Chairs"/>
    <x v="344"/>
  </r>
  <r>
    <x v="13"/>
    <s v="California"/>
    <s v="Furniture"/>
    <s v="Furnishings"/>
    <x v="746"/>
  </r>
  <r>
    <x v="515"/>
    <s v="California"/>
    <s v="Office Supplies"/>
    <s v="Fasteners"/>
    <x v="164"/>
  </r>
  <r>
    <x v="98"/>
    <s v="California"/>
    <s v="Office Supplies"/>
    <s v="Art"/>
    <x v="403"/>
  </r>
  <r>
    <x v="258"/>
    <s v="California"/>
    <s v="Office Supplies"/>
    <s v="Labels"/>
    <x v="116"/>
  </r>
  <r>
    <x v="516"/>
    <s v="California"/>
    <s v="Office Supplies"/>
    <s v="Appliances"/>
    <x v="1073"/>
  </r>
  <r>
    <x v="486"/>
    <s v="California"/>
    <s v="Furniture"/>
    <s v="Tables"/>
    <x v="607"/>
  </r>
  <r>
    <x v="86"/>
    <s v="California"/>
    <s v="Technology"/>
    <s v="Phones"/>
    <x v="956"/>
  </r>
  <r>
    <x v="86"/>
    <s v="California"/>
    <s v="Office Supplies"/>
    <s v="Appliances"/>
    <x v="154"/>
  </r>
  <r>
    <x v="15"/>
    <s v="California"/>
    <s v="Furniture"/>
    <s v="Tables"/>
    <x v="1074"/>
  </r>
  <r>
    <x v="15"/>
    <s v="California"/>
    <s v="Technology"/>
    <s v="Phones"/>
    <x v="1017"/>
  </r>
  <r>
    <x v="15"/>
    <s v="California"/>
    <s v="Office Supplies"/>
    <s v="Binders"/>
    <x v="1075"/>
  </r>
  <r>
    <x v="488"/>
    <s v="California"/>
    <s v="Technology"/>
    <s v="Phones"/>
    <x v="152"/>
  </r>
  <r>
    <x v="488"/>
    <s v="California"/>
    <s v="Office Supplies"/>
    <s v="Binders"/>
    <x v="64"/>
  </r>
  <r>
    <x v="488"/>
    <s v="California"/>
    <s v="Office Supplies"/>
    <s v="Binders"/>
    <x v="1076"/>
  </r>
  <r>
    <x v="222"/>
    <s v="California"/>
    <s v="Technology"/>
    <s v="Phones"/>
    <x v="803"/>
  </r>
  <r>
    <x v="517"/>
    <s v="Washington"/>
    <s v="Technology"/>
    <s v="Accessories"/>
    <x v="380"/>
  </r>
  <r>
    <x v="518"/>
    <s v="California"/>
    <s v="Furniture"/>
    <s v="Tables"/>
    <x v="1077"/>
  </r>
  <r>
    <x v="518"/>
    <s v="California"/>
    <s v="Office Supplies"/>
    <s v="Appliances"/>
    <x v="654"/>
  </r>
  <r>
    <x v="518"/>
    <s v="California"/>
    <s v="Office Supplies"/>
    <s v="Binders"/>
    <x v="736"/>
  </r>
  <r>
    <x v="483"/>
    <s v="California"/>
    <s v="Office Supplies"/>
    <s v="Paper"/>
    <x v="1078"/>
  </r>
  <r>
    <x v="483"/>
    <s v="California"/>
    <s v="Technology"/>
    <s v="Machines"/>
    <x v="1079"/>
  </r>
  <r>
    <x v="385"/>
    <s v="Colorado"/>
    <s v="Office Supplies"/>
    <s v="Binders"/>
    <x v="1080"/>
  </r>
  <r>
    <x v="385"/>
    <s v="Colorado"/>
    <s v="Office Supplies"/>
    <s v="Appliances"/>
    <x v="267"/>
  </r>
  <r>
    <x v="342"/>
    <s v="California"/>
    <s v="Technology"/>
    <s v="Phones"/>
    <x v="1081"/>
  </r>
  <r>
    <x v="342"/>
    <s v="California"/>
    <s v="Office Supplies"/>
    <s v="Labels"/>
    <x v="714"/>
  </r>
  <r>
    <x v="473"/>
    <s v="California"/>
    <s v="Furniture"/>
    <s v="Furnishings"/>
    <x v="1082"/>
  </r>
  <r>
    <x v="473"/>
    <s v="California"/>
    <s v="Office Supplies"/>
    <s v="Storage"/>
    <x v="183"/>
  </r>
  <r>
    <x v="473"/>
    <s v="California"/>
    <s v="Technology"/>
    <s v="Phones"/>
    <x v="1083"/>
  </r>
  <r>
    <x v="473"/>
    <s v="California"/>
    <s v="Office Supplies"/>
    <s v="Paper"/>
    <x v="1084"/>
  </r>
  <r>
    <x v="519"/>
    <s v="California"/>
    <s v="Office Supplies"/>
    <s v="Envelopes"/>
    <x v="1085"/>
  </r>
  <r>
    <x v="520"/>
    <s v="California"/>
    <s v="Furniture"/>
    <s v="Tables"/>
    <x v="1086"/>
  </r>
  <r>
    <x v="208"/>
    <s v="California"/>
    <s v="Office Supplies"/>
    <s v="Paper"/>
    <x v="279"/>
  </r>
  <r>
    <x v="371"/>
    <s v="Washington"/>
    <s v="Office Supplies"/>
    <s v="Binders"/>
    <x v="979"/>
  </r>
  <r>
    <x v="521"/>
    <s v="California"/>
    <s v="Office Supplies"/>
    <s v="Binders"/>
    <x v="1087"/>
  </r>
  <r>
    <x v="521"/>
    <s v="California"/>
    <s v="Technology"/>
    <s v="Phones"/>
    <x v="781"/>
  </r>
  <r>
    <x v="521"/>
    <s v="California"/>
    <s v="Technology"/>
    <s v="Accessories"/>
    <x v="644"/>
  </r>
  <r>
    <x v="521"/>
    <s v="California"/>
    <s v="Technology"/>
    <s v="Phones"/>
    <x v="1088"/>
  </r>
  <r>
    <x v="521"/>
    <s v="California"/>
    <s v="Furniture"/>
    <s v="Tables"/>
    <x v="1089"/>
  </r>
  <r>
    <x v="521"/>
    <s v="California"/>
    <s v="Office Supplies"/>
    <s v="Paper"/>
    <x v="867"/>
  </r>
  <r>
    <x v="521"/>
    <s v="California"/>
    <s v="Office Supplies"/>
    <s v="Paper"/>
    <x v="740"/>
  </r>
  <r>
    <x v="187"/>
    <s v="Washington"/>
    <s v="Office Supplies"/>
    <s v="Binders"/>
    <x v="384"/>
  </r>
  <r>
    <x v="229"/>
    <s v="Oregon"/>
    <s v="Office Supplies"/>
    <s v="Binders"/>
    <x v="591"/>
  </r>
  <r>
    <x v="402"/>
    <s v="Washington"/>
    <s v="Office Supplies"/>
    <s v="Paper"/>
    <x v="1038"/>
  </r>
  <r>
    <x v="315"/>
    <s v="Colorado"/>
    <s v="Furniture"/>
    <s v="Furnishings"/>
    <x v="251"/>
  </r>
  <r>
    <x v="71"/>
    <s v="California"/>
    <s v="Office Supplies"/>
    <s v="Art"/>
    <x v="712"/>
  </r>
  <r>
    <x v="522"/>
    <s v="Washington"/>
    <s v="Technology"/>
    <s v="Machines"/>
    <x v="706"/>
  </r>
  <r>
    <x v="522"/>
    <s v="Washington"/>
    <s v="Office Supplies"/>
    <s v="Envelopes"/>
    <x v="7"/>
  </r>
  <r>
    <x v="522"/>
    <s v="Washington"/>
    <s v="Office Supplies"/>
    <s v="Paper"/>
    <x v="1090"/>
  </r>
  <r>
    <x v="522"/>
    <s v="Washington"/>
    <s v="Furniture"/>
    <s v="Chairs"/>
    <x v="1091"/>
  </r>
  <r>
    <x v="522"/>
    <s v="Washington"/>
    <s v="Office Supplies"/>
    <s v="Appliances"/>
    <x v="1092"/>
  </r>
  <r>
    <x v="522"/>
    <s v="Washington"/>
    <s v="Office Supplies"/>
    <s v="Supplies"/>
    <x v="543"/>
  </r>
  <r>
    <x v="349"/>
    <s v="California"/>
    <s v="Office Supplies"/>
    <s v="Fasteners"/>
    <x v="1093"/>
  </r>
  <r>
    <x v="349"/>
    <s v="California"/>
    <s v="Office Supplies"/>
    <s v="Paper"/>
    <x v="440"/>
  </r>
  <r>
    <x v="108"/>
    <s v="Washington"/>
    <s v="Office Supplies"/>
    <s v="Paper"/>
    <x v="279"/>
  </r>
  <r>
    <x v="523"/>
    <s v="California"/>
    <s v="Furniture"/>
    <s v="Chairs"/>
    <x v="207"/>
  </r>
  <r>
    <x v="119"/>
    <s v="California"/>
    <s v="Office Supplies"/>
    <s v="Art"/>
    <x v="37"/>
  </r>
  <r>
    <x v="123"/>
    <s v="Colorado"/>
    <s v="Office Supplies"/>
    <s v="Paper"/>
    <x v="337"/>
  </r>
  <r>
    <x v="123"/>
    <s v="Colorado"/>
    <s v="Technology"/>
    <s v="Phones"/>
    <x v="1094"/>
  </r>
  <r>
    <x v="337"/>
    <s v="California"/>
    <s v="Furniture"/>
    <s v="Furnishings"/>
    <x v="552"/>
  </r>
  <r>
    <x v="337"/>
    <s v="California"/>
    <s v="Technology"/>
    <s v="Phones"/>
    <x v="557"/>
  </r>
  <r>
    <x v="524"/>
    <s v="California"/>
    <s v="Office Supplies"/>
    <s v="Envelopes"/>
    <x v="1095"/>
  </r>
  <r>
    <x v="525"/>
    <s v="California"/>
    <s v="Office Supplies"/>
    <s v="Envelopes"/>
    <x v="1096"/>
  </r>
  <r>
    <x v="526"/>
    <s v="California"/>
    <s v="Office Supplies"/>
    <s v="Storage"/>
    <x v="1097"/>
  </r>
  <r>
    <x v="347"/>
    <s v="Washington"/>
    <s v="Technology"/>
    <s v="Copiers"/>
    <x v="975"/>
  </r>
  <r>
    <x v="527"/>
    <s v="Washington"/>
    <s v="Furniture"/>
    <s v="Chairs"/>
    <x v="1055"/>
  </r>
  <r>
    <x v="527"/>
    <s v="Washington"/>
    <s v="Office Supplies"/>
    <s v="Envelopes"/>
    <x v="1051"/>
  </r>
  <r>
    <x v="125"/>
    <s v="California"/>
    <s v="Furniture"/>
    <s v="Furnishings"/>
    <x v="710"/>
  </r>
  <r>
    <x v="125"/>
    <s v="California"/>
    <s v="Office Supplies"/>
    <s v="Storage"/>
    <x v="246"/>
  </r>
  <r>
    <x v="125"/>
    <s v="California"/>
    <s v="Technology"/>
    <s v="Phones"/>
    <x v="256"/>
  </r>
  <r>
    <x v="125"/>
    <s v="California"/>
    <s v="Office Supplies"/>
    <s v="Art"/>
    <x v="1098"/>
  </r>
  <r>
    <x v="125"/>
    <s v="California"/>
    <s v="Furniture"/>
    <s v="Tables"/>
    <x v="155"/>
  </r>
  <r>
    <x v="125"/>
    <s v="California"/>
    <s v="Office Supplies"/>
    <s v="Binders"/>
    <x v="170"/>
  </r>
  <r>
    <x v="5"/>
    <s v="California"/>
    <s v="Furniture"/>
    <s v="Furnishings"/>
    <x v="1099"/>
  </r>
  <r>
    <x v="5"/>
    <s v="California"/>
    <s v="Technology"/>
    <s v="Copiers"/>
    <x v="582"/>
  </r>
  <r>
    <x v="14"/>
    <s v="California"/>
    <s v="Technology"/>
    <s v="Accessories"/>
    <x v="764"/>
  </r>
  <r>
    <x v="130"/>
    <s v="California"/>
    <s v="Office Supplies"/>
    <s v="Paper"/>
    <x v="1100"/>
  </r>
  <r>
    <x v="130"/>
    <s v="California"/>
    <s v="Office Supplies"/>
    <s v="Binders"/>
    <x v="901"/>
  </r>
  <r>
    <x v="130"/>
    <s v="California"/>
    <s v="Office Supplies"/>
    <s v="Fasteners"/>
    <x v="833"/>
  </r>
  <r>
    <x v="528"/>
    <s v="California"/>
    <s v="Office Supplies"/>
    <s v="Binders"/>
    <x v="852"/>
  </r>
  <r>
    <x v="528"/>
    <s v="California"/>
    <s v="Office Supplies"/>
    <s v="Binders"/>
    <x v="1080"/>
  </r>
  <r>
    <x v="529"/>
    <s v="California"/>
    <s v="Furniture"/>
    <s v="Tables"/>
    <x v="459"/>
  </r>
  <r>
    <x v="231"/>
    <s v="Washington"/>
    <s v="Furniture"/>
    <s v="Furnishings"/>
    <x v="1054"/>
  </r>
  <r>
    <x v="231"/>
    <s v="Washington"/>
    <s v="Office Supplies"/>
    <s v="Paper"/>
    <x v="1101"/>
  </r>
  <r>
    <x v="530"/>
    <s v="California"/>
    <s v="Office Supplies"/>
    <s v="Art"/>
    <x v="59"/>
  </r>
  <r>
    <x v="530"/>
    <s v="California"/>
    <s v="Office Supplies"/>
    <s v="Paper"/>
    <x v="330"/>
  </r>
  <r>
    <x v="530"/>
    <s v="California"/>
    <s v="Office Supplies"/>
    <s v="Storage"/>
    <x v="958"/>
  </r>
  <r>
    <x v="531"/>
    <s v="California"/>
    <s v="Office Supplies"/>
    <s v="Binders"/>
    <x v="1102"/>
  </r>
  <r>
    <x v="532"/>
    <s v="Washington"/>
    <s v="Office Supplies"/>
    <s v="Labels"/>
    <x v="1103"/>
  </r>
  <r>
    <x v="532"/>
    <s v="Washington"/>
    <s v="Office Supplies"/>
    <s v="Binders"/>
    <x v="728"/>
  </r>
  <r>
    <x v="532"/>
    <s v="Washington"/>
    <s v="Office Supplies"/>
    <s v="Paper"/>
    <x v="1104"/>
  </r>
  <r>
    <x v="532"/>
    <s v="Washington"/>
    <s v="Office Supplies"/>
    <s v="Binders"/>
    <x v="985"/>
  </r>
  <r>
    <x v="533"/>
    <s v="California"/>
    <s v="Office Supplies"/>
    <s v="Binders"/>
    <x v="1105"/>
  </r>
  <r>
    <x v="407"/>
    <s v="California"/>
    <s v="Office Supplies"/>
    <s v="Paper"/>
    <x v="201"/>
  </r>
  <r>
    <x v="407"/>
    <s v="California"/>
    <s v="Technology"/>
    <s v="Accessories"/>
    <x v="446"/>
  </r>
  <r>
    <x v="307"/>
    <s v="California"/>
    <s v="Office Supplies"/>
    <s v="Storage"/>
    <x v="756"/>
  </r>
  <r>
    <x v="307"/>
    <s v="California"/>
    <s v="Office Supplies"/>
    <s v="Binders"/>
    <x v="146"/>
  </r>
  <r>
    <x v="488"/>
    <s v="Arizona"/>
    <s v="Office Supplies"/>
    <s v="Art"/>
    <x v="1106"/>
  </r>
  <r>
    <x v="488"/>
    <s v="Arizona"/>
    <s v="Office Supplies"/>
    <s v="Paper"/>
    <x v="275"/>
  </r>
  <r>
    <x v="488"/>
    <s v="Arizona"/>
    <s v="Office Supplies"/>
    <s v="Paper"/>
    <x v="259"/>
  </r>
  <r>
    <x v="534"/>
    <s v="Colorado"/>
    <s v="Furniture"/>
    <s v="Furnishings"/>
    <x v="81"/>
  </r>
  <r>
    <x v="534"/>
    <s v="Colorado"/>
    <s v="Furniture"/>
    <s v="Chairs"/>
    <x v="693"/>
  </r>
  <r>
    <x v="534"/>
    <s v="Colorado"/>
    <s v="Furniture"/>
    <s v="Furnishings"/>
    <x v="1107"/>
  </r>
  <r>
    <x v="534"/>
    <s v="Colorado"/>
    <s v="Office Supplies"/>
    <s v="Labels"/>
    <x v="880"/>
  </r>
  <r>
    <x v="535"/>
    <s v="Washington"/>
    <s v="Office Supplies"/>
    <s v="Fasteners"/>
    <x v="814"/>
  </r>
  <r>
    <x v="535"/>
    <s v="Washington"/>
    <s v="Office Supplies"/>
    <s v="Labels"/>
    <x v="1103"/>
  </r>
  <r>
    <x v="535"/>
    <s v="Washington"/>
    <s v="Office Supplies"/>
    <s v="Binders"/>
    <x v="1108"/>
  </r>
  <r>
    <x v="536"/>
    <s v="Colorado"/>
    <s v="Technology"/>
    <s v="Phones"/>
    <x v="1109"/>
  </r>
  <r>
    <x v="536"/>
    <s v="Colorado"/>
    <s v="Furniture"/>
    <s v="Chairs"/>
    <x v="999"/>
  </r>
  <r>
    <x v="537"/>
    <s v="Washington"/>
    <s v="Office Supplies"/>
    <s v="Paper"/>
    <x v="1110"/>
  </r>
  <r>
    <x v="537"/>
    <s v="Washington"/>
    <s v="Office Supplies"/>
    <s v="Binders"/>
    <x v="516"/>
  </r>
  <r>
    <x v="214"/>
    <s v="Idaho"/>
    <s v="Office Supplies"/>
    <s v="Binders"/>
    <x v="721"/>
  </r>
  <r>
    <x v="214"/>
    <s v="Idaho"/>
    <s v="Furniture"/>
    <s v="Tables"/>
    <x v="509"/>
  </r>
  <r>
    <x v="190"/>
    <s v="Washington"/>
    <s v="Office Supplies"/>
    <s v="Art"/>
    <x v="1111"/>
  </r>
  <r>
    <x v="98"/>
    <s v="California"/>
    <s v="Office Supplies"/>
    <s v="Paper"/>
    <x v="222"/>
  </r>
  <r>
    <x v="538"/>
    <s v="California"/>
    <s v="Furniture"/>
    <s v="Bookcases"/>
    <x v="1112"/>
  </r>
  <r>
    <x v="538"/>
    <s v="California"/>
    <s v="Office Supplies"/>
    <s v="Appliances"/>
    <x v="1113"/>
  </r>
  <r>
    <x v="539"/>
    <s v="California"/>
    <s v="Office Supplies"/>
    <s v="Art"/>
    <x v="1114"/>
  </r>
  <r>
    <x v="539"/>
    <s v="California"/>
    <s v="Technology"/>
    <s v="Phones"/>
    <x v="1058"/>
  </r>
  <r>
    <x v="539"/>
    <s v="California"/>
    <s v="Office Supplies"/>
    <s v="Paper"/>
    <x v="421"/>
  </r>
  <r>
    <x v="540"/>
    <s v="Washington"/>
    <s v="Furniture"/>
    <s v="Chairs"/>
    <x v="1115"/>
  </r>
  <r>
    <x v="540"/>
    <s v="Washington"/>
    <s v="Technology"/>
    <s v="Phones"/>
    <x v="524"/>
  </r>
  <r>
    <x v="541"/>
    <s v="Washington"/>
    <s v="Office Supplies"/>
    <s v="Labels"/>
    <x v="1011"/>
  </r>
  <r>
    <x v="542"/>
    <s v="California"/>
    <s v="Furniture"/>
    <s v="Chairs"/>
    <x v="207"/>
  </r>
  <r>
    <x v="542"/>
    <s v="California"/>
    <s v="Office Supplies"/>
    <s v="Paper"/>
    <x v="1104"/>
  </r>
  <r>
    <x v="542"/>
    <s v="California"/>
    <s v="Furniture"/>
    <s v="Chairs"/>
    <x v="965"/>
  </r>
  <r>
    <x v="473"/>
    <s v="California"/>
    <s v="Technology"/>
    <s v="Phones"/>
    <x v="336"/>
  </r>
  <r>
    <x v="465"/>
    <s v="California"/>
    <s v="Office Supplies"/>
    <s v="Paper"/>
    <x v="507"/>
  </r>
  <r>
    <x v="541"/>
    <s v="California"/>
    <s v="Office Supplies"/>
    <s v="Binders"/>
    <x v="177"/>
  </r>
  <r>
    <x v="541"/>
    <s v="California"/>
    <s v="Office Supplies"/>
    <s v="Supplies"/>
    <x v="1116"/>
  </r>
  <r>
    <x v="47"/>
    <s v="California"/>
    <s v="Office Supplies"/>
    <s v="Binders"/>
    <x v="269"/>
  </r>
  <r>
    <x v="543"/>
    <s v="California"/>
    <s v="Office Supplies"/>
    <s v="Paper"/>
    <x v="1117"/>
  </r>
  <r>
    <x v="543"/>
    <s v="California"/>
    <s v="Office Supplies"/>
    <s v="Binders"/>
    <x v="1118"/>
  </r>
  <r>
    <x v="543"/>
    <s v="California"/>
    <s v="Office Supplies"/>
    <s v="Art"/>
    <x v="419"/>
  </r>
  <r>
    <x v="543"/>
    <s v="California"/>
    <s v="Office Supplies"/>
    <s v="Paper"/>
    <x v="1119"/>
  </r>
  <r>
    <x v="543"/>
    <s v="California"/>
    <s v="Office Supplies"/>
    <s v="Binders"/>
    <x v="1120"/>
  </r>
  <r>
    <x v="305"/>
    <s v="Washington"/>
    <s v="Furniture"/>
    <s v="Bookcases"/>
    <x v="1121"/>
  </r>
  <r>
    <x v="457"/>
    <s v="Colorado"/>
    <s v="Furniture"/>
    <s v="Furnishings"/>
    <x v="147"/>
  </r>
  <r>
    <x v="544"/>
    <s v="Washington"/>
    <s v="Office Supplies"/>
    <s v="Supplies"/>
    <x v="128"/>
  </r>
  <r>
    <x v="499"/>
    <s v="California"/>
    <s v="Office Supplies"/>
    <s v="Envelopes"/>
    <x v="811"/>
  </r>
  <r>
    <x v="499"/>
    <s v="California"/>
    <s v="Office Supplies"/>
    <s v="Labels"/>
    <x v="836"/>
  </r>
  <r>
    <x v="503"/>
    <s v="Washington"/>
    <s v="Office Supplies"/>
    <s v="Binders"/>
    <x v="707"/>
  </r>
  <r>
    <x v="503"/>
    <s v="Washington"/>
    <s v="Furniture"/>
    <s v="Chairs"/>
    <x v="558"/>
  </r>
  <r>
    <x v="453"/>
    <s v="California"/>
    <s v="Office Supplies"/>
    <s v="Storage"/>
    <x v="1122"/>
  </r>
  <r>
    <x v="453"/>
    <s v="California"/>
    <s v="Office Supplies"/>
    <s v="Paper"/>
    <x v="595"/>
  </r>
  <r>
    <x v="470"/>
    <s v="California"/>
    <s v="Furniture"/>
    <s v="Furnishings"/>
    <x v="1123"/>
  </r>
  <r>
    <x v="476"/>
    <s v="Colorado"/>
    <s v="Furniture"/>
    <s v="Furnishings"/>
    <x v="1124"/>
  </r>
  <r>
    <x v="476"/>
    <s v="Colorado"/>
    <s v="Office Supplies"/>
    <s v="Storage"/>
    <x v="1125"/>
  </r>
  <r>
    <x v="53"/>
    <s v="California"/>
    <s v="Office Supplies"/>
    <s v="Envelopes"/>
    <x v="316"/>
  </r>
  <r>
    <x v="53"/>
    <s v="California"/>
    <s v="Furniture"/>
    <s v="Chairs"/>
    <x v="139"/>
  </r>
  <r>
    <x v="545"/>
    <s v="Arizona"/>
    <s v="Furniture"/>
    <s v="Tables"/>
    <x v="444"/>
  </r>
  <r>
    <x v="42"/>
    <s v="Oregon"/>
    <s v="Office Supplies"/>
    <s v="Paper"/>
    <x v="595"/>
  </r>
  <r>
    <x v="42"/>
    <s v="Oregon"/>
    <s v="Office Supplies"/>
    <s v="Binders"/>
    <x v="784"/>
  </r>
  <r>
    <x v="546"/>
    <s v="California"/>
    <s v="Office Supplies"/>
    <s v="Art"/>
    <x v="864"/>
  </r>
  <r>
    <x v="547"/>
    <s v="California"/>
    <s v="Furniture"/>
    <s v="Bookcases"/>
    <x v="919"/>
  </r>
  <r>
    <x v="548"/>
    <s v="California"/>
    <s v="Office Supplies"/>
    <s v="Paper"/>
    <x v="1126"/>
  </r>
  <r>
    <x v="548"/>
    <s v="California"/>
    <s v="Office Supplies"/>
    <s v="Labels"/>
    <x v="555"/>
  </r>
  <r>
    <x v="548"/>
    <s v="California"/>
    <s v="Office Supplies"/>
    <s v="Labels"/>
    <x v="899"/>
  </r>
  <r>
    <x v="548"/>
    <s v="California"/>
    <s v="Technology"/>
    <s v="Copiers"/>
    <x v="609"/>
  </r>
  <r>
    <x v="548"/>
    <s v="California"/>
    <s v="Technology"/>
    <s v="Phones"/>
    <x v="585"/>
  </r>
  <r>
    <x v="548"/>
    <s v="California"/>
    <s v="Office Supplies"/>
    <s v="Art"/>
    <x v="712"/>
  </r>
  <r>
    <x v="548"/>
    <s v="California"/>
    <s v="Furniture"/>
    <s v="Chairs"/>
    <x v="436"/>
  </r>
  <r>
    <x v="245"/>
    <s v="California"/>
    <s v="Furniture"/>
    <s v="Bookcases"/>
    <x v="510"/>
  </r>
  <r>
    <x v="65"/>
    <s v="Washington"/>
    <s v="Office Supplies"/>
    <s v="Appliances"/>
    <x v="1127"/>
  </r>
  <r>
    <x v="65"/>
    <s v="Washington"/>
    <s v="Office Supplies"/>
    <s v="Paper"/>
    <x v="1013"/>
  </r>
  <r>
    <x v="65"/>
    <s v="Washington"/>
    <s v="Technology"/>
    <s v="Accessories"/>
    <x v="903"/>
  </r>
  <r>
    <x v="85"/>
    <s v="California"/>
    <s v="Office Supplies"/>
    <s v="Storage"/>
    <x v="545"/>
  </r>
  <r>
    <x v="85"/>
    <s v="California"/>
    <s v="Office Supplies"/>
    <s v="Labels"/>
    <x v="255"/>
  </r>
  <r>
    <x v="85"/>
    <s v="California"/>
    <s v="Office Supplies"/>
    <s v="Art"/>
    <x v="1111"/>
  </r>
  <r>
    <x v="85"/>
    <s v="California"/>
    <s v="Office Supplies"/>
    <s v="Paper"/>
    <x v="259"/>
  </r>
  <r>
    <x v="517"/>
    <s v="California"/>
    <s v="Office Supplies"/>
    <s v="Paper"/>
    <x v="1128"/>
  </r>
  <r>
    <x v="413"/>
    <s v="Washington"/>
    <s v="Technology"/>
    <s v="Phones"/>
    <x v="1129"/>
  </r>
  <r>
    <x v="549"/>
    <s v="California"/>
    <s v="Office Supplies"/>
    <s v="Paper"/>
    <x v="855"/>
  </r>
  <r>
    <x v="302"/>
    <s v="California"/>
    <s v="Office Supplies"/>
    <s v="Binders"/>
    <x v="806"/>
  </r>
  <r>
    <x v="244"/>
    <s v="Arizona"/>
    <s v="Office Supplies"/>
    <s v="Art"/>
    <x v="103"/>
  </r>
  <r>
    <x v="171"/>
    <s v="Oregon"/>
    <s v="Technology"/>
    <s v="Phones"/>
    <x v="127"/>
  </r>
  <r>
    <x v="550"/>
    <s v="California"/>
    <s v="Technology"/>
    <s v="Accessories"/>
    <x v="95"/>
  </r>
  <r>
    <x v="551"/>
    <s v="California"/>
    <s v="Furniture"/>
    <s v="Chairs"/>
    <x v="535"/>
  </r>
  <r>
    <x v="530"/>
    <s v="Arizona"/>
    <s v="Office Supplies"/>
    <s v="Binders"/>
    <x v="1130"/>
  </r>
  <r>
    <x v="552"/>
    <s v="California"/>
    <s v="Office Supplies"/>
    <s v="Labels"/>
    <x v="576"/>
  </r>
  <r>
    <x v="552"/>
    <s v="California"/>
    <s v="Furniture"/>
    <s v="Chairs"/>
    <x v="31"/>
  </r>
  <r>
    <x v="552"/>
    <s v="California"/>
    <s v="Office Supplies"/>
    <s v="Paper"/>
    <x v="330"/>
  </r>
  <r>
    <x v="552"/>
    <s v="California"/>
    <s v="Office Supplies"/>
    <s v="Paper"/>
    <x v="109"/>
  </r>
  <r>
    <x v="525"/>
    <s v="Colorado"/>
    <s v="Technology"/>
    <s v="Machines"/>
    <x v="1131"/>
  </r>
  <r>
    <x v="525"/>
    <s v="Colorado"/>
    <s v="Office Supplies"/>
    <s v="Binders"/>
    <x v="1132"/>
  </r>
  <r>
    <x v="525"/>
    <s v="Colorado"/>
    <s v="Office Supplies"/>
    <s v="Binders"/>
    <x v="398"/>
  </r>
  <r>
    <x v="525"/>
    <s v="Colorado"/>
    <s v="Technology"/>
    <s v="Accessories"/>
    <x v="1133"/>
  </r>
  <r>
    <x v="240"/>
    <s v="California"/>
    <s v="Office Supplies"/>
    <s v="Binders"/>
    <x v="779"/>
  </r>
  <r>
    <x v="513"/>
    <s v="Washington"/>
    <s v="Technology"/>
    <s v="Machines"/>
    <x v="706"/>
  </r>
  <r>
    <x v="72"/>
    <s v="California"/>
    <s v="Office Supplies"/>
    <s v="Paper"/>
    <x v="1134"/>
  </r>
  <r>
    <x v="89"/>
    <s v="Washington"/>
    <s v="Office Supplies"/>
    <s v="Fasteners"/>
    <x v="89"/>
  </r>
  <r>
    <x v="91"/>
    <s v="California"/>
    <s v="Office Supplies"/>
    <s v="Paper"/>
    <x v="268"/>
  </r>
  <r>
    <x v="412"/>
    <s v="Arizona"/>
    <s v="Office Supplies"/>
    <s v="Art"/>
    <x v="569"/>
  </r>
  <r>
    <x v="412"/>
    <s v="Arizona"/>
    <s v="Furniture"/>
    <s v="Furnishings"/>
    <x v="1135"/>
  </r>
  <r>
    <x v="553"/>
    <s v="Colorado"/>
    <s v="Furniture"/>
    <s v="Bookcases"/>
    <x v="1136"/>
  </r>
  <r>
    <x v="553"/>
    <s v="Colorado"/>
    <s v="Technology"/>
    <s v="Phones"/>
    <x v="367"/>
  </r>
  <r>
    <x v="553"/>
    <s v="Colorado"/>
    <s v="Furniture"/>
    <s v="Chairs"/>
    <x v="1037"/>
  </r>
  <r>
    <x v="78"/>
    <s v="California"/>
    <s v="Office Supplies"/>
    <s v="Paper"/>
    <x v="11"/>
  </r>
  <r>
    <x v="78"/>
    <s v="California"/>
    <s v="Office Supplies"/>
    <s v="Paper"/>
    <x v="602"/>
  </r>
  <r>
    <x v="78"/>
    <s v="California"/>
    <s v="Office Supplies"/>
    <s v="Art"/>
    <x v="1137"/>
  </r>
  <r>
    <x v="78"/>
    <s v="California"/>
    <s v="Office Supplies"/>
    <s v="Fasteners"/>
    <x v="300"/>
  </r>
  <r>
    <x v="78"/>
    <s v="California"/>
    <s v="Office Supplies"/>
    <s v="Binders"/>
    <x v="941"/>
  </r>
  <r>
    <x v="78"/>
    <s v="California"/>
    <s v="Office Supplies"/>
    <s v="Supplies"/>
    <x v="719"/>
  </r>
  <r>
    <x v="78"/>
    <s v="California"/>
    <s v="Furniture"/>
    <s v="Furnishings"/>
    <x v="351"/>
  </r>
  <r>
    <x v="554"/>
    <s v="Colorado"/>
    <s v="Furniture"/>
    <s v="Tables"/>
    <x v="188"/>
  </r>
  <r>
    <x v="554"/>
    <s v="Colorado"/>
    <s v="Furniture"/>
    <s v="Furnishings"/>
    <x v="1003"/>
  </r>
  <r>
    <x v="492"/>
    <s v="Washington"/>
    <s v="Technology"/>
    <s v="Accessories"/>
    <x v="310"/>
  </r>
  <r>
    <x v="418"/>
    <s v="Utah"/>
    <s v="Office Supplies"/>
    <s v="Paper"/>
    <x v="1138"/>
  </r>
  <r>
    <x v="418"/>
    <s v="Utah"/>
    <s v="Office Supplies"/>
    <s v="Paper"/>
    <x v="291"/>
  </r>
  <r>
    <x v="418"/>
    <s v="Utah"/>
    <s v="Office Supplies"/>
    <s v="Binders"/>
    <x v="571"/>
  </r>
  <r>
    <x v="418"/>
    <s v="Utah"/>
    <s v="Office Supplies"/>
    <s v="Paper"/>
    <x v="427"/>
  </r>
  <r>
    <x v="327"/>
    <s v="California"/>
    <s v="Office Supplies"/>
    <s v="Binders"/>
    <x v="1139"/>
  </r>
  <r>
    <x v="464"/>
    <s v="California"/>
    <s v="Furniture"/>
    <s v="Bookcases"/>
    <x v="1140"/>
  </r>
  <r>
    <x v="555"/>
    <s v="Arizona"/>
    <s v="Furniture"/>
    <s v="Chairs"/>
    <x v="558"/>
  </r>
  <r>
    <x v="400"/>
    <s v="California"/>
    <s v="Office Supplies"/>
    <s v="Binders"/>
    <x v="400"/>
  </r>
  <r>
    <x v="556"/>
    <s v="California"/>
    <s v="Furniture"/>
    <s v="Chairs"/>
    <x v="1141"/>
  </r>
  <r>
    <x v="371"/>
    <s v="California"/>
    <s v="Office Supplies"/>
    <s v="Paper"/>
    <x v="1142"/>
  </r>
  <r>
    <x v="91"/>
    <s v="California"/>
    <s v="Office Supplies"/>
    <s v="Storage"/>
    <x v="672"/>
  </r>
  <r>
    <x v="97"/>
    <s v="Nevada"/>
    <s v="Office Supplies"/>
    <s v="Art"/>
    <x v="422"/>
  </r>
  <r>
    <x v="97"/>
    <s v="Nevada"/>
    <s v="Office Supplies"/>
    <s v="Paper"/>
    <x v="1143"/>
  </r>
  <r>
    <x v="97"/>
    <s v="Nevada"/>
    <s v="Office Supplies"/>
    <s v="Binders"/>
    <x v="1144"/>
  </r>
  <r>
    <x v="83"/>
    <s v="California"/>
    <s v="Furniture"/>
    <s v="Chairs"/>
    <x v="1145"/>
  </r>
  <r>
    <x v="83"/>
    <s v="California"/>
    <s v="Office Supplies"/>
    <s v="Art"/>
    <x v="37"/>
  </r>
  <r>
    <x v="83"/>
    <s v="California"/>
    <s v="Furniture"/>
    <s v="Furnishings"/>
    <x v="1146"/>
  </r>
  <r>
    <x v="83"/>
    <s v="California"/>
    <s v="Office Supplies"/>
    <s v="Storage"/>
    <x v="424"/>
  </r>
  <r>
    <x v="201"/>
    <s v="Washington"/>
    <s v="Office Supplies"/>
    <s v="Paper"/>
    <x v="291"/>
  </r>
  <r>
    <x v="201"/>
    <s v="Washington"/>
    <s v="Office Supplies"/>
    <s v="Art"/>
    <x v="185"/>
  </r>
  <r>
    <x v="201"/>
    <s v="Washington"/>
    <s v="Furniture"/>
    <s v="Furnishings"/>
    <x v="1147"/>
  </r>
  <r>
    <x v="111"/>
    <s v="Washington"/>
    <s v="Office Supplies"/>
    <s v="Fasteners"/>
    <x v="1093"/>
  </r>
  <r>
    <x v="275"/>
    <s v="California"/>
    <s v="Technology"/>
    <s v="Accessories"/>
    <x v="903"/>
  </r>
  <r>
    <x v="275"/>
    <s v="California"/>
    <s v="Technology"/>
    <s v="Accessories"/>
    <x v="1148"/>
  </r>
  <r>
    <x v="124"/>
    <s v="California"/>
    <s v="Technology"/>
    <s v="Accessories"/>
    <x v="1149"/>
  </r>
  <r>
    <x v="128"/>
    <s v="California"/>
    <s v="Technology"/>
    <s v="Accessories"/>
    <x v="793"/>
  </r>
  <r>
    <x v="253"/>
    <s v="California"/>
    <s v="Office Supplies"/>
    <s v="Appliances"/>
    <x v="328"/>
  </r>
  <r>
    <x v="253"/>
    <s v="California"/>
    <s v="Office Supplies"/>
    <s v="Binders"/>
    <x v="571"/>
  </r>
  <r>
    <x v="557"/>
    <s v="California"/>
    <s v="Office Supplies"/>
    <s v="Binders"/>
    <x v="296"/>
  </r>
  <r>
    <x v="558"/>
    <s v="California"/>
    <s v="Office Supplies"/>
    <s v="Storage"/>
    <x v="775"/>
  </r>
  <r>
    <x v="558"/>
    <s v="California"/>
    <s v="Technology"/>
    <s v="Phones"/>
    <x v="1150"/>
  </r>
  <r>
    <x v="559"/>
    <s v="California"/>
    <s v="Office Supplies"/>
    <s v="Paper"/>
    <x v="1151"/>
  </r>
  <r>
    <x v="559"/>
    <s v="California"/>
    <s v="Office Supplies"/>
    <s v="Binders"/>
    <x v="852"/>
  </r>
  <r>
    <x v="247"/>
    <s v="California"/>
    <s v="Office Supplies"/>
    <s v="Binders"/>
    <x v="1152"/>
  </r>
  <r>
    <x v="220"/>
    <s v="California"/>
    <s v="Office Supplies"/>
    <s v="Fasteners"/>
    <x v="684"/>
  </r>
  <r>
    <x v="34"/>
    <s v="California"/>
    <s v="Office Supplies"/>
    <s v="Storage"/>
    <x v="342"/>
  </r>
  <r>
    <x v="189"/>
    <s v="California"/>
    <s v="Furniture"/>
    <s v="Chairs"/>
    <x v="521"/>
  </r>
  <r>
    <x v="535"/>
    <s v="Washington"/>
    <s v="Office Supplies"/>
    <s v="Art"/>
    <x v="533"/>
  </r>
  <r>
    <x v="560"/>
    <s v="California"/>
    <s v="Furniture"/>
    <s v="Chairs"/>
    <x v="942"/>
  </r>
  <r>
    <x v="560"/>
    <s v="California"/>
    <s v="Technology"/>
    <s v="Accessories"/>
    <x v="1153"/>
  </r>
  <r>
    <x v="560"/>
    <s v="California"/>
    <s v="Office Supplies"/>
    <s v="Labels"/>
    <x v="1154"/>
  </r>
  <r>
    <x v="560"/>
    <s v="California"/>
    <s v="Office Supplies"/>
    <s v="Appliances"/>
    <x v="1155"/>
  </r>
  <r>
    <x v="176"/>
    <s v="California"/>
    <s v="Office Supplies"/>
    <s v="Fasteners"/>
    <x v="347"/>
  </r>
  <r>
    <x v="176"/>
    <s v="California"/>
    <s v="Office Supplies"/>
    <s v="Appliances"/>
    <x v="1059"/>
  </r>
  <r>
    <x v="176"/>
    <s v="California"/>
    <s v="Office Supplies"/>
    <s v="Binders"/>
    <x v="1139"/>
  </r>
  <r>
    <x v="176"/>
    <s v="California"/>
    <s v="Office Supplies"/>
    <s v="Paper"/>
    <x v="1156"/>
  </r>
  <r>
    <x v="176"/>
    <s v="California"/>
    <s v="Office Supplies"/>
    <s v="Binders"/>
    <x v="630"/>
  </r>
  <r>
    <x v="176"/>
    <s v="California"/>
    <s v="Office Supplies"/>
    <s v="Paper"/>
    <x v="573"/>
  </r>
  <r>
    <x v="176"/>
    <s v="California"/>
    <s v="Office Supplies"/>
    <s v="Paper"/>
    <x v="590"/>
  </r>
  <r>
    <x v="225"/>
    <s v="Oregon"/>
    <s v="Office Supplies"/>
    <s v="Binders"/>
    <x v="859"/>
  </r>
  <r>
    <x v="225"/>
    <s v="Oregon"/>
    <s v="Technology"/>
    <s v="Machines"/>
    <x v="1157"/>
  </r>
  <r>
    <x v="559"/>
    <s v="Washington"/>
    <s v="Furniture"/>
    <s v="Furnishings"/>
    <x v="1158"/>
  </r>
  <r>
    <x v="561"/>
    <s v="California"/>
    <s v="Furniture"/>
    <s v="Furnishings"/>
    <x v="1159"/>
  </r>
  <r>
    <x v="357"/>
    <s v="California"/>
    <s v="Office Supplies"/>
    <s v="Art"/>
    <x v="366"/>
  </r>
  <r>
    <x v="562"/>
    <s v="Oregon"/>
    <s v="Office Supplies"/>
    <s v="Supplies"/>
    <x v="394"/>
  </r>
  <r>
    <x v="562"/>
    <s v="Oregon"/>
    <s v="Furniture"/>
    <s v="Chairs"/>
    <x v="1160"/>
  </r>
  <r>
    <x v="562"/>
    <s v="Oregon"/>
    <s v="Office Supplies"/>
    <s v="Paper"/>
    <x v="126"/>
  </r>
  <r>
    <x v="562"/>
    <s v="Oregon"/>
    <s v="Furniture"/>
    <s v="Chairs"/>
    <x v="374"/>
  </r>
  <r>
    <x v="562"/>
    <s v="Oregon"/>
    <s v="Office Supplies"/>
    <s v="Labels"/>
    <x v="1161"/>
  </r>
  <r>
    <x v="562"/>
    <s v="Oregon"/>
    <s v="Office Supplies"/>
    <s v="Paper"/>
    <x v="855"/>
  </r>
  <r>
    <x v="270"/>
    <s v="California"/>
    <s v="Office Supplies"/>
    <s v="Binders"/>
    <x v="187"/>
  </r>
  <r>
    <x v="270"/>
    <s v="California"/>
    <s v="Office Supplies"/>
    <s v="Binders"/>
    <x v="1162"/>
  </r>
  <r>
    <x v="270"/>
    <s v="California"/>
    <s v="Office Supplies"/>
    <s v="Paper"/>
    <x v="1163"/>
  </r>
  <r>
    <x v="72"/>
    <s v="California"/>
    <s v="Technology"/>
    <s v="Machines"/>
    <x v="1164"/>
  </r>
  <r>
    <x v="164"/>
    <s v="California"/>
    <s v="Office Supplies"/>
    <s v="Binders"/>
    <x v="1165"/>
  </r>
  <r>
    <x v="130"/>
    <s v="California"/>
    <s v="Office Supplies"/>
    <s v="Binders"/>
    <x v="1056"/>
  </r>
  <r>
    <x v="246"/>
    <s v="Washington"/>
    <s v="Technology"/>
    <s v="Accessories"/>
    <x v="1166"/>
  </r>
  <r>
    <x v="247"/>
    <s v="California"/>
    <s v="Technology"/>
    <s v="Accessories"/>
    <x v="1167"/>
  </r>
  <r>
    <x v="247"/>
    <s v="California"/>
    <s v="Furniture"/>
    <s v="Chairs"/>
    <x v="1115"/>
  </r>
  <r>
    <x v="247"/>
    <s v="California"/>
    <s v="Office Supplies"/>
    <s v="Envelopes"/>
    <x v="124"/>
  </r>
  <r>
    <x v="226"/>
    <s v="California"/>
    <s v="Furniture"/>
    <s v="Chairs"/>
    <x v="1168"/>
  </r>
  <r>
    <x v="226"/>
    <s v="California"/>
    <s v="Furniture"/>
    <s v="Furnishings"/>
    <x v="1169"/>
  </r>
  <r>
    <x v="437"/>
    <s v="California"/>
    <s v="Office Supplies"/>
    <s v="Storage"/>
    <x v="396"/>
  </r>
  <r>
    <x v="505"/>
    <s v="Washington"/>
    <s v="Office Supplies"/>
    <s v="Binders"/>
    <x v="1170"/>
  </r>
  <r>
    <x v="422"/>
    <s v="California"/>
    <s v="Office Supplies"/>
    <s v="Binders"/>
    <x v="559"/>
  </r>
  <r>
    <x v="422"/>
    <s v="California"/>
    <s v="Office Supplies"/>
    <s v="Binders"/>
    <x v="329"/>
  </r>
  <r>
    <x v="422"/>
    <s v="California"/>
    <s v="Office Supplies"/>
    <s v="Supplies"/>
    <x v="1171"/>
  </r>
  <r>
    <x v="422"/>
    <s v="California"/>
    <s v="Office Supplies"/>
    <s v="Labels"/>
    <x v="1032"/>
  </r>
  <r>
    <x v="323"/>
    <s v="California"/>
    <s v="Furniture"/>
    <s v="Furnishings"/>
    <x v="978"/>
  </r>
  <r>
    <x v="563"/>
    <s v="California"/>
    <s v="Office Supplies"/>
    <s v="Paper"/>
    <x v="337"/>
  </r>
  <r>
    <x v="157"/>
    <s v="Wyoming"/>
    <s v="Furniture"/>
    <s v="Chairs"/>
    <x v="207"/>
  </r>
  <r>
    <x v="14"/>
    <s v="California"/>
    <s v="Technology"/>
    <s v="Accessories"/>
    <x v="213"/>
  </r>
  <r>
    <x v="490"/>
    <s v="California"/>
    <s v="Office Supplies"/>
    <s v="Binders"/>
    <x v="1172"/>
  </r>
  <r>
    <x v="365"/>
    <s v="California"/>
    <s v="Technology"/>
    <s v="Accessories"/>
    <x v="1173"/>
  </r>
  <r>
    <x v="564"/>
    <s v="California"/>
    <s v="Office Supplies"/>
    <s v="Storage"/>
    <x v="491"/>
  </r>
  <r>
    <x v="564"/>
    <s v="California"/>
    <s v="Office Supplies"/>
    <s v="Binders"/>
    <x v="561"/>
  </r>
  <r>
    <x v="541"/>
    <s v="California"/>
    <s v="Office Supplies"/>
    <s v="Binders"/>
    <x v="707"/>
  </r>
  <r>
    <x v="541"/>
    <s v="California"/>
    <s v="Office Supplies"/>
    <s v="Paper"/>
    <x v="1174"/>
  </r>
  <r>
    <x v="62"/>
    <s v="California"/>
    <s v="Office Supplies"/>
    <s v="Paper"/>
    <x v="1175"/>
  </r>
  <r>
    <x v="62"/>
    <s v="California"/>
    <s v="Office Supplies"/>
    <s v="Appliances"/>
    <x v="1176"/>
  </r>
  <r>
    <x v="62"/>
    <s v="California"/>
    <s v="Furniture"/>
    <s v="Furnishings"/>
    <x v="1177"/>
  </r>
  <r>
    <x v="62"/>
    <s v="California"/>
    <s v="Office Supplies"/>
    <s v="Paper"/>
    <x v="488"/>
  </r>
  <r>
    <x v="62"/>
    <s v="California"/>
    <s v="Office Supplies"/>
    <s v="Storage"/>
    <x v="493"/>
  </r>
  <r>
    <x v="62"/>
    <s v="California"/>
    <s v="Office Supplies"/>
    <s v="Binders"/>
    <x v="468"/>
  </r>
  <r>
    <x v="62"/>
    <s v="California"/>
    <s v="Office Supplies"/>
    <s v="Art"/>
    <x v="1178"/>
  </r>
  <r>
    <x v="103"/>
    <s v="California"/>
    <s v="Furniture"/>
    <s v="Furnishings"/>
    <x v="1146"/>
  </r>
  <r>
    <x v="321"/>
    <s v="California"/>
    <s v="Office Supplies"/>
    <s v="Storage"/>
    <x v="1179"/>
  </r>
  <r>
    <x v="291"/>
    <s v="California"/>
    <s v="Furniture"/>
    <s v="Furnishings"/>
    <x v="118"/>
  </r>
  <r>
    <x v="93"/>
    <s v="California"/>
    <s v="Furniture"/>
    <s v="Furnishings"/>
    <x v="1180"/>
  </r>
  <r>
    <x v="93"/>
    <s v="California"/>
    <s v="Furniture"/>
    <s v="Chairs"/>
    <x v="760"/>
  </r>
  <r>
    <x v="93"/>
    <s v="California"/>
    <s v="Office Supplies"/>
    <s v="Binders"/>
    <x v="1002"/>
  </r>
  <r>
    <x v="32"/>
    <s v="Arizona"/>
    <s v="Office Supplies"/>
    <s v="Binders"/>
    <x v="384"/>
  </r>
  <r>
    <x v="32"/>
    <s v="Arizona"/>
    <s v="Office Supplies"/>
    <s v="Binders"/>
    <x v="994"/>
  </r>
  <r>
    <x v="32"/>
    <s v="Arizona"/>
    <s v="Technology"/>
    <s v="Accessories"/>
    <x v="482"/>
  </r>
  <r>
    <x v="452"/>
    <s v="California"/>
    <s v="Technology"/>
    <s v="Phones"/>
    <x v="557"/>
  </r>
  <r>
    <x v="452"/>
    <s v="California"/>
    <s v="Furniture"/>
    <s v="Tables"/>
    <x v="1001"/>
  </r>
  <r>
    <x v="137"/>
    <s v="Washington"/>
    <s v="Office Supplies"/>
    <s v="Art"/>
    <x v="1181"/>
  </r>
  <r>
    <x v="565"/>
    <s v="Washington"/>
    <s v="Furniture"/>
    <s v="Furnishings"/>
    <x v="512"/>
  </r>
  <r>
    <x v="536"/>
    <s v="Washington"/>
    <s v="Furniture"/>
    <s v="Furnishings"/>
    <x v="1182"/>
  </r>
  <r>
    <x v="566"/>
    <s v="California"/>
    <s v="Office Supplies"/>
    <s v="Labels"/>
    <x v="1183"/>
  </r>
  <r>
    <x v="240"/>
    <s v="California"/>
    <s v="Office Supplies"/>
    <s v="Art"/>
    <x v="58"/>
  </r>
  <r>
    <x v="338"/>
    <s v="California"/>
    <s v="Technology"/>
    <s v="Accessories"/>
    <x v="1009"/>
  </r>
  <r>
    <x v="347"/>
    <s v="California"/>
    <s v="Office Supplies"/>
    <s v="Binders"/>
    <x v="442"/>
  </r>
  <r>
    <x v="347"/>
    <s v="California"/>
    <s v="Office Supplies"/>
    <s v="Binders"/>
    <x v="806"/>
  </r>
  <r>
    <x v="486"/>
    <s v="California"/>
    <s v="Technology"/>
    <s v="Phones"/>
    <x v="1184"/>
  </r>
  <r>
    <x v="209"/>
    <s v="New Mexico"/>
    <s v="Office Supplies"/>
    <s v="Envelopes"/>
    <x v="74"/>
  </r>
  <r>
    <x v="5"/>
    <s v="California"/>
    <s v="Office Supplies"/>
    <s v="Binders"/>
    <x v="994"/>
  </r>
  <r>
    <x v="449"/>
    <s v="New Mexico"/>
    <s v="Office Supplies"/>
    <s v="Binders"/>
    <x v="77"/>
  </r>
  <r>
    <x v="305"/>
    <s v="California"/>
    <s v="Office Supplies"/>
    <s v="Supplies"/>
    <x v="816"/>
  </r>
  <r>
    <x v="200"/>
    <s v="California"/>
    <s v="Technology"/>
    <s v="Phones"/>
    <x v="1185"/>
  </r>
  <r>
    <x v="200"/>
    <s v="California"/>
    <s v="Office Supplies"/>
    <s v="Appliances"/>
    <x v="853"/>
  </r>
  <r>
    <x v="66"/>
    <s v="California"/>
    <s v="Technology"/>
    <s v="Accessories"/>
    <x v="229"/>
  </r>
  <r>
    <x v="567"/>
    <s v="California"/>
    <s v="Office Supplies"/>
    <s v="Binders"/>
    <x v="893"/>
  </r>
  <r>
    <x v="135"/>
    <s v="Washington"/>
    <s v="Furniture"/>
    <s v="Furnishings"/>
    <x v="392"/>
  </r>
  <r>
    <x v="568"/>
    <s v="California"/>
    <s v="Office Supplies"/>
    <s v="Appliances"/>
    <x v="234"/>
  </r>
  <r>
    <x v="569"/>
    <s v="California"/>
    <s v="Technology"/>
    <s v="Accessories"/>
    <x v="1186"/>
  </r>
  <r>
    <x v="326"/>
    <s v="Oregon"/>
    <s v="Furniture"/>
    <s v="Chairs"/>
    <x v="271"/>
  </r>
  <r>
    <x v="203"/>
    <s v="California"/>
    <s v="Office Supplies"/>
    <s v="Paper"/>
    <x v="1187"/>
  </r>
  <r>
    <x v="263"/>
    <s v="California"/>
    <s v="Technology"/>
    <s v="Phones"/>
    <x v="1188"/>
  </r>
  <r>
    <x v="263"/>
    <s v="California"/>
    <s v="Furniture"/>
    <s v="Furnishings"/>
    <x v="763"/>
  </r>
  <r>
    <x v="570"/>
    <s v="Oregon"/>
    <s v="Office Supplies"/>
    <s v="Paper"/>
    <x v="1033"/>
  </r>
  <r>
    <x v="571"/>
    <s v="California"/>
    <s v="Technology"/>
    <s v="Accessories"/>
    <x v="1189"/>
  </r>
  <r>
    <x v="571"/>
    <s v="California"/>
    <s v="Furniture"/>
    <s v="Chairs"/>
    <x v="1190"/>
  </r>
  <r>
    <x v="571"/>
    <s v="California"/>
    <s v="Technology"/>
    <s v="Accessories"/>
    <x v="933"/>
  </r>
  <r>
    <x v="193"/>
    <s v="Washington"/>
    <s v="Office Supplies"/>
    <s v="Binders"/>
    <x v="525"/>
  </r>
  <r>
    <x v="572"/>
    <s v="Washington"/>
    <s v="Office Supplies"/>
    <s v="Supplies"/>
    <x v="753"/>
  </r>
  <r>
    <x v="219"/>
    <s v="Washington"/>
    <s v="Furniture"/>
    <s v="Furnishings"/>
    <x v="1191"/>
  </r>
  <r>
    <x v="573"/>
    <s v="California"/>
    <s v="Furniture"/>
    <s v="Chairs"/>
    <x v="1192"/>
  </r>
  <r>
    <x v="574"/>
    <s v="Washington"/>
    <s v="Office Supplies"/>
    <s v="Binders"/>
    <x v="1193"/>
  </r>
  <r>
    <x v="449"/>
    <s v="California"/>
    <s v="Furniture"/>
    <s v="Bookcases"/>
    <x v="818"/>
  </r>
  <r>
    <x v="449"/>
    <s v="California"/>
    <s v="Office Supplies"/>
    <s v="Art"/>
    <x v="526"/>
  </r>
  <r>
    <x v="449"/>
    <s v="California"/>
    <s v="Office Supplies"/>
    <s v="Appliances"/>
    <x v="1176"/>
  </r>
  <r>
    <x v="449"/>
    <s v="California"/>
    <s v="Furniture"/>
    <s v="Furnishings"/>
    <x v="733"/>
  </r>
  <r>
    <x v="375"/>
    <s v="Arizona"/>
    <s v="Technology"/>
    <s v="Phones"/>
    <x v="1194"/>
  </r>
  <r>
    <x v="575"/>
    <s v="Arizona"/>
    <s v="Office Supplies"/>
    <s v="Storage"/>
    <x v="93"/>
  </r>
  <r>
    <x v="576"/>
    <s v="California"/>
    <s v="Furniture"/>
    <s v="Furnishings"/>
    <x v="369"/>
  </r>
  <r>
    <x v="525"/>
    <s v="California"/>
    <s v="Furniture"/>
    <s v="Furnishings"/>
    <x v="392"/>
  </r>
  <r>
    <x v="525"/>
    <s v="California"/>
    <s v="Office Supplies"/>
    <s v="Paper"/>
    <x v="1195"/>
  </r>
  <r>
    <x v="525"/>
    <s v="California"/>
    <s v="Office Supplies"/>
    <s v="Storage"/>
    <x v="1067"/>
  </r>
  <r>
    <x v="525"/>
    <s v="California"/>
    <s v="Office Supplies"/>
    <s v="Envelopes"/>
    <x v="368"/>
  </r>
  <r>
    <x v="290"/>
    <s v="California"/>
    <s v="Office Supplies"/>
    <s v="Art"/>
    <x v="1137"/>
  </r>
  <r>
    <x v="577"/>
    <s v="California"/>
    <s v="Office Supplies"/>
    <s v="Paper"/>
    <x v="1196"/>
  </r>
  <r>
    <x v="577"/>
    <s v="California"/>
    <s v="Office Supplies"/>
    <s v="Paper"/>
    <x v="1197"/>
  </r>
  <r>
    <x v="577"/>
    <s v="California"/>
    <s v="Office Supplies"/>
    <s v="Storage"/>
    <x v="1198"/>
  </r>
  <r>
    <x v="538"/>
    <s v="California"/>
    <s v="Office Supplies"/>
    <s v="Binders"/>
    <x v="391"/>
  </r>
  <r>
    <x v="538"/>
    <s v="California"/>
    <s v="Office Supplies"/>
    <s v="Appliances"/>
    <x v="1199"/>
  </r>
  <r>
    <x v="538"/>
    <s v="California"/>
    <s v="Furniture"/>
    <s v="Furnishings"/>
    <x v="810"/>
  </r>
  <r>
    <x v="538"/>
    <s v="California"/>
    <s v="Office Supplies"/>
    <s v="Binders"/>
    <x v="273"/>
  </r>
  <r>
    <x v="578"/>
    <s v="Colorado"/>
    <s v="Technology"/>
    <s v="Accessories"/>
    <x v="372"/>
  </r>
  <r>
    <x v="371"/>
    <s v="California"/>
    <s v="Technology"/>
    <s v="Accessories"/>
    <x v="667"/>
  </r>
  <r>
    <x v="371"/>
    <s v="California"/>
    <s v="Furniture"/>
    <s v="Furnishings"/>
    <x v="1200"/>
  </r>
  <r>
    <x v="257"/>
    <s v="California"/>
    <s v="Office Supplies"/>
    <s v="Storage"/>
    <x v="982"/>
  </r>
  <r>
    <x v="109"/>
    <s v="California"/>
    <s v="Furniture"/>
    <s v="Tables"/>
    <x v="172"/>
  </r>
  <r>
    <x v="109"/>
    <s v="California"/>
    <s v="Office Supplies"/>
    <s v="Art"/>
    <x v="1201"/>
  </r>
  <r>
    <x v="109"/>
    <s v="California"/>
    <s v="Office Supplies"/>
    <s v="Storage"/>
    <x v="1202"/>
  </r>
  <r>
    <x v="109"/>
    <s v="California"/>
    <s v="Furniture"/>
    <s v="Bookcases"/>
    <x v="70"/>
  </r>
  <r>
    <x v="163"/>
    <s v="California"/>
    <s v="Office Supplies"/>
    <s v="Paper"/>
    <x v="748"/>
  </r>
  <r>
    <x v="437"/>
    <s v="Washington"/>
    <s v="Office Supplies"/>
    <s v="Binders"/>
    <x v="1118"/>
  </r>
  <r>
    <x v="192"/>
    <s v="California"/>
    <s v="Office Supplies"/>
    <s v="Paper"/>
    <x v="749"/>
  </r>
  <r>
    <x v="461"/>
    <s v="Washington"/>
    <s v="Technology"/>
    <s v="Phones"/>
    <x v="623"/>
  </r>
  <r>
    <x v="461"/>
    <s v="Washington"/>
    <s v="Technology"/>
    <s v="Phones"/>
    <x v="1203"/>
  </r>
  <r>
    <x v="461"/>
    <s v="Washington"/>
    <s v="Office Supplies"/>
    <s v="Envelopes"/>
    <x v="1204"/>
  </r>
  <r>
    <x v="461"/>
    <s v="Washington"/>
    <s v="Office Supplies"/>
    <s v="Binders"/>
    <x v="329"/>
  </r>
  <r>
    <x v="461"/>
    <s v="Washington"/>
    <s v="Office Supplies"/>
    <s v="Paper"/>
    <x v="602"/>
  </r>
  <r>
    <x v="461"/>
    <s v="Washington"/>
    <s v="Office Supplies"/>
    <s v="Paper"/>
    <x v="863"/>
  </r>
  <r>
    <x v="461"/>
    <s v="Washington"/>
    <s v="Office Supplies"/>
    <s v="Binders"/>
    <x v="146"/>
  </r>
  <r>
    <x v="579"/>
    <s v="California"/>
    <s v="Technology"/>
    <s v="Phones"/>
    <x v="1205"/>
  </r>
  <r>
    <x v="579"/>
    <s v="California"/>
    <s v="Office Supplies"/>
    <s v="Art"/>
    <x v="1098"/>
  </r>
  <r>
    <x v="579"/>
    <s v="California"/>
    <s v="Office Supplies"/>
    <s v="Paper"/>
    <x v="600"/>
  </r>
  <r>
    <x v="579"/>
    <s v="California"/>
    <s v="Technology"/>
    <s v="Phones"/>
    <x v="1206"/>
  </r>
  <r>
    <x v="579"/>
    <s v="California"/>
    <s v="Office Supplies"/>
    <s v="Fasteners"/>
    <x v="879"/>
  </r>
  <r>
    <x v="579"/>
    <s v="California"/>
    <s v="Office Supplies"/>
    <s v="Binders"/>
    <x v="384"/>
  </r>
  <r>
    <x v="579"/>
    <s v="California"/>
    <s v="Office Supplies"/>
    <s v="Binders"/>
    <x v="643"/>
  </r>
  <r>
    <x v="269"/>
    <s v="California"/>
    <s v="Office Supplies"/>
    <s v="Art"/>
    <x v="287"/>
  </r>
  <r>
    <x v="269"/>
    <s v="California"/>
    <s v="Office Supplies"/>
    <s v="Paper"/>
    <x v="27"/>
  </r>
  <r>
    <x v="269"/>
    <s v="California"/>
    <s v="Furniture"/>
    <s v="Tables"/>
    <x v="611"/>
  </r>
  <r>
    <x v="169"/>
    <s v="California"/>
    <s v="Office Supplies"/>
    <s v="Storage"/>
    <x v="1207"/>
  </r>
  <r>
    <x v="169"/>
    <s v="California"/>
    <s v="Office Supplies"/>
    <s v="Storage"/>
    <x v="1208"/>
  </r>
  <r>
    <x v="328"/>
    <s v="California"/>
    <s v="Office Supplies"/>
    <s v="Binders"/>
    <x v="1209"/>
  </r>
  <r>
    <x v="247"/>
    <s v="California"/>
    <s v="Furniture"/>
    <s v="Chairs"/>
    <x v="1210"/>
  </r>
  <r>
    <x v="134"/>
    <s v="Washington"/>
    <s v="Office Supplies"/>
    <s v="Binders"/>
    <x v="1211"/>
  </r>
  <r>
    <x v="134"/>
    <s v="Washington"/>
    <s v="Office Supplies"/>
    <s v="Appliances"/>
    <x v="777"/>
  </r>
  <r>
    <x v="134"/>
    <s v="Washington"/>
    <s v="Office Supplies"/>
    <s v="Paper"/>
    <x v="280"/>
  </r>
  <r>
    <x v="134"/>
    <s v="Washington"/>
    <s v="Office Supplies"/>
    <s v="Appliances"/>
    <x v="1212"/>
  </r>
  <r>
    <x v="134"/>
    <s v="Washington"/>
    <s v="Technology"/>
    <s v="Accessories"/>
    <x v="359"/>
  </r>
  <r>
    <x v="540"/>
    <s v="California"/>
    <s v="Office Supplies"/>
    <s v="Paper"/>
    <x v="471"/>
  </r>
  <r>
    <x v="580"/>
    <s v="Colorado"/>
    <s v="Office Supplies"/>
    <s v="Storage"/>
    <x v="401"/>
  </r>
  <r>
    <x v="580"/>
    <s v="Colorado"/>
    <s v="Technology"/>
    <s v="Accessories"/>
    <x v="1213"/>
  </r>
  <r>
    <x v="580"/>
    <s v="Colorado"/>
    <s v="Technology"/>
    <s v="Phones"/>
    <x v="429"/>
  </r>
  <r>
    <x v="96"/>
    <s v="Washington"/>
    <s v="Furniture"/>
    <s v="Furnishings"/>
    <x v="1214"/>
  </r>
  <r>
    <x v="96"/>
    <s v="Washington"/>
    <s v="Technology"/>
    <s v="Phones"/>
    <x v="67"/>
  </r>
  <r>
    <x v="96"/>
    <s v="Washington"/>
    <s v="Technology"/>
    <s v="Accessories"/>
    <x v="519"/>
  </r>
  <r>
    <x v="10"/>
    <s v="Oregon"/>
    <s v="Furniture"/>
    <s v="Chairs"/>
    <x v="815"/>
  </r>
  <r>
    <x v="202"/>
    <s v="California"/>
    <s v="Office Supplies"/>
    <s v="Binders"/>
    <x v="17"/>
  </r>
  <r>
    <x v="202"/>
    <s v="California"/>
    <s v="Office Supplies"/>
    <s v="Art"/>
    <x v="1215"/>
  </r>
  <r>
    <x v="202"/>
    <s v="California"/>
    <s v="Office Supplies"/>
    <s v="Paper"/>
    <x v="1033"/>
  </r>
  <r>
    <x v="202"/>
    <s v="California"/>
    <s v="Technology"/>
    <s v="Accessories"/>
    <x v="1216"/>
  </r>
  <r>
    <x v="202"/>
    <s v="California"/>
    <s v="Furniture"/>
    <s v="Chairs"/>
    <x v="1217"/>
  </r>
  <r>
    <x v="202"/>
    <s v="California"/>
    <s v="Office Supplies"/>
    <s v="Binders"/>
    <x v="1132"/>
  </r>
  <r>
    <x v="202"/>
    <s v="California"/>
    <s v="Office Supplies"/>
    <s v="Binders"/>
    <x v="779"/>
  </r>
  <r>
    <x v="202"/>
    <s v="California"/>
    <s v="Furniture"/>
    <s v="Tables"/>
    <x v="508"/>
  </r>
  <r>
    <x v="202"/>
    <s v="California"/>
    <s v="Office Supplies"/>
    <s v="Storage"/>
    <x v="598"/>
  </r>
  <r>
    <x v="202"/>
    <s v="California"/>
    <s v="Office Supplies"/>
    <s v="Appliances"/>
    <x v="490"/>
  </r>
  <r>
    <x v="202"/>
    <s v="California"/>
    <s v="Office Supplies"/>
    <s v="Binders"/>
    <x v="1218"/>
  </r>
  <r>
    <x v="581"/>
    <s v="California"/>
    <s v="Furniture"/>
    <s v="Furnishings"/>
    <x v="1072"/>
  </r>
  <r>
    <x v="581"/>
    <s v="California"/>
    <s v="Office Supplies"/>
    <s v="Appliances"/>
    <x v="974"/>
  </r>
  <r>
    <x v="516"/>
    <s v="California"/>
    <s v="Office Supplies"/>
    <s v="Binders"/>
    <x v="195"/>
  </r>
  <r>
    <x v="516"/>
    <s v="California"/>
    <s v="Furniture"/>
    <s v="Tables"/>
    <x v="765"/>
  </r>
  <r>
    <x v="582"/>
    <s v="California"/>
    <s v="Office Supplies"/>
    <s v="Art"/>
    <x v="212"/>
  </r>
  <r>
    <x v="363"/>
    <s v="California"/>
    <s v="Furniture"/>
    <s v="Chairs"/>
    <x v="1168"/>
  </r>
  <r>
    <x v="363"/>
    <s v="California"/>
    <s v="Office Supplies"/>
    <s v="Storage"/>
    <x v="661"/>
  </r>
  <r>
    <x v="57"/>
    <s v="California"/>
    <s v="Furniture"/>
    <s v="Furnishings"/>
    <x v="845"/>
  </r>
  <r>
    <x v="583"/>
    <s v="Oregon"/>
    <s v="Furniture"/>
    <s v="Tables"/>
    <x v="509"/>
  </r>
  <r>
    <x v="583"/>
    <s v="Oregon"/>
    <s v="Office Supplies"/>
    <s v="Appliances"/>
    <x v="1219"/>
  </r>
  <r>
    <x v="519"/>
    <s v="California"/>
    <s v="Furniture"/>
    <s v="Chairs"/>
    <x v="506"/>
  </r>
  <r>
    <x v="177"/>
    <s v="California"/>
    <s v="Technology"/>
    <s v="Accessories"/>
    <x v="365"/>
  </r>
  <r>
    <x v="584"/>
    <s v="California"/>
    <s v="Furniture"/>
    <s v="Tables"/>
    <x v="1031"/>
  </r>
  <r>
    <x v="219"/>
    <s v="Washington"/>
    <s v="Office Supplies"/>
    <s v="Storage"/>
    <x v="775"/>
  </r>
  <r>
    <x v="94"/>
    <s v="New Mexico"/>
    <s v="Office Supplies"/>
    <s v="Binders"/>
    <x v="329"/>
  </r>
  <r>
    <x v="94"/>
    <s v="New Mexico"/>
    <s v="Office Supplies"/>
    <s v="Binders"/>
    <x v="905"/>
  </r>
  <r>
    <x v="158"/>
    <s v="California"/>
    <s v="Office Supplies"/>
    <s v="Paper"/>
    <x v="1220"/>
  </r>
  <r>
    <x v="158"/>
    <s v="California"/>
    <s v="Furniture"/>
    <s v="Furnishings"/>
    <x v="1221"/>
  </r>
  <r>
    <x v="158"/>
    <s v="California"/>
    <s v="Office Supplies"/>
    <s v="Supplies"/>
    <x v="996"/>
  </r>
  <r>
    <x v="287"/>
    <s v="California"/>
    <s v="Technology"/>
    <s v="Accessories"/>
    <x v="1222"/>
  </r>
  <r>
    <x v="287"/>
    <s v="California"/>
    <s v="Technology"/>
    <s v="Accessories"/>
    <x v="446"/>
  </r>
  <r>
    <x v="287"/>
    <s v="California"/>
    <s v="Furniture"/>
    <s v="Furnishings"/>
    <x v="1146"/>
  </r>
  <r>
    <x v="106"/>
    <s v="Oregon"/>
    <s v="Office Supplies"/>
    <s v="Binders"/>
    <x v="178"/>
  </r>
  <r>
    <x v="106"/>
    <s v="Oregon"/>
    <s v="Office Supplies"/>
    <s v="Art"/>
    <x v="1223"/>
  </r>
  <r>
    <x v="106"/>
    <s v="Oregon"/>
    <s v="Office Supplies"/>
    <s v="Paper"/>
    <x v="1224"/>
  </r>
  <r>
    <x v="106"/>
    <s v="Oregon"/>
    <s v="Technology"/>
    <s v="Accessories"/>
    <x v="1005"/>
  </r>
  <r>
    <x v="106"/>
    <s v="Oregon"/>
    <s v="Furniture"/>
    <s v="Tables"/>
    <x v="618"/>
  </r>
  <r>
    <x v="106"/>
    <s v="Oregon"/>
    <s v="Office Supplies"/>
    <s v="Labels"/>
    <x v="434"/>
  </r>
  <r>
    <x v="106"/>
    <s v="Oregon"/>
    <s v="Technology"/>
    <s v="Phones"/>
    <x v="1043"/>
  </r>
  <r>
    <x v="46"/>
    <s v="California"/>
    <s v="Technology"/>
    <s v="Phones"/>
    <x v="144"/>
  </r>
  <r>
    <x v="171"/>
    <s v="Arizona"/>
    <s v="Furniture"/>
    <s v="Tables"/>
    <x v="795"/>
  </r>
  <r>
    <x v="171"/>
    <s v="Arizona"/>
    <s v="Office Supplies"/>
    <s v="Binders"/>
    <x v="951"/>
  </r>
  <r>
    <x v="171"/>
    <s v="Arizona"/>
    <s v="Office Supplies"/>
    <s v="Binders"/>
    <x v="516"/>
  </r>
  <r>
    <x v="17"/>
    <s v="Oregon"/>
    <s v="Office Supplies"/>
    <s v="Binders"/>
    <x v="1225"/>
  </r>
  <r>
    <x v="17"/>
    <s v="Oregon"/>
    <s v="Furniture"/>
    <s v="Furnishings"/>
    <x v="1214"/>
  </r>
  <r>
    <x v="17"/>
    <s v="Oregon"/>
    <s v="Furniture"/>
    <s v="Furnishings"/>
    <x v="266"/>
  </r>
  <r>
    <x v="128"/>
    <s v="Washington"/>
    <s v="Office Supplies"/>
    <s v="Binders"/>
    <x v="1170"/>
  </r>
  <r>
    <x v="128"/>
    <s v="Washington"/>
    <s v="Technology"/>
    <s v="Machines"/>
    <x v="1226"/>
  </r>
  <r>
    <x v="182"/>
    <s v="California"/>
    <s v="Furniture"/>
    <s v="Furnishings"/>
    <x v="1227"/>
  </r>
  <r>
    <x v="182"/>
    <s v="California"/>
    <s v="Furniture"/>
    <s v="Furnishings"/>
    <x v="1180"/>
  </r>
  <r>
    <x v="53"/>
    <s v="Washington"/>
    <s v="Office Supplies"/>
    <s v="Art"/>
    <x v="642"/>
  </r>
  <r>
    <x v="53"/>
    <s v="Washington"/>
    <s v="Office Supplies"/>
    <s v="Paper"/>
    <x v="921"/>
  </r>
  <r>
    <x v="53"/>
    <s v="Washington"/>
    <s v="Office Supplies"/>
    <s v="Art"/>
    <x v="1228"/>
  </r>
  <r>
    <x v="53"/>
    <s v="Washington"/>
    <s v="Office Supplies"/>
    <s v="Storage"/>
    <x v="424"/>
  </r>
  <r>
    <x v="53"/>
    <s v="Washington"/>
    <s v="Office Supplies"/>
    <s v="Paper"/>
    <x v="987"/>
  </r>
  <r>
    <x v="53"/>
    <s v="Washington"/>
    <s v="Office Supplies"/>
    <s v="Envelopes"/>
    <x v="74"/>
  </r>
  <r>
    <x v="53"/>
    <s v="Washington"/>
    <s v="Office Supplies"/>
    <s v="Storage"/>
    <x v="651"/>
  </r>
  <r>
    <x v="585"/>
    <s v="Washington"/>
    <s v="Office Supplies"/>
    <s v="Paper"/>
    <x v="807"/>
  </r>
  <r>
    <x v="272"/>
    <s v="California"/>
    <s v="Furniture"/>
    <s v="Furnishings"/>
    <x v="282"/>
  </r>
  <r>
    <x v="272"/>
    <s v="California"/>
    <s v="Office Supplies"/>
    <s v="Envelopes"/>
    <x v="74"/>
  </r>
  <r>
    <x v="95"/>
    <s v="California"/>
    <s v="Technology"/>
    <s v="Phones"/>
    <x v="1229"/>
  </r>
  <r>
    <x v="95"/>
    <s v="California"/>
    <s v="Office Supplies"/>
    <s v="Paper"/>
    <x v="0"/>
  </r>
  <r>
    <x v="95"/>
    <s v="California"/>
    <s v="Technology"/>
    <s v="Accessories"/>
    <x v="1222"/>
  </r>
  <r>
    <x v="281"/>
    <s v="Washington"/>
    <s v="Furniture"/>
    <s v="Chairs"/>
    <x v="1230"/>
  </r>
  <r>
    <x v="281"/>
    <s v="Washington"/>
    <s v="Furniture"/>
    <s v="Tables"/>
    <x v="1231"/>
  </r>
  <r>
    <x v="224"/>
    <s v="Arizona"/>
    <s v="Furniture"/>
    <s v="Tables"/>
    <x v="140"/>
  </r>
  <r>
    <x v="224"/>
    <s v="Arizona"/>
    <s v="Technology"/>
    <s v="Machines"/>
    <x v="1232"/>
  </r>
  <r>
    <x v="224"/>
    <s v="Arizona"/>
    <s v="Technology"/>
    <s v="Accessories"/>
    <x v="134"/>
  </r>
  <r>
    <x v="224"/>
    <s v="Arizona"/>
    <s v="Technology"/>
    <s v="Accessories"/>
    <x v="1233"/>
  </r>
  <r>
    <x v="224"/>
    <s v="Arizona"/>
    <s v="Furniture"/>
    <s v="Chairs"/>
    <x v="971"/>
  </r>
  <r>
    <x v="237"/>
    <s v="Washington"/>
    <s v="Office Supplies"/>
    <s v="Paper"/>
    <x v="1234"/>
  </r>
  <r>
    <x v="245"/>
    <s v="Colorado"/>
    <s v="Office Supplies"/>
    <s v="Appliances"/>
    <x v="1212"/>
  </r>
  <r>
    <x v="504"/>
    <s v="Colorado"/>
    <s v="Office Supplies"/>
    <s v="Art"/>
    <x v="1111"/>
  </r>
  <r>
    <x v="153"/>
    <s v="California"/>
    <s v="Office Supplies"/>
    <s v="Supplies"/>
    <x v="1060"/>
  </r>
  <r>
    <x v="153"/>
    <s v="California"/>
    <s v="Technology"/>
    <s v="Phones"/>
    <x v="152"/>
  </r>
  <r>
    <x v="153"/>
    <s v="California"/>
    <s v="Furniture"/>
    <s v="Chairs"/>
    <x v="1235"/>
  </r>
  <r>
    <x v="153"/>
    <s v="California"/>
    <s v="Office Supplies"/>
    <s v="Appliances"/>
    <x v="1236"/>
  </r>
  <r>
    <x v="153"/>
    <s v="California"/>
    <s v="Furniture"/>
    <s v="Tables"/>
    <x v="509"/>
  </r>
  <r>
    <x v="153"/>
    <s v="California"/>
    <s v="Office Supplies"/>
    <s v="Art"/>
    <x v="122"/>
  </r>
  <r>
    <x v="107"/>
    <s v="California"/>
    <s v="Office Supplies"/>
    <s v="Labels"/>
    <x v="884"/>
  </r>
  <r>
    <x v="560"/>
    <s v="California"/>
    <s v="Office Supplies"/>
    <s v="Binders"/>
    <x v="1025"/>
  </r>
  <r>
    <x v="114"/>
    <s v="Oregon"/>
    <s v="Office Supplies"/>
    <s v="Envelopes"/>
    <x v="1237"/>
  </r>
  <r>
    <x v="586"/>
    <s v="California"/>
    <s v="Office Supplies"/>
    <s v="Storage"/>
    <x v="1238"/>
  </r>
  <r>
    <x v="586"/>
    <s v="California"/>
    <s v="Office Supplies"/>
    <s v="Supplies"/>
    <x v="1239"/>
  </r>
  <r>
    <x v="343"/>
    <s v="California"/>
    <s v="Office Supplies"/>
    <s v="Storage"/>
    <x v="1240"/>
  </r>
  <r>
    <x v="343"/>
    <s v="California"/>
    <s v="Office Supplies"/>
    <s v="Binders"/>
    <x v="708"/>
  </r>
  <r>
    <x v="261"/>
    <s v="Nevada"/>
    <s v="Office Supplies"/>
    <s v="Art"/>
    <x v="1106"/>
  </r>
  <r>
    <x v="261"/>
    <s v="Nevada"/>
    <s v="Office Supplies"/>
    <s v="Binders"/>
    <x v="773"/>
  </r>
  <r>
    <x v="551"/>
    <s v="California"/>
    <s v="Technology"/>
    <s v="Phones"/>
    <x v="1150"/>
  </r>
  <r>
    <x v="331"/>
    <s v="California"/>
    <s v="Office Supplies"/>
    <s v="Binders"/>
    <x v="1241"/>
  </r>
  <r>
    <x v="82"/>
    <s v="California"/>
    <s v="Furniture"/>
    <s v="Furnishings"/>
    <x v="586"/>
  </r>
  <r>
    <x v="587"/>
    <s v="California"/>
    <s v="Technology"/>
    <s v="Accessories"/>
    <x v="1153"/>
  </r>
  <r>
    <x v="588"/>
    <s v="California"/>
    <s v="Office Supplies"/>
    <s v="Paper"/>
    <x v="1128"/>
  </r>
  <r>
    <x v="589"/>
    <s v="California"/>
    <s v="Office Supplies"/>
    <s v="Binders"/>
    <x v="1242"/>
  </r>
  <r>
    <x v="589"/>
    <s v="California"/>
    <s v="Office Supplies"/>
    <s v="Art"/>
    <x v="1243"/>
  </r>
  <r>
    <x v="590"/>
    <s v="California"/>
    <s v="Office Supplies"/>
    <s v="Storage"/>
    <x v="193"/>
  </r>
  <r>
    <x v="590"/>
    <s v="California"/>
    <s v="Office Supplies"/>
    <s v="Storage"/>
    <x v="339"/>
  </r>
  <r>
    <x v="590"/>
    <s v="California"/>
    <s v="Office Supplies"/>
    <s v="Supplies"/>
    <x v="780"/>
  </r>
  <r>
    <x v="590"/>
    <s v="California"/>
    <s v="Office Supplies"/>
    <s v="Fasteners"/>
    <x v="16"/>
  </r>
  <r>
    <x v="481"/>
    <s v="Washington"/>
    <s v="Furniture"/>
    <s v="Tables"/>
    <x v="1244"/>
  </r>
  <r>
    <x v="313"/>
    <s v="California"/>
    <s v="Office Supplies"/>
    <s v="Envelopes"/>
    <x v="74"/>
  </r>
  <r>
    <x v="562"/>
    <s v="Colorado"/>
    <s v="Technology"/>
    <s v="Accessories"/>
    <x v="937"/>
  </r>
  <r>
    <x v="562"/>
    <s v="Colorado"/>
    <s v="Office Supplies"/>
    <s v="Storage"/>
    <x v="711"/>
  </r>
  <r>
    <x v="591"/>
    <s v="California"/>
    <s v="Office Supplies"/>
    <s v="Paper"/>
    <x v="627"/>
  </r>
  <r>
    <x v="592"/>
    <s v="California"/>
    <s v="Office Supplies"/>
    <s v="Art"/>
    <x v="115"/>
  </r>
  <r>
    <x v="116"/>
    <s v="California"/>
    <s v="Furniture"/>
    <s v="Furnishings"/>
    <x v="150"/>
  </r>
  <r>
    <x v="116"/>
    <s v="California"/>
    <s v="Furniture"/>
    <s v="Tables"/>
    <x v="1245"/>
  </r>
  <r>
    <x v="166"/>
    <s v="California"/>
    <s v="Technology"/>
    <s v="Phones"/>
    <x v="388"/>
  </r>
  <r>
    <x v="127"/>
    <s v="California"/>
    <s v="Office Supplies"/>
    <s v="Art"/>
    <x v="162"/>
  </r>
  <r>
    <x v="127"/>
    <s v="California"/>
    <s v="Technology"/>
    <s v="Phones"/>
    <x v="1246"/>
  </r>
  <r>
    <x v="101"/>
    <s v="Washington"/>
    <s v="Office Supplies"/>
    <s v="Storage"/>
    <x v="46"/>
  </r>
  <r>
    <x v="101"/>
    <s v="Washington"/>
    <s v="Technology"/>
    <s v="Accessories"/>
    <x v="380"/>
  </r>
  <r>
    <x v="101"/>
    <s v="Washington"/>
    <s v="Office Supplies"/>
    <s v="Binders"/>
    <x v="1247"/>
  </r>
  <r>
    <x v="101"/>
    <s v="Washington"/>
    <s v="Office Supplies"/>
    <s v="Binders"/>
    <x v="64"/>
  </r>
  <r>
    <x v="101"/>
    <s v="Washington"/>
    <s v="Furniture"/>
    <s v="Bookcases"/>
    <x v="1248"/>
  </r>
  <r>
    <x v="101"/>
    <s v="Washington"/>
    <s v="Office Supplies"/>
    <s v="Binders"/>
    <x v="1025"/>
  </r>
  <r>
    <x v="593"/>
    <s v="Montana"/>
    <s v="Technology"/>
    <s v="Copiers"/>
    <x v="1249"/>
  </r>
  <r>
    <x v="593"/>
    <s v="Montana"/>
    <s v="Office Supplies"/>
    <s v="Storage"/>
    <x v="545"/>
  </r>
  <r>
    <x v="593"/>
    <s v="Montana"/>
    <s v="Office Supplies"/>
    <s v="Paper"/>
    <x v="259"/>
  </r>
  <r>
    <x v="593"/>
    <s v="Montana"/>
    <s v="Office Supplies"/>
    <s v="Storage"/>
    <x v="1250"/>
  </r>
  <r>
    <x v="420"/>
    <s v="Washington"/>
    <s v="Office Supplies"/>
    <s v="Binders"/>
    <x v="783"/>
  </r>
  <r>
    <x v="420"/>
    <s v="Washington"/>
    <s v="Office Supplies"/>
    <s v="Paper"/>
    <x v="1251"/>
  </r>
  <r>
    <x v="420"/>
    <s v="Washington"/>
    <s v="Office Supplies"/>
    <s v="Paper"/>
    <x v="1196"/>
  </r>
  <r>
    <x v="420"/>
    <s v="Washington"/>
    <s v="Technology"/>
    <s v="Phones"/>
    <x v="65"/>
  </r>
  <r>
    <x v="64"/>
    <s v="Arizona"/>
    <s v="Technology"/>
    <s v="Accessories"/>
    <x v="666"/>
  </r>
  <r>
    <x v="64"/>
    <s v="Arizona"/>
    <s v="Office Supplies"/>
    <s v="Binders"/>
    <x v="232"/>
  </r>
  <r>
    <x v="538"/>
    <s v="California"/>
    <s v="Office Supplies"/>
    <s v="Appliances"/>
    <x v="1092"/>
  </r>
  <r>
    <x v="538"/>
    <s v="California"/>
    <s v="Office Supplies"/>
    <s v="Binders"/>
    <x v="1105"/>
  </r>
  <r>
    <x v="538"/>
    <s v="California"/>
    <s v="Technology"/>
    <s v="Phones"/>
    <x v="873"/>
  </r>
  <r>
    <x v="594"/>
    <s v="California"/>
    <s v="Office Supplies"/>
    <s v="Fasteners"/>
    <x v="87"/>
  </r>
  <r>
    <x v="59"/>
    <s v="California"/>
    <s v="Technology"/>
    <s v="Accessories"/>
    <x v="1252"/>
  </r>
  <r>
    <x v="59"/>
    <s v="California"/>
    <s v="Furniture"/>
    <s v="Furnishings"/>
    <x v="1253"/>
  </r>
  <r>
    <x v="222"/>
    <s v="California"/>
    <s v="Office Supplies"/>
    <s v="Art"/>
    <x v="1254"/>
  </r>
  <r>
    <x v="222"/>
    <s v="California"/>
    <s v="Office Supplies"/>
    <s v="Supplies"/>
    <x v="484"/>
  </r>
  <r>
    <x v="222"/>
    <s v="California"/>
    <s v="Office Supplies"/>
    <s v="Binders"/>
    <x v="200"/>
  </r>
  <r>
    <x v="595"/>
    <s v="California"/>
    <s v="Office Supplies"/>
    <s v="Storage"/>
    <x v="1255"/>
  </r>
  <r>
    <x v="188"/>
    <s v="California"/>
    <s v="Office Supplies"/>
    <s v="Art"/>
    <x v="1106"/>
  </r>
  <r>
    <x v="188"/>
    <s v="California"/>
    <s v="Office Supplies"/>
    <s v="Art"/>
    <x v="1178"/>
  </r>
  <r>
    <x v="188"/>
    <s v="California"/>
    <s v="Furniture"/>
    <s v="Chairs"/>
    <x v="464"/>
  </r>
  <r>
    <x v="526"/>
    <s v="Washington"/>
    <s v="Technology"/>
    <s v="Phones"/>
    <x v="152"/>
  </r>
  <r>
    <x v="55"/>
    <s v="California"/>
    <s v="Furniture"/>
    <s v="Furnishings"/>
    <x v="1054"/>
  </r>
  <r>
    <x v="55"/>
    <s v="California"/>
    <s v="Office Supplies"/>
    <s v="Storage"/>
    <x v="1256"/>
  </r>
  <r>
    <x v="55"/>
    <s v="California"/>
    <s v="Office Supplies"/>
    <s v="Appliances"/>
    <x v="1212"/>
  </r>
  <r>
    <x v="477"/>
    <s v="California"/>
    <s v="Furniture"/>
    <s v="Furnishings"/>
    <x v="1257"/>
  </r>
  <r>
    <x v="477"/>
    <s v="California"/>
    <s v="Office Supplies"/>
    <s v="Binders"/>
    <x v="270"/>
  </r>
  <r>
    <x v="477"/>
    <s v="California"/>
    <s v="Technology"/>
    <s v="Machines"/>
    <x v="1258"/>
  </r>
  <r>
    <x v="179"/>
    <s v="California"/>
    <s v="Office Supplies"/>
    <s v="Appliances"/>
    <x v="792"/>
  </r>
  <r>
    <x v="179"/>
    <s v="California"/>
    <s v="Technology"/>
    <s v="Phones"/>
    <x v="929"/>
  </r>
  <r>
    <x v="336"/>
    <s v="California"/>
    <s v="Office Supplies"/>
    <s v="Paper"/>
    <x v="1259"/>
  </r>
  <r>
    <x v="14"/>
    <s v="California"/>
    <s v="Furniture"/>
    <s v="Furnishings"/>
    <x v="1260"/>
  </r>
  <r>
    <x v="596"/>
    <s v="California"/>
    <s v="Office Supplies"/>
    <s v="Storage"/>
    <x v="1125"/>
  </r>
  <r>
    <x v="583"/>
    <s v="California"/>
    <s v="Furniture"/>
    <s v="Bookcases"/>
    <x v="450"/>
  </r>
  <r>
    <x v="275"/>
    <s v="California"/>
    <s v="Office Supplies"/>
    <s v="Binders"/>
    <x v="195"/>
  </r>
  <r>
    <x v="378"/>
    <s v="Washington"/>
    <s v="Furniture"/>
    <s v="Chairs"/>
    <x v="40"/>
  </r>
  <r>
    <x v="378"/>
    <s v="Washington"/>
    <s v="Technology"/>
    <s v="Phones"/>
    <x v="628"/>
  </r>
  <r>
    <x v="597"/>
    <s v="Washington"/>
    <s v="Office Supplies"/>
    <s v="Art"/>
    <x v="657"/>
  </r>
  <r>
    <x v="597"/>
    <s v="Washington"/>
    <s v="Technology"/>
    <s v="Accessories"/>
    <x v="1149"/>
  </r>
  <r>
    <x v="597"/>
    <s v="Washington"/>
    <s v="Furniture"/>
    <s v="Furnishings"/>
    <x v="1261"/>
  </r>
  <r>
    <x v="524"/>
    <s v="California"/>
    <s v="Technology"/>
    <s v="Phones"/>
    <x v="1069"/>
  </r>
  <r>
    <x v="524"/>
    <s v="California"/>
    <s v="Technology"/>
    <s v="Accessories"/>
    <x v="726"/>
  </r>
  <r>
    <x v="524"/>
    <s v="California"/>
    <s v="Office Supplies"/>
    <s v="Labels"/>
    <x v="1262"/>
  </r>
  <r>
    <x v="385"/>
    <s v="Washington"/>
    <s v="Office Supplies"/>
    <s v="Fasteners"/>
    <x v="1263"/>
  </r>
  <r>
    <x v="128"/>
    <s v="California"/>
    <s v="Office Supplies"/>
    <s v="Art"/>
    <x v="913"/>
  </r>
  <r>
    <x v="128"/>
    <s v="California"/>
    <s v="Furniture"/>
    <s v="Furnishings"/>
    <x v="226"/>
  </r>
  <r>
    <x v="598"/>
    <s v="California"/>
    <s v="Furniture"/>
    <s v="Furnishings"/>
    <x v="518"/>
  </r>
  <r>
    <x v="598"/>
    <s v="California"/>
    <s v="Technology"/>
    <s v="Phones"/>
    <x v="472"/>
  </r>
  <r>
    <x v="253"/>
    <s v="Colorado"/>
    <s v="Office Supplies"/>
    <s v="Fasteners"/>
    <x v="16"/>
  </r>
  <r>
    <x v="433"/>
    <s v="Arizona"/>
    <s v="Technology"/>
    <s v="Phones"/>
    <x v="423"/>
  </r>
  <r>
    <x v="433"/>
    <s v="Arizona"/>
    <s v="Technology"/>
    <s v="Accessories"/>
    <x v="1264"/>
  </r>
  <r>
    <x v="433"/>
    <s v="Arizona"/>
    <s v="Office Supplies"/>
    <s v="Storage"/>
    <x v="1265"/>
  </r>
  <r>
    <x v="433"/>
    <s v="Arizona"/>
    <s v="Office Supplies"/>
    <s v="Envelopes"/>
    <x v="357"/>
  </r>
  <r>
    <x v="433"/>
    <s v="Arizona"/>
    <s v="Furniture"/>
    <s v="Furnishings"/>
    <x v="679"/>
  </r>
  <r>
    <x v="433"/>
    <s v="Arizona"/>
    <s v="Furniture"/>
    <s v="Tables"/>
    <x v="148"/>
  </r>
  <r>
    <x v="262"/>
    <s v="California"/>
    <s v="Office Supplies"/>
    <s v="Paper"/>
    <x v="1044"/>
  </r>
  <r>
    <x v="599"/>
    <s v="Washington"/>
    <s v="Office Supplies"/>
    <s v="Fasteners"/>
    <x v="828"/>
  </r>
  <r>
    <x v="599"/>
    <s v="Washington"/>
    <s v="Technology"/>
    <s v="Phones"/>
    <x v="723"/>
  </r>
  <r>
    <x v="73"/>
    <s v="California"/>
    <s v="Office Supplies"/>
    <s v="Appliances"/>
    <x v="762"/>
  </r>
  <r>
    <x v="73"/>
    <s v="California"/>
    <s v="Technology"/>
    <s v="Phones"/>
    <x v="423"/>
  </r>
  <r>
    <x v="73"/>
    <s v="California"/>
    <s v="Furniture"/>
    <s v="Chairs"/>
    <x v="112"/>
  </r>
  <r>
    <x v="73"/>
    <s v="California"/>
    <s v="Office Supplies"/>
    <s v="Paper"/>
    <x v="1266"/>
  </r>
  <r>
    <x v="73"/>
    <s v="California"/>
    <s v="Office Supplies"/>
    <s v="Paper"/>
    <x v="1267"/>
  </r>
  <r>
    <x v="527"/>
    <s v="California"/>
    <s v="Office Supplies"/>
    <s v="Appliances"/>
    <x v="267"/>
  </r>
  <r>
    <x v="19"/>
    <s v="California"/>
    <s v="Furniture"/>
    <s v="Furnishings"/>
    <x v="80"/>
  </r>
  <r>
    <x v="19"/>
    <s v="California"/>
    <s v="Technology"/>
    <s v="Phones"/>
    <x v="616"/>
  </r>
  <r>
    <x v="19"/>
    <s v="California"/>
    <s v="Office Supplies"/>
    <s v="Paper"/>
    <x v="560"/>
  </r>
  <r>
    <x v="403"/>
    <s v="California"/>
    <s v="Technology"/>
    <s v="Phones"/>
    <x v="1268"/>
  </r>
  <r>
    <x v="403"/>
    <s v="California"/>
    <s v="Technology"/>
    <s v="Accessories"/>
    <x v="1252"/>
  </r>
  <r>
    <x v="376"/>
    <s v="California"/>
    <s v="Office Supplies"/>
    <s v="Binders"/>
    <x v="36"/>
  </r>
  <r>
    <x v="6"/>
    <s v="California"/>
    <s v="Technology"/>
    <s v="Accessories"/>
    <x v="1269"/>
  </r>
  <r>
    <x v="6"/>
    <s v="California"/>
    <s v="Furniture"/>
    <s v="Chairs"/>
    <x v="688"/>
  </r>
  <r>
    <x v="306"/>
    <s v="California"/>
    <s v="Furniture"/>
    <s v="Tables"/>
    <x v="1245"/>
  </r>
  <r>
    <x v="571"/>
    <s v="California"/>
    <s v="Office Supplies"/>
    <s v="Art"/>
    <x v="1270"/>
  </r>
  <r>
    <x v="571"/>
    <s v="California"/>
    <s v="Office Supplies"/>
    <s v="Envelopes"/>
    <x v="1271"/>
  </r>
  <r>
    <x v="103"/>
    <s v="California"/>
    <s v="Office Supplies"/>
    <s v="Binders"/>
    <x v="1272"/>
  </r>
  <r>
    <x v="245"/>
    <s v="California"/>
    <s v="Office Supplies"/>
    <s v="Storage"/>
    <x v="338"/>
  </r>
  <r>
    <x v="381"/>
    <s v="California"/>
    <s v="Office Supplies"/>
    <s v="Art"/>
    <x v="1273"/>
  </r>
  <r>
    <x v="381"/>
    <s v="California"/>
    <s v="Office Supplies"/>
    <s v="Labels"/>
    <x v="182"/>
  </r>
  <r>
    <x v="381"/>
    <s v="California"/>
    <s v="Office Supplies"/>
    <s v="Paper"/>
    <x v="476"/>
  </r>
  <r>
    <x v="381"/>
    <s v="California"/>
    <s v="Technology"/>
    <s v="Phones"/>
    <x v="1274"/>
  </r>
  <r>
    <x v="230"/>
    <s v="California"/>
    <s v="Office Supplies"/>
    <s v="Binders"/>
    <x v="145"/>
  </r>
  <r>
    <x v="230"/>
    <s v="California"/>
    <s v="Office Supplies"/>
    <s v="Art"/>
    <x v="757"/>
  </r>
  <r>
    <x v="480"/>
    <s v="California"/>
    <s v="Technology"/>
    <s v="Accessories"/>
    <x v="91"/>
  </r>
  <r>
    <x v="600"/>
    <s v="California"/>
    <s v="Technology"/>
    <s v="Copiers"/>
    <x v="1045"/>
  </r>
  <r>
    <x v="600"/>
    <s v="California"/>
    <s v="Office Supplies"/>
    <s v="Binders"/>
    <x v="153"/>
  </r>
  <r>
    <x v="544"/>
    <s v="California"/>
    <s v="Technology"/>
    <s v="Accessories"/>
    <x v="402"/>
  </r>
  <r>
    <x v="601"/>
    <s v="California"/>
    <s v="Office Supplies"/>
    <s v="Storage"/>
    <x v="46"/>
  </r>
  <r>
    <x v="165"/>
    <s v="California"/>
    <s v="Office Supplies"/>
    <s v="Paper"/>
    <x v="590"/>
  </r>
  <r>
    <x v="602"/>
    <s v="New Mexico"/>
    <s v="Office Supplies"/>
    <s v="Storage"/>
    <x v="1207"/>
  </r>
  <r>
    <x v="602"/>
    <s v="New Mexico"/>
    <s v="Technology"/>
    <s v="Phones"/>
    <x v="809"/>
  </r>
  <r>
    <x v="602"/>
    <s v="New Mexico"/>
    <s v="Technology"/>
    <s v="Accessories"/>
    <x v="1275"/>
  </r>
  <r>
    <x v="602"/>
    <s v="New Mexico"/>
    <s v="Office Supplies"/>
    <s v="Paper"/>
    <x v="1276"/>
  </r>
  <r>
    <x v="602"/>
    <s v="New Mexico"/>
    <s v="Office Supplies"/>
    <s v="Paper"/>
    <x v="1277"/>
  </r>
  <r>
    <x v="50"/>
    <s v="Colorado"/>
    <s v="Office Supplies"/>
    <s v="Supplies"/>
    <x v="1278"/>
  </r>
  <r>
    <x v="528"/>
    <s v="Washington"/>
    <s v="Office Supplies"/>
    <s v="Paper"/>
    <x v="1279"/>
  </r>
  <r>
    <x v="528"/>
    <s v="Washington"/>
    <s v="Office Supplies"/>
    <s v="Storage"/>
    <x v="945"/>
  </r>
  <r>
    <x v="528"/>
    <s v="Washington"/>
    <s v="Technology"/>
    <s v="Phones"/>
    <x v="1280"/>
  </r>
  <r>
    <x v="376"/>
    <s v="California"/>
    <s v="Office Supplies"/>
    <s v="Storage"/>
    <x v="342"/>
  </r>
  <r>
    <x v="376"/>
    <s v="California"/>
    <s v="Office Supplies"/>
    <s v="Binders"/>
    <x v="1152"/>
  </r>
  <r>
    <x v="376"/>
    <s v="California"/>
    <s v="Office Supplies"/>
    <s v="Binders"/>
    <x v="783"/>
  </r>
  <r>
    <x v="376"/>
    <s v="California"/>
    <s v="Office Supplies"/>
    <s v="Appliances"/>
    <x v="1281"/>
  </r>
  <r>
    <x v="104"/>
    <s v="California"/>
    <s v="Office Supplies"/>
    <s v="Binders"/>
    <x v="940"/>
  </r>
  <r>
    <x v="603"/>
    <s v="Washington"/>
    <s v="Office Supplies"/>
    <s v="Art"/>
    <x v="158"/>
  </r>
  <r>
    <x v="604"/>
    <s v="California"/>
    <s v="Office Supplies"/>
    <s v="Art"/>
    <x v="185"/>
  </r>
  <r>
    <x v="604"/>
    <s v="California"/>
    <s v="Office Supplies"/>
    <s v="Envelopes"/>
    <x v="305"/>
  </r>
  <r>
    <x v="605"/>
    <s v="California"/>
    <s v="Office Supplies"/>
    <s v="Appliances"/>
    <x v="1282"/>
  </r>
  <r>
    <x v="196"/>
    <s v="California"/>
    <s v="Office Supplies"/>
    <s v="Binders"/>
    <x v="707"/>
  </r>
  <r>
    <x v="196"/>
    <s v="California"/>
    <s v="Technology"/>
    <s v="Phones"/>
    <x v="257"/>
  </r>
  <r>
    <x v="196"/>
    <s v="California"/>
    <s v="Technology"/>
    <s v="Accessories"/>
    <x v="820"/>
  </r>
  <r>
    <x v="196"/>
    <s v="California"/>
    <s v="Technology"/>
    <s v="Accessories"/>
    <x v="896"/>
  </r>
  <r>
    <x v="17"/>
    <s v="California"/>
    <s v="Office Supplies"/>
    <s v="Binders"/>
    <x v="170"/>
  </r>
  <r>
    <x v="17"/>
    <s v="California"/>
    <s v="Furniture"/>
    <s v="Tables"/>
    <x v="947"/>
  </r>
  <r>
    <x v="17"/>
    <s v="California"/>
    <s v="Furniture"/>
    <s v="Furnishings"/>
    <x v="1283"/>
  </r>
  <r>
    <x v="17"/>
    <s v="California"/>
    <s v="Office Supplies"/>
    <s v="Binders"/>
    <x v="1076"/>
  </r>
  <r>
    <x v="606"/>
    <s v="California"/>
    <s v="Office Supplies"/>
    <s v="Appliances"/>
    <x v="1219"/>
  </r>
  <r>
    <x v="598"/>
    <s v="Washington"/>
    <s v="Technology"/>
    <s v="Accessories"/>
    <x v="834"/>
  </r>
  <r>
    <x v="82"/>
    <s v="California"/>
    <s v="Office Supplies"/>
    <s v="Storage"/>
    <x v="411"/>
  </r>
  <r>
    <x v="82"/>
    <s v="California"/>
    <s v="Office Supplies"/>
    <s v="Binders"/>
    <x v="1139"/>
  </r>
  <r>
    <x v="82"/>
    <s v="California"/>
    <s v="Office Supplies"/>
    <s v="Binders"/>
    <x v="26"/>
  </r>
  <r>
    <x v="54"/>
    <s v="Washington"/>
    <s v="Office Supplies"/>
    <s v="Binders"/>
    <x v="1284"/>
  </r>
  <r>
    <x v="54"/>
    <s v="Washington"/>
    <s v="Office Supplies"/>
    <s v="Fasteners"/>
    <x v="260"/>
  </r>
  <r>
    <x v="54"/>
    <s v="Washington"/>
    <s v="Furniture"/>
    <s v="Furnishings"/>
    <x v="845"/>
  </r>
  <r>
    <x v="54"/>
    <s v="Washington"/>
    <s v="Office Supplies"/>
    <s v="Storage"/>
    <x v="141"/>
  </r>
  <r>
    <x v="607"/>
    <s v="California"/>
    <s v="Furniture"/>
    <s v="Furnishings"/>
    <x v="503"/>
  </r>
  <r>
    <x v="540"/>
    <s v="Washington"/>
    <s v="Office Supplies"/>
    <s v="Binders"/>
    <x v="516"/>
  </r>
  <r>
    <x v="509"/>
    <s v="Washington"/>
    <s v="Office Supplies"/>
    <s v="Storage"/>
    <x v="1202"/>
  </r>
  <r>
    <x v="509"/>
    <s v="Washington"/>
    <s v="Office Supplies"/>
    <s v="Paper"/>
    <x v="807"/>
  </r>
  <r>
    <x v="509"/>
    <s v="Washington"/>
    <s v="Technology"/>
    <s v="Copiers"/>
    <x v="1285"/>
  </r>
  <r>
    <x v="608"/>
    <s v="California"/>
    <s v="Office Supplies"/>
    <s v="Appliances"/>
    <x v="621"/>
  </r>
  <r>
    <x v="608"/>
    <s v="California"/>
    <s v="Office Supplies"/>
    <s v="Art"/>
    <x v="162"/>
  </r>
  <r>
    <x v="608"/>
    <s v="California"/>
    <s v="Office Supplies"/>
    <s v="Binders"/>
    <x v="912"/>
  </r>
  <r>
    <x v="608"/>
    <s v="California"/>
    <s v="Technology"/>
    <s v="Phones"/>
    <x v="1286"/>
  </r>
  <r>
    <x v="608"/>
    <s v="California"/>
    <s v="Technology"/>
    <s v="Copiers"/>
    <x v="1045"/>
  </r>
  <r>
    <x v="87"/>
    <s v="Washington"/>
    <s v="Office Supplies"/>
    <s v="Art"/>
    <x v="1287"/>
  </r>
  <r>
    <x v="412"/>
    <s v="Washington"/>
    <s v="Office Supplies"/>
    <s v="Art"/>
    <x v="1288"/>
  </r>
  <r>
    <x v="609"/>
    <s v="California"/>
    <s v="Office Supplies"/>
    <s v="Paper"/>
    <x v="1138"/>
  </r>
  <r>
    <x v="609"/>
    <s v="California"/>
    <s v="Office Supplies"/>
    <s v="Paper"/>
    <x v="243"/>
  </r>
  <r>
    <x v="609"/>
    <s v="California"/>
    <s v="Office Supplies"/>
    <s v="Paper"/>
    <x v="1289"/>
  </r>
  <r>
    <x v="283"/>
    <s v="California"/>
    <s v="Office Supplies"/>
    <s v="Paper"/>
    <x v="1290"/>
  </r>
  <r>
    <x v="283"/>
    <s v="California"/>
    <s v="Furniture"/>
    <s v="Furnishings"/>
    <x v="1291"/>
  </r>
  <r>
    <x v="283"/>
    <s v="California"/>
    <s v="Technology"/>
    <s v="Machines"/>
    <x v="1292"/>
  </r>
  <r>
    <x v="283"/>
    <s v="California"/>
    <s v="Office Supplies"/>
    <s v="Paper"/>
    <x v="1293"/>
  </r>
  <r>
    <x v="283"/>
    <s v="California"/>
    <s v="Office Supplies"/>
    <s v="Paper"/>
    <x v="600"/>
  </r>
  <r>
    <x v="283"/>
    <s v="California"/>
    <s v="Office Supplies"/>
    <s v="Storage"/>
    <x v="424"/>
  </r>
  <r>
    <x v="283"/>
    <s v="California"/>
    <s v="Furniture"/>
    <s v="Furnishings"/>
    <x v="517"/>
  </r>
  <r>
    <x v="9"/>
    <s v="California"/>
    <s v="Office Supplies"/>
    <s v="Art"/>
    <x v="1243"/>
  </r>
  <r>
    <x v="9"/>
    <s v="California"/>
    <s v="Technology"/>
    <s v="Phones"/>
    <x v="1294"/>
  </r>
  <r>
    <x v="296"/>
    <s v="California"/>
    <s v="Furniture"/>
    <s v="Furnishings"/>
    <x v="615"/>
  </r>
  <r>
    <x v="158"/>
    <s v="California"/>
    <s v="Office Supplies"/>
    <s v="Supplies"/>
    <x v="816"/>
  </r>
  <r>
    <x v="449"/>
    <s v="California"/>
    <s v="Office Supplies"/>
    <s v="Labels"/>
    <x v="1295"/>
  </r>
  <r>
    <x v="449"/>
    <s v="California"/>
    <s v="Office Supplies"/>
    <s v="Binders"/>
    <x v="559"/>
  </r>
  <r>
    <x v="113"/>
    <s v="California"/>
    <s v="Furniture"/>
    <s v="Bookcases"/>
    <x v="1140"/>
  </r>
  <r>
    <x v="113"/>
    <s v="California"/>
    <s v="Technology"/>
    <s v="Machines"/>
    <x v="1296"/>
  </r>
  <r>
    <x v="590"/>
    <s v="California"/>
    <s v="Furniture"/>
    <s v="Furnishings"/>
    <x v="369"/>
  </r>
  <r>
    <x v="106"/>
    <s v="California"/>
    <s v="Office Supplies"/>
    <s v="Paper"/>
    <x v="109"/>
  </r>
  <r>
    <x v="106"/>
    <s v="California"/>
    <s v="Office Supplies"/>
    <s v="Paper"/>
    <x v="311"/>
  </r>
  <r>
    <x v="610"/>
    <s v="California"/>
    <s v="Technology"/>
    <s v="Accessories"/>
    <x v="253"/>
  </r>
  <r>
    <x v="610"/>
    <s v="California"/>
    <s v="Office Supplies"/>
    <s v="Art"/>
    <x v="1297"/>
  </r>
  <r>
    <x v="516"/>
    <s v="Washington"/>
    <s v="Office Supplies"/>
    <s v="Paper"/>
    <x v="1298"/>
  </r>
  <r>
    <x v="516"/>
    <s v="Washington"/>
    <s v="Office Supplies"/>
    <s v="Binders"/>
    <x v="1299"/>
  </r>
  <r>
    <x v="436"/>
    <s v="California"/>
    <s v="Furniture"/>
    <s v="Chairs"/>
    <x v="1217"/>
  </r>
  <r>
    <x v="213"/>
    <s v="Nevada"/>
    <s v="Furniture"/>
    <s v="Furnishings"/>
    <x v="1300"/>
  </r>
  <r>
    <x v="94"/>
    <s v="California"/>
    <s v="Office Supplies"/>
    <s v="Paper"/>
    <x v="660"/>
  </r>
  <r>
    <x v="91"/>
    <s v="California"/>
    <s v="Office Supplies"/>
    <s v="Storage"/>
    <x v="672"/>
  </r>
  <r>
    <x v="91"/>
    <s v="California"/>
    <s v="Furniture"/>
    <s v="Bookcases"/>
    <x v="70"/>
  </r>
  <r>
    <x v="289"/>
    <s v="California"/>
    <s v="Office Supplies"/>
    <s v="Appliances"/>
    <x v="1301"/>
  </r>
  <r>
    <x v="611"/>
    <s v="Colorado"/>
    <s v="Office Supplies"/>
    <s v="Binders"/>
    <x v="608"/>
  </r>
  <r>
    <x v="611"/>
    <s v="Colorado"/>
    <s v="Technology"/>
    <s v="Machines"/>
    <x v="1302"/>
  </r>
  <r>
    <x v="611"/>
    <s v="Colorado"/>
    <s v="Office Supplies"/>
    <s v="Binders"/>
    <x v="1172"/>
  </r>
  <r>
    <x v="611"/>
    <s v="Colorado"/>
    <s v="Office Supplies"/>
    <s v="Binders"/>
    <x v="177"/>
  </r>
  <r>
    <x v="611"/>
    <s v="Colorado"/>
    <s v="Office Supplies"/>
    <s v="Paper"/>
    <x v="0"/>
  </r>
  <r>
    <x v="549"/>
    <s v="California"/>
    <s v="Office Supplies"/>
    <s v="Paper"/>
    <x v="1084"/>
  </r>
  <r>
    <x v="549"/>
    <s v="California"/>
    <s v="Office Supplies"/>
    <s v="Labels"/>
    <x v="1303"/>
  </r>
  <r>
    <x v="549"/>
    <s v="California"/>
    <s v="Office Supplies"/>
    <s v="Fasteners"/>
    <x v="347"/>
  </r>
  <r>
    <x v="549"/>
    <s v="California"/>
    <s v="Technology"/>
    <s v="Accessories"/>
    <x v="297"/>
  </r>
  <r>
    <x v="549"/>
    <s v="California"/>
    <s v="Office Supplies"/>
    <s v="Labels"/>
    <x v="745"/>
  </r>
  <r>
    <x v="549"/>
    <s v="California"/>
    <s v="Furniture"/>
    <s v="Chairs"/>
    <x v="1217"/>
  </r>
  <r>
    <x v="612"/>
    <s v="Washington"/>
    <s v="Technology"/>
    <s v="Accessories"/>
    <x v="1304"/>
  </r>
  <r>
    <x v="612"/>
    <s v="Washington"/>
    <s v="Furniture"/>
    <s v="Furnishings"/>
    <x v="1305"/>
  </r>
  <r>
    <x v="257"/>
    <s v="California"/>
    <s v="Furniture"/>
    <s v="Furnishings"/>
    <x v="831"/>
  </r>
  <r>
    <x v="399"/>
    <s v="California"/>
    <s v="Furniture"/>
    <s v="Furnishings"/>
    <x v="1306"/>
  </r>
  <r>
    <x v="399"/>
    <s v="California"/>
    <s v="Office Supplies"/>
    <s v="Binders"/>
    <x v="270"/>
  </r>
  <r>
    <x v="399"/>
    <s v="California"/>
    <s v="Furniture"/>
    <s v="Furnishings"/>
    <x v="1307"/>
  </r>
  <r>
    <x v="591"/>
    <s v="Colorado"/>
    <s v="Office Supplies"/>
    <s v="Envelopes"/>
    <x v="74"/>
  </r>
  <r>
    <x v="591"/>
    <s v="Colorado"/>
    <s v="Furniture"/>
    <s v="Furnishings"/>
    <x v="1308"/>
  </r>
  <r>
    <x v="464"/>
    <s v="California"/>
    <s v="Office Supplies"/>
    <s v="Fasteners"/>
    <x v="1309"/>
  </r>
  <r>
    <x v="613"/>
    <s v="Arizona"/>
    <s v="Technology"/>
    <s v="Phones"/>
    <x v="1083"/>
  </r>
  <r>
    <x v="614"/>
    <s v="California"/>
    <s v="Office Supplies"/>
    <s v="Binders"/>
    <x v="516"/>
  </r>
  <r>
    <x v="615"/>
    <s v="Arizona"/>
    <s v="Office Supplies"/>
    <s v="Art"/>
    <x v="1310"/>
  </r>
  <r>
    <x v="330"/>
    <s v="California"/>
    <s v="Office Supplies"/>
    <s v="Paper"/>
    <x v="1311"/>
  </r>
  <r>
    <x v="330"/>
    <s v="California"/>
    <s v="Office Supplies"/>
    <s v="Binders"/>
    <x v="1312"/>
  </r>
  <r>
    <x v="616"/>
    <s v="California"/>
    <s v="Technology"/>
    <s v="Accessories"/>
    <x v="862"/>
  </r>
  <r>
    <x v="233"/>
    <s v="California"/>
    <s v="Furniture"/>
    <s v="Bookcases"/>
    <x v="1313"/>
  </r>
  <r>
    <x v="536"/>
    <s v="Washington"/>
    <s v="Office Supplies"/>
    <s v="Paper"/>
    <x v="1234"/>
  </r>
  <r>
    <x v="536"/>
    <s v="Washington"/>
    <s v="Office Supplies"/>
    <s v="Labels"/>
    <x v="1314"/>
  </r>
  <r>
    <x v="134"/>
    <s v="California"/>
    <s v="Office Supplies"/>
    <s v="Art"/>
    <x v="1315"/>
  </r>
  <r>
    <x v="134"/>
    <s v="California"/>
    <s v="Office Supplies"/>
    <s v="Art"/>
    <x v="37"/>
  </r>
  <r>
    <x v="134"/>
    <s v="California"/>
    <s v="Office Supplies"/>
    <s v="Art"/>
    <x v="84"/>
  </r>
  <r>
    <x v="393"/>
    <s v="Washington"/>
    <s v="Furniture"/>
    <s v="Furnishings"/>
    <x v="431"/>
  </r>
  <r>
    <x v="593"/>
    <s v="California"/>
    <s v="Office Supplies"/>
    <s v="Paper"/>
    <x v="345"/>
  </r>
  <r>
    <x v="523"/>
    <s v="California"/>
    <s v="Furniture"/>
    <s v="Furnishings"/>
    <x v="1316"/>
  </r>
  <r>
    <x v="523"/>
    <s v="California"/>
    <s v="Office Supplies"/>
    <s v="Envelopes"/>
    <x v="368"/>
  </r>
  <r>
    <x v="500"/>
    <s v="California"/>
    <s v="Office Supplies"/>
    <s v="Art"/>
    <x v="1317"/>
  </r>
  <r>
    <x v="362"/>
    <s v="California"/>
    <s v="Office Supplies"/>
    <s v="Binders"/>
    <x v="630"/>
  </r>
  <r>
    <x v="271"/>
    <s v="California"/>
    <s v="Technology"/>
    <s v="Accessories"/>
    <x v="1318"/>
  </r>
  <r>
    <x v="617"/>
    <s v="California"/>
    <s v="Office Supplies"/>
    <s v="Paper"/>
    <x v="457"/>
  </r>
  <r>
    <x v="617"/>
    <s v="California"/>
    <s v="Office Supplies"/>
    <s v="Art"/>
    <x v="334"/>
  </r>
  <r>
    <x v="617"/>
    <s v="California"/>
    <s v="Office Supplies"/>
    <s v="Paper"/>
    <x v="1319"/>
  </r>
  <r>
    <x v="442"/>
    <s v="California"/>
    <s v="Office Supplies"/>
    <s v="Storage"/>
    <x v="1256"/>
  </r>
  <r>
    <x v="442"/>
    <s v="California"/>
    <s v="Office Supplies"/>
    <s v="Storage"/>
    <x v="1320"/>
  </r>
  <r>
    <x v="577"/>
    <s v="California"/>
    <s v="Office Supplies"/>
    <s v="Paper"/>
    <x v="474"/>
  </r>
  <r>
    <x v="577"/>
    <s v="California"/>
    <s v="Office Supplies"/>
    <s v="Art"/>
    <x v="1321"/>
  </r>
  <r>
    <x v="480"/>
    <s v="California"/>
    <s v="Technology"/>
    <s v="Phones"/>
    <x v="404"/>
  </r>
  <r>
    <x v="480"/>
    <s v="California"/>
    <s v="Office Supplies"/>
    <s v="Paper"/>
    <x v="1322"/>
  </r>
  <r>
    <x v="480"/>
    <s v="California"/>
    <s v="Furniture"/>
    <s v="Tables"/>
    <x v="509"/>
  </r>
  <r>
    <x v="469"/>
    <s v="California"/>
    <s v="Office Supplies"/>
    <s v="Appliances"/>
    <x v="1323"/>
  </r>
  <r>
    <x v="355"/>
    <s v="California"/>
    <s v="Office Supplies"/>
    <s v="Envelopes"/>
    <x v="1237"/>
  </r>
  <r>
    <x v="561"/>
    <s v="Colorado"/>
    <s v="Office Supplies"/>
    <s v="Envelopes"/>
    <x v="798"/>
  </r>
  <r>
    <x v="561"/>
    <s v="Colorado"/>
    <s v="Office Supplies"/>
    <s v="Binders"/>
    <x v="732"/>
  </r>
  <r>
    <x v="561"/>
    <s v="Colorado"/>
    <s v="Furniture"/>
    <s v="Bookcases"/>
    <x v="510"/>
  </r>
  <r>
    <x v="618"/>
    <s v="California"/>
    <s v="Office Supplies"/>
    <s v="Appliances"/>
    <x v="1324"/>
  </r>
  <r>
    <x v="169"/>
    <s v="Arizona"/>
    <s v="Office Supplies"/>
    <s v="Paper"/>
    <x v="660"/>
  </r>
  <r>
    <x v="379"/>
    <s v="California"/>
    <s v="Technology"/>
    <s v="Accessories"/>
    <x v="23"/>
  </r>
  <r>
    <x v="83"/>
    <s v="California"/>
    <s v="Technology"/>
    <s v="Phones"/>
    <x v="1325"/>
  </r>
  <r>
    <x v="563"/>
    <s v="California"/>
    <s v="Technology"/>
    <s v="Copiers"/>
    <x v="1326"/>
  </r>
  <r>
    <x v="51"/>
    <s v="California"/>
    <s v="Office Supplies"/>
    <s v="Appliances"/>
    <x v="4"/>
  </r>
  <r>
    <x v="525"/>
    <s v="Washington"/>
    <s v="Office Supplies"/>
    <s v="Binders"/>
    <x v="686"/>
  </r>
  <r>
    <x v="525"/>
    <s v="Washington"/>
    <s v="Office Supplies"/>
    <s v="Storage"/>
    <x v="1012"/>
  </r>
  <r>
    <x v="525"/>
    <s v="Washington"/>
    <s v="Furniture"/>
    <s v="Tables"/>
    <x v="1327"/>
  </r>
  <r>
    <x v="525"/>
    <s v="Washington"/>
    <s v="Office Supplies"/>
    <s v="Storage"/>
    <x v="598"/>
  </r>
  <r>
    <x v="525"/>
    <s v="Washington"/>
    <s v="Technology"/>
    <s v="Accessories"/>
    <x v="86"/>
  </r>
  <r>
    <x v="93"/>
    <s v="Washington"/>
    <s v="Office Supplies"/>
    <s v="Paper"/>
    <x v="1044"/>
  </r>
  <r>
    <x v="93"/>
    <s v="Washington"/>
    <s v="Office Supplies"/>
    <s v="Labels"/>
    <x v="1154"/>
  </r>
  <r>
    <x v="93"/>
    <s v="Washington"/>
    <s v="Office Supplies"/>
    <s v="Binders"/>
    <x v="734"/>
  </r>
  <r>
    <x v="191"/>
    <s v="Arizona"/>
    <s v="Furniture"/>
    <s v="Bookcases"/>
    <x v="510"/>
  </r>
  <r>
    <x v="619"/>
    <s v="California"/>
    <s v="Office Supplies"/>
    <s v="Supplies"/>
    <x v="25"/>
  </r>
  <r>
    <x v="619"/>
    <s v="California"/>
    <s v="Office Supplies"/>
    <s v="Appliances"/>
    <x v="841"/>
  </r>
  <r>
    <x v="619"/>
    <s v="California"/>
    <s v="Furniture"/>
    <s v="Tables"/>
    <x v="1245"/>
  </r>
  <r>
    <x v="619"/>
    <s v="California"/>
    <s v="Office Supplies"/>
    <s v="Binders"/>
    <x v="735"/>
  </r>
  <r>
    <x v="494"/>
    <s v="California"/>
    <s v="Office Supplies"/>
    <s v="Labels"/>
    <x v="592"/>
  </r>
  <r>
    <x v="529"/>
    <s v="California"/>
    <s v="Furniture"/>
    <s v="Furnishings"/>
    <x v="831"/>
  </r>
  <r>
    <x v="529"/>
    <s v="California"/>
    <s v="Technology"/>
    <s v="Accessories"/>
    <x v="1149"/>
  </r>
  <r>
    <x v="316"/>
    <s v="Washington"/>
    <s v="Office Supplies"/>
    <s v="Paper"/>
    <x v="385"/>
  </r>
  <r>
    <x v="316"/>
    <s v="Washington"/>
    <s v="Office Supplies"/>
    <s v="Supplies"/>
    <x v="612"/>
  </r>
  <r>
    <x v="151"/>
    <s v="Arizona"/>
    <s v="Technology"/>
    <s v="Phones"/>
    <x v="628"/>
  </r>
  <r>
    <x v="151"/>
    <s v="Arizona"/>
    <s v="Office Supplies"/>
    <s v="Binders"/>
    <x v="1087"/>
  </r>
  <r>
    <x v="151"/>
    <s v="Arizona"/>
    <s v="Office Supplies"/>
    <s v="Paper"/>
    <x v="1328"/>
  </r>
  <r>
    <x v="27"/>
    <s v="Washington"/>
    <s v="Furniture"/>
    <s v="Furnishings"/>
    <x v="934"/>
  </r>
  <r>
    <x v="27"/>
    <s v="Washington"/>
    <s v="Furniture"/>
    <s v="Chairs"/>
    <x v="632"/>
  </r>
  <r>
    <x v="27"/>
    <s v="Washington"/>
    <s v="Furniture"/>
    <s v="Chairs"/>
    <x v="532"/>
  </r>
  <r>
    <x v="545"/>
    <s v="Oregon"/>
    <s v="Technology"/>
    <s v="Phones"/>
    <x v="1329"/>
  </r>
  <r>
    <x v="531"/>
    <s v="Washington"/>
    <s v="Office Supplies"/>
    <s v="Appliances"/>
    <x v="1330"/>
  </r>
  <r>
    <x v="98"/>
    <s v="California"/>
    <s v="Furniture"/>
    <s v="Chairs"/>
    <x v="861"/>
  </r>
  <r>
    <x v="98"/>
    <s v="California"/>
    <s v="Office Supplies"/>
    <s v="Art"/>
    <x v="569"/>
  </r>
  <r>
    <x v="98"/>
    <s v="California"/>
    <s v="Office Supplies"/>
    <s v="Art"/>
    <x v="1331"/>
  </r>
  <r>
    <x v="98"/>
    <s v="California"/>
    <s v="Technology"/>
    <s v="Accessories"/>
    <x v="1222"/>
  </r>
  <r>
    <x v="17"/>
    <s v="California"/>
    <s v="Office Supplies"/>
    <s v="Binders"/>
    <x v="1056"/>
  </r>
  <r>
    <x v="541"/>
    <s v="California"/>
    <s v="Furniture"/>
    <s v="Chairs"/>
    <x v="22"/>
  </r>
  <r>
    <x v="541"/>
    <s v="California"/>
    <s v="Furniture"/>
    <s v="Furnishings"/>
    <x v="1332"/>
  </r>
  <r>
    <x v="541"/>
    <s v="California"/>
    <s v="Technology"/>
    <s v="Machines"/>
    <x v="1164"/>
  </r>
  <r>
    <x v="339"/>
    <s v="Nevada"/>
    <s v="Office Supplies"/>
    <s v="Binders"/>
    <x v="759"/>
  </r>
  <r>
    <x v="339"/>
    <s v="Nevada"/>
    <s v="Technology"/>
    <s v="Phones"/>
    <x v="700"/>
  </r>
  <r>
    <x v="339"/>
    <s v="Nevada"/>
    <s v="Office Supplies"/>
    <s v="Appliances"/>
    <x v="1282"/>
  </r>
  <r>
    <x v="344"/>
    <s v="California"/>
    <s v="Technology"/>
    <s v="Accessories"/>
    <x v="1333"/>
  </r>
  <r>
    <x v="233"/>
    <s v="California"/>
    <s v="Office Supplies"/>
    <s v="Art"/>
    <x v="1111"/>
  </r>
  <r>
    <x v="115"/>
    <s v="California"/>
    <s v="Office Supplies"/>
    <s v="Art"/>
    <x v="1321"/>
  </r>
  <r>
    <x v="115"/>
    <s v="California"/>
    <s v="Office Supplies"/>
    <s v="Art"/>
    <x v="842"/>
  </r>
  <r>
    <x v="620"/>
    <s v="California"/>
    <s v="Furniture"/>
    <s v="Tables"/>
    <x v="1245"/>
  </r>
  <r>
    <x v="425"/>
    <s v="California"/>
    <s v="Office Supplies"/>
    <s v="Paper"/>
    <x v="1334"/>
  </r>
  <r>
    <x v="391"/>
    <s v="Washington"/>
    <s v="Technology"/>
    <s v="Accessories"/>
    <x v="245"/>
  </r>
  <r>
    <x v="391"/>
    <s v="Washington"/>
    <s v="Office Supplies"/>
    <s v="Art"/>
    <x v="162"/>
  </r>
  <r>
    <x v="445"/>
    <s v="Idaho"/>
    <s v="Furniture"/>
    <s v="Furnishings"/>
    <x v="1335"/>
  </r>
  <r>
    <x v="445"/>
    <s v="Idaho"/>
    <s v="Office Supplies"/>
    <s v="Storage"/>
    <x v="1320"/>
  </r>
  <r>
    <x v="445"/>
    <s v="Idaho"/>
    <s v="Technology"/>
    <s v="Phones"/>
    <x v="1336"/>
  </r>
  <r>
    <x v="544"/>
    <s v="Arizona"/>
    <s v="Technology"/>
    <s v="Phones"/>
    <x v="387"/>
  </r>
  <r>
    <x v="544"/>
    <s v="Arizona"/>
    <s v="Office Supplies"/>
    <s v="Paper"/>
    <x v="1276"/>
  </r>
  <r>
    <x v="544"/>
    <s v="Arizona"/>
    <s v="Technology"/>
    <s v="Accessories"/>
    <x v="644"/>
  </r>
  <r>
    <x v="464"/>
    <s v="Oregon"/>
    <s v="Technology"/>
    <s v="Phones"/>
    <x v="1337"/>
  </r>
  <r>
    <x v="464"/>
    <s v="Oregon"/>
    <s v="Technology"/>
    <s v="Accessories"/>
    <x v="62"/>
  </r>
  <r>
    <x v="464"/>
    <s v="Oregon"/>
    <s v="Furniture"/>
    <s v="Furnishings"/>
    <x v="1338"/>
  </r>
  <r>
    <x v="457"/>
    <s v="California"/>
    <s v="Office Supplies"/>
    <s v="Paper"/>
    <x v="1084"/>
  </r>
  <r>
    <x v="396"/>
    <s v="California"/>
    <s v="Office Supplies"/>
    <s v="Art"/>
    <x v="920"/>
  </r>
  <r>
    <x v="297"/>
    <s v="Arizona"/>
    <s v="Office Supplies"/>
    <s v="Paper"/>
    <x v="1298"/>
  </r>
  <r>
    <x v="297"/>
    <s v="Arizona"/>
    <s v="Office Supplies"/>
    <s v="Envelopes"/>
    <x v="1007"/>
  </r>
  <r>
    <x v="621"/>
    <s v="Washington"/>
    <s v="Technology"/>
    <s v="Accessories"/>
    <x v="1339"/>
  </r>
  <r>
    <x v="390"/>
    <s v="California"/>
    <s v="Technology"/>
    <s v="Accessories"/>
    <x v="359"/>
  </r>
  <r>
    <x v="390"/>
    <s v="California"/>
    <s v="Office Supplies"/>
    <s v="Paper"/>
    <x v="1259"/>
  </r>
  <r>
    <x v="390"/>
    <s v="California"/>
    <s v="Office Supplies"/>
    <s v="Binders"/>
    <x v="826"/>
  </r>
  <r>
    <x v="377"/>
    <s v="Washington"/>
    <s v="Office Supplies"/>
    <s v="Storage"/>
    <x v="312"/>
  </r>
  <r>
    <x v="100"/>
    <s v="California"/>
    <s v="Furniture"/>
    <s v="Furnishings"/>
    <x v="1063"/>
  </r>
  <r>
    <x v="100"/>
    <s v="California"/>
    <s v="Office Supplies"/>
    <s v="Storage"/>
    <x v="68"/>
  </r>
  <r>
    <x v="622"/>
    <s v="California"/>
    <s v="Furniture"/>
    <s v="Bookcases"/>
    <x v="1340"/>
  </r>
  <r>
    <x v="622"/>
    <s v="California"/>
    <s v="Technology"/>
    <s v="Phones"/>
    <x v="1341"/>
  </r>
  <r>
    <x v="586"/>
    <s v="Arizona"/>
    <s v="Technology"/>
    <s v="Accessories"/>
    <x v="228"/>
  </r>
  <r>
    <x v="586"/>
    <s v="Arizona"/>
    <s v="Office Supplies"/>
    <s v="Storage"/>
    <x v="972"/>
  </r>
  <r>
    <x v="586"/>
    <s v="Arizona"/>
    <s v="Office Supplies"/>
    <s v="Binders"/>
    <x v="772"/>
  </r>
  <r>
    <x v="623"/>
    <s v="California"/>
    <s v="Office Supplies"/>
    <s v="Labels"/>
    <x v="555"/>
  </r>
  <r>
    <x v="623"/>
    <s v="California"/>
    <s v="Furniture"/>
    <s v="Bookcases"/>
    <x v="70"/>
  </r>
  <r>
    <x v="623"/>
    <s v="California"/>
    <s v="Technology"/>
    <s v="Phones"/>
    <x v="1069"/>
  </r>
  <r>
    <x v="132"/>
    <s v="California"/>
    <s v="Office Supplies"/>
    <s v="Art"/>
    <x v="103"/>
  </r>
  <r>
    <x v="473"/>
    <s v="Washington"/>
    <s v="Technology"/>
    <s v="Phones"/>
    <x v="628"/>
  </r>
  <r>
    <x v="473"/>
    <s v="Washington"/>
    <s v="Office Supplies"/>
    <s v="Labels"/>
    <x v="362"/>
  </r>
  <r>
    <x v="473"/>
    <s v="Washington"/>
    <s v="Office Supplies"/>
    <s v="Storage"/>
    <x v="1342"/>
  </r>
  <r>
    <x v="606"/>
    <s v="California"/>
    <s v="Office Supplies"/>
    <s v="Art"/>
    <x v="1228"/>
  </r>
  <r>
    <x v="533"/>
    <s v="California"/>
    <s v="Office Supplies"/>
    <s v="Paper"/>
    <x v="1023"/>
  </r>
  <r>
    <x v="98"/>
    <s v="Arizona"/>
    <s v="Furniture"/>
    <s v="Chairs"/>
    <x v="1190"/>
  </r>
  <r>
    <x v="98"/>
    <s v="Arizona"/>
    <s v="Office Supplies"/>
    <s v="Storage"/>
    <x v="376"/>
  </r>
  <r>
    <x v="98"/>
    <s v="Arizona"/>
    <s v="Office Supplies"/>
    <s v="Art"/>
    <x v="1181"/>
  </r>
  <r>
    <x v="98"/>
    <s v="Arizona"/>
    <s v="Office Supplies"/>
    <s v="Art"/>
    <x v="801"/>
  </r>
  <r>
    <x v="98"/>
    <s v="Arizona"/>
    <s v="Office Supplies"/>
    <s v="Storage"/>
    <x v="141"/>
  </r>
  <r>
    <x v="9"/>
    <s v="Washington"/>
    <s v="Office Supplies"/>
    <s v="Paper"/>
    <x v="1343"/>
  </r>
  <r>
    <x v="9"/>
    <s v="Washington"/>
    <s v="Office Supplies"/>
    <s v="Binders"/>
    <x v="195"/>
  </r>
  <r>
    <x v="9"/>
    <s v="Washington"/>
    <s v="Technology"/>
    <s v="Machines"/>
    <x v="1344"/>
  </r>
  <r>
    <x v="9"/>
    <s v="Washington"/>
    <s v="Office Supplies"/>
    <s v="Storage"/>
    <x v="672"/>
  </r>
  <r>
    <x v="9"/>
    <s v="Washington"/>
    <s v="Furniture"/>
    <s v="Bookcases"/>
    <x v="1345"/>
  </r>
  <r>
    <x v="138"/>
    <s v="California"/>
    <s v="Office Supplies"/>
    <s v="Appliances"/>
    <x v="762"/>
  </r>
  <r>
    <x v="325"/>
    <s v="Washington"/>
    <s v="Technology"/>
    <s v="Phones"/>
    <x v="1053"/>
  </r>
  <r>
    <x v="325"/>
    <s v="Washington"/>
    <s v="Office Supplies"/>
    <s v="Paper"/>
    <x v="839"/>
  </r>
  <r>
    <x v="429"/>
    <s v="Washington"/>
    <s v="Furniture"/>
    <s v="Chairs"/>
    <x v="1217"/>
  </r>
  <r>
    <x v="624"/>
    <s v="California"/>
    <s v="Technology"/>
    <s v="Phones"/>
    <x v="1346"/>
  </r>
  <r>
    <x v="625"/>
    <s v="California"/>
    <s v="Office Supplies"/>
    <s v="Art"/>
    <x v="583"/>
  </r>
  <r>
    <x v="404"/>
    <s v="California"/>
    <s v="Technology"/>
    <s v="Phones"/>
    <x v="1347"/>
  </r>
  <r>
    <x v="626"/>
    <s v="California"/>
    <s v="Furniture"/>
    <s v="Chairs"/>
    <x v="1348"/>
  </r>
  <r>
    <x v="626"/>
    <s v="California"/>
    <s v="Office Supplies"/>
    <s v="Paper"/>
    <x v="755"/>
  </r>
  <r>
    <x v="111"/>
    <s v="New Mexico"/>
    <s v="Office Supplies"/>
    <s v="Supplies"/>
    <x v="593"/>
  </r>
  <r>
    <x v="111"/>
    <s v="New Mexico"/>
    <s v="Office Supplies"/>
    <s v="Paper"/>
    <x v="1349"/>
  </r>
  <r>
    <x v="111"/>
    <s v="New Mexico"/>
    <s v="Office Supplies"/>
    <s v="Paper"/>
    <x v="1277"/>
  </r>
  <r>
    <x v="248"/>
    <s v="California"/>
    <s v="Office Supplies"/>
    <s v="Binders"/>
    <x v="1350"/>
  </r>
  <r>
    <x v="365"/>
    <s v="Washington"/>
    <s v="Furniture"/>
    <s v="Furnishings"/>
    <x v="1351"/>
  </r>
  <r>
    <x v="365"/>
    <s v="Washington"/>
    <s v="Office Supplies"/>
    <s v="Storage"/>
    <x v="1238"/>
  </r>
  <r>
    <x v="364"/>
    <s v="Colorado"/>
    <s v="Office Supplies"/>
    <s v="Storage"/>
    <x v="837"/>
  </r>
  <r>
    <x v="375"/>
    <s v="California"/>
    <s v="Furniture"/>
    <s v="Bookcases"/>
    <x v="450"/>
  </r>
  <r>
    <x v="375"/>
    <s v="California"/>
    <s v="Office Supplies"/>
    <s v="Paper"/>
    <x v="895"/>
  </r>
  <r>
    <x v="309"/>
    <s v="California"/>
    <s v="Furniture"/>
    <s v="Furnishings"/>
    <x v="674"/>
  </r>
  <r>
    <x v="309"/>
    <s v="California"/>
    <s v="Office Supplies"/>
    <s v="Paper"/>
    <x v="1352"/>
  </r>
  <r>
    <x v="594"/>
    <s v="California"/>
    <s v="Office Supplies"/>
    <s v="Art"/>
    <x v="1353"/>
  </r>
  <r>
    <x v="627"/>
    <s v="California"/>
    <s v="Office Supplies"/>
    <s v="Art"/>
    <x v="366"/>
  </r>
  <r>
    <x v="627"/>
    <s v="California"/>
    <s v="Office Supplies"/>
    <s v="Art"/>
    <x v="3"/>
  </r>
  <r>
    <x v="24"/>
    <s v="California"/>
    <s v="Office Supplies"/>
    <s v="Fasteners"/>
    <x v="1354"/>
  </r>
  <r>
    <x v="628"/>
    <s v="Oregon"/>
    <s v="Office Supplies"/>
    <s v="Labels"/>
    <x v="555"/>
  </r>
  <r>
    <x v="628"/>
    <s v="Oregon"/>
    <s v="Office Supplies"/>
    <s v="Art"/>
    <x v="1355"/>
  </r>
  <r>
    <x v="628"/>
    <s v="Oregon"/>
    <s v="Office Supplies"/>
    <s v="Fasteners"/>
    <x v="697"/>
  </r>
  <r>
    <x v="382"/>
    <s v="Washington"/>
    <s v="Furniture"/>
    <s v="Tables"/>
    <x v="78"/>
  </r>
  <r>
    <x v="497"/>
    <s v="California"/>
    <s v="Office Supplies"/>
    <s v="Storage"/>
    <x v="741"/>
  </r>
  <r>
    <x v="246"/>
    <s v="Colorado"/>
    <s v="Technology"/>
    <s v="Accessories"/>
    <x v="1356"/>
  </r>
  <r>
    <x v="71"/>
    <s v="Washington"/>
    <s v="Office Supplies"/>
    <s v="Paper"/>
    <x v="867"/>
  </r>
  <r>
    <x v="71"/>
    <s v="Washington"/>
    <s v="Furniture"/>
    <s v="Furnishings"/>
    <x v="1357"/>
  </r>
  <r>
    <x v="71"/>
    <s v="Washington"/>
    <s v="Technology"/>
    <s v="Accessories"/>
    <x v="446"/>
  </r>
  <r>
    <x v="26"/>
    <s v="California"/>
    <s v="Office Supplies"/>
    <s v="Storage"/>
    <x v="1358"/>
  </r>
  <r>
    <x v="256"/>
    <s v="California"/>
    <s v="Office Supplies"/>
    <s v="Binders"/>
    <x v="273"/>
  </r>
  <r>
    <x v="202"/>
    <s v="California"/>
    <s v="Office Supplies"/>
    <s v="Binders"/>
    <x v="1299"/>
  </r>
  <r>
    <x v="202"/>
    <s v="California"/>
    <s v="Office Supplies"/>
    <s v="Storage"/>
    <x v="782"/>
  </r>
  <r>
    <x v="202"/>
    <s v="California"/>
    <s v="Office Supplies"/>
    <s v="Art"/>
    <x v="1359"/>
  </r>
  <r>
    <x v="202"/>
    <s v="California"/>
    <s v="Technology"/>
    <s v="Accessories"/>
    <x v="75"/>
  </r>
  <r>
    <x v="629"/>
    <s v="Nevada"/>
    <s v="Office Supplies"/>
    <s v="Binders"/>
    <x v="1360"/>
  </r>
  <r>
    <x v="397"/>
    <s v="California"/>
    <s v="Furniture"/>
    <s v="Bookcases"/>
    <x v="15"/>
  </r>
  <r>
    <x v="357"/>
    <s v="California"/>
    <s v="Office Supplies"/>
    <s v="Paper"/>
    <x v="345"/>
  </r>
  <r>
    <x v="33"/>
    <s v="New Mexico"/>
    <s v="Furniture"/>
    <s v="Furnishings"/>
    <x v="110"/>
  </r>
  <r>
    <x v="154"/>
    <s v="Washington"/>
    <s v="Technology"/>
    <s v="Accessories"/>
    <x v="529"/>
  </r>
  <r>
    <x v="154"/>
    <s v="Washington"/>
    <s v="Technology"/>
    <s v="Machines"/>
    <x v="1361"/>
  </r>
  <r>
    <x v="154"/>
    <s v="Washington"/>
    <s v="Technology"/>
    <s v="Accessories"/>
    <x v="915"/>
  </r>
  <r>
    <x v="154"/>
    <s v="Washington"/>
    <s v="Technology"/>
    <s v="Phones"/>
    <x v="1362"/>
  </r>
  <r>
    <x v="126"/>
    <s v="California"/>
    <s v="Furniture"/>
    <s v="Furnishings"/>
    <x v="586"/>
  </r>
  <r>
    <x v="278"/>
    <s v="California"/>
    <s v="Office Supplies"/>
    <s v="Storage"/>
    <x v="972"/>
  </r>
  <r>
    <x v="318"/>
    <s v="California"/>
    <s v="Furniture"/>
    <s v="Chairs"/>
    <x v="1168"/>
  </r>
  <r>
    <x v="531"/>
    <s v="California"/>
    <s v="Office Supplies"/>
    <s v="Fasteners"/>
    <x v="1049"/>
  </r>
  <r>
    <x v="526"/>
    <s v="California"/>
    <s v="Furniture"/>
    <s v="Furnishings"/>
    <x v="789"/>
  </r>
  <r>
    <x v="630"/>
    <s v="Washington"/>
    <s v="Furniture"/>
    <s v="Furnishings"/>
    <x v="733"/>
  </r>
  <r>
    <x v="630"/>
    <s v="Washington"/>
    <s v="Office Supplies"/>
    <s v="Labels"/>
    <x v="1161"/>
  </r>
  <r>
    <x v="630"/>
    <s v="Washington"/>
    <s v="Office Supplies"/>
    <s v="Binders"/>
    <x v="1363"/>
  </r>
  <r>
    <x v="630"/>
    <s v="Washington"/>
    <s v="Technology"/>
    <s v="Accessories"/>
    <x v="903"/>
  </r>
  <r>
    <x v="222"/>
    <s v="California"/>
    <s v="Office Supplies"/>
    <s v="Labels"/>
    <x v="575"/>
  </r>
  <r>
    <x v="115"/>
    <s v="Washington"/>
    <s v="Furniture"/>
    <s v="Furnishings"/>
    <x v="1260"/>
  </r>
  <r>
    <x v="115"/>
    <s v="Washington"/>
    <s v="Office Supplies"/>
    <s v="Binders"/>
    <x v="1172"/>
  </r>
  <r>
    <x v="115"/>
    <s v="Washington"/>
    <s v="Office Supplies"/>
    <s v="Art"/>
    <x v="1364"/>
  </r>
  <r>
    <x v="115"/>
    <s v="Washington"/>
    <s v="Office Supplies"/>
    <s v="Art"/>
    <x v="212"/>
  </r>
  <r>
    <x v="631"/>
    <s v="Washington"/>
    <s v="Office Supplies"/>
    <s v="Paper"/>
    <x v="409"/>
  </r>
  <r>
    <x v="455"/>
    <s v="Oregon"/>
    <s v="Office Supplies"/>
    <s v="Binders"/>
    <x v="477"/>
  </r>
  <r>
    <x v="395"/>
    <s v="California"/>
    <s v="Office Supplies"/>
    <s v="Labels"/>
    <x v="1365"/>
  </r>
  <r>
    <x v="411"/>
    <s v="California"/>
    <s v="Technology"/>
    <s v="Accessories"/>
    <x v="446"/>
  </r>
  <r>
    <x v="411"/>
    <s v="California"/>
    <s v="Office Supplies"/>
    <s v="Appliances"/>
    <x v="898"/>
  </r>
  <r>
    <x v="119"/>
    <s v="California"/>
    <s v="Technology"/>
    <s v="Phones"/>
    <x v="1366"/>
  </r>
  <r>
    <x v="119"/>
    <s v="California"/>
    <s v="Office Supplies"/>
    <s v="Binders"/>
    <x v="812"/>
  </r>
  <r>
    <x v="255"/>
    <s v="California"/>
    <s v="Office Supplies"/>
    <s v="Binders"/>
    <x v="1367"/>
  </r>
  <r>
    <x v="255"/>
    <s v="California"/>
    <s v="Furniture"/>
    <s v="Furnishings"/>
    <x v="1368"/>
  </r>
  <r>
    <x v="255"/>
    <s v="California"/>
    <s v="Office Supplies"/>
    <s v="Fasteners"/>
    <x v="681"/>
  </r>
  <r>
    <x v="255"/>
    <s v="California"/>
    <s v="Office Supplies"/>
    <s v="Art"/>
    <x v="293"/>
  </r>
  <r>
    <x v="255"/>
    <s v="California"/>
    <s v="Furniture"/>
    <s v="Furnishings"/>
    <x v="1369"/>
  </r>
  <r>
    <x v="255"/>
    <s v="California"/>
    <s v="Technology"/>
    <s v="Accessories"/>
    <x v="1005"/>
  </r>
  <r>
    <x v="255"/>
    <s v="California"/>
    <s v="Technology"/>
    <s v="Phones"/>
    <x v="520"/>
  </r>
  <r>
    <x v="111"/>
    <s v="California"/>
    <s v="Technology"/>
    <s v="Copiers"/>
    <x v="924"/>
  </r>
  <r>
    <x v="265"/>
    <s v="California"/>
    <s v="Office Supplies"/>
    <s v="Paper"/>
    <x v="1370"/>
  </r>
  <r>
    <x v="265"/>
    <s v="California"/>
    <s v="Office Supplies"/>
    <s v="Envelopes"/>
    <x v="1237"/>
  </r>
  <r>
    <x v="265"/>
    <s v="California"/>
    <s v="Office Supplies"/>
    <s v="Storage"/>
    <x v="68"/>
  </r>
  <r>
    <x v="265"/>
    <s v="California"/>
    <s v="Furniture"/>
    <s v="Bookcases"/>
    <x v="919"/>
  </r>
  <r>
    <x v="550"/>
    <s v="Arizona"/>
    <s v="Furniture"/>
    <s v="Tables"/>
    <x v="1077"/>
  </r>
  <r>
    <x v="550"/>
    <s v="Arizona"/>
    <s v="Furniture"/>
    <s v="Chairs"/>
    <x v="815"/>
  </r>
  <r>
    <x v="550"/>
    <s v="Arizona"/>
    <s v="Office Supplies"/>
    <s v="Paper"/>
    <x v="319"/>
  </r>
  <r>
    <x v="550"/>
    <s v="Arizona"/>
    <s v="Office Supplies"/>
    <s v="Binders"/>
    <x v="1371"/>
  </r>
  <r>
    <x v="550"/>
    <s v="Arizona"/>
    <s v="Furniture"/>
    <s v="Chairs"/>
    <x v="1372"/>
  </r>
  <r>
    <x v="535"/>
    <s v="Utah"/>
    <s v="Technology"/>
    <s v="Phones"/>
    <x v="1373"/>
  </r>
  <r>
    <x v="535"/>
    <s v="Utah"/>
    <s v="Office Supplies"/>
    <s v="Art"/>
    <x v="41"/>
  </r>
  <r>
    <x v="413"/>
    <s v="California"/>
    <s v="Office Supplies"/>
    <s v="Paper"/>
    <x v="1374"/>
  </r>
  <r>
    <x v="413"/>
    <s v="California"/>
    <s v="Furniture"/>
    <s v="Chairs"/>
    <x v="139"/>
  </r>
  <r>
    <x v="413"/>
    <s v="California"/>
    <s v="Office Supplies"/>
    <s v="Binders"/>
    <x v="635"/>
  </r>
  <r>
    <x v="96"/>
    <s v="California"/>
    <s v="Office Supplies"/>
    <s v="Art"/>
    <x v="1375"/>
  </r>
  <r>
    <x v="96"/>
    <s v="California"/>
    <s v="Technology"/>
    <s v="Phones"/>
    <x v="1184"/>
  </r>
  <r>
    <x v="388"/>
    <s v="California"/>
    <s v="Office Supplies"/>
    <s v="Binders"/>
    <x v="1376"/>
  </r>
  <r>
    <x v="388"/>
    <s v="California"/>
    <s v="Office Supplies"/>
    <s v="Paper"/>
    <x v="1377"/>
  </r>
  <r>
    <x v="223"/>
    <s v="California"/>
    <s v="Technology"/>
    <s v="Copiers"/>
    <x v="729"/>
  </r>
  <r>
    <x v="606"/>
    <s v="California"/>
    <s v="Technology"/>
    <s v="Accessories"/>
    <x v="667"/>
  </r>
  <r>
    <x v="606"/>
    <s v="California"/>
    <s v="Furniture"/>
    <s v="Chairs"/>
    <x v="436"/>
  </r>
  <r>
    <x v="438"/>
    <s v="Washington"/>
    <s v="Furniture"/>
    <s v="Furnishings"/>
    <x v="221"/>
  </r>
  <r>
    <x v="438"/>
    <s v="Washington"/>
    <s v="Office Supplies"/>
    <s v="Paper"/>
    <x v="876"/>
  </r>
  <r>
    <x v="438"/>
    <s v="Washington"/>
    <s v="Office Supplies"/>
    <s v="Paper"/>
    <x v="981"/>
  </r>
  <r>
    <x v="438"/>
    <s v="Washington"/>
    <s v="Technology"/>
    <s v="Accessories"/>
    <x v="1005"/>
  </r>
  <r>
    <x v="432"/>
    <s v="California"/>
    <s v="Office Supplies"/>
    <s v="Binders"/>
    <x v="1046"/>
  </r>
  <r>
    <x v="432"/>
    <s v="California"/>
    <s v="Office Supplies"/>
    <s v="Storage"/>
    <x v="1378"/>
  </r>
  <r>
    <x v="432"/>
    <s v="California"/>
    <s v="Technology"/>
    <s v="Phones"/>
    <x v="127"/>
  </r>
  <r>
    <x v="117"/>
    <s v="Washington"/>
    <s v="Technology"/>
    <s v="Accessories"/>
    <x v="937"/>
  </r>
  <r>
    <x v="222"/>
    <s v="Washington"/>
    <s v="Furniture"/>
    <s v="Bookcases"/>
    <x v="1313"/>
  </r>
  <r>
    <x v="55"/>
    <s v="California"/>
    <s v="Office Supplies"/>
    <s v="Storage"/>
    <x v="55"/>
  </r>
  <r>
    <x v="55"/>
    <s v="California"/>
    <s v="Office Supplies"/>
    <s v="Labels"/>
    <x v="386"/>
  </r>
  <r>
    <x v="632"/>
    <s v="California"/>
    <s v="Office Supplies"/>
    <s v="Storage"/>
    <x v="396"/>
  </r>
  <r>
    <x v="632"/>
    <s v="California"/>
    <s v="Furniture"/>
    <s v="Furnishings"/>
    <x v="1260"/>
  </r>
  <r>
    <x v="416"/>
    <s v="California"/>
    <s v="Office Supplies"/>
    <s v="Binders"/>
    <x v="315"/>
  </r>
  <r>
    <x v="392"/>
    <s v="California"/>
    <s v="Office Supplies"/>
    <s v="Storage"/>
    <x v="350"/>
  </r>
  <r>
    <x v="633"/>
    <s v="California"/>
    <s v="Office Supplies"/>
    <s v="Labels"/>
    <x v="1030"/>
  </r>
  <r>
    <x v="633"/>
    <s v="California"/>
    <s v="Furniture"/>
    <s v="Furnishings"/>
    <x v="272"/>
  </r>
  <r>
    <x v="309"/>
    <s v="California"/>
    <s v="Office Supplies"/>
    <s v="Storage"/>
    <x v="554"/>
  </r>
  <r>
    <x v="521"/>
    <s v="Washington"/>
    <s v="Office Supplies"/>
    <s v="Storage"/>
    <x v="397"/>
  </r>
  <r>
    <x v="431"/>
    <s v="Colorado"/>
    <s v="Office Supplies"/>
    <s v="Paper"/>
    <x v="1379"/>
  </r>
  <r>
    <x v="431"/>
    <s v="Colorado"/>
    <s v="Office Supplies"/>
    <s v="Envelopes"/>
    <x v="1007"/>
  </r>
  <r>
    <x v="301"/>
    <s v="California"/>
    <s v="Technology"/>
    <s v="Phones"/>
    <x v="189"/>
  </r>
  <r>
    <x v="301"/>
    <s v="California"/>
    <s v="Office Supplies"/>
    <s v="Binders"/>
    <x v="1380"/>
  </r>
  <r>
    <x v="372"/>
    <s v="California"/>
    <s v="Office Supplies"/>
    <s v="Paper"/>
    <x v="109"/>
  </r>
  <r>
    <x v="634"/>
    <s v="California"/>
    <s v="Technology"/>
    <s v="Phones"/>
    <x v="1381"/>
  </r>
  <r>
    <x v="634"/>
    <s v="California"/>
    <s v="Office Supplies"/>
    <s v="Binders"/>
    <x v="177"/>
  </r>
  <r>
    <x v="634"/>
    <s v="California"/>
    <s v="Office Supplies"/>
    <s v="Binders"/>
    <x v="1382"/>
  </r>
  <r>
    <x v="634"/>
    <s v="California"/>
    <s v="Technology"/>
    <s v="Accessories"/>
    <x v="1186"/>
  </r>
  <r>
    <x v="634"/>
    <s v="California"/>
    <s v="Office Supplies"/>
    <s v="Paper"/>
    <x v="574"/>
  </r>
  <r>
    <x v="634"/>
    <s v="California"/>
    <s v="Furniture"/>
    <s v="Furnishings"/>
    <x v="1351"/>
  </r>
  <r>
    <x v="634"/>
    <s v="California"/>
    <s v="Furniture"/>
    <s v="Chairs"/>
    <x v="1383"/>
  </r>
  <r>
    <x v="634"/>
    <s v="California"/>
    <s v="Office Supplies"/>
    <s v="Appliances"/>
    <x v="1384"/>
  </r>
  <r>
    <x v="277"/>
    <s v="California"/>
    <s v="Office Supplies"/>
    <s v="Appliances"/>
    <x v="537"/>
  </r>
  <r>
    <x v="277"/>
    <s v="California"/>
    <s v="Furniture"/>
    <s v="Furnishings"/>
    <x v="889"/>
  </r>
  <r>
    <x v="635"/>
    <s v="Washington"/>
    <s v="Technology"/>
    <s v="Copiers"/>
    <x v="1045"/>
  </r>
  <r>
    <x v="635"/>
    <s v="Washington"/>
    <s v="Office Supplies"/>
    <s v="Paper"/>
    <x v="1385"/>
  </r>
  <r>
    <x v="635"/>
    <s v="Washington"/>
    <s v="Technology"/>
    <s v="Phones"/>
    <x v="1386"/>
  </r>
  <r>
    <x v="635"/>
    <s v="Washington"/>
    <s v="Office Supplies"/>
    <s v="Storage"/>
    <x v="1342"/>
  </r>
  <r>
    <x v="635"/>
    <s v="Washington"/>
    <s v="Technology"/>
    <s v="Accessories"/>
    <x v="1387"/>
  </r>
  <r>
    <x v="635"/>
    <s v="Washington"/>
    <s v="Office Supplies"/>
    <s v="Binders"/>
    <x v="296"/>
  </r>
  <r>
    <x v="301"/>
    <s v="California"/>
    <s v="Office Supplies"/>
    <s v="Storage"/>
    <x v="730"/>
  </r>
  <r>
    <x v="301"/>
    <s v="California"/>
    <s v="Office Supplies"/>
    <s v="Appliances"/>
    <x v="328"/>
  </r>
  <r>
    <x v="301"/>
    <s v="California"/>
    <s v="Office Supplies"/>
    <s v="Art"/>
    <x v="633"/>
  </r>
  <r>
    <x v="301"/>
    <s v="California"/>
    <s v="Office Supplies"/>
    <s v="Supplies"/>
    <x v="157"/>
  </r>
  <r>
    <x v="444"/>
    <s v="California"/>
    <s v="Office Supplies"/>
    <s v="Binders"/>
    <x v="983"/>
  </r>
  <r>
    <x v="246"/>
    <s v="California"/>
    <s v="Office Supplies"/>
    <s v="Labels"/>
    <x v="884"/>
  </r>
  <r>
    <x v="246"/>
    <s v="California"/>
    <s v="Office Supplies"/>
    <s v="Art"/>
    <x v="1310"/>
  </r>
  <r>
    <x v="636"/>
    <s v="California"/>
    <s v="Furniture"/>
    <s v="Tables"/>
    <x v="947"/>
  </r>
  <r>
    <x v="273"/>
    <s v="California"/>
    <s v="Office Supplies"/>
    <s v="Envelopes"/>
    <x v="74"/>
  </r>
  <r>
    <x v="273"/>
    <s v="California"/>
    <s v="Technology"/>
    <s v="Phones"/>
    <x v="1053"/>
  </r>
  <r>
    <x v="273"/>
    <s v="California"/>
    <s v="Office Supplies"/>
    <s v="Paper"/>
    <x v="648"/>
  </r>
  <r>
    <x v="273"/>
    <s v="California"/>
    <s v="Office Supplies"/>
    <s v="Binders"/>
    <x v="951"/>
  </r>
  <r>
    <x v="273"/>
    <s v="California"/>
    <s v="Office Supplies"/>
    <s v="Appliances"/>
    <x v="1388"/>
  </r>
  <r>
    <x v="273"/>
    <s v="California"/>
    <s v="Office Supplies"/>
    <s v="Storage"/>
    <x v="493"/>
  </r>
  <r>
    <x v="273"/>
    <s v="California"/>
    <s v="Office Supplies"/>
    <s v="Binders"/>
    <x v="19"/>
  </r>
  <r>
    <x v="56"/>
    <s v="Washington"/>
    <s v="Office Supplies"/>
    <s v="Storage"/>
    <x v="353"/>
  </r>
  <r>
    <x v="598"/>
    <s v="Washington"/>
    <s v="Technology"/>
    <s v="Accessories"/>
    <x v="915"/>
  </r>
  <r>
    <x v="598"/>
    <s v="Washington"/>
    <s v="Technology"/>
    <s v="Accessories"/>
    <x v="599"/>
  </r>
  <r>
    <x v="436"/>
    <s v="Washington"/>
    <s v="Office Supplies"/>
    <s v="Binders"/>
    <x v="1389"/>
  </r>
  <r>
    <x v="436"/>
    <s v="Washington"/>
    <s v="Office Supplies"/>
    <s v="Storage"/>
    <x v="534"/>
  </r>
  <r>
    <x v="436"/>
    <s v="Washington"/>
    <s v="Furniture"/>
    <s v="Furnishings"/>
    <x v="938"/>
  </r>
  <r>
    <x v="297"/>
    <s v="Utah"/>
    <s v="Office Supplies"/>
    <s v="Binders"/>
    <x v="1209"/>
  </r>
  <r>
    <x v="131"/>
    <s v="California"/>
    <s v="Office Supplies"/>
    <s v="Binders"/>
    <x v="363"/>
  </r>
  <r>
    <x v="143"/>
    <s v="California"/>
    <s v="Office Supplies"/>
    <s v="Supplies"/>
    <x v="1390"/>
  </r>
  <r>
    <x v="143"/>
    <s v="California"/>
    <s v="Office Supplies"/>
    <s v="Storage"/>
    <x v="1391"/>
  </r>
  <r>
    <x v="143"/>
    <s v="California"/>
    <s v="Technology"/>
    <s v="Phones"/>
    <x v="1392"/>
  </r>
  <r>
    <x v="24"/>
    <s v="California"/>
    <s v="Office Supplies"/>
    <s v="Paper"/>
    <x v="839"/>
  </r>
  <r>
    <x v="637"/>
    <s v="California"/>
    <s v="Office Supplies"/>
    <s v="Art"/>
    <x v="716"/>
  </r>
  <r>
    <x v="637"/>
    <s v="California"/>
    <s v="Technology"/>
    <s v="Phones"/>
    <x v="1393"/>
  </r>
  <r>
    <x v="637"/>
    <s v="California"/>
    <s v="Furniture"/>
    <s v="Furnishings"/>
    <x v="1394"/>
  </r>
  <r>
    <x v="637"/>
    <s v="California"/>
    <s v="Furniture"/>
    <s v="Tables"/>
    <x v="155"/>
  </r>
  <r>
    <x v="637"/>
    <s v="California"/>
    <s v="Office Supplies"/>
    <s v="Binders"/>
    <x v="734"/>
  </r>
  <r>
    <x v="637"/>
    <s v="California"/>
    <s v="Office Supplies"/>
    <s v="Appliances"/>
    <x v="853"/>
  </r>
  <r>
    <x v="637"/>
    <s v="California"/>
    <s v="Office Supplies"/>
    <s v="Labels"/>
    <x v="1395"/>
  </r>
  <r>
    <x v="513"/>
    <s v="Arizona"/>
    <s v="Office Supplies"/>
    <s v="Paper"/>
    <x v="453"/>
  </r>
  <r>
    <x v="544"/>
    <s v="Washington"/>
    <s v="Furniture"/>
    <s v="Chairs"/>
    <x v="1192"/>
  </r>
  <r>
    <x v="544"/>
    <s v="Washington"/>
    <s v="Office Supplies"/>
    <s v="Storage"/>
    <x v="1320"/>
  </r>
  <r>
    <x v="544"/>
    <s v="Washington"/>
    <s v="Technology"/>
    <s v="Accessories"/>
    <x v="1153"/>
  </r>
  <r>
    <x v="638"/>
    <s v="Colorado"/>
    <s v="Office Supplies"/>
    <s v="Storage"/>
    <x v="469"/>
  </r>
  <r>
    <x v="638"/>
    <s v="Colorado"/>
    <s v="Furniture"/>
    <s v="Furnishings"/>
    <x v="1396"/>
  </r>
  <r>
    <x v="638"/>
    <s v="Colorado"/>
    <s v="Office Supplies"/>
    <s v="Paper"/>
    <x v="659"/>
  </r>
  <r>
    <x v="639"/>
    <s v="California"/>
    <s v="Furniture"/>
    <s v="Tables"/>
    <x v="580"/>
  </r>
  <r>
    <x v="468"/>
    <s v="California"/>
    <s v="Furniture"/>
    <s v="Furnishings"/>
    <x v="733"/>
  </r>
  <r>
    <x v="468"/>
    <s v="California"/>
    <s v="Office Supplies"/>
    <s v="Appliances"/>
    <x v="454"/>
  </r>
  <r>
    <x v="468"/>
    <s v="California"/>
    <s v="Technology"/>
    <s v="Copiers"/>
    <x v="808"/>
  </r>
  <r>
    <x v="468"/>
    <s v="California"/>
    <s v="Office Supplies"/>
    <s v="Supplies"/>
    <x v="1171"/>
  </r>
  <r>
    <x v="468"/>
    <s v="California"/>
    <s v="Furniture"/>
    <s v="Chairs"/>
    <x v="113"/>
  </r>
  <r>
    <x v="468"/>
    <s v="California"/>
    <s v="Office Supplies"/>
    <s v="Paper"/>
    <x v="235"/>
  </r>
  <r>
    <x v="468"/>
    <s v="California"/>
    <s v="Office Supplies"/>
    <s v="Binders"/>
    <x v="546"/>
  </r>
  <r>
    <x v="468"/>
    <s v="California"/>
    <s v="Office Supplies"/>
    <s v="Storage"/>
    <x v="1125"/>
  </r>
  <r>
    <x v="535"/>
    <s v="Arizona"/>
    <s v="Furniture"/>
    <s v="Furnishings"/>
    <x v="615"/>
  </r>
  <r>
    <x v="514"/>
    <s v="Washington"/>
    <s v="Technology"/>
    <s v="Phones"/>
    <x v="1397"/>
  </r>
  <r>
    <x v="514"/>
    <s v="Washington"/>
    <s v="Furniture"/>
    <s v="Tables"/>
    <x v="1398"/>
  </r>
  <r>
    <x v="514"/>
    <s v="Washington"/>
    <s v="Office Supplies"/>
    <s v="Binders"/>
    <x v="146"/>
  </r>
  <r>
    <x v="514"/>
    <s v="Washington"/>
    <s v="Office Supplies"/>
    <s v="Art"/>
    <x v="1399"/>
  </r>
  <r>
    <x v="273"/>
    <s v="California"/>
    <s v="Furniture"/>
    <s v="Furnishings"/>
    <x v="1400"/>
  </r>
  <r>
    <x v="186"/>
    <s v="Arizona"/>
    <s v="Office Supplies"/>
    <s v="Storage"/>
    <x v="620"/>
  </r>
  <r>
    <x v="186"/>
    <s v="Arizona"/>
    <s v="Office Supplies"/>
    <s v="Fasteners"/>
    <x v="814"/>
  </r>
  <r>
    <x v="415"/>
    <s v="California"/>
    <s v="Office Supplies"/>
    <s v="Binders"/>
    <x v="1367"/>
  </r>
  <r>
    <x v="415"/>
    <s v="California"/>
    <s v="Technology"/>
    <s v="Phones"/>
    <x v="1329"/>
  </r>
  <r>
    <x v="314"/>
    <s v="Washington"/>
    <s v="Furniture"/>
    <s v="Chairs"/>
    <x v="1066"/>
  </r>
  <r>
    <x v="314"/>
    <s v="Washington"/>
    <s v="Office Supplies"/>
    <s v="Storage"/>
    <x v="376"/>
  </r>
  <r>
    <x v="464"/>
    <s v="Oregon"/>
    <s v="Office Supplies"/>
    <s v="Supplies"/>
    <x v="223"/>
  </r>
  <r>
    <x v="522"/>
    <s v="California"/>
    <s v="Office Supplies"/>
    <s v="Storage"/>
    <x v="1255"/>
  </r>
  <r>
    <x v="640"/>
    <s v="Washington"/>
    <s v="Technology"/>
    <s v="Accessories"/>
    <x v="1401"/>
  </r>
  <r>
    <x v="640"/>
    <s v="Washington"/>
    <s v="Office Supplies"/>
    <s v="Binders"/>
    <x v="1402"/>
  </r>
  <r>
    <x v="81"/>
    <s v="Washington"/>
    <s v="Office Supplies"/>
    <s v="Art"/>
    <x v="162"/>
  </r>
  <r>
    <x v="273"/>
    <s v="Washington"/>
    <s v="Office Supplies"/>
    <s v="Appliances"/>
    <x v="1403"/>
  </r>
  <r>
    <x v="273"/>
    <s v="Washington"/>
    <s v="Furniture"/>
    <s v="Tables"/>
    <x v="140"/>
  </r>
  <r>
    <x v="560"/>
    <s v="California"/>
    <s v="Office Supplies"/>
    <s v="Art"/>
    <x v="1404"/>
  </r>
  <r>
    <x v="304"/>
    <s v="California"/>
    <s v="Office Supplies"/>
    <s v="Art"/>
    <x v="1405"/>
  </r>
  <r>
    <x v="304"/>
    <s v="California"/>
    <s v="Office Supplies"/>
    <s v="Labels"/>
    <x v="1406"/>
  </r>
  <r>
    <x v="304"/>
    <s v="California"/>
    <s v="Technology"/>
    <s v="Phones"/>
    <x v="56"/>
  </r>
  <r>
    <x v="641"/>
    <s v="California"/>
    <s v="Office Supplies"/>
    <s v="Binders"/>
    <x v="1025"/>
  </r>
  <r>
    <x v="641"/>
    <s v="California"/>
    <s v="Furniture"/>
    <s v="Tables"/>
    <x v="325"/>
  </r>
  <r>
    <x v="642"/>
    <s v="Washington"/>
    <s v="Furniture"/>
    <s v="Chairs"/>
    <x v="1055"/>
  </r>
  <r>
    <x v="610"/>
    <s v="Colorado"/>
    <s v="Office Supplies"/>
    <s v="Labels"/>
    <x v="364"/>
  </r>
  <r>
    <x v="61"/>
    <s v="California"/>
    <s v="Office Supplies"/>
    <s v="Appliances"/>
    <x v="1092"/>
  </r>
  <r>
    <x v="61"/>
    <s v="California"/>
    <s v="Furniture"/>
    <s v="Furnishings"/>
    <x v="346"/>
  </r>
  <r>
    <x v="61"/>
    <s v="California"/>
    <s v="Office Supplies"/>
    <s v="Binders"/>
    <x v="686"/>
  </r>
  <r>
    <x v="60"/>
    <s v="California"/>
    <s v="Office Supplies"/>
    <s v="Art"/>
    <x v="375"/>
  </r>
  <r>
    <x v="29"/>
    <s v="California"/>
    <s v="Office Supplies"/>
    <s v="Binders"/>
    <x v="852"/>
  </r>
  <r>
    <x v="29"/>
    <s v="California"/>
    <s v="Technology"/>
    <s v="Accessories"/>
    <x v="462"/>
  </r>
  <r>
    <x v="643"/>
    <s v="California"/>
    <s v="Furniture"/>
    <s v="Bookcases"/>
    <x v="50"/>
  </r>
  <r>
    <x v="543"/>
    <s v="California"/>
    <s v="Furniture"/>
    <s v="Tables"/>
    <x v="1407"/>
  </r>
  <r>
    <x v="419"/>
    <s v="California"/>
    <s v="Office Supplies"/>
    <s v="Paper"/>
    <x v="28"/>
  </r>
  <r>
    <x v="419"/>
    <s v="California"/>
    <s v="Technology"/>
    <s v="Phones"/>
    <x v="723"/>
  </r>
  <r>
    <x v="450"/>
    <s v="California"/>
    <s v="Office Supplies"/>
    <s v="Binders"/>
    <x v="525"/>
  </r>
  <r>
    <x v="450"/>
    <s v="California"/>
    <s v="Technology"/>
    <s v="Phones"/>
    <x v="1408"/>
  </r>
  <r>
    <x v="450"/>
    <s v="California"/>
    <s v="Office Supplies"/>
    <s v="Storage"/>
    <x v="782"/>
  </r>
  <r>
    <x v="203"/>
    <s v="California"/>
    <s v="Office Supplies"/>
    <s v="Storage"/>
    <x v="610"/>
  </r>
  <r>
    <x v="519"/>
    <s v="California"/>
    <s v="Office Supplies"/>
    <s v="Binders"/>
    <x v="1367"/>
  </r>
  <r>
    <x v="519"/>
    <s v="California"/>
    <s v="Furniture"/>
    <s v="Tables"/>
    <x v="1035"/>
  </r>
  <r>
    <x v="20"/>
    <s v="California"/>
    <s v="Office Supplies"/>
    <s v="Storage"/>
    <x v="1409"/>
  </r>
  <r>
    <x v="524"/>
    <s v="California"/>
    <s v="Office Supplies"/>
    <s v="Binders"/>
    <x v="783"/>
  </r>
  <r>
    <x v="547"/>
    <s v="Oregon"/>
    <s v="Office Supplies"/>
    <s v="Binders"/>
    <x v="168"/>
  </r>
  <r>
    <x v="164"/>
    <s v="Washington"/>
    <s v="Office Supplies"/>
    <s v="Art"/>
    <x v="842"/>
  </r>
  <r>
    <x v="582"/>
    <s v="California"/>
    <s v="Furniture"/>
    <s v="Furnishings"/>
    <x v="392"/>
  </r>
  <r>
    <x v="209"/>
    <s v="Oregon"/>
    <s v="Office Supplies"/>
    <s v="Storage"/>
    <x v="825"/>
  </r>
  <r>
    <x v="209"/>
    <s v="Oregon"/>
    <s v="Technology"/>
    <s v="Accessories"/>
    <x v="896"/>
  </r>
  <r>
    <x v="76"/>
    <s v="Arizona"/>
    <s v="Office Supplies"/>
    <s v="Binders"/>
    <x v="64"/>
  </r>
  <r>
    <x v="277"/>
    <s v="Utah"/>
    <s v="Furniture"/>
    <s v="Furnishings"/>
    <x v="674"/>
  </r>
  <r>
    <x v="277"/>
    <s v="Utah"/>
    <s v="Technology"/>
    <s v="Phones"/>
    <x v="1410"/>
  </r>
  <r>
    <x v="644"/>
    <s v="California"/>
    <s v="Furniture"/>
    <s v="Furnishings"/>
    <x v="978"/>
  </r>
  <r>
    <x v="151"/>
    <s v="California"/>
    <s v="Furniture"/>
    <s v="Chairs"/>
    <x v="530"/>
  </r>
  <r>
    <x v="560"/>
    <s v="Washington"/>
    <s v="Furniture"/>
    <s v="Furnishings"/>
    <x v="1411"/>
  </r>
  <r>
    <x v="560"/>
    <s v="Washington"/>
    <s v="Technology"/>
    <s v="Phones"/>
    <x v="156"/>
  </r>
  <r>
    <x v="560"/>
    <s v="Washington"/>
    <s v="Office Supplies"/>
    <s v="Art"/>
    <x v="1412"/>
  </r>
  <r>
    <x v="62"/>
    <s v="Arizona"/>
    <s v="Office Supplies"/>
    <s v="Paper"/>
    <x v="1289"/>
  </r>
  <r>
    <x v="7"/>
    <s v="California"/>
    <s v="Office Supplies"/>
    <s v="Art"/>
    <x v="58"/>
  </r>
  <r>
    <x v="7"/>
    <s v="California"/>
    <s v="Furniture"/>
    <s v="Chairs"/>
    <x v="271"/>
  </r>
  <r>
    <x v="7"/>
    <s v="California"/>
    <s v="Office Supplies"/>
    <s v="Paper"/>
    <x v="1134"/>
  </r>
  <r>
    <x v="538"/>
    <s v="California"/>
    <s v="Office Supplies"/>
    <s v="Storage"/>
    <x v="554"/>
  </r>
  <r>
    <x v="568"/>
    <s v="California"/>
    <s v="Technology"/>
    <s v="Accessories"/>
    <x v="1264"/>
  </r>
  <r>
    <x v="35"/>
    <s v="Oregon"/>
    <s v="Office Supplies"/>
    <s v="Paper"/>
    <x v="895"/>
  </r>
  <r>
    <x v="35"/>
    <s v="Oregon"/>
    <s v="Office Supplies"/>
    <s v="Appliances"/>
    <x v="540"/>
  </r>
  <r>
    <x v="47"/>
    <s v="California"/>
    <s v="Furniture"/>
    <s v="Chairs"/>
    <x v="344"/>
  </r>
  <r>
    <x v="47"/>
    <s v="California"/>
    <s v="Office Supplies"/>
    <s v="Binders"/>
    <x v="77"/>
  </r>
  <r>
    <x v="165"/>
    <s v="California"/>
    <s v="Office Supplies"/>
    <s v="Paper"/>
    <x v="1174"/>
  </r>
  <r>
    <x v="165"/>
    <s v="California"/>
    <s v="Office Supplies"/>
    <s v="Envelopes"/>
    <x v="1413"/>
  </r>
  <r>
    <x v="165"/>
    <s v="California"/>
    <s v="Furniture"/>
    <s v="Chairs"/>
    <x v="129"/>
  </r>
  <r>
    <x v="366"/>
    <s v="California"/>
    <s v="Furniture"/>
    <s v="Furnishings"/>
    <x v="1099"/>
  </r>
  <r>
    <x v="366"/>
    <s v="California"/>
    <s v="Office Supplies"/>
    <s v="Appliances"/>
    <x v="654"/>
  </r>
  <r>
    <x v="300"/>
    <s v="Washington"/>
    <s v="Furniture"/>
    <s v="Chairs"/>
    <x v="703"/>
  </r>
  <r>
    <x v="300"/>
    <s v="Washington"/>
    <s v="Office Supplies"/>
    <s v="Paper"/>
    <x v="0"/>
  </r>
  <r>
    <x v="300"/>
    <s v="Washington"/>
    <s v="Office Supplies"/>
    <s v="Paper"/>
    <x v="658"/>
  </r>
  <r>
    <x v="300"/>
    <s v="Washington"/>
    <s v="Office Supplies"/>
    <s v="Binders"/>
    <x v="258"/>
  </r>
  <r>
    <x v="300"/>
    <s v="Washington"/>
    <s v="Technology"/>
    <s v="Phones"/>
    <x v="1414"/>
  </r>
  <r>
    <x v="274"/>
    <s v="California"/>
    <s v="Technology"/>
    <s v="Phones"/>
    <x v="1053"/>
  </r>
  <r>
    <x v="274"/>
    <s v="California"/>
    <s v="Office Supplies"/>
    <s v="Paper"/>
    <x v="1196"/>
  </r>
  <r>
    <x v="348"/>
    <s v="California"/>
    <s v="Furniture"/>
    <s v="Furnishings"/>
    <x v="512"/>
  </r>
  <r>
    <x v="361"/>
    <s v="California"/>
    <s v="Office Supplies"/>
    <s v="Paper"/>
    <x v="1415"/>
  </r>
  <r>
    <x v="454"/>
    <s v="California"/>
    <s v="Office Supplies"/>
    <s v="Labels"/>
    <x v="1416"/>
  </r>
  <r>
    <x v="156"/>
    <s v="California"/>
    <s v="Office Supplies"/>
    <s v="Binders"/>
    <x v="71"/>
  </r>
  <r>
    <x v="156"/>
    <s v="California"/>
    <s v="Technology"/>
    <s v="Phones"/>
    <x v="803"/>
  </r>
  <r>
    <x v="156"/>
    <s v="California"/>
    <s v="Furniture"/>
    <s v="Chairs"/>
    <x v="558"/>
  </r>
  <r>
    <x v="339"/>
    <s v="California"/>
    <s v="Furniture"/>
    <s v="Chairs"/>
    <x v="341"/>
  </r>
  <r>
    <x v="339"/>
    <s v="California"/>
    <s v="Furniture"/>
    <s v="Furnishings"/>
    <x v="1135"/>
  </r>
  <r>
    <x v="339"/>
    <s v="California"/>
    <s v="Office Supplies"/>
    <s v="Art"/>
    <x v="1417"/>
  </r>
  <r>
    <x v="339"/>
    <s v="California"/>
    <s v="Office Supplies"/>
    <s v="Appliances"/>
    <x v="1219"/>
  </r>
  <r>
    <x v="339"/>
    <s v="California"/>
    <s v="Office Supplies"/>
    <s v="Binders"/>
    <x v="844"/>
  </r>
  <r>
    <x v="131"/>
    <s v="Washington"/>
    <s v="Office Supplies"/>
    <s v="Art"/>
    <x v="864"/>
  </r>
  <r>
    <x v="645"/>
    <s v="Utah"/>
    <s v="Office Supplies"/>
    <s v="Binders"/>
    <x v="85"/>
  </r>
  <r>
    <x v="164"/>
    <s v="California"/>
    <s v="Furniture"/>
    <s v="Tables"/>
    <x v="509"/>
  </r>
  <r>
    <x v="118"/>
    <s v="California"/>
    <s v="Office Supplies"/>
    <s v="Paper"/>
    <x v="1101"/>
  </r>
  <r>
    <x v="118"/>
    <s v="California"/>
    <s v="Office Supplies"/>
    <s v="Art"/>
    <x v="34"/>
  </r>
  <r>
    <x v="342"/>
    <s v="California"/>
    <s v="Office Supplies"/>
    <s v="Fasteners"/>
    <x v="1418"/>
  </r>
  <r>
    <x v="646"/>
    <s v="Washington"/>
    <s v="Office Supplies"/>
    <s v="Paper"/>
    <x v="1419"/>
  </r>
  <r>
    <x v="578"/>
    <s v="Utah"/>
    <s v="Office Supplies"/>
    <s v="Binders"/>
    <x v="77"/>
  </r>
  <r>
    <x v="578"/>
    <s v="Utah"/>
    <s v="Office Supplies"/>
    <s v="Binders"/>
    <x v="979"/>
  </r>
  <r>
    <x v="578"/>
    <s v="Utah"/>
    <s v="Office Supplies"/>
    <s v="Paper"/>
    <x v="494"/>
  </r>
  <r>
    <x v="578"/>
    <s v="Utah"/>
    <s v="Furniture"/>
    <s v="Bookcases"/>
    <x v="1420"/>
  </r>
  <r>
    <x v="578"/>
    <s v="Utah"/>
    <s v="Office Supplies"/>
    <s v="Binders"/>
    <x v="1241"/>
  </r>
  <r>
    <x v="578"/>
    <s v="Utah"/>
    <s v="Office Supplies"/>
    <s v="Storage"/>
    <x v="958"/>
  </r>
  <r>
    <x v="578"/>
    <s v="Utah"/>
    <s v="Office Supplies"/>
    <s v="Labels"/>
    <x v="1421"/>
  </r>
  <r>
    <x v="346"/>
    <s v="Idaho"/>
    <s v="Technology"/>
    <s v="Accessories"/>
    <x v="823"/>
  </r>
  <r>
    <x v="245"/>
    <s v="California"/>
    <s v="Office Supplies"/>
    <s v="Art"/>
    <x v="419"/>
  </r>
  <r>
    <x v="245"/>
    <s v="California"/>
    <s v="Office Supplies"/>
    <s v="Envelopes"/>
    <x v="1085"/>
  </r>
  <r>
    <x v="245"/>
    <s v="California"/>
    <s v="Office Supplies"/>
    <s v="Paper"/>
    <x v="987"/>
  </r>
  <r>
    <x v="647"/>
    <s v="New Mexico"/>
    <s v="Office Supplies"/>
    <s v="Binders"/>
    <x v="477"/>
  </r>
  <r>
    <x v="647"/>
    <s v="New Mexico"/>
    <s v="Technology"/>
    <s v="Accessories"/>
    <x v="1422"/>
  </r>
  <r>
    <x v="459"/>
    <s v="Oregon"/>
    <s v="Technology"/>
    <s v="Phones"/>
    <x v="438"/>
  </r>
  <r>
    <x v="459"/>
    <s v="Oregon"/>
    <s v="Office Supplies"/>
    <s v="Art"/>
    <x v="1417"/>
  </r>
  <r>
    <x v="459"/>
    <s v="Oregon"/>
    <s v="Furniture"/>
    <s v="Furnishings"/>
    <x v="1072"/>
  </r>
  <r>
    <x v="459"/>
    <s v="Oregon"/>
    <s v="Furniture"/>
    <s v="Bookcases"/>
    <x v="8"/>
  </r>
  <r>
    <x v="503"/>
    <s v="California"/>
    <s v="Technology"/>
    <s v="Accessories"/>
    <x v="1216"/>
  </r>
  <r>
    <x v="503"/>
    <s v="California"/>
    <s v="Office Supplies"/>
    <s v="Art"/>
    <x v="1215"/>
  </r>
  <r>
    <x v="503"/>
    <s v="California"/>
    <s v="Office Supplies"/>
    <s v="Art"/>
    <x v="1423"/>
  </r>
  <r>
    <x v="545"/>
    <s v="Arizona"/>
    <s v="Office Supplies"/>
    <s v="Storage"/>
    <x v="246"/>
  </r>
  <r>
    <x v="545"/>
    <s v="Arizona"/>
    <s v="Technology"/>
    <s v="Accessories"/>
    <x v="123"/>
  </r>
  <r>
    <x v="545"/>
    <s v="Arizona"/>
    <s v="Technology"/>
    <s v="Phones"/>
    <x v="1381"/>
  </r>
  <r>
    <x v="545"/>
    <s v="Arizona"/>
    <s v="Office Supplies"/>
    <s v="Binders"/>
    <x v="389"/>
  </r>
  <r>
    <x v="648"/>
    <s v="Washington"/>
    <s v="Technology"/>
    <s v="Accessories"/>
    <x v="862"/>
  </r>
  <r>
    <x v="648"/>
    <s v="Washington"/>
    <s v="Technology"/>
    <s v="Accessories"/>
    <x v="1424"/>
  </r>
  <r>
    <x v="569"/>
    <s v="California"/>
    <s v="Office Supplies"/>
    <s v="Storage"/>
    <x v="1425"/>
  </r>
  <r>
    <x v="169"/>
    <s v="California"/>
    <s v="Office Supplies"/>
    <s v="Paper"/>
    <x v="1426"/>
  </r>
  <r>
    <x v="2"/>
    <s v="New Mexico"/>
    <s v="Office Supplies"/>
    <s v="Paper"/>
    <x v="1427"/>
  </r>
  <r>
    <x v="291"/>
    <s v="California"/>
    <s v="Office Supplies"/>
    <s v="Supplies"/>
    <x v="719"/>
  </r>
  <r>
    <x v="649"/>
    <s v="Washington"/>
    <s v="Office Supplies"/>
    <s v="Appliances"/>
    <x v="1428"/>
  </r>
  <r>
    <x v="649"/>
    <s v="Washington"/>
    <s v="Office Supplies"/>
    <s v="Storage"/>
    <x v="730"/>
  </r>
  <r>
    <x v="649"/>
    <s v="Washington"/>
    <s v="Office Supplies"/>
    <s v="Binders"/>
    <x v="1380"/>
  </r>
  <r>
    <x v="650"/>
    <s v="Colorado"/>
    <s v="Furniture"/>
    <s v="Furnishings"/>
    <x v="147"/>
  </r>
  <r>
    <x v="514"/>
    <s v="Colorado"/>
    <s v="Office Supplies"/>
    <s v="Envelopes"/>
    <x v="1429"/>
  </r>
  <r>
    <x v="134"/>
    <s v="Colorado"/>
    <s v="Furniture"/>
    <s v="Bookcases"/>
    <x v="1052"/>
  </r>
  <r>
    <x v="134"/>
    <s v="Colorado"/>
    <s v="Technology"/>
    <s v="Accessories"/>
    <x v="466"/>
  </r>
  <r>
    <x v="121"/>
    <s v="California"/>
    <s v="Office Supplies"/>
    <s v="Binders"/>
    <x v="304"/>
  </r>
  <r>
    <x v="121"/>
    <s v="California"/>
    <s v="Office Supplies"/>
    <s v="Appliances"/>
    <x v="454"/>
  </r>
  <r>
    <x v="651"/>
    <s v="California"/>
    <s v="Office Supplies"/>
    <s v="Paper"/>
    <x v="160"/>
  </r>
  <r>
    <x v="651"/>
    <s v="California"/>
    <s v="Furniture"/>
    <s v="Chairs"/>
    <x v="112"/>
  </r>
  <r>
    <x v="651"/>
    <s v="California"/>
    <s v="Office Supplies"/>
    <s v="Binders"/>
    <x v="1120"/>
  </r>
  <r>
    <x v="152"/>
    <s v="California"/>
    <s v="Technology"/>
    <s v="Phones"/>
    <x v="127"/>
  </r>
  <r>
    <x v="152"/>
    <s v="California"/>
    <s v="Technology"/>
    <s v="Machines"/>
    <x v="1430"/>
  </r>
  <r>
    <x v="105"/>
    <s v="Washington"/>
    <s v="Furniture"/>
    <s v="Furnishings"/>
    <x v="881"/>
  </r>
  <r>
    <x v="327"/>
    <s v="California"/>
    <s v="Office Supplies"/>
    <s v="Paper"/>
    <x v="1078"/>
  </r>
  <r>
    <x v="327"/>
    <s v="California"/>
    <s v="Office Supplies"/>
    <s v="Supplies"/>
    <x v="309"/>
  </r>
  <r>
    <x v="227"/>
    <s v="Montana"/>
    <s v="Office Supplies"/>
    <s v="Storage"/>
    <x v="373"/>
  </r>
  <r>
    <x v="511"/>
    <s v="California"/>
    <s v="Office Supplies"/>
    <s v="Envelopes"/>
    <x v="74"/>
  </r>
  <r>
    <x v="511"/>
    <s v="California"/>
    <s v="Furniture"/>
    <s v="Furnishings"/>
    <x v="517"/>
  </r>
  <r>
    <x v="511"/>
    <s v="California"/>
    <s v="Office Supplies"/>
    <s v="Paper"/>
    <x v="463"/>
  </r>
  <r>
    <x v="511"/>
    <s v="California"/>
    <s v="Office Supplies"/>
    <s v="Binders"/>
    <x v="289"/>
  </r>
  <r>
    <x v="511"/>
    <s v="California"/>
    <s v="Office Supplies"/>
    <s v="Binders"/>
    <x v="1389"/>
  </r>
  <r>
    <x v="652"/>
    <s v="Oregon"/>
    <s v="Office Supplies"/>
    <s v="Art"/>
    <x v="185"/>
  </r>
  <r>
    <x v="101"/>
    <s v="Colorado"/>
    <s v="Furniture"/>
    <s v="Furnishings"/>
    <x v="251"/>
  </r>
  <r>
    <x v="101"/>
    <s v="Colorado"/>
    <s v="Office Supplies"/>
    <s v="Storage"/>
    <x v="1431"/>
  </r>
  <r>
    <x v="101"/>
    <s v="Colorado"/>
    <s v="Technology"/>
    <s v="Accessories"/>
    <x v="1432"/>
  </r>
  <r>
    <x v="101"/>
    <s v="Colorado"/>
    <s v="Office Supplies"/>
    <s v="Binders"/>
    <x v="1211"/>
  </r>
  <r>
    <x v="101"/>
    <s v="Colorado"/>
    <s v="Office Supplies"/>
    <s v="Paper"/>
    <x v="1433"/>
  </r>
  <r>
    <x v="101"/>
    <s v="Colorado"/>
    <s v="Office Supplies"/>
    <s v="Appliances"/>
    <x v="1021"/>
  </r>
  <r>
    <x v="633"/>
    <s v="California"/>
    <s v="Furniture"/>
    <s v="Furnishings"/>
    <x v="351"/>
  </r>
  <r>
    <x v="66"/>
    <s v="California"/>
    <s v="Office Supplies"/>
    <s v="Fasteners"/>
    <x v="489"/>
  </r>
  <r>
    <x v="66"/>
    <s v="California"/>
    <s v="Furniture"/>
    <s v="Chairs"/>
    <x v="341"/>
  </r>
  <r>
    <x v="66"/>
    <s v="California"/>
    <s v="Office Supplies"/>
    <s v="Appliances"/>
    <x v="997"/>
  </r>
  <r>
    <x v="66"/>
    <s v="California"/>
    <s v="Furniture"/>
    <s v="Furnishings"/>
    <x v="1351"/>
  </r>
  <r>
    <x v="66"/>
    <s v="California"/>
    <s v="Office Supplies"/>
    <s v="Binders"/>
    <x v="561"/>
  </r>
  <r>
    <x v="653"/>
    <s v="California"/>
    <s v="Office Supplies"/>
    <s v="Art"/>
    <x v="206"/>
  </r>
  <r>
    <x v="643"/>
    <s v="California"/>
    <s v="Office Supplies"/>
    <s v="Supplies"/>
    <x v="1434"/>
  </r>
  <r>
    <x v="378"/>
    <s v="Washington"/>
    <s v="Office Supplies"/>
    <s v="Paper"/>
    <x v="355"/>
  </r>
  <r>
    <x v="378"/>
    <s v="Washington"/>
    <s v="Office Supplies"/>
    <s v="Paper"/>
    <x v="1435"/>
  </r>
  <r>
    <x v="378"/>
    <s v="Washington"/>
    <s v="Office Supplies"/>
    <s v="Appliances"/>
    <x v="439"/>
  </r>
  <r>
    <x v="73"/>
    <s v="California"/>
    <s v="Technology"/>
    <s v="Accessories"/>
    <x v="1436"/>
  </r>
  <r>
    <x v="295"/>
    <s v="Washington"/>
    <s v="Office Supplies"/>
    <s v="Paper"/>
    <x v="750"/>
  </r>
  <r>
    <x v="295"/>
    <s v="Washington"/>
    <s v="Office Supplies"/>
    <s v="Binders"/>
    <x v="1363"/>
  </r>
  <r>
    <x v="295"/>
    <s v="Washington"/>
    <s v="Office Supplies"/>
    <s v="Paper"/>
    <x v="1187"/>
  </r>
  <r>
    <x v="295"/>
    <s v="Washington"/>
    <s v="Furniture"/>
    <s v="Chairs"/>
    <x v="760"/>
  </r>
  <r>
    <x v="654"/>
    <s v="California"/>
    <s v="Office Supplies"/>
    <s v="Binders"/>
    <x v="477"/>
  </r>
  <r>
    <x v="654"/>
    <s v="California"/>
    <s v="Office Supplies"/>
    <s v="Binders"/>
    <x v="728"/>
  </r>
  <r>
    <x v="654"/>
    <s v="California"/>
    <s v="Office Supplies"/>
    <s v="Appliances"/>
    <x v="1437"/>
  </r>
  <r>
    <x v="654"/>
    <s v="California"/>
    <s v="Furniture"/>
    <s v="Chairs"/>
    <x v="1438"/>
  </r>
  <r>
    <x v="177"/>
    <s v="California"/>
    <s v="Technology"/>
    <s v="Accessories"/>
    <x v="538"/>
  </r>
  <r>
    <x v="655"/>
    <s v="Washington"/>
    <s v="Office Supplies"/>
    <s v="Fasteners"/>
    <x v="16"/>
  </r>
  <r>
    <x v="655"/>
    <s v="Washington"/>
    <s v="Technology"/>
    <s v="Phones"/>
    <x v="968"/>
  </r>
  <r>
    <x v="501"/>
    <s v="California"/>
    <s v="Office Supplies"/>
    <s v="Binders"/>
    <x v="849"/>
  </r>
  <r>
    <x v="501"/>
    <s v="California"/>
    <s v="Office Supplies"/>
    <s v="Storage"/>
    <x v="1439"/>
  </r>
  <r>
    <x v="656"/>
    <s v="Oregon"/>
    <s v="Furniture"/>
    <s v="Bookcases"/>
    <x v="8"/>
  </r>
  <r>
    <x v="656"/>
    <s v="Oregon"/>
    <s v="Office Supplies"/>
    <s v="Supplies"/>
    <x v="216"/>
  </r>
  <r>
    <x v="656"/>
    <s v="Oregon"/>
    <s v="Office Supplies"/>
    <s v="Binders"/>
    <x v="5"/>
  </r>
  <r>
    <x v="656"/>
    <s v="Oregon"/>
    <s v="Office Supplies"/>
    <s v="Art"/>
    <x v="954"/>
  </r>
  <r>
    <x v="657"/>
    <s v="California"/>
    <s v="Furniture"/>
    <s v="Furnishings"/>
    <x v="1440"/>
  </r>
  <r>
    <x v="657"/>
    <s v="California"/>
    <s v="Technology"/>
    <s v="Machines"/>
    <x v="1441"/>
  </r>
  <r>
    <x v="547"/>
    <s v="California"/>
    <s v="Furniture"/>
    <s v="Tables"/>
    <x v="1245"/>
  </r>
  <r>
    <x v="583"/>
    <s v="California"/>
    <s v="Office Supplies"/>
    <s v="Binders"/>
    <x v="398"/>
  </r>
  <r>
    <x v="583"/>
    <s v="California"/>
    <s v="Office Supplies"/>
    <s v="Paper"/>
    <x v="53"/>
  </r>
  <r>
    <x v="583"/>
    <s v="California"/>
    <s v="Office Supplies"/>
    <s v="Binders"/>
    <x v="261"/>
  </r>
  <r>
    <x v="494"/>
    <s v="Colorado"/>
    <s v="Technology"/>
    <s v="Accessories"/>
    <x v="1318"/>
  </r>
  <r>
    <x v="192"/>
    <s v="California"/>
    <s v="Furniture"/>
    <s v="Chairs"/>
    <x v="942"/>
  </r>
  <r>
    <x v="192"/>
    <s v="California"/>
    <s v="Office Supplies"/>
    <s v="Fasteners"/>
    <x v="16"/>
  </r>
  <r>
    <x v="192"/>
    <s v="California"/>
    <s v="Office Supplies"/>
    <s v="Appliances"/>
    <x v="1236"/>
  </r>
  <r>
    <x v="192"/>
    <s v="California"/>
    <s v="Furniture"/>
    <s v="Furnishings"/>
    <x v="1442"/>
  </r>
  <r>
    <x v="192"/>
    <s v="California"/>
    <s v="Furniture"/>
    <s v="Tables"/>
    <x v="148"/>
  </r>
  <r>
    <x v="192"/>
    <s v="California"/>
    <s v="Technology"/>
    <s v="Phones"/>
    <x v="1362"/>
  </r>
  <r>
    <x v="362"/>
    <s v="Idaho"/>
    <s v="Furniture"/>
    <s v="Furnishings"/>
    <x v="1024"/>
  </r>
  <r>
    <x v="362"/>
    <s v="Idaho"/>
    <s v="Office Supplies"/>
    <s v="Appliances"/>
    <x v="1443"/>
  </r>
  <r>
    <x v="362"/>
    <s v="Idaho"/>
    <s v="Office Supplies"/>
    <s v="Paper"/>
    <x v="921"/>
  </r>
  <r>
    <x v="426"/>
    <s v="Arizona"/>
    <s v="Office Supplies"/>
    <s v="Art"/>
    <x v="1444"/>
  </r>
  <r>
    <x v="658"/>
    <s v="California"/>
    <s v="Furniture"/>
    <s v="Bookcases"/>
    <x v="1445"/>
  </r>
  <r>
    <x v="659"/>
    <s v="California"/>
    <s v="Technology"/>
    <s v="Accessories"/>
    <x v="827"/>
  </r>
  <r>
    <x v="659"/>
    <s v="California"/>
    <s v="Technology"/>
    <s v="Phones"/>
    <x v="781"/>
  </r>
  <r>
    <x v="659"/>
    <s v="California"/>
    <s v="Technology"/>
    <s v="Phones"/>
    <x v="1362"/>
  </r>
  <r>
    <x v="420"/>
    <s v="California"/>
    <s v="Technology"/>
    <s v="Phones"/>
    <x v="1274"/>
  </r>
  <r>
    <x v="420"/>
    <s v="California"/>
    <s v="Technology"/>
    <s v="Accessories"/>
    <x v="1167"/>
  </r>
  <r>
    <x v="420"/>
    <s v="California"/>
    <s v="Technology"/>
    <s v="Accessories"/>
    <x v="380"/>
  </r>
  <r>
    <x v="420"/>
    <s v="California"/>
    <s v="Office Supplies"/>
    <s v="Storage"/>
    <x v="339"/>
  </r>
  <r>
    <x v="176"/>
    <s v="California"/>
    <s v="Office Supplies"/>
    <s v="Paper"/>
    <x v="1446"/>
  </r>
  <r>
    <x v="660"/>
    <s v="New Mexico"/>
    <s v="Technology"/>
    <s v="Accessories"/>
    <x v="229"/>
  </r>
  <r>
    <x v="660"/>
    <s v="New Mexico"/>
    <s v="Office Supplies"/>
    <s v="Binders"/>
    <x v="1056"/>
  </r>
  <r>
    <x v="327"/>
    <s v="California"/>
    <s v="Technology"/>
    <s v="Accessories"/>
    <x v="928"/>
  </r>
  <r>
    <x v="327"/>
    <s v="California"/>
    <s v="Office Supplies"/>
    <s v="Binders"/>
    <x v="1447"/>
  </r>
  <r>
    <x v="661"/>
    <s v="California"/>
    <s v="Technology"/>
    <s v="Accessories"/>
    <x v="1222"/>
  </r>
  <r>
    <x v="661"/>
    <s v="California"/>
    <s v="Office Supplies"/>
    <s v="Art"/>
    <x v="419"/>
  </r>
  <r>
    <x v="542"/>
    <s v="California"/>
    <s v="Technology"/>
    <s v="Accessories"/>
    <x v="935"/>
  </r>
  <r>
    <x v="542"/>
    <s v="California"/>
    <s v="Technology"/>
    <s v="Phones"/>
    <x v="1088"/>
  </r>
  <r>
    <x v="542"/>
    <s v="California"/>
    <s v="Office Supplies"/>
    <s v="Binders"/>
    <x v="442"/>
  </r>
  <r>
    <x v="612"/>
    <s v="California"/>
    <s v="Furniture"/>
    <s v="Furnishings"/>
    <x v="81"/>
  </r>
  <r>
    <x v="291"/>
    <s v="California"/>
    <s v="Technology"/>
    <s v="Accessories"/>
    <x v="1448"/>
  </r>
  <r>
    <x v="655"/>
    <s v="California"/>
    <s v="Office Supplies"/>
    <s v="Art"/>
    <x v="1449"/>
  </r>
  <r>
    <x v="236"/>
    <s v="California"/>
    <s v="Furniture"/>
    <s v="Tables"/>
    <x v="870"/>
  </r>
  <r>
    <x v="236"/>
    <s v="California"/>
    <s v="Office Supplies"/>
    <s v="Paper"/>
    <x v="345"/>
  </r>
  <r>
    <x v="513"/>
    <s v="California"/>
    <s v="Office Supplies"/>
    <s v="Labels"/>
    <x v="577"/>
  </r>
  <r>
    <x v="513"/>
    <s v="California"/>
    <s v="Furniture"/>
    <s v="Furnishings"/>
    <x v="1450"/>
  </r>
  <r>
    <x v="145"/>
    <s v="California"/>
    <s v="Office Supplies"/>
    <s v="Labels"/>
    <x v="1314"/>
  </r>
  <r>
    <x v="662"/>
    <s v="Utah"/>
    <s v="Office Supplies"/>
    <s v="Art"/>
    <x v="1444"/>
  </r>
  <r>
    <x v="324"/>
    <s v="Arizona"/>
    <s v="Office Supplies"/>
    <s v="Paper"/>
    <x v="494"/>
  </r>
  <r>
    <x v="100"/>
    <s v="Arizona"/>
    <s v="Technology"/>
    <s v="Machines"/>
    <x v="52"/>
  </r>
  <r>
    <x v="663"/>
    <s v="California"/>
    <s v="Office Supplies"/>
    <s v="Art"/>
    <x v="42"/>
  </r>
  <r>
    <x v="15"/>
    <s v="California"/>
    <s v="Technology"/>
    <s v="Phones"/>
    <x v="803"/>
  </r>
  <r>
    <x v="139"/>
    <s v="California"/>
    <s v="Office Supplies"/>
    <s v="Envelopes"/>
    <x v="1451"/>
  </r>
  <r>
    <x v="139"/>
    <s v="California"/>
    <s v="Office Supplies"/>
    <s v="Labels"/>
    <x v="76"/>
  </r>
  <r>
    <x v="139"/>
    <s v="California"/>
    <s v="Furniture"/>
    <s v="Furnishings"/>
    <x v="1452"/>
  </r>
  <r>
    <x v="139"/>
    <s v="California"/>
    <s v="Furniture"/>
    <s v="Tables"/>
    <x v="1453"/>
  </r>
  <r>
    <x v="664"/>
    <s v="California"/>
    <s v="Office Supplies"/>
    <s v="Binders"/>
    <x v="985"/>
  </r>
  <r>
    <x v="665"/>
    <s v="California"/>
    <s v="Office Supplies"/>
    <s v="Labels"/>
    <x v="1454"/>
  </r>
  <r>
    <x v="665"/>
    <s v="California"/>
    <s v="Office Supplies"/>
    <s v="Binders"/>
    <x v="1455"/>
  </r>
  <r>
    <x v="35"/>
    <s v="Oregon"/>
    <s v="Office Supplies"/>
    <s v="Paper"/>
    <x v="882"/>
  </r>
  <r>
    <x v="35"/>
    <s v="Oregon"/>
    <s v="Furniture"/>
    <s v="Chairs"/>
    <x v="179"/>
  </r>
  <r>
    <x v="35"/>
    <s v="Oregon"/>
    <s v="Technology"/>
    <s v="Accessories"/>
    <x v="603"/>
  </r>
  <r>
    <x v="196"/>
    <s v="Arizona"/>
    <s v="Office Supplies"/>
    <s v="Binders"/>
    <x v="773"/>
  </r>
  <r>
    <x v="2"/>
    <s v="Oregon"/>
    <s v="Furniture"/>
    <s v="Tables"/>
    <x v="140"/>
  </r>
  <r>
    <x v="439"/>
    <s v="Colorado"/>
    <s v="Office Supplies"/>
    <s v="Binders"/>
    <x v="1022"/>
  </r>
  <r>
    <x v="439"/>
    <s v="Colorado"/>
    <s v="Furniture"/>
    <s v="Chairs"/>
    <x v="1456"/>
  </r>
  <r>
    <x v="116"/>
    <s v="California"/>
    <s v="Furniture"/>
    <s v="Bookcases"/>
    <x v="2"/>
  </r>
  <r>
    <x v="116"/>
    <s v="California"/>
    <s v="Technology"/>
    <s v="Phones"/>
    <x v="1457"/>
  </r>
  <r>
    <x v="48"/>
    <s v="California"/>
    <s v="Furniture"/>
    <s v="Tables"/>
    <x v="155"/>
  </r>
  <r>
    <x v="48"/>
    <s v="California"/>
    <s v="Technology"/>
    <s v="Phones"/>
    <x v="65"/>
  </r>
  <r>
    <x v="429"/>
    <s v="Arizona"/>
    <s v="Office Supplies"/>
    <s v="Paper"/>
    <x v="1435"/>
  </r>
  <r>
    <x v="542"/>
    <s v="Washington"/>
    <s v="Furniture"/>
    <s v="Furnishings"/>
    <x v="923"/>
  </r>
  <r>
    <x v="51"/>
    <s v="Washington"/>
    <s v="Office Supplies"/>
    <s v="Binders"/>
    <x v="686"/>
  </r>
  <r>
    <x v="51"/>
    <s v="Washington"/>
    <s v="Office Supplies"/>
    <s v="Binders"/>
    <x v="1458"/>
  </r>
  <r>
    <x v="666"/>
    <s v="California"/>
    <s v="Office Supplies"/>
    <s v="Labels"/>
    <x v="563"/>
  </r>
  <r>
    <x v="666"/>
    <s v="California"/>
    <s v="Technology"/>
    <s v="Phones"/>
    <x v="929"/>
  </r>
  <r>
    <x v="666"/>
    <s v="California"/>
    <s v="Office Supplies"/>
    <s v="Paper"/>
    <x v="1459"/>
  </r>
  <r>
    <x v="666"/>
    <s v="California"/>
    <s v="Furniture"/>
    <s v="Chairs"/>
    <x v="1055"/>
  </r>
  <r>
    <x v="666"/>
    <s v="California"/>
    <s v="Office Supplies"/>
    <s v="Art"/>
    <x v="3"/>
  </r>
  <r>
    <x v="666"/>
    <s v="California"/>
    <s v="Office Supplies"/>
    <s v="Appliances"/>
    <x v="1323"/>
  </r>
  <r>
    <x v="241"/>
    <s v="Washington"/>
    <s v="Furniture"/>
    <s v="Chairs"/>
    <x v="271"/>
  </r>
  <r>
    <x v="241"/>
    <s v="Washington"/>
    <s v="Furniture"/>
    <s v="Chairs"/>
    <x v="767"/>
  </r>
  <r>
    <x v="241"/>
    <s v="Washington"/>
    <s v="Furniture"/>
    <s v="Bookcases"/>
    <x v="510"/>
  </r>
  <r>
    <x v="535"/>
    <s v="Washington"/>
    <s v="Office Supplies"/>
    <s v="Binders"/>
    <x v="352"/>
  </r>
  <r>
    <x v="535"/>
    <s v="Washington"/>
    <s v="Furniture"/>
    <s v="Tables"/>
    <x v="611"/>
  </r>
  <r>
    <x v="274"/>
    <s v="Washington"/>
    <s v="Office Supplies"/>
    <s v="Paper"/>
    <x v="1460"/>
  </r>
  <r>
    <x v="194"/>
    <s v="California"/>
    <s v="Office Supplies"/>
    <s v="Envelopes"/>
    <x v="1095"/>
  </r>
  <r>
    <x v="194"/>
    <s v="California"/>
    <s v="Office Supplies"/>
    <s v="Art"/>
    <x v="1375"/>
  </r>
  <r>
    <x v="194"/>
    <s v="California"/>
    <s v="Office Supplies"/>
    <s v="Binders"/>
    <x v="1461"/>
  </r>
  <r>
    <x v="194"/>
    <s v="California"/>
    <s v="Office Supplies"/>
    <s v="Fasteners"/>
    <x v="260"/>
  </r>
  <r>
    <x v="194"/>
    <s v="California"/>
    <s v="Furniture"/>
    <s v="Furnishings"/>
    <x v="1462"/>
  </r>
  <r>
    <x v="194"/>
    <s v="California"/>
    <s v="Office Supplies"/>
    <s v="Storage"/>
    <x v="1255"/>
  </r>
  <r>
    <x v="454"/>
    <s v="Utah"/>
    <s v="Office Supplies"/>
    <s v="Paper"/>
    <x v="28"/>
  </r>
  <r>
    <x v="36"/>
    <s v="California"/>
    <s v="Office Supplies"/>
    <s v="Appliances"/>
    <x v="898"/>
  </r>
  <r>
    <x v="667"/>
    <s v="Washington"/>
    <s v="Office Supplies"/>
    <s v="Paper"/>
    <x v="717"/>
  </r>
  <r>
    <x v="667"/>
    <s v="Washington"/>
    <s v="Furniture"/>
    <s v="Chairs"/>
    <x v="541"/>
  </r>
  <r>
    <x v="668"/>
    <s v="New Mexico"/>
    <s v="Furniture"/>
    <s v="Furnishings"/>
    <x v="786"/>
  </r>
  <r>
    <x v="20"/>
    <s v="Washington"/>
    <s v="Technology"/>
    <s v="Accessories"/>
    <x v="764"/>
  </r>
  <r>
    <x v="443"/>
    <s v="California"/>
    <s v="Office Supplies"/>
    <s v="Paper"/>
    <x v="1433"/>
  </r>
  <r>
    <x v="572"/>
    <s v="California"/>
    <s v="Technology"/>
    <s v="Accessories"/>
    <x v="830"/>
  </r>
  <r>
    <x v="572"/>
    <s v="California"/>
    <s v="Furniture"/>
    <s v="Tables"/>
    <x v="947"/>
  </r>
  <r>
    <x v="116"/>
    <s v="Washington"/>
    <s v="Office Supplies"/>
    <s v="Binders"/>
    <x v="1463"/>
  </r>
  <r>
    <x v="337"/>
    <s v="California"/>
    <s v="Furniture"/>
    <s v="Tables"/>
    <x v="795"/>
  </r>
  <r>
    <x v="626"/>
    <s v="Arizona"/>
    <s v="Office Supplies"/>
    <s v="Binders"/>
    <x v="732"/>
  </r>
  <r>
    <x v="626"/>
    <s v="Arizona"/>
    <s v="Office Supplies"/>
    <s v="Storage"/>
    <x v="782"/>
  </r>
  <r>
    <x v="511"/>
    <s v="New Mexico"/>
    <s v="Technology"/>
    <s v="Accessories"/>
    <x v="213"/>
  </r>
  <r>
    <x v="506"/>
    <s v="California"/>
    <s v="Office Supplies"/>
    <s v="Paper"/>
    <x v="1174"/>
  </r>
  <r>
    <x v="669"/>
    <s v="Oregon"/>
    <s v="Office Supplies"/>
    <s v="Binders"/>
    <x v="1464"/>
  </r>
  <r>
    <x v="183"/>
    <s v="California"/>
    <s v="Office Supplies"/>
    <s v="Envelopes"/>
    <x v="368"/>
  </r>
  <r>
    <x v="183"/>
    <s v="California"/>
    <s v="Furniture"/>
    <s v="Furnishings"/>
    <x v="1440"/>
  </r>
  <r>
    <x v="183"/>
    <s v="California"/>
    <s v="Office Supplies"/>
    <s v="Art"/>
    <x v="1465"/>
  </r>
  <r>
    <x v="137"/>
    <s v="California"/>
    <s v="Office Supplies"/>
    <s v="Paper"/>
    <x v="717"/>
  </r>
  <r>
    <x v="137"/>
    <s v="California"/>
    <s v="Office Supplies"/>
    <s v="Paper"/>
    <x v="409"/>
  </r>
  <r>
    <x v="137"/>
    <s v="California"/>
    <s v="Office Supplies"/>
    <s v="Paper"/>
    <x v="1134"/>
  </r>
  <r>
    <x v="137"/>
    <s v="California"/>
    <s v="Office Supplies"/>
    <s v="Labels"/>
    <x v="790"/>
  </r>
  <r>
    <x v="137"/>
    <s v="California"/>
    <s v="Technology"/>
    <s v="Accessories"/>
    <x v="79"/>
  </r>
  <r>
    <x v="379"/>
    <s v="Washington"/>
    <s v="Furniture"/>
    <s v="Tables"/>
    <x v="188"/>
  </r>
  <r>
    <x v="379"/>
    <s v="Washington"/>
    <s v="Furniture"/>
    <s v="Chairs"/>
    <x v="225"/>
  </r>
  <r>
    <x v="379"/>
    <s v="Washington"/>
    <s v="Technology"/>
    <s v="Accessories"/>
    <x v="1222"/>
  </r>
  <r>
    <x v="10"/>
    <s v="California"/>
    <s v="Technology"/>
    <s v="Accessories"/>
    <x v="1466"/>
  </r>
  <r>
    <x v="10"/>
    <s v="California"/>
    <s v="Technology"/>
    <s v="Phones"/>
    <x v="683"/>
  </r>
  <r>
    <x v="647"/>
    <s v="California"/>
    <s v="Office Supplies"/>
    <s v="Binders"/>
    <x v="806"/>
  </r>
  <r>
    <x v="647"/>
    <s v="California"/>
    <s v="Technology"/>
    <s v="Accessories"/>
    <x v="1339"/>
  </r>
  <r>
    <x v="317"/>
    <s v="California"/>
    <s v="Furniture"/>
    <s v="Chairs"/>
    <x v="1055"/>
  </r>
  <r>
    <x v="670"/>
    <s v="California"/>
    <s v="Office Supplies"/>
    <s v="Storage"/>
    <x v="240"/>
  </r>
  <r>
    <x v="670"/>
    <s v="California"/>
    <s v="Technology"/>
    <s v="Accessories"/>
    <x v="86"/>
  </r>
  <r>
    <x v="91"/>
    <s v="California"/>
    <s v="Furniture"/>
    <s v="Furnishings"/>
    <x v="163"/>
  </r>
  <r>
    <x v="489"/>
    <s v="California"/>
    <s v="Furniture"/>
    <s v="Chairs"/>
    <x v="892"/>
  </r>
  <r>
    <x v="279"/>
    <s v="Arizona"/>
    <s v="Office Supplies"/>
    <s v="Binders"/>
    <x v="416"/>
  </r>
  <r>
    <x v="279"/>
    <s v="Arizona"/>
    <s v="Technology"/>
    <s v="Machines"/>
    <x v="549"/>
  </r>
  <r>
    <x v="279"/>
    <s v="Arizona"/>
    <s v="Technology"/>
    <s v="Accessories"/>
    <x v="452"/>
  </r>
  <r>
    <x v="279"/>
    <s v="Arizona"/>
    <s v="Technology"/>
    <s v="Phones"/>
    <x v="1150"/>
  </r>
  <r>
    <x v="279"/>
    <s v="Arizona"/>
    <s v="Furniture"/>
    <s v="Chairs"/>
    <x v="225"/>
  </r>
  <r>
    <x v="113"/>
    <s v="Washington"/>
    <s v="Office Supplies"/>
    <s v="Binders"/>
    <x v="591"/>
  </r>
  <r>
    <x v="671"/>
    <s v="California"/>
    <s v="Office Supplies"/>
    <s v="Art"/>
    <x v="1467"/>
  </r>
  <r>
    <x v="254"/>
    <s v="Washington"/>
    <s v="Office Supplies"/>
    <s v="Appliances"/>
    <x v="1468"/>
  </r>
  <r>
    <x v="254"/>
    <s v="Washington"/>
    <s v="Office Supplies"/>
    <s v="Binders"/>
    <x v="1172"/>
  </r>
  <r>
    <x v="88"/>
    <s v="California"/>
    <s v="Technology"/>
    <s v="Accessories"/>
    <x v="1469"/>
  </r>
  <r>
    <x v="495"/>
    <s v="California"/>
    <s v="Furniture"/>
    <s v="Chairs"/>
    <x v="470"/>
  </r>
  <r>
    <x v="39"/>
    <s v="California"/>
    <s v="Office Supplies"/>
    <s v="Appliances"/>
    <x v="636"/>
  </r>
  <r>
    <x v="39"/>
    <s v="California"/>
    <s v="Office Supplies"/>
    <s v="Paper"/>
    <x v="1334"/>
  </r>
  <r>
    <x v="39"/>
    <s v="California"/>
    <s v="Office Supplies"/>
    <s v="Binders"/>
    <x v="1120"/>
  </r>
  <r>
    <x v="671"/>
    <s v="California"/>
    <s v="Furniture"/>
    <s v="Furnishings"/>
    <x v="1440"/>
  </r>
  <r>
    <x v="369"/>
    <s v="California"/>
    <s v="Office Supplies"/>
    <s v="Paper"/>
    <x v="1298"/>
  </r>
  <r>
    <x v="107"/>
    <s v="Arizona"/>
    <s v="Technology"/>
    <s v="Accessories"/>
    <x v="874"/>
  </r>
  <r>
    <x v="107"/>
    <s v="Arizona"/>
    <s v="Office Supplies"/>
    <s v="Paper"/>
    <x v="1090"/>
  </r>
  <r>
    <x v="107"/>
    <s v="Arizona"/>
    <s v="Furniture"/>
    <s v="Chairs"/>
    <x v="1115"/>
  </r>
  <r>
    <x v="107"/>
    <s v="Arizona"/>
    <s v="Furniture"/>
    <s v="Furnishings"/>
    <x v="840"/>
  </r>
  <r>
    <x v="107"/>
    <s v="Arizona"/>
    <s v="Technology"/>
    <s v="Phones"/>
    <x v="637"/>
  </r>
  <r>
    <x v="107"/>
    <s v="Arizona"/>
    <s v="Technology"/>
    <s v="Phones"/>
    <x v="117"/>
  </r>
  <r>
    <x v="340"/>
    <s v="Washington"/>
    <s v="Office Supplies"/>
    <s v="Labels"/>
    <x v="878"/>
  </r>
  <r>
    <x v="340"/>
    <s v="Washington"/>
    <s v="Office Supplies"/>
    <s v="Art"/>
    <x v="1470"/>
  </r>
  <r>
    <x v="340"/>
    <s v="Washington"/>
    <s v="Office Supplies"/>
    <s v="Supplies"/>
    <x v="1471"/>
  </r>
  <r>
    <x v="489"/>
    <s v="California"/>
    <s v="Office Supplies"/>
    <s v="Binders"/>
    <x v="1472"/>
  </r>
  <r>
    <x v="126"/>
    <s v="Washington"/>
    <s v="Office Supplies"/>
    <s v="Fasteners"/>
    <x v="16"/>
  </r>
  <r>
    <x v="126"/>
    <s v="Washington"/>
    <s v="Office Supplies"/>
    <s v="Appliances"/>
    <x v="248"/>
  </r>
  <r>
    <x v="523"/>
    <s v="Arizona"/>
    <s v="Technology"/>
    <s v="Accessories"/>
    <x v="498"/>
  </r>
  <r>
    <x v="555"/>
    <s v="California"/>
    <s v="Office Supplies"/>
    <s v="Paper"/>
    <x v="691"/>
  </r>
  <r>
    <x v="482"/>
    <s v="Washington"/>
    <s v="Furniture"/>
    <s v="Chairs"/>
    <x v="207"/>
  </r>
  <r>
    <x v="482"/>
    <s v="Washington"/>
    <s v="Office Supplies"/>
    <s v="Binders"/>
    <x v="1211"/>
  </r>
  <r>
    <x v="482"/>
    <s v="Washington"/>
    <s v="Office Supplies"/>
    <s v="Storage"/>
    <x v="451"/>
  </r>
  <r>
    <x v="482"/>
    <s v="Washington"/>
    <s v="Office Supplies"/>
    <s v="Labels"/>
    <x v="884"/>
  </r>
  <r>
    <x v="50"/>
    <s v="California"/>
    <s v="Technology"/>
    <s v="Accessories"/>
    <x v="1153"/>
  </r>
  <r>
    <x v="114"/>
    <s v="California"/>
    <s v="Technology"/>
    <s v="Phones"/>
    <x v="1473"/>
  </r>
  <r>
    <x v="480"/>
    <s v="California"/>
    <s v="Furniture"/>
    <s v="Chairs"/>
    <x v="1210"/>
  </r>
  <r>
    <x v="281"/>
    <s v="California"/>
    <s v="Office Supplies"/>
    <s v="Art"/>
    <x v="115"/>
  </r>
  <r>
    <x v="603"/>
    <s v="California"/>
    <s v="Office Supplies"/>
    <s v="Storage"/>
    <x v="401"/>
  </r>
  <r>
    <x v="672"/>
    <s v="California"/>
    <s v="Technology"/>
    <s v="Machines"/>
    <x v="566"/>
  </r>
  <r>
    <x v="301"/>
    <s v="California"/>
    <s v="Office Supplies"/>
    <s v="Storage"/>
    <x v="741"/>
  </r>
  <r>
    <x v="28"/>
    <s v="California"/>
    <s v="Office Supplies"/>
    <s v="Art"/>
    <x v="1359"/>
  </r>
  <r>
    <x v="469"/>
    <s v="Washington"/>
    <s v="Office Supplies"/>
    <s v="Paper"/>
    <x v="488"/>
  </r>
  <r>
    <x v="469"/>
    <s v="Washington"/>
    <s v="Furniture"/>
    <s v="Furnishings"/>
    <x v="1158"/>
  </r>
  <r>
    <x v="469"/>
    <s v="Washington"/>
    <s v="Technology"/>
    <s v="Phones"/>
    <x v="1392"/>
  </r>
  <r>
    <x v="469"/>
    <s v="Washington"/>
    <s v="Office Supplies"/>
    <s v="Storage"/>
    <x v="554"/>
  </r>
  <r>
    <x v="614"/>
    <s v="California"/>
    <s v="Furniture"/>
    <s v="Furnishings"/>
    <x v="371"/>
  </r>
  <r>
    <x v="78"/>
    <s v="California"/>
    <s v="Furniture"/>
    <s v="Furnishings"/>
    <x v="1474"/>
  </r>
  <r>
    <x v="78"/>
    <s v="California"/>
    <s v="Furniture"/>
    <s v="Furnishings"/>
    <x v="1061"/>
  </r>
  <r>
    <x v="192"/>
    <s v="Washington"/>
    <s v="Office Supplies"/>
    <s v="Binders"/>
    <x v="516"/>
  </r>
  <r>
    <x v="673"/>
    <s v="Oregon"/>
    <s v="Office Supplies"/>
    <s v="Paper"/>
    <x v="1374"/>
  </r>
  <r>
    <x v="673"/>
    <s v="Oregon"/>
    <s v="Office Supplies"/>
    <s v="Binders"/>
    <x v="859"/>
  </r>
  <r>
    <x v="674"/>
    <s v="Washington"/>
    <s v="Office Supplies"/>
    <s v="Storage"/>
    <x v="396"/>
  </r>
  <r>
    <x v="674"/>
    <s v="Washington"/>
    <s v="Technology"/>
    <s v="Accessories"/>
    <x v="1009"/>
  </r>
  <r>
    <x v="674"/>
    <s v="Washington"/>
    <s v="Office Supplies"/>
    <s v="Fasteners"/>
    <x v="87"/>
  </r>
  <r>
    <x v="674"/>
    <s v="Washington"/>
    <s v="Office Supplies"/>
    <s v="Binders"/>
    <x v="167"/>
  </r>
  <r>
    <x v="674"/>
    <s v="Washington"/>
    <s v="Office Supplies"/>
    <s v="Storage"/>
    <x v="1265"/>
  </r>
  <r>
    <x v="248"/>
    <s v="California"/>
    <s v="Technology"/>
    <s v="Phones"/>
    <x v="579"/>
  </r>
  <r>
    <x v="89"/>
    <s v="California"/>
    <s v="Office Supplies"/>
    <s v="Storage"/>
    <x v="338"/>
  </r>
  <r>
    <x v="89"/>
    <s v="California"/>
    <s v="Furniture"/>
    <s v="Furnishings"/>
    <x v="161"/>
  </r>
  <r>
    <x v="93"/>
    <s v="California"/>
    <s v="Furniture"/>
    <s v="Furnishings"/>
    <x v="824"/>
  </r>
  <r>
    <x v="93"/>
    <s v="California"/>
    <s v="Office Supplies"/>
    <s v="Binders"/>
    <x v="983"/>
  </r>
  <r>
    <x v="396"/>
    <s v="California"/>
    <s v="Furniture"/>
    <s v="Chairs"/>
    <x v="799"/>
  </r>
  <r>
    <x v="57"/>
    <s v="Washington"/>
    <s v="Furniture"/>
    <s v="Tables"/>
    <x v="211"/>
  </r>
  <r>
    <x v="162"/>
    <s v="California"/>
    <s v="Office Supplies"/>
    <s v="Storage"/>
    <x v="396"/>
  </r>
  <r>
    <x v="162"/>
    <s v="California"/>
    <s v="Office Supplies"/>
    <s v="Art"/>
    <x v="1399"/>
  </r>
  <r>
    <x v="162"/>
    <s v="California"/>
    <s v="Office Supplies"/>
    <s v="Fasteners"/>
    <x v="522"/>
  </r>
  <r>
    <x v="162"/>
    <s v="California"/>
    <s v="Office Supplies"/>
    <s v="Appliances"/>
    <x v="1092"/>
  </r>
  <r>
    <x v="162"/>
    <s v="California"/>
    <s v="Technology"/>
    <s v="Phones"/>
    <x v="1280"/>
  </r>
  <r>
    <x v="79"/>
    <s v="California"/>
    <s v="Office Supplies"/>
    <s v="Art"/>
    <x v="533"/>
  </r>
  <r>
    <x v="79"/>
    <s v="California"/>
    <s v="Office Supplies"/>
    <s v="Binders"/>
    <x v="1447"/>
  </r>
  <r>
    <x v="394"/>
    <s v="Washington"/>
    <s v="Office Supplies"/>
    <s v="Binders"/>
    <x v="178"/>
  </r>
  <r>
    <x v="394"/>
    <s v="Washington"/>
    <s v="Technology"/>
    <s v="Machines"/>
    <x v="1475"/>
  </r>
  <r>
    <x v="394"/>
    <s v="Washington"/>
    <s v="Office Supplies"/>
    <s v="Paper"/>
    <x v="1476"/>
  </r>
  <r>
    <x v="4"/>
    <s v="Arizona"/>
    <s v="Office Supplies"/>
    <s v="Binders"/>
    <x v="19"/>
  </r>
  <r>
    <x v="4"/>
    <s v="Arizona"/>
    <s v="Office Supplies"/>
    <s v="Storage"/>
    <x v="860"/>
  </r>
  <r>
    <x v="66"/>
    <s v="California"/>
    <s v="Office Supplies"/>
    <s v="Art"/>
    <x v="1477"/>
  </r>
  <r>
    <x v="637"/>
    <s v="California"/>
    <s v="Office Supplies"/>
    <s v="Paper"/>
    <x v="432"/>
  </r>
  <r>
    <x v="472"/>
    <s v="California"/>
    <s v="Furniture"/>
    <s v="Tables"/>
    <x v="1398"/>
  </r>
  <r>
    <x v="472"/>
    <s v="California"/>
    <s v="Furniture"/>
    <s v="Tables"/>
    <x v="578"/>
  </r>
  <r>
    <x v="55"/>
    <s v="California"/>
    <s v="Technology"/>
    <s v="Accessories"/>
    <x v="1469"/>
  </r>
  <r>
    <x v="675"/>
    <s v="California"/>
    <s v="Furniture"/>
    <s v="Bookcases"/>
    <x v="699"/>
  </r>
  <r>
    <x v="675"/>
    <s v="California"/>
    <s v="Office Supplies"/>
    <s v="Storage"/>
    <x v="730"/>
  </r>
  <r>
    <x v="470"/>
    <s v="California"/>
    <s v="Technology"/>
    <s v="Phones"/>
    <x v="1373"/>
  </r>
  <r>
    <x v="470"/>
    <s v="California"/>
    <s v="Office Supplies"/>
    <s v="Paper"/>
    <x v="992"/>
  </r>
  <r>
    <x v="210"/>
    <s v="California"/>
    <s v="Office Supplies"/>
    <s v="Art"/>
    <x v="159"/>
  </r>
  <r>
    <x v="480"/>
    <s v="California"/>
    <s v="Office Supplies"/>
    <s v="Paper"/>
    <x v="1478"/>
  </r>
  <r>
    <x v="480"/>
    <s v="California"/>
    <s v="Technology"/>
    <s v="Accessories"/>
    <x v="75"/>
  </r>
  <r>
    <x v="473"/>
    <s v="California"/>
    <s v="Office Supplies"/>
    <s v="Binders"/>
    <x v="1080"/>
  </r>
  <r>
    <x v="473"/>
    <s v="California"/>
    <s v="Furniture"/>
    <s v="Furnishings"/>
    <x v="676"/>
  </r>
  <r>
    <x v="645"/>
    <s v="California"/>
    <s v="Technology"/>
    <s v="Phones"/>
    <x v="65"/>
  </r>
  <r>
    <x v="676"/>
    <s v="Colorado"/>
    <s v="Office Supplies"/>
    <s v="Paper"/>
    <x v="1415"/>
  </r>
  <r>
    <x v="555"/>
    <s v="California"/>
    <s v="Office Supplies"/>
    <s v="Labels"/>
    <x v="1064"/>
  </r>
  <r>
    <x v="412"/>
    <s v="California"/>
    <s v="Furniture"/>
    <s v="Furnishings"/>
    <x v="1479"/>
  </r>
  <r>
    <x v="533"/>
    <s v="Colorado"/>
    <s v="Technology"/>
    <s v="Phones"/>
    <x v="520"/>
  </r>
  <r>
    <x v="533"/>
    <s v="Colorado"/>
    <s v="Technology"/>
    <s v="Phones"/>
    <x v="94"/>
  </r>
  <r>
    <x v="533"/>
    <s v="Colorado"/>
    <s v="Office Supplies"/>
    <s v="Appliances"/>
    <x v="1282"/>
  </r>
  <r>
    <x v="533"/>
    <s v="Colorado"/>
    <s v="Office Supplies"/>
    <s v="Binders"/>
    <x v="98"/>
  </r>
  <r>
    <x v="533"/>
    <s v="Colorado"/>
    <s v="Technology"/>
    <s v="Phones"/>
    <x v="835"/>
  </r>
  <r>
    <x v="624"/>
    <s v="California"/>
    <s v="Office Supplies"/>
    <s v="Paper"/>
    <x v="1128"/>
  </r>
  <r>
    <x v="624"/>
    <s v="California"/>
    <s v="Office Supplies"/>
    <s v="Binders"/>
    <x v="1376"/>
  </r>
  <r>
    <x v="591"/>
    <s v="Washington"/>
    <s v="Office Supplies"/>
    <s v="Paper"/>
    <x v="1259"/>
  </r>
  <r>
    <x v="591"/>
    <s v="Washington"/>
    <s v="Furniture"/>
    <s v="Bookcases"/>
    <x v="851"/>
  </r>
  <r>
    <x v="245"/>
    <s v="Washington"/>
    <s v="Office Supplies"/>
    <s v="Binders"/>
    <x v="705"/>
  </r>
  <r>
    <x v="245"/>
    <s v="Washington"/>
    <s v="Furniture"/>
    <s v="Furnishings"/>
    <x v="163"/>
  </r>
  <r>
    <x v="245"/>
    <s v="Washington"/>
    <s v="Office Supplies"/>
    <s v="Storage"/>
    <x v="626"/>
  </r>
  <r>
    <x v="628"/>
    <s v="California"/>
    <s v="Furniture"/>
    <s v="Furnishings"/>
    <x v="1158"/>
  </r>
  <r>
    <x v="275"/>
    <s v="California"/>
    <s v="Office Supplies"/>
    <s v="Storage"/>
    <x v="350"/>
  </r>
  <r>
    <x v="275"/>
    <s v="California"/>
    <s v="Office Supplies"/>
    <s v="Paper"/>
    <x v="290"/>
  </r>
  <r>
    <x v="275"/>
    <s v="California"/>
    <s v="Office Supplies"/>
    <s v="Paper"/>
    <x v="648"/>
  </r>
  <r>
    <x v="293"/>
    <s v="California"/>
    <s v="Office Supplies"/>
    <s v="Binders"/>
    <x v="668"/>
  </r>
  <r>
    <x v="293"/>
    <s v="California"/>
    <s v="Office Supplies"/>
    <s v="Binders"/>
    <x v="273"/>
  </r>
  <r>
    <x v="293"/>
    <s v="California"/>
    <s v="Office Supplies"/>
    <s v="Paper"/>
    <x v="327"/>
  </r>
  <r>
    <x v="293"/>
    <s v="California"/>
    <s v="Office Supplies"/>
    <s v="Appliances"/>
    <x v="72"/>
  </r>
  <r>
    <x v="293"/>
    <s v="California"/>
    <s v="Office Supplies"/>
    <s v="Art"/>
    <x v="413"/>
  </r>
  <r>
    <x v="677"/>
    <s v="California"/>
    <s v="Technology"/>
    <s v="Phones"/>
    <x v="948"/>
  </r>
  <r>
    <x v="677"/>
    <s v="California"/>
    <s v="Furniture"/>
    <s v="Chairs"/>
    <x v="1480"/>
  </r>
  <r>
    <x v="677"/>
    <s v="California"/>
    <s v="Office Supplies"/>
    <s v="Art"/>
    <x v="1481"/>
  </r>
  <r>
    <x v="601"/>
    <s v="Colorado"/>
    <s v="Office Supplies"/>
    <s v="Storage"/>
    <x v="534"/>
  </r>
  <r>
    <x v="601"/>
    <s v="Colorado"/>
    <s v="Office Supplies"/>
    <s v="Binders"/>
    <x v="671"/>
  </r>
  <r>
    <x v="601"/>
    <s v="Colorado"/>
    <s v="Furniture"/>
    <s v="Bookcases"/>
    <x v="1482"/>
  </r>
  <r>
    <x v="601"/>
    <s v="Colorado"/>
    <s v="Technology"/>
    <s v="Phones"/>
    <x v="536"/>
  </r>
  <r>
    <x v="601"/>
    <s v="Colorado"/>
    <s v="Furniture"/>
    <s v="Furnishings"/>
    <x v="1135"/>
  </r>
  <r>
    <x v="601"/>
    <s v="Colorado"/>
    <s v="Technology"/>
    <s v="Phones"/>
    <x v="1043"/>
  </r>
  <r>
    <x v="601"/>
    <s v="Colorado"/>
    <s v="Furniture"/>
    <s v="Chairs"/>
    <x v="473"/>
  </r>
  <r>
    <x v="613"/>
    <s v="Arizona"/>
    <s v="Office Supplies"/>
    <s v="Binders"/>
    <x v="178"/>
  </r>
  <r>
    <x v="255"/>
    <s v="California"/>
    <s v="Office Supplies"/>
    <s v="Paper"/>
    <x v="460"/>
  </r>
  <r>
    <x v="409"/>
    <s v="Washington"/>
    <s v="Furniture"/>
    <s v="Tables"/>
    <x v="32"/>
  </r>
  <r>
    <x v="320"/>
    <s v="Colorado"/>
    <s v="Office Supplies"/>
    <s v="Art"/>
    <x v="1399"/>
  </r>
  <r>
    <x v="320"/>
    <s v="Colorado"/>
    <s v="Technology"/>
    <s v="Accessories"/>
    <x v="228"/>
  </r>
  <r>
    <x v="320"/>
    <s v="Colorado"/>
    <s v="Technology"/>
    <s v="Accessories"/>
    <x v="228"/>
  </r>
  <r>
    <x v="320"/>
    <s v="Colorado"/>
    <s v="Office Supplies"/>
    <s v="Paper"/>
    <x v="337"/>
  </r>
  <r>
    <x v="320"/>
    <s v="Colorado"/>
    <s v="Office Supplies"/>
    <s v="Supplies"/>
    <x v="753"/>
  </r>
  <r>
    <x v="320"/>
    <s v="Colorado"/>
    <s v="Furniture"/>
    <s v="Furnishings"/>
    <x v="221"/>
  </r>
  <r>
    <x v="320"/>
    <s v="Colorado"/>
    <s v="Furniture"/>
    <s v="Furnishings"/>
    <x v="512"/>
  </r>
  <r>
    <x v="320"/>
    <s v="Colorado"/>
    <s v="Furniture"/>
    <s v="Furnishings"/>
    <x v="1411"/>
  </r>
  <r>
    <x v="420"/>
    <s v="California"/>
    <s v="Office Supplies"/>
    <s v="Paper"/>
    <x v="355"/>
  </r>
  <r>
    <x v="69"/>
    <s v="California"/>
    <s v="Office Supplies"/>
    <s v="Paper"/>
    <x v="321"/>
  </r>
  <r>
    <x v="296"/>
    <s v="Washington"/>
    <s v="Office Supplies"/>
    <s v="Binders"/>
    <x v="45"/>
  </r>
  <r>
    <x v="296"/>
    <s v="Washington"/>
    <s v="Office Supplies"/>
    <s v="Binders"/>
    <x v="1046"/>
  </r>
  <r>
    <x v="418"/>
    <s v="Washington"/>
    <s v="Office Supplies"/>
    <s v="Binders"/>
    <x v="635"/>
  </r>
  <r>
    <x v="418"/>
    <s v="Washington"/>
    <s v="Furniture"/>
    <s v="Furnishings"/>
    <x v="1474"/>
  </r>
  <r>
    <x v="418"/>
    <s v="Washington"/>
    <s v="Technology"/>
    <s v="Phones"/>
    <x v="1065"/>
  </r>
  <r>
    <x v="418"/>
    <s v="Washington"/>
    <s v="Office Supplies"/>
    <s v="Binders"/>
    <x v="1172"/>
  </r>
  <r>
    <x v="418"/>
    <s v="Washington"/>
    <s v="Office Supplies"/>
    <s v="Binders"/>
    <x v="630"/>
  </r>
  <r>
    <x v="678"/>
    <s v="California"/>
    <s v="Office Supplies"/>
    <s v="Storage"/>
    <x v="48"/>
  </r>
  <r>
    <x v="237"/>
    <s v="California"/>
    <s v="Technology"/>
    <s v="Phones"/>
    <x v="1206"/>
  </r>
  <r>
    <x v="200"/>
    <s v="California"/>
    <s v="Office Supplies"/>
    <s v="Paper"/>
    <x v="595"/>
  </r>
  <r>
    <x v="175"/>
    <s v="California"/>
    <s v="Technology"/>
    <s v="Accessories"/>
    <x v="862"/>
  </r>
  <r>
    <x v="175"/>
    <s v="California"/>
    <s v="Technology"/>
    <s v="Copiers"/>
    <x v="249"/>
  </r>
  <r>
    <x v="175"/>
    <s v="California"/>
    <s v="Office Supplies"/>
    <s v="Paper"/>
    <x v="327"/>
  </r>
  <r>
    <x v="175"/>
    <s v="California"/>
    <s v="Furniture"/>
    <s v="Tables"/>
    <x v="415"/>
  </r>
  <r>
    <x v="175"/>
    <s v="California"/>
    <s v="Office Supplies"/>
    <s v="Paper"/>
    <x v="9"/>
  </r>
  <r>
    <x v="175"/>
    <s v="California"/>
    <s v="Office Supplies"/>
    <s v="Labels"/>
    <x v="663"/>
  </r>
  <r>
    <x v="175"/>
    <s v="California"/>
    <s v="Office Supplies"/>
    <s v="Paper"/>
    <x v="1266"/>
  </r>
  <r>
    <x v="175"/>
    <s v="California"/>
    <s v="Furniture"/>
    <s v="Bookcases"/>
    <x v="8"/>
  </r>
  <r>
    <x v="175"/>
    <s v="California"/>
    <s v="Furniture"/>
    <s v="Chairs"/>
    <x v="799"/>
  </r>
  <r>
    <x v="679"/>
    <s v="California"/>
    <s v="Office Supplies"/>
    <s v="Storage"/>
    <x v="1483"/>
  </r>
  <r>
    <x v="679"/>
    <s v="California"/>
    <s v="Furniture"/>
    <s v="Furnishings"/>
    <x v="1484"/>
  </r>
  <r>
    <x v="679"/>
    <s v="California"/>
    <s v="Office Supplies"/>
    <s v="Paper"/>
    <x v="1293"/>
  </r>
  <r>
    <x v="578"/>
    <s v="California"/>
    <s v="Office Supplies"/>
    <s v="Appliances"/>
    <x v="1485"/>
  </r>
  <r>
    <x v="680"/>
    <s v="California"/>
    <s v="Office Supplies"/>
    <s v="Paper"/>
    <x v="1486"/>
  </r>
  <r>
    <x v="680"/>
    <s v="California"/>
    <s v="Office Supplies"/>
    <s v="Binders"/>
    <x v="849"/>
  </r>
  <r>
    <x v="680"/>
    <s v="California"/>
    <s v="Office Supplies"/>
    <s v="Binders"/>
    <x v="178"/>
  </r>
  <r>
    <x v="680"/>
    <s v="California"/>
    <s v="Office Supplies"/>
    <s v="Storage"/>
    <x v="1487"/>
  </r>
  <r>
    <x v="681"/>
    <s v="California"/>
    <s v="Technology"/>
    <s v="Phones"/>
    <x v="1017"/>
  </r>
  <r>
    <x v="263"/>
    <s v="California"/>
    <s v="Office Supplies"/>
    <s v="Art"/>
    <x v="1331"/>
  </r>
  <r>
    <x v="263"/>
    <s v="California"/>
    <s v="Furniture"/>
    <s v="Tables"/>
    <x v="90"/>
  </r>
  <r>
    <x v="263"/>
    <s v="California"/>
    <s v="Office Supplies"/>
    <s v="Appliances"/>
    <x v="1488"/>
  </r>
  <r>
    <x v="113"/>
    <s v="Arizona"/>
    <s v="Office Supplies"/>
    <s v="Paper"/>
    <x v="590"/>
  </r>
  <r>
    <x v="113"/>
    <s v="Arizona"/>
    <s v="Office Supplies"/>
    <s v="Binders"/>
    <x v="1489"/>
  </r>
  <r>
    <x v="552"/>
    <s v="California"/>
    <s v="Furniture"/>
    <s v="Bookcases"/>
    <x v="1345"/>
  </r>
  <r>
    <x v="534"/>
    <s v="California"/>
    <s v="Office Supplies"/>
    <s v="Binders"/>
    <x v="261"/>
  </r>
  <r>
    <x v="534"/>
    <s v="California"/>
    <s v="Office Supplies"/>
    <s v="Binders"/>
    <x v="181"/>
  </r>
  <r>
    <x v="254"/>
    <s v="Nevada"/>
    <s v="Furniture"/>
    <s v="Tables"/>
    <x v="1031"/>
  </r>
  <r>
    <x v="534"/>
    <s v="Washington"/>
    <s v="Technology"/>
    <s v="Accessories"/>
    <x v="245"/>
  </r>
  <r>
    <x v="534"/>
    <s v="Washington"/>
    <s v="Office Supplies"/>
    <s v="Storage"/>
    <x v="860"/>
  </r>
  <r>
    <x v="534"/>
    <s v="Washington"/>
    <s v="Office Supplies"/>
    <s v="Art"/>
    <x v="1490"/>
  </r>
  <r>
    <x v="682"/>
    <s v="California"/>
    <s v="Technology"/>
    <s v="Phones"/>
    <x v="1457"/>
  </r>
  <r>
    <x v="682"/>
    <s v="California"/>
    <s v="Office Supplies"/>
    <s v="Paper"/>
    <x v="0"/>
  </r>
  <r>
    <x v="136"/>
    <s v="Washington"/>
    <s v="Office Supplies"/>
    <s v="Storage"/>
    <x v="730"/>
  </r>
  <r>
    <x v="555"/>
    <s v="California"/>
    <s v="Office Supplies"/>
    <s v="Labels"/>
    <x v="182"/>
  </r>
  <r>
    <x v="555"/>
    <s v="California"/>
    <s v="Office Supplies"/>
    <s v="Paper"/>
    <x v="1174"/>
  </r>
  <r>
    <x v="555"/>
    <s v="California"/>
    <s v="Furniture"/>
    <s v="Furnishings"/>
    <x v="1491"/>
  </r>
  <r>
    <x v="555"/>
    <s v="California"/>
    <s v="Office Supplies"/>
    <s v="Paper"/>
    <x v="1290"/>
  </r>
  <r>
    <x v="583"/>
    <s v="California"/>
    <s v="Furniture"/>
    <s v="Furnishings"/>
    <x v="1335"/>
  </r>
  <r>
    <x v="583"/>
    <s v="California"/>
    <s v="Office Supplies"/>
    <s v="Binders"/>
    <x v="951"/>
  </r>
  <r>
    <x v="583"/>
    <s v="California"/>
    <s v="Office Supplies"/>
    <s v="Envelopes"/>
    <x v="766"/>
  </r>
  <r>
    <x v="197"/>
    <s v="Washington"/>
    <s v="Furniture"/>
    <s v="Furnishings"/>
    <x v="1492"/>
  </r>
  <r>
    <x v="258"/>
    <s v="California"/>
    <s v="Office Supplies"/>
    <s v="Paper"/>
    <x v="201"/>
  </r>
  <r>
    <x v="258"/>
    <s v="California"/>
    <s v="Office Supplies"/>
    <s v="Appliances"/>
    <x v="1301"/>
  </r>
  <r>
    <x v="258"/>
    <s v="California"/>
    <s v="Technology"/>
    <s v="Phones"/>
    <x v="1268"/>
  </r>
  <r>
    <x v="46"/>
    <s v="California"/>
    <s v="Furniture"/>
    <s v="Chairs"/>
    <x v="361"/>
  </r>
  <r>
    <x v="46"/>
    <s v="California"/>
    <s v="Furniture"/>
    <s v="Chairs"/>
    <x v="244"/>
  </r>
  <r>
    <x v="46"/>
    <s v="California"/>
    <s v="Office Supplies"/>
    <s v="Binders"/>
    <x v="650"/>
  </r>
  <r>
    <x v="46"/>
    <s v="California"/>
    <s v="Furniture"/>
    <s v="Furnishings"/>
    <x v="1306"/>
  </r>
  <r>
    <x v="487"/>
    <s v="California"/>
    <s v="Office Supplies"/>
    <s v="Paper"/>
    <x v="807"/>
  </r>
  <r>
    <x v="487"/>
    <s v="California"/>
    <s v="Office Supplies"/>
    <s v="Storage"/>
    <x v="240"/>
  </r>
  <r>
    <x v="683"/>
    <s v="California"/>
    <s v="Office Supplies"/>
    <s v="Binders"/>
    <x v="383"/>
  </r>
  <r>
    <x v="683"/>
    <s v="California"/>
    <s v="Technology"/>
    <s v="Accessories"/>
    <x v="834"/>
  </r>
  <r>
    <x v="683"/>
    <s v="California"/>
    <s v="Technology"/>
    <s v="Accessories"/>
    <x v="1216"/>
  </r>
  <r>
    <x v="683"/>
    <s v="California"/>
    <s v="Office Supplies"/>
    <s v="Art"/>
    <x v="1493"/>
  </r>
  <r>
    <x v="683"/>
    <s v="California"/>
    <s v="Office Supplies"/>
    <s v="Labels"/>
    <x v="408"/>
  </r>
  <r>
    <x v="428"/>
    <s v="California"/>
    <s v="Office Supplies"/>
    <s v="Binders"/>
    <x v="702"/>
  </r>
  <r>
    <x v="428"/>
    <s v="California"/>
    <s v="Office Supplies"/>
    <s v="Paper"/>
    <x v="1101"/>
  </r>
  <r>
    <x v="684"/>
    <s v="California"/>
    <s v="Office Supplies"/>
    <s v="Binders"/>
    <x v="1039"/>
  </r>
  <r>
    <x v="685"/>
    <s v="California"/>
    <s v="Office Supplies"/>
    <s v="Storage"/>
    <x v="1240"/>
  </r>
  <r>
    <x v="685"/>
    <s v="California"/>
    <s v="Office Supplies"/>
    <s v="Supplies"/>
    <x v="1239"/>
  </r>
  <r>
    <x v="195"/>
    <s v="California"/>
    <s v="Office Supplies"/>
    <s v="Binders"/>
    <x v="561"/>
  </r>
  <r>
    <x v="195"/>
    <s v="California"/>
    <s v="Furniture"/>
    <s v="Bookcases"/>
    <x v="1494"/>
  </r>
  <r>
    <x v="195"/>
    <s v="California"/>
    <s v="Technology"/>
    <s v="Accessories"/>
    <x v="380"/>
  </r>
  <r>
    <x v="555"/>
    <s v="California"/>
    <s v="Office Supplies"/>
    <s v="Art"/>
    <x v="1495"/>
  </r>
  <r>
    <x v="555"/>
    <s v="California"/>
    <s v="Office Supplies"/>
    <s v="Paper"/>
    <x v="1174"/>
  </r>
  <r>
    <x v="555"/>
    <s v="California"/>
    <s v="Office Supplies"/>
    <s v="Paper"/>
    <x v="897"/>
  </r>
  <r>
    <x v="592"/>
    <s v="California"/>
    <s v="Office Supplies"/>
    <s v="Art"/>
    <x v="1496"/>
  </r>
  <r>
    <x v="595"/>
    <s v="California"/>
    <s v="Office Supplies"/>
    <s v="Binders"/>
    <x v="829"/>
  </r>
  <r>
    <x v="647"/>
    <s v="Colorado"/>
    <s v="Furniture"/>
    <s v="Furnishings"/>
    <x v="420"/>
  </r>
  <r>
    <x v="647"/>
    <s v="Colorado"/>
    <s v="Office Supplies"/>
    <s v="Storage"/>
    <x v="871"/>
  </r>
  <r>
    <x v="647"/>
    <s v="Colorado"/>
    <s v="Furniture"/>
    <s v="Bookcases"/>
    <x v="943"/>
  </r>
  <r>
    <x v="149"/>
    <s v="California"/>
    <s v="Office Supplies"/>
    <s v="Art"/>
    <x v="1495"/>
  </r>
  <r>
    <x v="149"/>
    <s v="California"/>
    <s v="Office Supplies"/>
    <s v="Art"/>
    <x v="642"/>
  </r>
  <r>
    <x v="436"/>
    <s v="California"/>
    <s v="Office Supplies"/>
    <s v="Storage"/>
    <x v="534"/>
  </r>
  <r>
    <x v="50"/>
    <s v="California"/>
    <s v="Office Supplies"/>
    <s v="Storage"/>
    <x v="350"/>
  </r>
  <r>
    <x v="48"/>
    <s v="New Mexico"/>
    <s v="Office Supplies"/>
    <s v="Art"/>
    <x v="1497"/>
  </r>
  <r>
    <x v="48"/>
    <s v="New Mexico"/>
    <s v="Technology"/>
    <s v="Phones"/>
    <x v="1188"/>
  </r>
  <r>
    <x v="48"/>
    <s v="New Mexico"/>
    <s v="Office Supplies"/>
    <s v="Storage"/>
    <x v="93"/>
  </r>
  <r>
    <x v="48"/>
    <s v="New Mexico"/>
    <s v="Office Supplies"/>
    <s v="Labels"/>
    <x v="1303"/>
  </r>
  <r>
    <x v="682"/>
    <s v="Arizona"/>
    <s v="Furniture"/>
    <s v="Tables"/>
    <x v="459"/>
  </r>
  <r>
    <x v="657"/>
    <s v="California"/>
    <s v="Technology"/>
    <s v="Accessories"/>
    <x v="462"/>
  </r>
  <r>
    <x v="144"/>
    <s v="California"/>
    <s v="Office Supplies"/>
    <s v="Art"/>
    <x v="1498"/>
  </r>
  <r>
    <x v="230"/>
    <s v="Washington"/>
    <s v="Office Supplies"/>
    <s v="Storage"/>
    <x v="475"/>
  </r>
  <r>
    <x v="398"/>
    <s v="California"/>
    <s v="Technology"/>
    <s v="Copiers"/>
    <x v="729"/>
  </r>
  <r>
    <x v="398"/>
    <s v="California"/>
    <s v="Office Supplies"/>
    <s v="Binders"/>
    <x v="178"/>
  </r>
  <r>
    <x v="268"/>
    <s v="Arizona"/>
    <s v="Furniture"/>
    <s v="Furnishings"/>
    <x v="171"/>
  </r>
  <r>
    <x v="268"/>
    <s v="Arizona"/>
    <s v="Furniture"/>
    <s v="Chairs"/>
    <x v="1190"/>
  </r>
  <r>
    <x v="503"/>
    <s v="Idaho"/>
    <s v="Office Supplies"/>
    <s v="Binders"/>
    <x v="1499"/>
  </r>
  <r>
    <x v="290"/>
    <s v="California"/>
    <s v="Office Supplies"/>
    <s v="Binders"/>
    <x v="1211"/>
  </r>
  <r>
    <x v="290"/>
    <s v="California"/>
    <s v="Office Supplies"/>
    <s v="Storage"/>
    <x v="626"/>
  </r>
  <r>
    <x v="621"/>
    <s v="Washington"/>
    <s v="Office Supplies"/>
    <s v="Binders"/>
    <x v="187"/>
  </r>
  <r>
    <x v="404"/>
    <s v="California"/>
    <s v="Office Supplies"/>
    <s v="Storage"/>
    <x v="411"/>
  </r>
  <r>
    <x v="431"/>
    <s v="Washington"/>
    <s v="Furniture"/>
    <s v="Furnishings"/>
    <x v="1214"/>
  </r>
  <r>
    <x v="564"/>
    <s v="Colorado"/>
    <s v="Office Supplies"/>
    <s v="Binders"/>
    <x v="859"/>
  </r>
  <r>
    <x v="491"/>
    <s v="California"/>
    <s v="Furniture"/>
    <s v="Chairs"/>
    <x v="688"/>
  </r>
  <r>
    <x v="613"/>
    <s v="New Mexico"/>
    <s v="Office Supplies"/>
    <s v="Storage"/>
    <x v="210"/>
  </r>
  <r>
    <x v="613"/>
    <s v="New Mexico"/>
    <s v="Office Supplies"/>
    <s v="Paper"/>
    <x v="649"/>
  </r>
  <r>
    <x v="445"/>
    <s v="California"/>
    <s v="Furniture"/>
    <s v="Chairs"/>
    <x v="965"/>
  </r>
  <r>
    <x v="445"/>
    <s v="California"/>
    <s v="Technology"/>
    <s v="Phones"/>
    <x v="1150"/>
  </r>
  <r>
    <x v="534"/>
    <s v="California"/>
    <s v="Furniture"/>
    <s v="Furnishings"/>
    <x v="1123"/>
  </r>
  <r>
    <x v="121"/>
    <s v="Washington"/>
    <s v="Office Supplies"/>
    <s v="Fasteners"/>
    <x v="1500"/>
  </r>
  <r>
    <x v="121"/>
    <s v="Washington"/>
    <s v="Furniture"/>
    <s v="Furnishings"/>
    <x v="567"/>
  </r>
  <r>
    <x v="458"/>
    <s v="California"/>
    <s v="Office Supplies"/>
    <s v="Binders"/>
    <x v="516"/>
  </r>
  <r>
    <x v="458"/>
    <s v="California"/>
    <s v="Office Supplies"/>
    <s v="Binders"/>
    <x v="1501"/>
  </r>
  <r>
    <x v="483"/>
    <s v="Colorado"/>
    <s v="Office Supplies"/>
    <s v="Fasteners"/>
    <x v="1502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  <r>
    <x v="686"/>
    <m/>
    <m/>
    <m/>
    <x v="15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3">
  <r>
    <x v="0"/>
    <d v="2013-01-08T00:00:00"/>
    <x v="0"/>
    <s v="Second Class"/>
    <s v="LS-17230"/>
    <x v="0"/>
    <s v="California"/>
    <x v="0"/>
    <x v="0"/>
    <x v="0"/>
    <x v="0"/>
    <x v="0"/>
  </r>
  <r>
    <x v="1"/>
    <d v="2013-01-18T00:00:00"/>
    <x v="1"/>
    <s v="Standard Class"/>
    <s v="BD-11605"/>
    <x v="1"/>
    <s v="California"/>
    <x v="0"/>
    <x v="1"/>
    <x v="1"/>
    <x v="1"/>
    <x v="1"/>
  </r>
  <r>
    <x v="1"/>
    <d v="2013-01-18T00:00:00"/>
    <x v="1"/>
    <s v="Standard Class"/>
    <s v="BD-11605"/>
    <x v="1"/>
    <s v="California"/>
    <x v="1"/>
    <x v="2"/>
    <x v="2"/>
    <x v="2"/>
    <x v="0"/>
  </r>
  <r>
    <x v="1"/>
    <d v="2013-01-18T00:00:00"/>
    <x v="1"/>
    <s v="Standard Class"/>
    <s v="BD-11605"/>
    <x v="1"/>
    <s v="California"/>
    <x v="0"/>
    <x v="3"/>
    <x v="3"/>
    <x v="3"/>
    <x v="1"/>
  </r>
  <r>
    <x v="2"/>
    <d v="2013-01-21T00:00:00"/>
    <x v="2"/>
    <s v="Second Class"/>
    <s v="DW-13195"/>
    <x v="2"/>
    <s v="Oregon"/>
    <x v="0"/>
    <x v="4"/>
    <x v="4"/>
    <x v="4"/>
    <x v="2"/>
  </r>
  <r>
    <x v="3"/>
    <d v="2013-01-20T00:00:00"/>
    <x v="3"/>
    <s v="First Class"/>
    <s v="TS-21340"/>
    <x v="3"/>
    <s v="Arizona"/>
    <x v="0"/>
    <x v="5"/>
    <x v="5"/>
    <x v="5"/>
    <x v="3"/>
  </r>
  <r>
    <x v="3"/>
    <d v="2013-01-20T00:00:00"/>
    <x v="3"/>
    <s v="First Class"/>
    <s v="TS-21340"/>
    <x v="3"/>
    <s v="Arizona"/>
    <x v="0"/>
    <x v="0"/>
    <x v="6"/>
    <x v="6"/>
    <x v="2"/>
  </r>
  <r>
    <x v="3"/>
    <d v="2013-01-20T00:00:00"/>
    <x v="3"/>
    <s v="First Class"/>
    <s v="TS-21340"/>
    <x v="3"/>
    <s v="Arizona"/>
    <x v="0"/>
    <x v="6"/>
    <x v="7"/>
    <x v="7"/>
    <x v="1"/>
  </r>
  <r>
    <x v="3"/>
    <d v="2013-01-20T00:00:00"/>
    <x v="3"/>
    <s v="First Class"/>
    <s v="TS-21340"/>
    <x v="3"/>
    <s v="Arizona"/>
    <x v="1"/>
    <x v="2"/>
    <x v="8"/>
    <x v="8"/>
    <x v="1"/>
  </r>
  <r>
    <x v="4"/>
    <d v="2013-01-25T00:00:00"/>
    <x v="1"/>
    <s v="Standard Class"/>
    <s v="MV-17485"/>
    <x v="4"/>
    <s v="California"/>
    <x v="0"/>
    <x v="0"/>
    <x v="9"/>
    <x v="9"/>
    <x v="4"/>
  </r>
  <r>
    <x v="4"/>
    <d v="2013-01-25T00:00:00"/>
    <x v="1"/>
    <s v="Standard Class"/>
    <s v="MV-17485"/>
    <x v="4"/>
    <s v="California"/>
    <x v="1"/>
    <x v="7"/>
    <x v="10"/>
    <x v="10"/>
    <x v="4"/>
  </r>
  <r>
    <x v="5"/>
    <d v="2013-01-28T00:00:00"/>
    <x v="1"/>
    <s v="Standard Class"/>
    <s v="IM-15055"/>
    <x v="5"/>
    <s v="Nevada"/>
    <x v="0"/>
    <x v="0"/>
    <x v="11"/>
    <x v="11"/>
    <x v="5"/>
  </r>
  <r>
    <x v="6"/>
    <d v="2013-02-02T00:00:00"/>
    <x v="4"/>
    <s v="Standard Class"/>
    <s v="EJ-13720"/>
    <x v="6"/>
    <s v="California"/>
    <x v="0"/>
    <x v="1"/>
    <x v="12"/>
    <x v="12"/>
    <x v="6"/>
  </r>
  <r>
    <x v="6"/>
    <d v="2013-02-02T00:00:00"/>
    <x v="4"/>
    <s v="Standard Class"/>
    <s v="EJ-13720"/>
    <x v="6"/>
    <s v="California"/>
    <x v="1"/>
    <x v="8"/>
    <x v="13"/>
    <x v="13"/>
    <x v="0"/>
  </r>
  <r>
    <x v="6"/>
    <d v="2013-02-02T00:00:00"/>
    <x v="4"/>
    <s v="Standard Class"/>
    <s v="EJ-13720"/>
    <x v="6"/>
    <s v="California"/>
    <x v="0"/>
    <x v="3"/>
    <x v="14"/>
    <x v="14"/>
    <x v="2"/>
  </r>
  <r>
    <x v="7"/>
    <d v="2013-02-02T00:00:00"/>
    <x v="0"/>
    <s v="First Class"/>
    <s v="LC-17050"/>
    <x v="7"/>
    <s v="California"/>
    <x v="1"/>
    <x v="2"/>
    <x v="15"/>
    <x v="15"/>
    <x v="4"/>
  </r>
  <r>
    <x v="8"/>
    <d v="2013-02-06T00:00:00"/>
    <x v="5"/>
    <s v="Standard Class"/>
    <s v="CD-12790"/>
    <x v="8"/>
    <s v="California"/>
    <x v="0"/>
    <x v="9"/>
    <x v="16"/>
    <x v="16"/>
    <x v="1"/>
  </r>
  <r>
    <x v="9"/>
    <d v="2013-02-06T00:00:00"/>
    <x v="2"/>
    <s v="Second Class"/>
    <s v="TB-21400"/>
    <x v="9"/>
    <s v="Washington"/>
    <x v="0"/>
    <x v="5"/>
    <x v="17"/>
    <x v="17"/>
    <x v="4"/>
  </r>
  <r>
    <x v="9"/>
    <d v="2013-02-06T00:00:00"/>
    <x v="2"/>
    <s v="Second Class"/>
    <s v="TB-21400"/>
    <x v="9"/>
    <s v="Washington"/>
    <x v="0"/>
    <x v="5"/>
    <x v="18"/>
    <x v="18"/>
    <x v="0"/>
  </r>
  <r>
    <x v="10"/>
    <d v="2013-02-08T00:00:00"/>
    <x v="5"/>
    <s v="Standard Class"/>
    <s v="DB-13270"/>
    <x v="10"/>
    <s v="California"/>
    <x v="0"/>
    <x v="5"/>
    <x v="19"/>
    <x v="19"/>
    <x v="0"/>
  </r>
  <r>
    <x v="10"/>
    <d v="2013-02-08T00:00:00"/>
    <x v="5"/>
    <s v="Standard Class"/>
    <s v="DB-13270"/>
    <x v="10"/>
    <s v="California"/>
    <x v="0"/>
    <x v="0"/>
    <x v="20"/>
    <x v="20"/>
    <x v="2"/>
  </r>
  <r>
    <x v="10"/>
    <d v="2013-02-08T00:00:00"/>
    <x v="5"/>
    <s v="Second Class"/>
    <s v="MH-17440"/>
    <x v="11"/>
    <s v="California"/>
    <x v="0"/>
    <x v="5"/>
    <x v="5"/>
    <x v="21"/>
    <x v="4"/>
  </r>
  <r>
    <x v="11"/>
    <d v="2013-02-09T00:00:00"/>
    <x v="3"/>
    <s v="First Class"/>
    <s v="NM-18445"/>
    <x v="12"/>
    <s v="Nevada"/>
    <x v="1"/>
    <x v="7"/>
    <x v="21"/>
    <x v="22"/>
    <x v="4"/>
  </r>
  <r>
    <x v="12"/>
    <d v="2013-02-18T00:00:00"/>
    <x v="4"/>
    <s v="Standard Class"/>
    <s v="SC-20095"/>
    <x v="13"/>
    <s v="California"/>
    <x v="1"/>
    <x v="10"/>
    <x v="22"/>
    <x v="23"/>
    <x v="4"/>
  </r>
  <r>
    <x v="13"/>
    <d v="2013-02-18T00:00:00"/>
    <x v="5"/>
    <s v="Standard Class"/>
    <s v="ML-17395"/>
    <x v="14"/>
    <s v="Washington"/>
    <x v="2"/>
    <x v="11"/>
    <x v="23"/>
    <x v="24"/>
    <x v="0"/>
  </r>
  <r>
    <x v="13"/>
    <d v="2013-02-18T00:00:00"/>
    <x v="5"/>
    <s v="Standard Class"/>
    <s v="ML-17395"/>
    <x v="14"/>
    <s v="Washington"/>
    <x v="0"/>
    <x v="4"/>
    <x v="24"/>
    <x v="25"/>
    <x v="4"/>
  </r>
  <r>
    <x v="13"/>
    <d v="2013-02-18T00:00:00"/>
    <x v="5"/>
    <s v="Standard Class"/>
    <s v="ML-17395"/>
    <x v="14"/>
    <s v="Washington"/>
    <x v="0"/>
    <x v="12"/>
    <x v="25"/>
    <x v="26"/>
    <x v="4"/>
  </r>
  <r>
    <x v="14"/>
    <d v="2013-02-19T00:00:00"/>
    <x v="5"/>
    <s v="Standard Class"/>
    <s v="BF-11020"/>
    <x v="15"/>
    <s v="Washington"/>
    <x v="0"/>
    <x v="5"/>
    <x v="26"/>
    <x v="27"/>
    <x v="1"/>
  </r>
  <r>
    <x v="15"/>
    <d v="2013-02-24T00:00:00"/>
    <x v="5"/>
    <s v="Standard Class"/>
    <s v="SR-20740"/>
    <x v="16"/>
    <s v="California"/>
    <x v="0"/>
    <x v="0"/>
    <x v="27"/>
    <x v="28"/>
    <x v="4"/>
  </r>
  <r>
    <x v="16"/>
    <d v="2013-02-24T00:00:00"/>
    <x v="0"/>
    <s v="First Class"/>
    <s v="SA-20830"/>
    <x v="17"/>
    <s v="California"/>
    <x v="0"/>
    <x v="0"/>
    <x v="28"/>
    <x v="0"/>
    <x v="0"/>
  </r>
  <r>
    <x v="17"/>
    <d v="2013-03-02T00:00:00"/>
    <x v="4"/>
    <s v="Standard Class"/>
    <s v="JH-15430"/>
    <x v="18"/>
    <s v="Oregon"/>
    <x v="0"/>
    <x v="0"/>
    <x v="29"/>
    <x v="29"/>
    <x v="2"/>
  </r>
  <r>
    <x v="17"/>
    <d v="2013-03-02T00:00:00"/>
    <x v="4"/>
    <s v="Standard Class"/>
    <s v="JH-15430"/>
    <x v="18"/>
    <s v="Oregon"/>
    <x v="0"/>
    <x v="0"/>
    <x v="30"/>
    <x v="30"/>
    <x v="0"/>
  </r>
  <r>
    <x v="18"/>
    <d v="2013-03-06T00:00:00"/>
    <x v="1"/>
    <s v="Second Class"/>
    <s v="DB-13060"/>
    <x v="19"/>
    <s v="Washington"/>
    <x v="1"/>
    <x v="10"/>
    <x v="31"/>
    <x v="31"/>
    <x v="4"/>
  </r>
  <r>
    <x v="19"/>
    <d v="2013-03-07T00:00:00"/>
    <x v="5"/>
    <s v="Standard Class"/>
    <s v="EJ-14155"/>
    <x v="20"/>
    <s v="California"/>
    <x v="1"/>
    <x v="8"/>
    <x v="32"/>
    <x v="32"/>
    <x v="0"/>
  </r>
  <r>
    <x v="20"/>
    <d v="2013-03-08T00:00:00"/>
    <x v="3"/>
    <s v="First Class"/>
    <s v="AB-10015"/>
    <x v="21"/>
    <s v="Washington"/>
    <x v="1"/>
    <x v="10"/>
    <x v="33"/>
    <x v="33"/>
    <x v="6"/>
  </r>
  <r>
    <x v="20"/>
    <d v="2013-03-08T00:00:00"/>
    <x v="3"/>
    <s v="First Class"/>
    <s v="AB-10015"/>
    <x v="21"/>
    <s v="Washington"/>
    <x v="0"/>
    <x v="3"/>
    <x v="34"/>
    <x v="34"/>
    <x v="0"/>
  </r>
  <r>
    <x v="20"/>
    <d v="2013-03-08T00:00:00"/>
    <x v="3"/>
    <s v="First Class"/>
    <s v="AB-10015"/>
    <x v="21"/>
    <s v="Washington"/>
    <x v="0"/>
    <x v="1"/>
    <x v="35"/>
    <x v="35"/>
    <x v="0"/>
  </r>
  <r>
    <x v="20"/>
    <d v="2013-03-11T00:00:00"/>
    <x v="5"/>
    <s v="Second Class"/>
    <s v="NP-18685"/>
    <x v="22"/>
    <s v="Washington"/>
    <x v="0"/>
    <x v="5"/>
    <x v="36"/>
    <x v="36"/>
    <x v="4"/>
  </r>
  <r>
    <x v="20"/>
    <d v="2013-03-12T00:00:00"/>
    <x v="1"/>
    <s v="Standard Class"/>
    <s v="CM-12715"/>
    <x v="23"/>
    <s v="Washington"/>
    <x v="0"/>
    <x v="3"/>
    <x v="37"/>
    <x v="37"/>
    <x v="1"/>
  </r>
  <r>
    <x v="20"/>
    <d v="2013-03-12T00:00:00"/>
    <x v="1"/>
    <s v="Standard Class"/>
    <s v="CM-12715"/>
    <x v="23"/>
    <s v="Washington"/>
    <x v="0"/>
    <x v="1"/>
    <x v="38"/>
    <x v="38"/>
    <x v="1"/>
  </r>
  <r>
    <x v="20"/>
    <d v="2013-03-12T00:00:00"/>
    <x v="1"/>
    <s v="Standard Class"/>
    <s v="CM-12715"/>
    <x v="23"/>
    <s v="Washington"/>
    <x v="1"/>
    <x v="10"/>
    <x v="39"/>
    <x v="39"/>
    <x v="5"/>
  </r>
  <r>
    <x v="20"/>
    <d v="2013-03-12T00:00:00"/>
    <x v="1"/>
    <s v="Standard Class"/>
    <s v="CM-12715"/>
    <x v="23"/>
    <s v="Washington"/>
    <x v="1"/>
    <x v="10"/>
    <x v="40"/>
    <x v="40"/>
    <x v="4"/>
  </r>
  <r>
    <x v="21"/>
    <d v="2013-03-17T00:00:00"/>
    <x v="6"/>
    <s v="Standard Class"/>
    <s v="KT-16480"/>
    <x v="24"/>
    <s v="Colorado"/>
    <x v="0"/>
    <x v="1"/>
    <x v="1"/>
    <x v="41"/>
    <x v="0"/>
  </r>
  <r>
    <x v="21"/>
    <d v="2013-03-17T00:00:00"/>
    <x v="6"/>
    <s v="Standard Class"/>
    <s v="KT-16480"/>
    <x v="24"/>
    <s v="Colorado"/>
    <x v="0"/>
    <x v="3"/>
    <x v="41"/>
    <x v="42"/>
    <x v="2"/>
  </r>
  <r>
    <x v="22"/>
    <d v="2013-03-15T00:00:00"/>
    <x v="5"/>
    <s v="Standard Class"/>
    <s v="RB-19435"/>
    <x v="25"/>
    <s v="California"/>
    <x v="0"/>
    <x v="3"/>
    <x v="42"/>
    <x v="43"/>
    <x v="0"/>
  </r>
  <r>
    <x v="23"/>
    <d v="2013-03-18T00:00:00"/>
    <x v="5"/>
    <s v="Standard Class"/>
    <s v="DK-13225"/>
    <x v="26"/>
    <s v="California"/>
    <x v="0"/>
    <x v="0"/>
    <x v="43"/>
    <x v="44"/>
    <x v="4"/>
  </r>
  <r>
    <x v="23"/>
    <d v="2013-03-18T00:00:00"/>
    <x v="5"/>
    <s v="Standard Class"/>
    <s v="DK-13225"/>
    <x v="26"/>
    <s v="California"/>
    <x v="0"/>
    <x v="3"/>
    <x v="44"/>
    <x v="45"/>
    <x v="6"/>
  </r>
  <r>
    <x v="23"/>
    <d v="2013-03-19T00:00:00"/>
    <x v="1"/>
    <s v="Standard Class"/>
    <s v="JF-15295"/>
    <x v="27"/>
    <s v="Utah"/>
    <x v="0"/>
    <x v="5"/>
    <x v="45"/>
    <x v="46"/>
    <x v="2"/>
  </r>
  <r>
    <x v="23"/>
    <d v="2013-03-19T00:00:00"/>
    <x v="1"/>
    <s v="Standard Class"/>
    <s v="JF-15295"/>
    <x v="27"/>
    <s v="Utah"/>
    <x v="0"/>
    <x v="1"/>
    <x v="46"/>
    <x v="47"/>
    <x v="6"/>
  </r>
  <r>
    <x v="23"/>
    <d v="2013-03-19T00:00:00"/>
    <x v="1"/>
    <s v="Standard Class"/>
    <s v="JF-15295"/>
    <x v="27"/>
    <s v="Utah"/>
    <x v="2"/>
    <x v="11"/>
    <x v="47"/>
    <x v="48"/>
    <x v="7"/>
  </r>
  <r>
    <x v="23"/>
    <d v="2013-03-19T00:00:00"/>
    <x v="1"/>
    <s v="Standard Class"/>
    <s v="JF-15295"/>
    <x v="27"/>
    <s v="Utah"/>
    <x v="0"/>
    <x v="1"/>
    <x v="48"/>
    <x v="27"/>
    <x v="4"/>
  </r>
  <r>
    <x v="23"/>
    <d v="2013-03-19T00:00:00"/>
    <x v="1"/>
    <s v="Standard Class"/>
    <s v="JF-15295"/>
    <x v="27"/>
    <s v="Utah"/>
    <x v="0"/>
    <x v="5"/>
    <x v="49"/>
    <x v="49"/>
    <x v="4"/>
  </r>
  <r>
    <x v="24"/>
    <d v="2013-03-21T00:00:00"/>
    <x v="2"/>
    <s v="Second Class"/>
    <s v="EK-13795"/>
    <x v="28"/>
    <s v="California"/>
    <x v="1"/>
    <x v="2"/>
    <x v="50"/>
    <x v="50"/>
    <x v="3"/>
  </r>
  <r>
    <x v="24"/>
    <d v="2013-03-24T00:00:00"/>
    <x v="4"/>
    <s v="Standard Class"/>
    <s v="SC-20050"/>
    <x v="29"/>
    <s v="California"/>
    <x v="1"/>
    <x v="7"/>
    <x v="51"/>
    <x v="51"/>
    <x v="4"/>
  </r>
  <r>
    <x v="24"/>
    <d v="2013-03-24T00:00:00"/>
    <x v="4"/>
    <s v="Standard Class"/>
    <s v="SC-20050"/>
    <x v="29"/>
    <s v="California"/>
    <x v="2"/>
    <x v="13"/>
    <x v="52"/>
    <x v="52"/>
    <x v="2"/>
  </r>
  <r>
    <x v="24"/>
    <d v="2013-03-24T00:00:00"/>
    <x v="4"/>
    <s v="Standard Class"/>
    <s v="SC-20050"/>
    <x v="29"/>
    <s v="California"/>
    <x v="0"/>
    <x v="1"/>
    <x v="1"/>
    <x v="53"/>
    <x v="8"/>
  </r>
  <r>
    <x v="25"/>
    <d v="2013-03-26T00:00:00"/>
    <x v="5"/>
    <s v="Standard Class"/>
    <s v="BF-11275"/>
    <x v="30"/>
    <s v="Arizona"/>
    <x v="0"/>
    <x v="0"/>
    <x v="53"/>
    <x v="54"/>
    <x v="0"/>
  </r>
  <r>
    <x v="25"/>
    <d v="2013-03-26T00:00:00"/>
    <x v="5"/>
    <s v="Standard Class"/>
    <s v="BF-11275"/>
    <x v="30"/>
    <s v="Arizona"/>
    <x v="1"/>
    <x v="10"/>
    <x v="54"/>
    <x v="55"/>
    <x v="0"/>
  </r>
  <r>
    <x v="26"/>
    <d v="2013-03-26T00:00:00"/>
    <x v="2"/>
    <s v="Second Class"/>
    <s v="PO-18865"/>
    <x v="31"/>
    <s v="California"/>
    <x v="0"/>
    <x v="1"/>
    <x v="55"/>
    <x v="56"/>
    <x v="4"/>
  </r>
  <r>
    <x v="26"/>
    <d v="2013-03-26T00:00:00"/>
    <x v="2"/>
    <s v="Second Class"/>
    <s v="PO-18865"/>
    <x v="31"/>
    <s v="California"/>
    <x v="2"/>
    <x v="14"/>
    <x v="56"/>
    <x v="57"/>
    <x v="5"/>
  </r>
  <r>
    <x v="27"/>
    <d v="2013-03-29T00:00:00"/>
    <x v="1"/>
    <s v="Second Class"/>
    <s v="MS-17710"/>
    <x v="32"/>
    <s v="California"/>
    <x v="1"/>
    <x v="7"/>
    <x v="57"/>
    <x v="58"/>
    <x v="4"/>
  </r>
  <r>
    <x v="28"/>
    <d v="2013-03-30T00:00:00"/>
    <x v="1"/>
    <s v="Standard Class"/>
    <s v="CA-12265"/>
    <x v="33"/>
    <s v="California"/>
    <x v="0"/>
    <x v="3"/>
    <x v="58"/>
    <x v="59"/>
    <x v="4"/>
  </r>
  <r>
    <x v="28"/>
    <d v="2013-03-30T00:00:00"/>
    <x v="1"/>
    <s v="Standard Class"/>
    <s v="CA-12265"/>
    <x v="33"/>
    <s v="California"/>
    <x v="0"/>
    <x v="3"/>
    <x v="59"/>
    <x v="60"/>
    <x v="4"/>
  </r>
  <r>
    <x v="28"/>
    <d v="2013-03-30T00:00:00"/>
    <x v="1"/>
    <s v="Standard Class"/>
    <s v="CA-12265"/>
    <x v="33"/>
    <s v="California"/>
    <x v="2"/>
    <x v="11"/>
    <x v="60"/>
    <x v="61"/>
    <x v="2"/>
  </r>
  <r>
    <x v="28"/>
    <d v="2013-03-30T00:00:00"/>
    <x v="1"/>
    <s v="Standard Class"/>
    <s v="CA-12265"/>
    <x v="33"/>
    <s v="California"/>
    <x v="0"/>
    <x v="3"/>
    <x v="61"/>
    <x v="62"/>
    <x v="5"/>
  </r>
  <r>
    <x v="29"/>
    <d v="2013-03-30T00:00:00"/>
    <x v="5"/>
    <s v="Standard Class"/>
    <s v="JD-15895"/>
    <x v="34"/>
    <s v="California"/>
    <x v="2"/>
    <x v="11"/>
    <x v="62"/>
    <x v="63"/>
    <x v="0"/>
  </r>
  <r>
    <x v="29"/>
    <d v="2013-03-31T00:00:00"/>
    <x v="1"/>
    <s v="Second Class"/>
    <s v="DK-12835"/>
    <x v="35"/>
    <s v="California"/>
    <x v="0"/>
    <x v="3"/>
    <x v="63"/>
    <x v="64"/>
    <x v="4"/>
  </r>
  <r>
    <x v="29"/>
    <d v="2013-03-31T00:00:00"/>
    <x v="1"/>
    <s v="Second Class"/>
    <s v="DK-12835"/>
    <x v="35"/>
    <s v="California"/>
    <x v="0"/>
    <x v="5"/>
    <x v="64"/>
    <x v="65"/>
    <x v="2"/>
  </r>
  <r>
    <x v="29"/>
    <d v="2013-03-31T00:00:00"/>
    <x v="1"/>
    <s v="Second Class"/>
    <s v="DK-12835"/>
    <x v="35"/>
    <s v="California"/>
    <x v="2"/>
    <x v="14"/>
    <x v="65"/>
    <x v="66"/>
    <x v="4"/>
  </r>
  <r>
    <x v="29"/>
    <d v="2013-03-30T00:00:00"/>
    <x v="5"/>
    <s v="Second Class"/>
    <s v="CS-12505"/>
    <x v="36"/>
    <s v="California"/>
    <x v="0"/>
    <x v="15"/>
    <x v="66"/>
    <x v="67"/>
    <x v="1"/>
  </r>
  <r>
    <x v="30"/>
    <d v="2013-04-01T00:00:00"/>
    <x v="5"/>
    <s v="Standard Class"/>
    <s v="DR-12940"/>
    <x v="37"/>
    <s v="New Mexico"/>
    <x v="2"/>
    <x v="14"/>
    <x v="67"/>
    <x v="68"/>
    <x v="0"/>
  </r>
  <r>
    <x v="31"/>
    <d v="2013-04-04T00:00:00"/>
    <x v="1"/>
    <s v="Standard Class"/>
    <s v="Dl-13600"/>
    <x v="38"/>
    <s v="Washington"/>
    <x v="0"/>
    <x v="1"/>
    <x v="68"/>
    <x v="69"/>
    <x v="0"/>
  </r>
  <r>
    <x v="31"/>
    <d v="2013-04-04T00:00:00"/>
    <x v="1"/>
    <s v="Standard Class"/>
    <s v="Dl-13600"/>
    <x v="38"/>
    <s v="Washington"/>
    <x v="0"/>
    <x v="15"/>
    <x v="69"/>
    <x v="70"/>
    <x v="0"/>
  </r>
  <r>
    <x v="31"/>
    <d v="2013-04-04T00:00:00"/>
    <x v="1"/>
    <s v="Standard Class"/>
    <s v="GA-14725"/>
    <x v="39"/>
    <s v="California"/>
    <x v="1"/>
    <x v="2"/>
    <x v="70"/>
    <x v="71"/>
    <x v="4"/>
  </r>
  <r>
    <x v="32"/>
    <d v="2013-04-05T00:00:00"/>
    <x v="1"/>
    <s v="Standard Class"/>
    <s v="AA-10315"/>
    <x v="40"/>
    <s v="California"/>
    <x v="0"/>
    <x v="5"/>
    <x v="71"/>
    <x v="72"/>
    <x v="4"/>
  </r>
  <r>
    <x v="32"/>
    <d v="2013-04-05T00:00:00"/>
    <x v="1"/>
    <s v="Standard Class"/>
    <s v="AA-10315"/>
    <x v="40"/>
    <s v="California"/>
    <x v="0"/>
    <x v="4"/>
    <x v="72"/>
    <x v="73"/>
    <x v="4"/>
  </r>
  <r>
    <x v="33"/>
    <d v="2013-04-06T00:00:00"/>
    <x v="1"/>
    <s v="Second Class"/>
    <s v="KM-16720"/>
    <x v="41"/>
    <s v="California"/>
    <x v="0"/>
    <x v="15"/>
    <x v="69"/>
    <x v="74"/>
    <x v="4"/>
  </r>
  <r>
    <x v="33"/>
    <d v="2013-04-06T00:00:00"/>
    <x v="1"/>
    <s v="Second Class"/>
    <s v="KM-16720"/>
    <x v="41"/>
    <s v="California"/>
    <x v="0"/>
    <x v="5"/>
    <x v="73"/>
    <x v="75"/>
    <x v="2"/>
  </r>
  <r>
    <x v="34"/>
    <d v="2013-04-08T00:00:00"/>
    <x v="1"/>
    <s v="Standard Class"/>
    <s v="KE-16420"/>
    <x v="42"/>
    <s v="California"/>
    <x v="0"/>
    <x v="6"/>
    <x v="74"/>
    <x v="76"/>
    <x v="4"/>
  </r>
  <r>
    <x v="34"/>
    <d v="2013-04-08T00:00:00"/>
    <x v="1"/>
    <s v="Standard Class"/>
    <s v="KE-16420"/>
    <x v="42"/>
    <s v="California"/>
    <x v="2"/>
    <x v="11"/>
    <x v="75"/>
    <x v="77"/>
    <x v="0"/>
  </r>
  <r>
    <x v="34"/>
    <d v="2013-04-08T00:00:00"/>
    <x v="1"/>
    <s v="Standard Class"/>
    <s v="KE-16420"/>
    <x v="42"/>
    <s v="California"/>
    <x v="2"/>
    <x v="11"/>
    <x v="23"/>
    <x v="78"/>
    <x v="4"/>
  </r>
  <r>
    <x v="35"/>
    <d v="2013-04-09T00:00:00"/>
    <x v="1"/>
    <s v="Standard Class"/>
    <s v="PK-18910"/>
    <x v="43"/>
    <s v="California"/>
    <x v="0"/>
    <x v="15"/>
    <x v="76"/>
    <x v="79"/>
    <x v="5"/>
  </r>
  <r>
    <x v="35"/>
    <d v="2013-04-05T00:00:00"/>
    <x v="3"/>
    <s v="First Class"/>
    <s v="MZ-17515"/>
    <x v="44"/>
    <s v="California"/>
    <x v="0"/>
    <x v="5"/>
    <x v="77"/>
    <x v="80"/>
    <x v="4"/>
  </r>
  <r>
    <x v="36"/>
    <d v="2013-04-12T00:00:00"/>
    <x v="4"/>
    <s v="Standard Class"/>
    <s v="SC-20260"/>
    <x v="45"/>
    <s v="Washington"/>
    <x v="1"/>
    <x v="8"/>
    <x v="78"/>
    <x v="81"/>
    <x v="0"/>
  </r>
  <r>
    <x v="36"/>
    <d v="2013-04-12T00:00:00"/>
    <x v="4"/>
    <s v="Standard Class"/>
    <s v="SC-20260"/>
    <x v="45"/>
    <s v="Washington"/>
    <x v="2"/>
    <x v="11"/>
    <x v="79"/>
    <x v="82"/>
    <x v="4"/>
  </r>
  <r>
    <x v="36"/>
    <d v="2013-04-12T00:00:00"/>
    <x v="4"/>
    <s v="Standard Class"/>
    <s v="AY-10555"/>
    <x v="46"/>
    <s v="California"/>
    <x v="1"/>
    <x v="7"/>
    <x v="80"/>
    <x v="83"/>
    <x v="4"/>
  </r>
  <r>
    <x v="36"/>
    <d v="2013-04-12T00:00:00"/>
    <x v="4"/>
    <s v="Standard Class"/>
    <s v="AY-10555"/>
    <x v="46"/>
    <s v="California"/>
    <x v="1"/>
    <x v="7"/>
    <x v="81"/>
    <x v="84"/>
    <x v="8"/>
  </r>
  <r>
    <x v="36"/>
    <d v="2013-04-12T00:00:00"/>
    <x v="4"/>
    <s v="Standard Class"/>
    <s v="AY-10555"/>
    <x v="46"/>
    <s v="California"/>
    <x v="0"/>
    <x v="0"/>
    <x v="82"/>
    <x v="0"/>
    <x v="0"/>
  </r>
  <r>
    <x v="36"/>
    <d v="2013-04-12T00:00:00"/>
    <x v="4"/>
    <s v="Standard Class"/>
    <s v="AY-10555"/>
    <x v="46"/>
    <s v="California"/>
    <x v="0"/>
    <x v="0"/>
    <x v="83"/>
    <x v="85"/>
    <x v="6"/>
  </r>
  <r>
    <x v="36"/>
    <d v="2013-04-10T00:00:00"/>
    <x v="5"/>
    <s v="Second Class"/>
    <s v="FH-14275"/>
    <x v="47"/>
    <s v="California"/>
    <x v="0"/>
    <x v="3"/>
    <x v="84"/>
    <x v="86"/>
    <x v="0"/>
  </r>
  <r>
    <x v="36"/>
    <d v="2013-04-10T00:00:00"/>
    <x v="5"/>
    <s v="Second Class"/>
    <s v="FH-14275"/>
    <x v="47"/>
    <s v="California"/>
    <x v="0"/>
    <x v="5"/>
    <x v="85"/>
    <x v="87"/>
    <x v="4"/>
  </r>
  <r>
    <x v="36"/>
    <d v="2013-04-10T00:00:00"/>
    <x v="5"/>
    <s v="Second Class"/>
    <s v="FH-14275"/>
    <x v="47"/>
    <s v="California"/>
    <x v="2"/>
    <x v="11"/>
    <x v="86"/>
    <x v="88"/>
    <x v="0"/>
  </r>
  <r>
    <x v="37"/>
    <d v="2013-04-15T00:00:00"/>
    <x v="6"/>
    <s v="Standard Class"/>
    <s v="JM-15655"/>
    <x v="48"/>
    <s v="Arizona"/>
    <x v="0"/>
    <x v="9"/>
    <x v="87"/>
    <x v="89"/>
    <x v="4"/>
  </r>
  <r>
    <x v="37"/>
    <d v="2013-04-15T00:00:00"/>
    <x v="6"/>
    <s v="Standard Class"/>
    <s v="JM-15655"/>
    <x v="48"/>
    <s v="Arizona"/>
    <x v="0"/>
    <x v="0"/>
    <x v="88"/>
    <x v="90"/>
    <x v="0"/>
  </r>
  <r>
    <x v="37"/>
    <d v="2013-04-13T00:00:00"/>
    <x v="1"/>
    <s v="Standard Class"/>
    <s v="PC-19000"/>
    <x v="49"/>
    <s v="Arizona"/>
    <x v="0"/>
    <x v="9"/>
    <x v="89"/>
    <x v="91"/>
    <x v="9"/>
  </r>
  <r>
    <x v="37"/>
    <d v="2013-04-12T00:00:00"/>
    <x v="5"/>
    <s v="Standard Class"/>
    <s v="NM-18445"/>
    <x v="12"/>
    <s v="California"/>
    <x v="1"/>
    <x v="8"/>
    <x v="90"/>
    <x v="92"/>
    <x v="6"/>
  </r>
  <r>
    <x v="37"/>
    <d v="2013-04-12T00:00:00"/>
    <x v="5"/>
    <s v="Standard Class"/>
    <s v="NM-18445"/>
    <x v="12"/>
    <s v="California"/>
    <x v="2"/>
    <x v="11"/>
    <x v="91"/>
    <x v="93"/>
    <x v="2"/>
  </r>
  <r>
    <x v="38"/>
    <d v="2013-04-16T00:00:00"/>
    <x v="1"/>
    <s v="Standard Class"/>
    <s v="SE-20110"/>
    <x v="50"/>
    <s v="Idaho"/>
    <x v="0"/>
    <x v="5"/>
    <x v="92"/>
    <x v="94"/>
    <x v="6"/>
  </r>
  <r>
    <x v="38"/>
    <d v="2013-04-18T00:00:00"/>
    <x v="6"/>
    <s v="Standard Class"/>
    <s v="MM-18055"/>
    <x v="51"/>
    <s v="Montana"/>
    <x v="0"/>
    <x v="1"/>
    <x v="93"/>
    <x v="95"/>
    <x v="8"/>
  </r>
  <r>
    <x v="38"/>
    <d v="2013-04-18T00:00:00"/>
    <x v="6"/>
    <s v="Standard Class"/>
    <s v="MM-18055"/>
    <x v="51"/>
    <s v="Montana"/>
    <x v="2"/>
    <x v="14"/>
    <x v="94"/>
    <x v="96"/>
    <x v="4"/>
  </r>
  <r>
    <x v="38"/>
    <d v="2013-04-18T00:00:00"/>
    <x v="6"/>
    <s v="Standard Class"/>
    <s v="MM-18055"/>
    <x v="51"/>
    <s v="Montana"/>
    <x v="2"/>
    <x v="11"/>
    <x v="95"/>
    <x v="97"/>
    <x v="5"/>
  </r>
  <r>
    <x v="39"/>
    <d v="2013-04-17T00:00:00"/>
    <x v="1"/>
    <s v="Standard Class"/>
    <s v="KN-16450"/>
    <x v="52"/>
    <s v="California"/>
    <x v="2"/>
    <x v="14"/>
    <x v="96"/>
    <x v="98"/>
    <x v="10"/>
  </r>
  <r>
    <x v="39"/>
    <d v="2013-04-17T00:00:00"/>
    <x v="1"/>
    <s v="Standard Class"/>
    <s v="KN-16450"/>
    <x v="52"/>
    <s v="California"/>
    <x v="2"/>
    <x v="14"/>
    <x v="97"/>
    <x v="99"/>
    <x v="2"/>
  </r>
  <r>
    <x v="39"/>
    <d v="2013-04-17T00:00:00"/>
    <x v="1"/>
    <s v="Standard Class"/>
    <s v="KN-16450"/>
    <x v="52"/>
    <s v="California"/>
    <x v="0"/>
    <x v="5"/>
    <x v="98"/>
    <x v="100"/>
    <x v="8"/>
  </r>
  <r>
    <x v="39"/>
    <d v="2013-04-17T00:00:00"/>
    <x v="1"/>
    <s v="Standard Class"/>
    <s v="KN-16450"/>
    <x v="52"/>
    <s v="California"/>
    <x v="1"/>
    <x v="2"/>
    <x v="70"/>
    <x v="101"/>
    <x v="0"/>
  </r>
  <r>
    <x v="39"/>
    <d v="2013-04-18T00:00:00"/>
    <x v="4"/>
    <s v="Standard Class"/>
    <s v="EH-13765"/>
    <x v="53"/>
    <s v="California"/>
    <x v="0"/>
    <x v="3"/>
    <x v="99"/>
    <x v="102"/>
    <x v="4"/>
  </r>
  <r>
    <x v="40"/>
    <d v="2013-04-15T00:00:00"/>
    <x v="7"/>
    <s v="Same Day"/>
    <s v="PS-18970"/>
    <x v="54"/>
    <s v="California"/>
    <x v="0"/>
    <x v="4"/>
    <x v="100"/>
    <x v="103"/>
    <x v="4"/>
  </r>
  <r>
    <x v="40"/>
    <d v="2013-04-15T00:00:00"/>
    <x v="7"/>
    <s v="Same Day"/>
    <s v="PS-18970"/>
    <x v="54"/>
    <s v="California"/>
    <x v="1"/>
    <x v="7"/>
    <x v="101"/>
    <x v="104"/>
    <x v="2"/>
  </r>
  <r>
    <x v="41"/>
    <d v="2013-04-23T00:00:00"/>
    <x v="1"/>
    <s v="Standard Class"/>
    <s v="JL-15835"/>
    <x v="55"/>
    <s v="California"/>
    <x v="2"/>
    <x v="13"/>
    <x v="102"/>
    <x v="105"/>
    <x v="2"/>
  </r>
  <r>
    <x v="41"/>
    <d v="2013-04-23T00:00:00"/>
    <x v="1"/>
    <s v="Standard Class"/>
    <s v="JL-15835"/>
    <x v="55"/>
    <s v="California"/>
    <x v="0"/>
    <x v="3"/>
    <x v="103"/>
    <x v="106"/>
    <x v="2"/>
  </r>
  <r>
    <x v="41"/>
    <d v="2013-04-23T00:00:00"/>
    <x v="1"/>
    <s v="Standard Class"/>
    <s v="JL-15835"/>
    <x v="55"/>
    <s v="California"/>
    <x v="0"/>
    <x v="3"/>
    <x v="104"/>
    <x v="107"/>
    <x v="1"/>
  </r>
  <r>
    <x v="41"/>
    <d v="2013-04-23T00:00:00"/>
    <x v="1"/>
    <s v="Standard Class"/>
    <s v="JL-15835"/>
    <x v="55"/>
    <s v="California"/>
    <x v="0"/>
    <x v="9"/>
    <x v="105"/>
    <x v="108"/>
    <x v="4"/>
  </r>
  <r>
    <x v="42"/>
    <d v="2013-04-21T00:00:00"/>
    <x v="0"/>
    <s v="Second Class"/>
    <s v="NF-18595"/>
    <x v="56"/>
    <s v="California"/>
    <x v="1"/>
    <x v="7"/>
    <x v="106"/>
    <x v="109"/>
    <x v="0"/>
  </r>
  <r>
    <x v="43"/>
    <d v="2013-04-25T00:00:00"/>
    <x v="1"/>
    <s v="Standard Class"/>
    <s v="BP-11230"/>
    <x v="57"/>
    <s v="California"/>
    <x v="1"/>
    <x v="7"/>
    <x v="107"/>
    <x v="110"/>
    <x v="2"/>
  </r>
  <r>
    <x v="44"/>
    <d v="2013-04-25T00:00:00"/>
    <x v="5"/>
    <s v="Standard Class"/>
    <s v="AA-10375"/>
    <x v="58"/>
    <s v="California"/>
    <x v="0"/>
    <x v="5"/>
    <x v="108"/>
    <x v="111"/>
    <x v="1"/>
  </r>
  <r>
    <x v="45"/>
    <d v="2013-04-26T00:00:00"/>
    <x v="2"/>
    <s v="Second Class"/>
    <s v="NM-18445"/>
    <x v="12"/>
    <s v="California"/>
    <x v="0"/>
    <x v="0"/>
    <x v="109"/>
    <x v="112"/>
    <x v="6"/>
  </r>
  <r>
    <x v="46"/>
    <d v="2013-04-30T00:00:00"/>
    <x v="1"/>
    <s v="Standard Class"/>
    <s v="BT-11305"/>
    <x v="59"/>
    <s v="California"/>
    <x v="1"/>
    <x v="7"/>
    <x v="110"/>
    <x v="113"/>
    <x v="1"/>
  </r>
  <r>
    <x v="46"/>
    <d v="2013-04-30T00:00:00"/>
    <x v="1"/>
    <s v="Standard Class"/>
    <s v="BT-11305"/>
    <x v="59"/>
    <s v="California"/>
    <x v="0"/>
    <x v="4"/>
    <x v="111"/>
    <x v="114"/>
    <x v="0"/>
  </r>
  <r>
    <x v="46"/>
    <d v="2013-04-30T00:00:00"/>
    <x v="1"/>
    <s v="Standard Class"/>
    <s v="BT-11305"/>
    <x v="59"/>
    <s v="California"/>
    <x v="1"/>
    <x v="10"/>
    <x v="112"/>
    <x v="115"/>
    <x v="1"/>
  </r>
  <r>
    <x v="47"/>
    <d v="2013-05-03T00:00:00"/>
    <x v="6"/>
    <s v="Standard Class"/>
    <s v="AG-10300"/>
    <x v="60"/>
    <s v="California"/>
    <x v="1"/>
    <x v="10"/>
    <x v="113"/>
    <x v="116"/>
    <x v="0"/>
  </r>
  <r>
    <x v="47"/>
    <d v="2013-05-03T00:00:00"/>
    <x v="6"/>
    <s v="Standard Class"/>
    <s v="AG-10300"/>
    <x v="60"/>
    <s v="California"/>
    <x v="0"/>
    <x v="5"/>
    <x v="114"/>
    <x v="117"/>
    <x v="5"/>
  </r>
  <r>
    <x v="47"/>
    <d v="2013-04-30T00:00:00"/>
    <x v="5"/>
    <s v="Standard Class"/>
    <s v="MH-17290"/>
    <x v="61"/>
    <s v="California"/>
    <x v="0"/>
    <x v="3"/>
    <x v="115"/>
    <x v="118"/>
    <x v="1"/>
  </r>
  <r>
    <x v="47"/>
    <d v="2013-04-30T00:00:00"/>
    <x v="5"/>
    <s v="Standard Class"/>
    <s v="MH-17290"/>
    <x v="61"/>
    <s v="California"/>
    <x v="0"/>
    <x v="15"/>
    <x v="116"/>
    <x v="119"/>
    <x v="4"/>
  </r>
  <r>
    <x v="48"/>
    <d v="2013-04-30T00:00:00"/>
    <x v="0"/>
    <s v="First Class"/>
    <s v="AI-10855"/>
    <x v="62"/>
    <s v="California"/>
    <x v="2"/>
    <x v="14"/>
    <x v="117"/>
    <x v="120"/>
    <x v="1"/>
  </r>
  <r>
    <x v="49"/>
    <d v="2013-05-07T00:00:00"/>
    <x v="2"/>
    <s v="First Class"/>
    <s v="BS-11365"/>
    <x v="63"/>
    <s v="Washington"/>
    <x v="1"/>
    <x v="7"/>
    <x v="118"/>
    <x v="121"/>
    <x v="8"/>
  </r>
  <r>
    <x v="49"/>
    <d v="2013-05-07T00:00:00"/>
    <x v="2"/>
    <s v="First Class"/>
    <s v="BS-11365"/>
    <x v="63"/>
    <s v="Washington"/>
    <x v="0"/>
    <x v="4"/>
    <x v="119"/>
    <x v="122"/>
    <x v="2"/>
  </r>
  <r>
    <x v="50"/>
    <d v="2013-05-10T00:00:00"/>
    <x v="5"/>
    <s v="Standard Class"/>
    <s v="HP-14815"/>
    <x v="64"/>
    <s v="California"/>
    <x v="0"/>
    <x v="5"/>
    <x v="120"/>
    <x v="123"/>
    <x v="9"/>
  </r>
  <r>
    <x v="50"/>
    <d v="2013-05-11T00:00:00"/>
    <x v="1"/>
    <s v="Standard Class"/>
    <s v="SN-20710"/>
    <x v="65"/>
    <s v="California"/>
    <x v="0"/>
    <x v="15"/>
    <x v="121"/>
    <x v="124"/>
    <x v="4"/>
  </r>
  <r>
    <x v="50"/>
    <d v="2013-05-11T00:00:00"/>
    <x v="1"/>
    <s v="Standard Class"/>
    <s v="SN-20710"/>
    <x v="65"/>
    <s v="California"/>
    <x v="0"/>
    <x v="3"/>
    <x v="122"/>
    <x v="125"/>
    <x v="5"/>
  </r>
  <r>
    <x v="51"/>
    <d v="2013-05-15T00:00:00"/>
    <x v="4"/>
    <s v="Standard Class"/>
    <s v="PG-18820"/>
    <x v="66"/>
    <s v="California"/>
    <x v="2"/>
    <x v="11"/>
    <x v="79"/>
    <x v="126"/>
    <x v="2"/>
  </r>
  <r>
    <x v="51"/>
    <d v="2013-05-15T00:00:00"/>
    <x v="4"/>
    <s v="Standard Class"/>
    <s v="PG-18820"/>
    <x v="66"/>
    <s v="California"/>
    <x v="2"/>
    <x v="11"/>
    <x v="123"/>
    <x v="127"/>
    <x v="0"/>
  </r>
  <r>
    <x v="52"/>
    <d v="2013-05-15T00:00:00"/>
    <x v="1"/>
    <s v="Standard Class"/>
    <s v="AI-10855"/>
    <x v="62"/>
    <s v="Washington"/>
    <x v="0"/>
    <x v="6"/>
    <x v="124"/>
    <x v="128"/>
    <x v="0"/>
  </r>
  <r>
    <x v="52"/>
    <d v="2013-05-15T00:00:00"/>
    <x v="1"/>
    <s v="Standard Class"/>
    <s v="AI-10855"/>
    <x v="62"/>
    <s v="Washington"/>
    <x v="2"/>
    <x v="14"/>
    <x v="125"/>
    <x v="129"/>
    <x v="1"/>
  </r>
  <r>
    <x v="52"/>
    <d v="2013-05-15T00:00:00"/>
    <x v="1"/>
    <s v="Standard Class"/>
    <s v="GM-14680"/>
    <x v="67"/>
    <s v="California"/>
    <x v="0"/>
    <x v="0"/>
    <x v="126"/>
    <x v="130"/>
    <x v="4"/>
  </r>
  <r>
    <x v="52"/>
    <d v="2013-05-15T00:00:00"/>
    <x v="1"/>
    <s v="Standard Class"/>
    <s v="GM-14680"/>
    <x v="67"/>
    <s v="California"/>
    <x v="2"/>
    <x v="14"/>
    <x v="127"/>
    <x v="131"/>
    <x v="1"/>
  </r>
  <r>
    <x v="52"/>
    <d v="2013-05-15T00:00:00"/>
    <x v="1"/>
    <s v="Standard Class"/>
    <s v="GM-14680"/>
    <x v="67"/>
    <s v="California"/>
    <x v="0"/>
    <x v="12"/>
    <x v="128"/>
    <x v="132"/>
    <x v="5"/>
  </r>
  <r>
    <x v="52"/>
    <d v="2013-05-15T00:00:00"/>
    <x v="1"/>
    <s v="Standard Class"/>
    <s v="GM-14680"/>
    <x v="67"/>
    <s v="California"/>
    <x v="1"/>
    <x v="10"/>
    <x v="129"/>
    <x v="133"/>
    <x v="6"/>
  </r>
  <r>
    <x v="53"/>
    <d v="2013-05-15T00:00:00"/>
    <x v="0"/>
    <s v="Second Class"/>
    <s v="AG-10270"/>
    <x v="68"/>
    <s v="Utah"/>
    <x v="0"/>
    <x v="1"/>
    <x v="130"/>
    <x v="134"/>
    <x v="4"/>
  </r>
  <r>
    <x v="53"/>
    <d v="2013-05-17T00:00:00"/>
    <x v="5"/>
    <s v="Standard Class"/>
    <s v="NP-18325"/>
    <x v="69"/>
    <s v="California"/>
    <x v="2"/>
    <x v="11"/>
    <x v="131"/>
    <x v="135"/>
    <x v="0"/>
  </r>
  <r>
    <x v="53"/>
    <d v="2013-05-19T00:00:00"/>
    <x v="4"/>
    <s v="Standard Class"/>
    <s v="AH-10030"/>
    <x v="70"/>
    <s v="California"/>
    <x v="1"/>
    <x v="10"/>
    <x v="132"/>
    <x v="136"/>
    <x v="5"/>
  </r>
  <r>
    <x v="53"/>
    <d v="2013-05-19T00:00:00"/>
    <x v="4"/>
    <s v="Standard Class"/>
    <s v="AH-10030"/>
    <x v="70"/>
    <s v="California"/>
    <x v="0"/>
    <x v="0"/>
    <x v="133"/>
    <x v="137"/>
    <x v="4"/>
  </r>
  <r>
    <x v="54"/>
    <d v="2013-05-23T00:00:00"/>
    <x v="6"/>
    <s v="Standard Class"/>
    <s v="PW-19030"/>
    <x v="71"/>
    <s v="California"/>
    <x v="1"/>
    <x v="10"/>
    <x v="132"/>
    <x v="138"/>
    <x v="1"/>
  </r>
  <r>
    <x v="54"/>
    <d v="2013-05-20T00:00:00"/>
    <x v="5"/>
    <s v="Standard Class"/>
    <s v="CC-12475"/>
    <x v="72"/>
    <s v="California"/>
    <x v="2"/>
    <x v="11"/>
    <x v="134"/>
    <x v="139"/>
    <x v="0"/>
  </r>
  <r>
    <x v="55"/>
    <d v="2013-05-25T00:00:00"/>
    <x v="5"/>
    <s v="Standard Class"/>
    <s v="BT-11530"/>
    <x v="73"/>
    <s v="California"/>
    <x v="0"/>
    <x v="3"/>
    <x v="3"/>
    <x v="140"/>
    <x v="9"/>
  </r>
  <r>
    <x v="56"/>
    <d v="2013-05-27T00:00:00"/>
    <x v="5"/>
    <s v="Standard Class"/>
    <s v="EH-13990"/>
    <x v="74"/>
    <s v="Washington"/>
    <x v="0"/>
    <x v="0"/>
    <x v="135"/>
    <x v="28"/>
    <x v="4"/>
  </r>
  <r>
    <x v="57"/>
    <d v="2013-05-30T00:00:00"/>
    <x v="5"/>
    <s v="Standard Class"/>
    <s v="ML-17395"/>
    <x v="14"/>
    <s v="California"/>
    <x v="1"/>
    <x v="2"/>
    <x v="136"/>
    <x v="15"/>
    <x v="4"/>
  </r>
  <r>
    <x v="57"/>
    <d v="2013-05-30T00:00:00"/>
    <x v="5"/>
    <s v="Standard Class"/>
    <s v="ML-17395"/>
    <x v="14"/>
    <s v="California"/>
    <x v="2"/>
    <x v="14"/>
    <x v="137"/>
    <x v="141"/>
    <x v="4"/>
  </r>
  <r>
    <x v="57"/>
    <d v="2013-05-30T00:00:00"/>
    <x v="5"/>
    <s v="Standard Class"/>
    <s v="ML-17395"/>
    <x v="14"/>
    <s v="California"/>
    <x v="2"/>
    <x v="14"/>
    <x v="138"/>
    <x v="142"/>
    <x v="4"/>
  </r>
  <r>
    <x v="57"/>
    <d v="2013-05-30T00:00:00"/>
    <x v="5"/>
    <s v="Standard Class"/>
    <s v="HF-14995"/>
    <x v="75"/>
    <s v="California"/>
    <x v="1"/>
    <x v="10"/>
    <x v="139"/>
    <x v="143"/>
    <x v="4"/>
  </r>
  <r>
    <x v="57"/>
    <d v="2013-05-29T00:00:00"/>
    <x v="2"/>
    <s v="First Class"/>
    <s v="Dp-13240"/>
    <x v="76"/>
    <s v="Utah"/>
    <x v="0"/>
    <x v="0"/>
    <x v="9"/>
    <x v="144"/>
    <x v="1"/>
  </r>
  <r>
    <x v="58"/>
    <d v="2013-05-27T00:00:00"/>
    <x v="7"/>
    <s v="Same Day"/>
    <s v="MH-17785"/>
    <x v="77"/>
    <s v="California"/>
    <x v="1"/>
    <x v="8"/>
    <x v="140"/>
    <x v="145"/>
    <x v="3"/>
  </r>
  <r>
    <x v="58"/>
    <d v="2013-05-27T00:00:00"/>
    <x v="7"/>
    <s v="Same Day"/>
    <s v="MH-17785"/>
    <x v="77"/>
    <s v="California"/>
    <x v="0"/>
    <x v="1"/>
    <x v="141"/>
    <x v="146"/>
    <x v="2"/>
  </r>
  <r>
    <x v="58"/>
    <d v="2013-06-01T00:00:00"/>
    <x v="1"/>
    <s v="Second Class"/>
    <s v="LC-16885"/>
    <x v="78"/>
    <s v="California"/>
    <x v="2"/>
    <x v="14"/>
    <x v="142"/>
    <x v="147"/>
    <x v="7"/>
  </r>
  <r>
    <x v="58"/>
    <d v="2013-06-01T00:00:00"/>
    <x v="1"/>
    <s v="Second Class"/>
    <s v="LC-16885"/>
    <x v="78"/>
    <s v="California"/>
    <x v="2"/>
    <x v="11"/>
    <x v="143"/>
    <x v="148"/>
    <x v="6"/>
  </r>
  <r>
    <x v="59"/>
    <d v="2013-06-02T00:00:00"/>
    <x v="1"/>
    <s v="Standard Class"/>
    <s v="PJ-18835"/>
    <x v="79"/>
    <s v="Washington"/>
    <x v="2"/>
    <x v="14"/>
    <x v="144"/>
    <x v="149"/>
    <x v="5"/>
  </r>
  <r>
    <x v="59"/>
    <d v="2013-06-02T00:00:00"/>
    <x v="1"/>
    <s v="Standard Class"/>
    <s v="PJ-18835"/>
    <x v="79"/>
    <s v="Washington"/>
    <x v="2"/>
    <x v="11"/>
    <x v="47"/>
    <x v="150"/>
    <x v="2"/>
  </r>
  <r>
    <x v="59"/>
    <d v="2013-06-01T00:00:00"/>
    <x v="5"/>
    <s v="Standard Class"/>
    <s v="MM-17260"/>
    <x v="80"/>
    <s v="Washington"/>
    <x v="0"/>
    <x v="5"/>
    <x v="145"/>
    <x v="151"/>
    <x v="2"/>
  </r>
  <r>
    <x v="60"/>
    <d v="2013-06-07T00:00:00"/>
    <x v="1"/>
    <s v="Standard Class"/>
    <s v="CK-12325"/>
    <x v="81"/>
    <s v="Utah"/>
    <x v="0"/>
    <x v="5"/>
    <x v="146"/>
    <x v="152"/>
    <x v="0"/>
  </r>
  <r>
    <x v="60"/>
    <d v="2013-06-07T00:00:00"/>
    <x v="1"/>
    <s v="Standard Class"/>
    <s v="CK-12325"/>
    <x v="81"/>
    <s v="Utah"/>
    <x v="1"/>
    <x v="7"/>
    <x v="147"/>
    <x v="153"/>
    <x v="5"/>
  </r>
  <r>
    <x v="61"/>
    <d v="2013-06-07T00:00:00"/>
    <x v="5"/>
    <s v="Second Class"/>
    <s v="SC-20725"/>
    <x v="82"/>
    <s v="Washington"/>
    <x v="1"/>
    <x v="8"/>
    <x v="148"/>
    <x v="154"/>
    <x v="5"/>
  </r>
  <r>
    <x v="62"/>
    <d v="2013-06-14T00:00:00"/>
    <x v="4"/>
    <s v="Standard Class"/>
    <s v="CS-11950"/>
    <x v="83"/>
    <s v="Washington"/>
    <x v="1"/>
    <x v="10"/>
    <x v="149"/>
    <x v="155"/>
    <x v="0"/>
  </r>
  <r>
    <x v="63"/>
    <d v="2013-06-14T00:00:00"/>
    <x v="1"/>
    <s v="Standard Class"/>
    <s v="BH-11710"/>
    <x v="84"/>
    <s v="California"/>
    <x v="1"/>
    <x v="7"/>
    <x v="150"/>
    <x v="156"/>
    <x v="8"/>
  </r>
  <r>
    <x v="63"/>
    <d v="2013-06-14T00:00:00"/>
    <x v="1"/>
    <s v="Standard Class"/>
    <s v="BH-11710"/>
    <x v="84"/>
    <s v="California"/>
    <x v="0"/>
    <x v="3"/>
    <x v="151"/>
    <x v="157"/>
    <x v="2"/>
  </r>
  <r>
    <x v="63"/>
    <d v="2013-06-14T00:00:00"/>
    <x v="1"/>
    <s v="Standard Class"/>
    <s v="BH-11710"/>
    <x v="84"/>
    <s v="California"/>
    <x v="2"/>
    <x v="14"/>
    <x v="152"/>
    <x v="158"/>
    <x v="5"/>
  </r>
  <r>
    <x v="63"/>
    <d v="2013-06-14T00:00:00"/>
    <x v="1"/>
    <s v="Standard Class"/>
    <s v="BH-11710"/>
    <x v="84"/>
    <s v="California"/>
    <x v="0"/>
    <x v="5"/>
    <x v="153"/>
    <x v="159"/>
    <x v="0"/>
  </r>
  <r>
    <x v="63"/>
    <d v="2013-06-14T00:00:00"/>
    <x v="1"/>
    <s v="Standard Class"/>
    <s v="BH-11710"/>
    <x v="84"/>
    <s v="California"/>
    <x v="0"/>
    <x v="4"/>
    <x v="154"/>
    <x v="160"/>
    <x v="1"/>
  </r>
  <r>
    <x v="63"/>
    <d v="2013-06-14T00:00:00"/>
    <x v="1"/>
    <s v="Standard Class"/>
    <s v="BH-11710"/>
    <x v="84"/>
    <s v="California"/>
    <x v="1"/>
    <x v="8"/>
    <x v="155"/>
    <x v="161"/>
    <x v="11"/>
  </r>
  <r>
    <x v="63"/>
    <d v="2013-06-14T00:00:00"/>
    <x v="1"/>
    <s v="Standard Class"/>
    <s v="BH-11710"/>
    <x v="84"/>
    <s v="California"/>
    <x v="2"/>
    <x v="14"/>
    <x v="156"/>
    <x v="162"/>
    <x v="2"/>
  </r>
  <r>
    <x v="63"/>
    <d v="2013-06-16T00:00:00"/>
    <x v="6"/>
    <s v="Standard Class"/>
    <s v="CM-12445"/>
    <x v="85"/>
    <s v="California"/>
    <x v="0"/>
    <x v="12"/>
    <x v="157"/>
    <x v="163"/>
    <x v="4"/>
  </r>
  <r>
    <x v="63"/>
    <d v="2013-06-16T00:00:00"/>
    <x v="6"/>
    <s v="Standard Class"/>
    <s v="CM-12445"/>
    <x v="85"/>
    <s v="California"/>
    <x v="0"/>
    <x v="3"/>
    <x v="158"/>
    <x v="164"/>
    <x v="4"/>
  </r>
  <r>
    <x v="63"/>
    <d v="2013-06-13T00:00:00"/>
    <x v="5"/>
    <s v="Second Class"/>
    <s v="TS-21205"/>
    <x v="86"/>
    <s v="Nevada"/>
    <x v="0"/>
    <x v="3"/>
    <x v="159"/>
    <x v="165"/>
    <x v="8"/>
  </r>
  <r>
    <x v="63"/>
    <d v="2013-06-13T00:00:00"/>
    <x v="5"/>
    <s v="Second Class"/>
    <s v="TS-21205"/>
    <x v="86"/>
    <s v="Nevada"/>
    <x v="0"/>
    <x v="0"/>
    <x v="160"/>
    <x v="166"/>
    <x v="0"/>
  </r>
  <r>
    <x v="63"/>
    <d v="2013-06-13T00:00:00"/>
    <x v="5"/>
    <s v="Second Class"/>
    <s v="TS-21205"/>
    <x v="86"/>
    <s v="Nevada"/>
    <x v="1"/>
    <x v="7"/>
    <x v="161"/>
    <x v="167"/>
    <x v="4"/>
  </r>
  <r>
    <x v="64"/>
    <d v="2013-06-17T00:00:00"/>
    <x v="5"/>
    <s v="Standard Class"/>
    <s v="FM-14215"/>
    <x v="87"/>
    <s v="California"/>
    <x v="0"/>
    <x v="3"/>
    <x v="162"/>
    <x v="168"/>
    <x v="0"/>
  </r>
  <r>
    <x v="65"/>
    <d v="2013-06-21T00:00:00"/>
    <x v="5"/>
    <s v="Standard Class"/>
    <s v="GH-14425"/>
    <x v="88"/>
    <s v="Washington"/>
    <x v="1"/>
    <x v="7"/>
    <x v="163"/>
    <x v="169"/>
    <x v="0"/>
  </r>
  <r>
    <x v="65"/>
    <d v="2013-06-21T00:00:00"/>
    <x v="5"/>
    <s v="Standard Class"/>
    <s v="GH-14425"/>
    <x v="88"/>
    <s v="Washington"/>
    <x v="0"/>
    <x v="9"/>
    <x v="164"/>
    <x v="170"/>
    <x v="1"/>
  </r>
  <r>
    <x v="65"/>
    <d v="2013-06-21T00:00:00"/>
    <x v="5"/>
    <s v="Standard Class"/>
    <s v="GH-14425"/>
    <x v="88"/>
    <s v="Washington"/>
    <x v="0"/>
    <x v="5"/>
    <x v="165"/>
    <x v="171"/>
    <x v="0"/>
  </r>
  <r>
    <x v="66"/>
    <d v="2013-06-23T00:00:00"/>
    <x v="1"/>
    <s v="Standard Class"/>
    <s v="MC-18100"/>
    <x v="89"/>
    <s v="California"/>
    <x v="2"/>
    <x v="14"/>
    <x v="166"/>
    <x v="172"/>
    <x v="1"/>
  </r>
  <r>
    <x v="67"/>
    <d v="2013-06-21T00:00:00"/>
    <x v="7"/>
    <s v="Same Day"/>
    <s v="SV-20785"/>
    <x v="90"/>
    <s v="Colorado"/>
    <x v="0"/>
    <x v="5"/>
    <x v="167"/>
    <x v="173"/>
    <x v="8"/>
  </r>
  <r>
    <x v="67"/>
    <d v="2013-06-21T00:00:00"/>
    <x v="7"/>
    <s v="Same Day"/>
    <s v="SV-20785"/>
    <x v="90"/>
    <s v="Colorado"/>
    <x v="0"/>
    <x v="5"/>
    <x v="168"/>
    <x v="174"/>
    <x v="4"/>
  </r>
  <r>
    <x v="68"/>
    <d v="2013-06-25T00:00:00"/>
    <x v="2"/>
    <s v="First Class"/>
    <s v="JE-15745"/>
    <x v="91"/>
    <s v="Colorado"/>
    <x v="2"/>
    <x v="11"/>
    <x v="169"/>
    <x v="175"/>
    <x v="5"/>
  </r>
  <r>
    <x v="68"/>
    <d v="2013-06-22T00:00:00"/>
    <x v="7"/>
    <s v="Same Day"/>
    <s v="TB-21280"/>
    <x v="92"/>
    <s v="Arizona"/>
    <x v="0"/>
    <x v="5"/>
    <x v="170"/>
    <x v="176"/>
    <x v="0"/>
  </r>
  <r>
    <x v="69"/>
    <d v="2013-06-28T00:00:00"/>
    <x v="5"/>
    <s v="Standard Class"/>
    <s v="LP-17080"/>
    <x v="93"/>
    <s v="Arizona"/>
    <x v="1"/>
    <x v="7"/>
    <x v="171"/>
    <x v="177"/>
    <x v="4"/>
  </r>
  <r>
    <x v="70"/>
    <d v="2013-06-28T00:00:00"/>
    <x v="2"/>
    <s v="First Class"/>
    <s v="NS-18640"/>
    <x v="94"/>
    <s v="California"/>
    <x v="1"/>
    <x v="8"/>
    <x v="172"/>
    <x v="178"/>
    <x v="1"/>
  </r>
  <r>
    <x v="70"/>
    <d v="2013-06-27T00:00:00"/>
    <x v="0"/>
    <s v="Second Class"/>
    <s v="GK-14620"/>
    <x v="95"/>
    <s v="Oregon"/>
    <x v="2"/>
    <x v="14"/>
    <x v="173"/>
    <x v="179"/>
    <x v="1"/>
  </r>
  <r>
    <x v="70"/>
    <d v="2013-06-27T00:00:00"/>
    <x v="0"/>
    <s v="Second Class"/>
    <s v="GK-14620"/>
    <x v="95"/>
    <s v="Oregon"/>
    <x v="0"/>
    <x v="3"/>
    <x v="174"/>
    <x v="180"/>
    <x v="12"/>
  </r>
  <r>
    <x v="70"/>
    <d v="2013-06-27T00:00:00"/>
    <x v="0"/>
    <s v="Second Class"/>
    <s v="GK-14620"/>
    <x v="95"/>
    <s v="Oregon"/>
    <x v="0"/>
    <x v="3"/>
    <x v="175"/>
    <x v="181"/>
    <x v="6"/>
  </r>
  <r>
    <x v="71"/>
    <d v="2013-07-03T00:00:00"/>
    <x v="2"/>
    <s v="Second Class"/>
    <s v="AR-10825"/>
    <x v="96"/>
    <s v="California"/>
    <x v="0"/>
    <x v="3"/>
    <x v="176"/>
    <x v="182"/>
    <x v="1"/>
  </r>
  <r>
    <x v="72"/>
    <d v="2013-07-06T00:00:00"/>
    <x v="1"/>
    <s v="Second Class"/>
    <s v="Dl-13600"/>
    <x v="38"/>
    <s v="Washington"/>
    <x v="0"/>
    <x v="5"/>
    <x v="177"/>
    <x v="183"/>
    <x v="1"/>
  </r>
  <r>
    <x v="73"/>
    <d v="2013-07-07T00:00:00"/>
    <x v="2"/>
    <s v="First Class"/>
    <s v="KE-16420"/>
    <x v="42"/>
    <s v="Colorado"/>
    <x v="0"/>
    <x v="0"/>
    <x v="83"/>
    <x v="184"/>
    <x v="2"/>
  </r>
  <r>
    <x v="73"/>
    <d v="2013-07-07T00:00:00"/>
    <x v="2"/>
    <s v="First Class"/>
    <s v="KE-16420"/>
    <x v="42"/>
    <s v="Colorado"/>
    <x v="0"/>
    <x v="4"/>
    <x v="4"/>
    <x v="185"/>
    <x v="4"/>
  </r>
  <r>
    <x v="74"/>
    <d v="2013-07-11T00:00:00"/>
    <x v="4"/>
    <s v="Standard Class"/>
    <s v="DP-13390"/>
    <x v="97"/>
    <s v="California"/>
    <x v="0"/>
    <x v="5"/>
    <x v="178"/>
    <x v="186"/>
    <x v="5"/>
  </r>
  <r>
    <x v="75"/>
    <d v="2013-07-12T00:00:00"/>
    <x v="4"/>
    <s v="Standard Class"/>
    <s v="BC-11125"/>
    <x v="98"/>
    <s v="California"/>
    <x v="1"/>
    <x v="10"/>
    <x v="179"/>
    <x v="187"/>
    <x v="4"/>
  </r>
  <r>
    <x v="76"/>
    <d v="2013-07-12T00:00:00"/>
    <x v="5"/>
    <s v="Standard Class"/>
    <s v="EB-13705"/>
    <x v="99"/>
    <s v="California"/>
    <x v="1"/>
    <x v="8"/>
    <x v="180"/>
    <x v="188"/>
    <x v="0"/>
  </r>
  <r>
    <x v="76"/>
    <d v="2013-07-12T00:00:00"/>
    <x v="5"/>
    <s v="Standard Class"/>
    <s v="EB-13705"/>
    <x v="99"/>
    <s v="California"/>
    <x v="0"/>
    <x v="5"/>
    <x v="181"/>
    <x v="189"/>
    <x v="5"/>
  </r>
  <r>
    <x v="77"/>
    <d v="2013-07-13T00:00:00"/>
    <x v="5"/>
    <s v="Standard Class"/>
    <s v="GH-14410"/>
    <x v="100"/>
    <s v="California"/>
    <x v="0"/>
    <x v="15"/>
    <x v="182"/>
    <x v="190"/>
    <x v="6"/>
  </r>
  <r>
    <x v="77"/>
    <d v="2013-07-13T00:00:00"/>
    <x v="5"/>
    <s v="Standard Class"/>
    <s v="GH-14410"/>
    <x v="100"/>
    <s v="California"/>
    <x v="0"/>
    <x v="5"/>
    <x v="64"/>
    <x v="191"/>
    <x v="5"/>
  </r>
  <r>
    <x v="77"/>
    <d v="2013-07-13T00:00:00"/>
    <x v="5"/>
    <s v="Standard Class"/>
    <s v="GH-14410"/>
    <x v="100"/>
    <s v="California"/>
    <x v="0"/>
    <x v="1"/>
    <x v="183"/>
    <x v="192"/>
    <x v="2"/>
  </r>
  <r>
    <x v="77"/>
    <d v="2013-07-14T00:00:00"/>
    <x v="1"/>
    <s v="Standard Class"/>
    <s v="DS-13030"/>
    <x v="101"/>
    <s v="California"/>
    <x v="0"/>
    <x v="5"/>
    <x v="184"/>
    <x v="193"/>
    <x v="5"/>
  </r>
  <r>
    <x v="77"/>
    <d v="2013-07-14T00:00:00"/>
    <x v="1"/>
    <s v="Standard Class"/>
    <s v="DS-13030"/>
    <x v="101"/>
    <s v="California"/>
    <x v="1"/>
    <x v="2"/>
    <x v="50"/>
    <x v="194"/>
    <x v="6"/>
  </r>
  <r>
    <x v="77"/>
    <d v="2013-07-14T00:00:00"/>
    <x v="1"/>
    <s v="Standard Class"/>
    <s v="DS-13030"/>
    <x v="101"/>
    <s v="California"/>
    <x v="0"/>
    <x v="3"/>
    <x v="185"/>
    <x v="195"/>
    <x v="4"/>
  </r>
  <r>
    <x v="77"/>
    <d v="2013-07-14T00:00:00"/>
    <x v="1"/>
    <s v="Standard Class"/>
    <s v="DS-13030"/>
    <x v="101"/>
    <s v="California"/>
    <x v="0"/>
    <x v="0"/>
    <x v="186"/>
    <x v="182"/>
    <x v="1"/>
  </r>
  <r>
    <x v="78"/>
    <d v="2013-07-17T00:00:00"/>
    <x v="1"/>
    <s v="Standard Class"/>
    <s v="AC-10420"/>
    <x v="102"/>
    <s v="California"/>
    <x v="0"/>
    <x v="5"/>
    <x v="187"/>
    <x v="196"/>
    <x v="4"/>
  </r>
  <r>
    <x v="78"/>
    <d v="2013-07-17T00:00:00"/>
    <x v="1"/>
    <s v="Standard Class"/>
    <s v="AC-10420"/>
    <x v="102"/>
    <s v="California"/>
    <x v="1"/>
    <x v="8"/>
    <x v="188"/>
    <x v="197"/>
    <x v="0"/>
  </r>
  <r>
    <x v="78"/>
    <d v="2013-07-16T00:00:00"/>
    <x v="5"/>
    <s v="Standard Class"/>
    <s v="BF-11170"/>
    <x v="103"/>
    <s v="California"/>
    <x v="0"/>
    <x v="1"/>
    <x v="130"/>
    <x v="198"/>
    <x v="11"/>
  </r>
  <r>
    <x v="78"/>
    <d v="2013-07-16T00:00:00"/>
    <x v="5"/>
    <s v="Standard Class"/>
    <s v="BF-11170"/>
    <x v="103"/>
    <s v="California"/>
    <x v="2"/>
    <x v="14"/>
    <x v="189"/>
    <x v="199"/>
    <x v="9"/>
  </r>
  <r>
    <x v="78"/>
    <d v="2013-07-18T00:00:00"/>
    <x v="4"/>
    <s v="Standard Class"/>
    <s v="CL-12565"/>
    <x v="104"/>
    <s v="Washington"/>
    <x v="1"/>
    <x v="10"/>
    <x v="190"/>
    <x v="200"/>
    <x v="2"/>
  </r>
  <r>
    <x v="78"/>
    <d v="2013-07-18T00:00:00"/>
    <x v="4"/>
    <s v="Standard Class"/>
    <s v="CL-12565"/>
    <x v="104"/>
    <s v="Washington"/>
    <x v="0"/>
    <x v="5"/>
    <x v="191"/>
    <x v="201"/>
    <x v="2"/>
  </r>
  <r>
    <x v="79"/>
    <d v="2013-07-17T00:00:00"/>
    <x v="5"/>
    <s v="Standard Class"/>
    <s v="GK-14620"/>
    <x v="95"/>
    <s v="California"/>
    <x v="1"/>
    <x v="8"/>
    <x v="192"/>
    <x v="202"/>
    <x v="0"/>
  </r>
  <r>
    <x v="80"/>
    <d v="2013-07-21T00:00:00"/>
    <x v="6"/>
    <s v="Standard Class"/>
    <s v="PB-19150"/>
    <x v="105"/>
    <s v="Arizona"/>
    <x v="0"/>
    <x v="1"/>
    <x v="193"/>
    <x v="203"/>
    <x v="1"/>
  </r>
  <r>
    <x v="81"/>
    <d v="2013-07-18T00:00:00"/>
    <x v="7"/>
    <s v="Same Day"/>
    <s v="AH-10120"/>
    <x v="106"/>
    <s v="Arizona"/>
    <x v="1"/>
    <x v="10"/>
    <x v="194"/>
    <x v="204"/>
    <x v="2"/>
  </r>
  <r>
    <x v="82"/>
    <d v="2013-07-24T00:00:00"/>
    <x v="1"/>
    <s v="Standard Class"/>
    <s v="EM-14140"/>
    <x v="107"/>
    <s v="Montana"/>
    <x v="0"/>
    <x v="5"/>
    <x v="195"/>
    <x v="205"/>
    <x v="4"/>
  </r>
  <r>
    <x v="83"/>
    <d v="2013-07-22T00:00:00"/>
    <x v="0"/>
    <s v="First Class"/>
    <s v="CC-12145"/>
    <x v="108"/>
    <s v="California"/>
    <x v="0"/>
    <x v="0"/>
    <x v="196"/>
    <x v="206"/>
    <x v="6"/>
  </r>
  <r>
    <x v="83"/>
    <d v="2013-07-22T00:00:00"/>
    <x v="0"/>
    <s v="First Class"/>
    <s v="CC-12145"/>
    <x v="108"/>
    <s v="California"/>
    <x v="0"/>
    <x v="5"/>
    <x v="197"/>
    <x v="207"/>
    <x v="4"/>
  </r>
  <r>
    <x v="83"/>
    <d v="2013-07-22T00:00:00"/>
    <x v="0"/>
    <s v="First Class"/>
    <s v="CC-12145"/>
    <x v="108"/>
    <s v="California"/>
    <x v="0"/>
    <x v="0"/>
    <x v="198"/>
    <x v="183"/>
    <x v="2"/>
  </r>
  <r>
    <x v="83"/>
    <d v="2013-07-22T00:00:00"/>
    <x v="0"/>
    <s v="First Class"/>
    <s v="CC-12145"/>
    <x v="108"/>
    <s v="California"/>
    <x v="1"/>
    <x v="7"/>
    <x v="199"/>
    <x v="208"/>
    <x v="0"/>
  </r>
  <r>
    <x v="83"/>
    <d v="2013-07-22T00:00:00"/>
    <x v="0"/>
    <s v="First Class"/>
    <s v="RD-19720"/>
    <x v="109"/>
    <s v="California"/>
    <x v="0"/>
    <x v="5"/>
    <x v="200"/>
    <x v="209"/>
    <x v="5"/>
  </r>
  <r>
    <x v="83"/>
    <d v="2013-07-22T00:00:00"/>
    <x v="0"/>
    <s v="First Class"/>
    <s v="RD-19720"/>
    <x v="109"/>
    <s v="California"/>
    <x v="0"/>
    <x v="0"/>
    <x v="201"/>
    <x v="210"/>
    <x v="0"/>
  </r>
  <r>
    <x v="83"/>
    <d v="2013-07-23T00:00:00"/>
    <x v="2"/>
    <s v="First Class"/>
    <s v="JD-15895"/>
    <x v="34"/>
    <s v="California"/>
    <x v="2"/>
    <x v="11"/>
    <x v="202"/>
    <x v="211"/>
    <x v="4"/>
  </r>
  <r>
    <x v="83"/>
    <d v="2013-07-23T00:00:00"/>
    <x v="2"/>
    <s v="First Class"/>
    <s v="JD-15895"/>
    <x v="34"/>
    <s v="California"/>
    <x v="0"/>
    <x v="0"/>
    <x v="203"/>
    <x v="212"/>
    <x v="4"/>
  </r>
  <r>
    <x v="83"/>
    <d v="2013-07-23T00:00:00"/>
    <x v="2"/>
    <s v="First Class"/>
    <s v="JD-15895"/>
    <x v="34"/>
    <s v="California"/>
    <x v="0"/>
    <x v="3"/>
    <x v="204"/>
    <x v="106"/>
    <x v="2"/>
  </r>
  <r>
    <x v="83"/>
    <d v="2013-07-23T00:00:00"/>
    <x v="2"/>
    <s v="First Class"/>
    <s v="JD-15895"/>
    <x v="34"/>
    <s v="California"/>
    <x v="0"/>
    <x v="1"/>
    <x v="205"/>
    <x v="213"/>
    <x v="0"/>
  </r>
  <r>
    <x v="84"/>
    <d v="2013-07-25T00:00:00"/>
    <x v="5"/>
    <s v="Standard Class"/>
    <s v="ME-18010"/>
    <x v="110"/>
    <s v="California"/>
    <x v="0"/>
    <x v="3"/>
    <x v="206"/>
    <x v="214"/>
    <x v="1"/>
  </r>
  <r>
    <x v="84"/>
    <d v="2013-07-25T00:00:00"/>
    <x v="5"/>
    <s v="Standard Class"/>
    <s v="ME-18010"/>
    <x v="110"/>
    <s v="California"/>
    <x v="1"/>
    <x v="10"/>
    <x v="207"/>
    <x v="215"/>
    <x v="4"/>
  </r>
  <r>
    <x v="84"/>
    <d v="2013-07-25T00:00:00"/>
    <x v="5"/>
    <s v="Standard Class"/>
    <s v="ME-18010"/>
    <x v="110"/>
    <s v="California"/>
    <x v="1"/>
    <x v="8"/>
    <x v="208"/>
    <x v="216"/>
    <x v="6"/>
  </r>
  <r>
    <x v="85"/>
    <d v="2013-07-24T00:00:00"/>
    <x v="0"/>
    <s v="Second Class"/>
    <s v="NP-18325"/>
    <x v="69"/>
    <s v="California"/>
    <x v="0"/>
    <x v="3"/>
    <x v="209"/>
    <x v="217"/>
    <x v="2"/>
  </r>
  <r>
    <x v="85"/>
    <d v="2013-07-24T00:00:00"/>
    <x v="0"/>
    <s v="Second Class"/>
    <s v="NP-18325"/>
    <x v="69"/>
    <s v="California"/>
    <x v="1"/>
    <x v="10"/>
    <x v="179"/>
    <x v="218"/>
    <x v="0"/>
  </r>
  <r>
    <x v="85"/>
    <d v="2013-07-24T00:00:00"/>
    <x v="0"/>
    <s v="Second Class"/>
    <s v="NP-18325"/>
    <x v="69"/>
    <s v="California"/>
    <x v="0"/>
    <x v="1"/>
    <x v="210"/>
    <x v="219"/>
    <x v="3"/>
  </r>
  <r>
    <x v="85"/>
    <d v="2013-07-24T00:00:00"/>
    <x v="0"/>
    <s v="Second Class"/>
    <s v="NP-18325"/>
    <x v="69"/>
    <s v="California"/>
    <x v="1"/>
    <x v="8"/>
    <x v="211"/>
    <x v="220"/>
    <x v="0"/>
  </r>
  <r>
    <x v="85"/>
    <d v="2013-07-28T00:00:00"/>
    <x v="4"/>
    <s v="Standard Class"/>
    <s v="AB-10255"/>
    <x v="111"/>
    <s v="California"/>
    <x v="0"/>
    <x v="3"/>
    <x v="212"/>
    <x v="221"/>
    <x v="5"/>
  </r>
  <r>
    <x v="86"/>
    <d v="2013-07-27T00:00:00"/>
    <x v="5"/>
    <s v="Standard Class"/>
    <s v="AG-10900"/>
    <x v="112"/>
    <s v="Arizona"/>
    <x v="0"/>
    <x v="5"/>
    <x v="197"/>
    <x v="222"/>
    <x v="1"/>
  </r>
  <r>
    <x v="86"/>
    <d v="2013-07-27T00:00:00"/>
    <x v="5"/>
    <s v="Standard Class"/>
    <s v="AG-10900"/>
    <x v="112"/>
    <s v="Arizona"/>
    <x v="2"/>
    <x v="11"/>
    <x v="213"/>
    <x v="223"/>
    <x v="9"/>
  </r>
  <r>
    <x v="86"/>
    <d v="2013-07-27T00:00:00"/>
    <x v="5"/>
    <s v="Standard Class"/>
    <s v="AG-10900"/>
    <x v="112"/>
    <s v="Arizona"/>
    <x v="0"/>
    <x v="3"/>
    <x v="214"/>
    <x v="224"/>
    <x v="6"/>
  </r>
  <r>
    <x v="86"/>
    <d v="2013-07-27T00:00:00"/>
    <x v="5"/>
    <s v="Standard Class"/>
    <s v="AG-10900"/>
    <x v="112"/>
    <s v="Arizona"/>
    <x v="2"/>
    <x v="11"/>
    <x v="215"/>
    <x v="225"/>
    <x v="3"/>
  </r>
  <r>
    <x v="86"/>
    <d v="2013-07-27T00:00:00"/>
    <x v="5"/>
    <s v="Standard Class"/>
    <s v="NC-18535"/>
    <x v="113"/>
    <s v="California"/>
    <x v="2"/>
    <x v="14"/>
    <x v="137"/>
    <x v="57"/>
    <x v="5"/>
  </r>
  <r>
    <x v="86"/>
    <d v="2013-07-27T00:00:00"/>
    <x v="5"/>
    <s v="Standard Class"/>
    <s v="NC-18535"/>
    <x v="113"/>
    <s v="California"/>
    <x v="0"/>
    <x v="12"/>
    <x v="216"/>
    <x v="226"/>
    <x v="1"/>
  </r>
  <r>
    <x v="86"/>
    <d v="2013-07-27T00:00:00"/>
    <x v="5"/>
    <s v="Standard Class"/>
    <s v="NC-18535"/>
    <x v="113"/>
    <s v="California"/>
    <x v="2"/>
    <x v="14"/>
    <x v="217"/>
    <x v="68"/>
    <x v="0"/>
  </r>
  <r>
    <x v="86"/>
    <d v="2013-07-27T00:00:00"/>
    <x v="5"/>
    <s v="Standard Class"/>
    <s v="NC-18535"/>
    <x v="113"/>
    <s v="California"/>
    <x v="2"/>
    <x v="11"/>
    <x v="218"/>
    <x v="227"/>
    <x v="0"/>
  </r>
  <r>
    <x v="87"/>
    <d v="2013-07-27T00:00:00"/>
    <x v="0"/>
    <s v="Second Class"/>
    <s v="KL-16645"/>
    <x v="114"/>
    <s v="California"/>
    <x v="0"/>
    <x v="1"/>
    <x v="219"/>
    <x v="228"/>
    <x v="2"/>
  </r>
  <r>
    <x v="87"/>
    <d v="2013-07-27T00:00:00"/>
    <x v="0"/>
    <s v="Second Class"/>
    <s v="KL-16645"/>
    <x v="114"/>
    <s v="California"/>
    <x v="0"/>
    <x v="12"/>
    <x v="220"/>
    <x v="229"/>
    <x v="1"/>
  </r>
  <r>
    <x v="87"/>
    <d v="2013-07-27T00:00:00"/>
    <x v="0"/>
    <s v="Second Class"/>
    <s v="KL-16645"/>
    <x v="114"/>
    <s v="California"/>
    <x v="1"/>
    <x v="7"/>
    <x v="221"/>
    <x v="230"/>
    <x v="9"/>
  </r>
  <r>
    <x v="87"/>
    <d v="2013-07-27T00:00:00"/>
    <x v="0"/>
    <s v="Second Class"/>
    <s v="VF-21715"/>
    <x v="115"/>
    <s v="California"/>
    <x v="0"/>
    <x v="0"/>
    <x v="222"/>
    <x v="231"/>
    <x v="6"/>
  </r>
  <r>
    <x v="87"/>
    <d v="2013-07-27T00:00:00"/>
    <x v="0"/>
    <s v="Second Class"/>
    <s v="VF-21715"/>
    <x v="115"/>
    <s v="California"/>
    <x v="0"/>
    <x v="12"/>
    <x v="223"/>
    <x v="232"/>
    <x v="2"/>
  </r>
  <r>
    <x v="88"/>
    <d v="2013-08-02T00:00:00"/>
    <x v="6"/>
    <s v="Standard Class"/>
    <s v="KM-16720"/>
    <x v="41"/>
    <s v="Nevada"/>
    <x v="2"/>
    <x v="14"/>
    <x v="224"/>
    <x v="233"/>
    <x v="4"/>
  </r>
  <r>
    <x v="88"/>
    <d v="2013-08-02T00:00:00"/>
    <x v="6"/>
    <s v="Standard Class"/>
    <s v="KM-16720"/>
    <x v="41"/>
    <s v="Nevada"/>
    <x v="1"/>
    <x v="10"/>
    <x v="225"/>
    <x v="234"/>
    <x v="0"/>
  </r>
  <r>
    <x v="88"/>
    <d v="2013-08-02T00:00:00"/>
    <x v="6"/>
    <s v="Standard Class"/>
    <s v="KM-16720"/>
    <x v="41"/>
    <s v="Nevada"/>
    <x v="1"/>
    <x v="7"/>
    <x v="226"/>
    <x v="235"/>
    <x v="11"/>
  </r>
  <r>
    <x v="88"/>
    <d v="2013-08-02T00:00:00"/>
    <x v="6"/>
    <s v="Standard Class"/>
    <s v="KM-16720"/>
    <x v="41"/>
    <s v="Nevada"/>
    <x v="2"/>
    <x v="11"/>
    <x v="227"/>
    <x v="236"/>
    <x v="0"/>
  </r>
  <r>
    <x v="88"/>
    <d v="2013-08-01T00:00:00"/>
    <x v="4"/>
    <s v="Standard Class"/>
    <s v="JO-15145"/>
    <x v="116"/>
    <s v="Utah"/>
    <x v="2"/>
    <x v="11"/>
    <x v="228"/>
    <x v="237"/>
    <x v="8"/>
  </r>
  <r>
    <x v="89"/>
    <d v="2013-07-29T00:00:00"/>
    <x v="0"/>
    <s v="Second Class"/>
    <s v="GW-14605"/>
    <x v="117"/>
    <s v="California"/>
    <x v="2"/>
    <x v="11"/>
    <x v="229"/>
    <x v="238"/>
    <x v="4"/>
  </r>
  <r>
    <x v="89"/>
    <d v="2013-07-30T00:00:00"/>
    <x v="2"/>
    <s v="Second Class"/>
    <s v="BB-10990"/>
    <x v="118"/>
    <s v="California"/>
    <x v="0"/>
    <x v="1"/>
    <x v="230"/>
    <x v="239"/>
    <x v="4"/>
  </r>
  <r>
    <x v="90"/>
    <d v="2013-08-05T00:00:00"/>
    <x v="4"/>
    <s v="Standard Class"/>
    <s v="TS-21430"/>
    <x v="119"/>
    <s v="Washington"/>
    <x v="1"/>
    <x v="2"/>
    <x v="231"/>
    <x v="240"/>
    <x v="9"/>
  </r>
  <r>
    <x v="91"/>
    <d v="2013-08-03T00:00:00"/>
    <x v="0"/>
    <s v="First Class"/>
    <s v="IL-15100"/>
    <x v="120"/>
    <s v="California"/>
    <x v="0"/>
    <x v="5"/>
    <x v="232"/>
    <x v="241"/>
    <x v="0"/>
  </r>
  <r>
    <x v="92"/>
    <d v="2013-08-05T00:00:00"/>
    <x v="0"/>
    <s v="First Class"/>
    <s v="BS-11755"/>
    <x v="121"/>
    <s v="Colorado"/>
    <x v="1"/>
    <x v="8"/>
    <x v="233"/>
    <x v="242"/>
    <x v="4"/>
  </r>
  <r>
    <x v="92"/>
    <d v="2013-08-05T00:00:00"/>
    <x v="0"/>
    <s v="First Class"/>
    <s v="BS-11755"/>
    <x v="121"/>
    <s v="Colorado"/>
    <x v="0"/>
    <x v="4"/>
    <x v="234"/>
    <x v="243"/>
    <x v="6"/>
  </r>
  <r>
    <x v="92"/>
    <d v="2013-08-05T00:00:00"/>
    <x v="0"/>
    <s v="Second Class"/>
    <s v="GH-14410"/>
    <x v="100"/>
    <s v="Arizona"/>
    <x v="0"/>
    <x v="0"/>
    <x v="235"/>
    <x v="244"/>
    <x v="0"/>
  </r>
  <r>
    <x v="93"/>
    <d v="2013-08-09T00:00:00"/>
    <x v="1"/>
    <s v="Second Class"/>
    <s v="VD-21670"/>
    <x v="122"/>
    <s v="Utah"/>
    <x v="0"/>
    <x v="4"/>
    <x v="236"/>
    <x v="245"/>
    <x v="0"/>
  </r>
  <r>
    <x v="93"/>
    <d v="2013-08-09T00:00:00"/>
    <x v="1"/>
    <s v="Second Class"/>
    <s v="VD-21670"/>
    <x v="122"/>
    <s v="Utah"/>
    <x v="0"/>
    <x v="0"/>
    <x v="237"/>
    <x v="178"/>
    <x v="9"/>
  </r>
  <r>
    <x v="93"/>
    <d v="2013-08-09T00:00:00"/>
    <x v="1"/>
    <s v="Second Class"/>
    <s v="VD-21670"/>
    <x v="122"/>
    <s v="Utah"/>
    <x v="0"/>
    <x v="3"/>
    <x v="238"/>
    <x v="246"/>
    <x v="1"/>
  </r>
  <r>
    <x v="93"/>
    <d v="2013-08-09T00:00:00"/>
    <x v="1"/>
    <s v="Second Class"/>
    <s v="VD-21670"/>
    <x v="122"/>
    <s v="Utah"/>
    <x v="2"/>
    <x v="14"/>
    <x v="239"/>
    <x v="247"/>
    <x v="1"/>
  </r>
  <r>
    <x v="93"/>
    <d v="2013-08-09T00:00:00"/>
    <x v="1"/>
    <s v="Second Class"/>
    <s v="VD-21670"/>
    <x v="122"/>
    <s v="Utah"/>
    <x v="0"/>
    <x v="1"/>
    <x v="240"/>
    <x v="248"/>
    <x v="1"/>
  </r>
  <r>
    <x v="93"/>
    <d v="2013-08-09T00:00:00"/>
    <x v="1"/>
    <s v="Second Class"/>
    <s v="VD-21670"/>
    <x v="122"/>
    <s v="Utah"/>
    <x v="0"/>
    <x v="5"/>
    <x v="241"/>
    <x v="249"/>
    <x v="6"/>
  </r>
  <r>
    <x v="94"/>
    <d v="2013-08-09T00:00:00"/>
    <x v="5"/>
    <s v="Standard Class"/>
    <s v="CS-12130"/>
    <x v="123"/>
    <s v="California"/>
    <x v="0"/>
    <x v="0"/>
    <x v="242"/>
    <x v="250"/>
    <x v="0"/>
  </r>
  <r>
    <x v="94"/>
    <d v="2013-08-09T00:00:00"/>
    <x v="5"/>
    <s v="Standard Class"/>
    <s v="CS-12130"/>
    <x v="123"/>
    <s v="California"/>
    <x v="0"/>
    <x v="0"/>
    <x v="243"/>
    <x v="251"/>
    <x v="4"/>
  </r>
  <r>
    <x v="94"/>
    <d v="2013-08-09T00:00:00"/>
    <x v="5"/>
    <s v="Standard Class"/>
    <s v="CS-12130"/>
    <x v="123"/>
    <s v="California"/>
    <x v="1"/>
    <x v="10"/>
    <x v="244"/>
    <x v="252"/>
    <x v="8"/>
  </r>
  <r>
    <x v="94"/>
    <d v="2013-08-11T00:00:00"/>
    <x v="4"/>
    <s v="Standard Class"/>
    <s v="SS-20590"/>
    <x v="124"/>
    <s v="California"/>
    <x v="2"/>
    <x v="11"/>
    <x v="245"/>
    <x v="253"/>
    <x v="6"/>
  </r>
  <r>
    <x v="94"/>
    <d v="2013-08-11T00:00:00"/>
    <x v="4"/>
    <s v="Standard Class"/>
    <s v="SS-20590"/>
    <x v="124"/>
    <s v="California"/>
    <x v="0"/>
    <x v="1"/>
    <x v="246"/>
    <x v="254"/>
    <x v="4"/>
  </r>
  <r>
    <x v="94"/>
    <d v="2013-08-11T00:00:00"/>
    <x v="4"/>
    <s v="Standard Class"/>
    <s v="SS-20590"/>
    <x v="124"/>
    <s v="California"/>
    <x v="0"/>
    <x v="3"/>
    <x v="247"/>
    <x v="255"/>
    <x v="4"/>
  </r>
  <r>
    <x v="95"/>
    <d v="2013-08-15T00:00:00"/>
    <x v="6"/>
    <s v="Standard Class"/>
    <s v="LR-16915"/>
    <x v="125"/>
    <s v="California"/>
    <x v="0"/>
    <x v="4"/>
    <x v="248"/>
    <x v="256"/>
    <x v="4"/>
  </r>
  <r>
    <x v="95"/>
    <d v="2013-08-15T00:00:00"/>
    <x v="6"/>
    <s v="Standard Class"/>
    <s v="LR-16915"/>
    <x v="125"/>
    <s v="California"/>
    <x v="2"/>
    <x v="16"/>
    <x v="249"/>
    <x v="257"/>
    <x v="0"/>
  </r>
  <r>
    <x v="95"/>
    <d v="2013-08-15T00:00:00"/>
    <x v="6"/>
    <s v="Standard Class"/>
    <s v="LR-16915"/>
    <x v="125"/>
    <s v="California"/>
    <x v="2"/>
    <x v="14"/>
    <x v="250"/>
    <x v="258"/>
    <x v="1"/>
  </r>
  <r>
    <x v="95"/>
    <d v="2013-08-15T00:00:00"/>
    <x v="6"/>
    <s v="Standard Class"/>
    <s v="LR-16915"/>
    <x v="125"/>
    <s v="California"/>
    <x v="1"/>
    <x v="7"/>
    <x v="251"/>
    <x v="259"/>
    <x v="9"/>
  </r>
  <r>
    <x v="95"/>
    <d v="2013-08-14T00:00:00"/>
    <x v="4"/>
    <s v="Standard Class"/>
    <s v="MB-17305"/>
    <x v="126"/>
    <s v="Arizona"/>
    <x v="1"/>
    <x v="7"/>
    <x v="252"/>
    <x v="260"/>
    <x v="2"/>
  </r>
  <r>
    <x v="95"/>
    <d v="2013-08-14T00:00:00"/>
    <x v="4"/>
    <s v="Standard Class"/>
    <s v="MB-17305"/>
    <x v="126"/>
    <s v="Arizona"/>
    <x v="2"/>
    <x v="11"/>
    <x v="253"/>
    <x v="261"/>
    <x v="0"/>
  </r>
  <r>
    <x v="95"/>
    <d v="2013-08-11T00:00:00"/>
    <x v="2"/>
    <s v="Second Class"/>
    <s v="TM-21010"/>
    <x v="127"/>
    <s v="California"/>
    <x v="0"/>
    <x v="1"/>
    <x v="254"/>
    <x v="262"/>
    <x v="12"/>
  </r>
  <r>
    <x v="96"/>
    <d v="2013-08-16T00:00:00"/>
    <x v="6"/>
    <s v="Standard Class"/>
    <s v="ED-13885"/>
    <x v="128"/>
    <s v="California"/>
    <x v="0"/>
    <x v="15"/>
    <x v="255"/>
    <x v="263"/>
    <x v="9"/>
  </r>
  <r>
    <x v="96"/>
    <d v="2013-08-13T00:00:00"/>
    <x v="5"/>
    <s v="Standard Class"/>
    <s v="MG-17650"/>
    <x v="129"/>
    <s v="Washington"/>
    <x v="2"/>
    <x v="14"/>
    <x v="256"/>
    <x v="264"/>
    <x v="2"/>
  </r>
  <r>
    <x v="96"/>
    <d v="2013-08-13T00:00:00"/>
    <x v="5"/>
    <s v="Standard Class"/>
    <s v="MG-17650"/>
    <x v="129"/>
    <s v="Washington"/>
    <x v="2"/>
    <x v="14"/>
    <x v="257"/>
    <x v="265"/>
    <x v="4"/>
  </r>
  <r>
    <x v="96"/>
    <d v="2013-08-13T00:00:00"/>
    <x v="5"/>
    <s v="Standard Class"/>
    <s v="JH-15985"/>
    <x v="130"/>
    <s v="Washington"/>
    <x v="0"/>
    <x v="5"/>
    <x v="258"/>
    <x v="266"/>
    <x v="8"/>
  </r>
  <r>
    <x v="96"/>
    <d v="2013-08-14T00:00:00"/>
    <x v="1"/>
    <s v="Standard Class"/>
    <s v="GM-14500"/>
    <x v="131"/>
    <s v="California"/>
    <x v="0"/>
    <x v="0"/>
    <x v="259"/>
    <x v="267"/>
    <x v="6"/>
  </r>
  <r>
    <x v="96"/>
    <d v="2013-08-13T00:00:00"/>
    <x v="5"/>
    <s v="Standard Class"/>
    <s v="RD-19720"/>
    <x v="109"/>
    <s v="Arizona"/>
    <x v="0"/>
    <x v="9"/>
    <x v="260"/>
    <x v="268"/>
    <x v="0"/>
  </r>
  <r>
    <x v="96"/>
    <d v="2013-08-13T00:00:00"/>
    <x v="5"/>
    <s v="Standard Class"/>
    <s v="RD-19720"/>
    <x v="109"/>
    <s v="Arizona"/>
    <x v="0"/>
    <x v="5"/>
    <x v="261"/>
    <x v="269"/>
    <x v="1"/>
  </r>
  <r>
    <x v="97"/>
    <d v="2013-08-15T00:00:00"/>
    <x v="5"/>
    <s v="Standard Class"/>
    <s v="GM-14680"/>
    <x v="67"/>
    <s v="Washington"/>
    <x v="1"/>
    <x v="7"/>
    <x v="262"/>
    <x v="270"/>
    <x v="6"/>
  </r>
  <r>
    <x v="97"/>
    <d v="2013-08-15T00:00:00"/>
    <x v="5"/>
    <s v="Standard Class"/>
    <s v="GM-14680"/>
    <x v="67"/>
    <s v="Washington"/>
    <x v="0"/>
    <x v="3"/>
    <x v="263"/>
    <x v="271"/>
    <x v="6"/>
  </r>
  <r>
    <x v="97"/>
    <d v="2013-08-15T00:00:00"/>
    <x v="5"/>
    <s v="Standard Class"/>
    <s v="GM-14680"/>
    <x v="67"/>
    <s v="Washington"/>
    <x v="0"/>
    <x v="9"/>
    <x v="264"/>
    <x v="272"/>
    <x v="4"/>
  </r>
  <r>
    <x v="98"/>
    <d v="2013-08-16T00:00:00"/>
    <x v="5"/>
    <s v="Standard Class"/>
    <s v="BW-11200"/>
    <x v="132"/>
    <s v="California"/>
    <x v="2"/>
    <x v="14"/>
    <x v="265"/>
    <x v="273"/>
    <x v="9"/>
  </r>
  <r>
    <x v="98"/>
    <d v="2013-08-16T00:00:00"/>
    <x v="5"/>
    <s v="Standard Class"/>
    <s v="BW-11200"/>
    <x v="132"/>
    <s v="California"/>
    <x v="1"/>
    <x v="7"/>
    <x v="266"/>
    <x v="274"/>
    <x v="0"/>
  </r>
  <r>
    <x v="99"/>
    <d v="2013-08-19T00:00:00"/>
    <x v="5"/>
    <s v="Standard Class"/>
    <s v="BD-11605"/>
    <x v="1"/>
    <s v="California"/>
    <x v="0"/>
    <x v="4"/>
    <x v="267"/>
    <x v="275"/>
    <x v="0"/>
  </r>
  <r>
    <x v="99"/>
    <d v="2013-08-19T00:00:00"/>
    <x v="5"/>
    <s v="Standard Class"/>
    <s v="BD-11605"/>
    <x v="1"/>
    <s v="California"/>
    <x v="0"/>
    <x v="0"/>
    <x v="268"/>
    <x v="276"/>
    <x v="0"/>
  </r>
  <r>
    <x v="99"/>
    <d v="2013-08-19T00:00:00"/>
    <x v="5"/>
    <s v="Standard Class"/>
    <s v="BD-11605"/>
    <x v="1"/>
    <s v="California"/>
    <x v="0"/>
    <x v="5"/>
    <x v="269"/>
    <x v="277"/>
    <x v="2"/>
  </r>
  <r>
    <x v="99"/>
    <d v="2013-08-19T00:00:00"/>
    <x v="5"/>
    <s v="Standard Class"/>
    <s v="BD-11605"/>
    <x v="1"/>
    <s v="California"/>
    <x v="0"/>
    <x v="5"/>
    <x v="270"/>
    <x v="278"/>
    <x v="0"/>
  </r>
  <r>
    <x v="99"/>
    <d v="2013-08-19T00:00:00"/>
    <x v="5"/>
    <s v="Standard Class"/>
    <s v="BD-11605"/>
    <x v="1"/>
    <s v="California"/>
    <x v="1"/>
    <x v="10"/>
    <x v="271"/>
    <x v="279"/>
    <x v="2"/>
  </r>
  <r>
    <x v="100"/>
    <d v="2013-08-21T00:00:00"/>
    <x v="0"/>
    <s v="Second Class"/>
    <s v="DW-13195"/>
    <x v="2"/>
    <s v="California"/>
    <x v="1"/>
    <x v="7"/>
    <x v="272"/>
    <x v="280"/>
    <x v="8"/>
  </r>
  <r>
    <x v="100"/>
    <d v="2013-08-21T00:00:00"/>
    <x v="0"/>
    <s v="Second Class"/>
    <s v="DW-13195"/>
    <x v="2"/>
    <s v="California"/>
    <x v="0"/>
    <x v="5"/>
    <x v="273"/>
    <x v="281"/>
    <x v="4"/>
  </r>
  <r>
    <x v="101"/>
    <d v="2013-08-27T00:00:00"/>
    <x v="5"/>
    <s v="Second Class"/>
    <s v="RB-19645"/>
    <x v="133"/>
    <s v="California"/>
    <x v="0"/>
    <x v="5"/>
    <x v="274"/>
    <x v="282"/>
    <x v="4"/>
  </r>
  <r>
    <x v="101"/>
    <d v="2013-08-27T00:00:00"/>
    <x v="5"/>
    <s v="Standard Class"/>
    <s v="AP-10915"/>
    <x v="134"/>
    <s v="Colorado"/>
    <x v="0"/>
    <x v="0"/>
    <x v="275"/>
    <x v="283"/>
    <x v="0"/>
  </r>
  <r>
    <x v="101"/>
    <d v="2013-08-27T00:00:00"/>
    <x v="5"/>
    <s v="Standard Class"/>
    <s v="AP-10915"/>
    <x v="134"/>
    <s v="Colorado"/>
    <x v="0"/>
    <x v="12"/>
    <x v="276"/>
    <x v="284"/>
    <x v="6"/>
  </r>
  <r>
    <x v="101"/>
    <d v="2013-08-27T00:00:00"/>
    <x v="5"/>
    <s v="Standard Class"/>
    <s v="AP-10915"/>
    <x v="134"/>
    <s v="Colorado"/>
    <x v="1"/>
    <x v="7"/>
    <x v="277"/>
    <x v="285"/>
    <x v="0"/>
  </r>
  <r>
    <x v="101"/>
    <d v="2013-08-27T00:00:00"/>
    <x v="5"/>
    <s v="Standard Class"/>
    <s v="AP-10915"/>
    <x v="134"/>
    <s v="Colorado"/>
    <x v="2"/>
    <x v="14"/>
    <x v="278"/>
    <x v="286"/>
    <x v="11"/>
  </r>
  <r>
    <x v="101"/>
    <d v="2013-08-27T00:00:00"/>
    <x v="5"/>
    <s v="Standard Class"/>
    <s v="AP-10915"/>
    <x v="134"/>
    <s v="Colorado"/>
    <x v="0"/>
    <x v="0"/>
    <x v="279"/>
    <x v="287"/>
    <x v="5"/>
  </r>
  <r>
    <x v="101"/>
    <d v="2013-08-27T00:00:00"/>
    <x v="5"/>
    <s v="Standard Class"/>
    <s v="AP-10915"/>
    <x v="134"/>
    <s v="Colorado"/>
    <x v="0"/>
    <x v="0"/>
    <x v="280"/>
    <x v="288"/>
    <x v="11"/>
  </r>
  <r>
    <x v="102"/>
    <d v="2013-08-24T00:00:00"/>
    <x v="7"/>
    <s v="Same Day"/>
    <s v="RB-19645"/>
    <x v="133"/>
    <s v="Montana"/>
    <x v="0"/>
    <x v="5"/>
    <x v="281"/>
    <x v="289"/>
    <x v="4"/>
  </r>
  <r>
    <x v="103"/>
    <d v="2013-08-29T00:00:00"/>
    <x v="5"/>
    <s v="Standard Class"/>
    <s v="JM-15265"/>
    <x v="135"/>
    <s v="California"/>
    <x v="1"/>
    <x v="7"/>
    <x v="282"/>
    <x v="290"/>
    <x v="6"/>
  </r>
  <r>
    <x v="103"/>
    <d v="2013-08-29T00:00:00"/>
    <x v="5"/>
    <s v="Standard Class"/>
    <s v="JM-15265"/>
    <x v="135"/>
    <s v="California"/>
    <x v="2"/>
    <x v="11"/>
    <x v="283"/>
    <x v="291"/>
    <x v="1"/>
  </r>
  <r>
    <x v="103"/>
    <d v="2013-08-29T00:00:00"/>
    <x v="5"/>
    <s v="Standard Class"/>
    <s v="JM-15265"/>
    <x v="135"/>
    <s v="California"/>
    <x v="0"/>
    <x v="0"/>
    <x v="284"/>
    <x v="292"/>
    <x v="2"/>
  </r>
  <r>
    <x v="103"/>
    <d v="2013-08-29T00:00:00"/>
    <x v="5"/>
    <s v="Standard Class"/>
    <s v="JM-15265"/>
    <x v="135"/>
    <s v="California"/>
    <x v="0"/>
    <x v="1"/>
    <x v="285"/>
    <x v="293"/>
    <x v="2"/>
  </r>
  <r>
    <x v="103"/>
    <d v="2013-08-30T00:00:00"/>
    <x v="1"/>
    <s v="Standard Class"/>
    <s v="MW-18220"/>
    <x v="136"/>
    <s v="Washington"/>
    <x v="2"/>
    <x v="14"/>
    <x v="286"/>
    <x v="294"/>
    <x v="8"/>
  </r>
  <r>
    <x v="104"/>
    <d v="2013-08-30T00:00:00"/>
    <x v="5"/>
    <s v="Standard Class"/>
    <s v="FM-14290"/>
    <x v="137"/>
    <s v="California"/>
    <x v="2"/>
    <x v="11"/>
    <x v="62"/>
    <x v="295"/>
    <x v="9"/>
  </r>
  <r>
    <x v="105"/>
    <d v="2013-09-01T00:00:00"/>
    <x v="1"/>
    <s v="Second Class"/>
    <s v="ZD-21925"/>
    <x v="138"/>
    <s v="California"/>
    <x v="0"/>
    <x v="3"/>
    <x v="287"/>
    <x v="296"/>
    <x v="4"/>
  </r>
  <r>
    <x v="105"/>
    <d v="2013-09-01T00:00:00"/>
    <x v="1"/>
    <s v="Second Class"/>
    <s v="ZD-21925"/>
    <x v="138"/>
    <s v="California"/>
    <x v="2"/>
    <x v="14"/>
    <x v="288"/>
    <x v="297"/>
    <x v="0"/>
  </r>
  <r>
    <x v="105"/>
    <d v="2013-09-01T00:00:00"/>
    <x v="1"/>
    <s v="Second Class"/>
    <s v="ZD-21925"/>
    <x v="138"/>
    <s v="California"/>
    <x v="0"/>
    <x v="5"/>
    <x v="289"/>
    <x v="298"/>
    <x v="2"/>
  </r>
  <r>
    <x v="106"/>
    <d v="2013-08-29T00:00:00"/>
    <x v="7"/>
    <s v="Same Day"/>
    <s v="HH-15010"/>
    <x v="139"/>
    <s v="California"/>
    <x v="0"/>
    <x v="0"/>
    <x v="290"/>
    <x v="299"/>
    <x v="4"/>
  </r>
  <r>
    <x v="106"/>
    <d v="2013-08-29T00:00:00"/>
    <x v="7"/>
    <s v="Same Day"/>
    <s v="HH-15010"/>
    <x v="139"/>
    <s v="California"/>
    <x v="0"/>
    <x v="0"/>
    <x v="291"/>
    <x v="300"/>
    <x v="4"/>
  </r>
  <r>
    <x v="107"/>
    <d v="2013-09-05T00:00:00"/>
    <x v="1"/>
    <s v="Standard Class"/>
    <s v="SJ-20500"/>
    <x v="140"/>
    <s v="New Mexico"/>
    <x v="2"/>
    <x v="11"/>
    <x v="292"/>
    <x v="301"/>
    <x v="11"/>
  </r>
  <r>
    <x v="108"/>
    <d v="2013-09-05T00:00:00"/>
    <x v="5"/>
    <s v="Second Class"/>
    <s v="LT-16765"/>
    <x v="141"/>
    <s v="California"/>
    <x v="0"/>
    <x v="3"/>
    <x v="293"/>
    <x v="302"/>
    <x v="0"/>
  </r>
  <r>
    <x v="109"/>
    <d v="2013-09-09T00:00:00"/>
    <x v="2"/>
    <s v="First Class"/>
    <s v="VP-21760"/>
    <x v="142"/>
    <s v="California"/>
    <x v="1"/>
    <x v="7"/>
    <x v="150"/>
    <x v="303"/>
    <x v="5"/>
  </r>
  <r>
    <x v="109"/>
    <d v="2013-09-09T00:00:00"/>
    <x v="2"/>
    <s v="First Class"/>
    <s v="VP-21760"/>
    <x v="142"/>
    <s v="California"/>
    <x v="0"/>
    <x v="15"/>
    <x v="294"/>
    <x v="304"/>
    <x v="9"/>
  </r>
  <r>
    <x v="110"/>
    <d v="2013-09-12T00:00:00"/>
    <x v="1"/>
    <s v="Second Class"/>
    <s v="LR-17035"/>
    <x v="143"/>
    <s v="California"/>
    <x v="0"/>
    <x v="12"/>
    <x v="295"/>
    <x v="305"/>
    <x v="2"/>
  </r>
  <r>
    <x v="110"/>
    <d v="2013-09-12T00:00:00"/>
    <x v="1"/>
    <s v="Second Class"/>
    <s v="LR-17035"/>
    <x v="143"/>
    <s v="California"/>
    <x v="0"/>
    <x v="0"/>
    <x v="29"/>
    <x v="306"/>
    <x v="4"/>
  </r>
  <r>
    <x v="110"/>
    <d v="2013-09-12T00:00:00"/>
    <x v="1"/>
    <s v="Second Class"/>
    <s v="LR-17035"/>
    <x v="143"/>
    <s v="California"/>
    <x v="0"/>
    <x v="5"/>
    <x v="296"/>
    <x v="307"/>
    <x v="1"/>
  </r>
  <r>
    <x v="111"/>
    <d v="2013-09-12T00:00:00"/>
    <x v="5"/>
    <s v="Standard Class"/>
    <s v="GZ-14470"/>
    <x v="144"/>
    <s v="California"/>
    <x v="2"/>
    <x v="11"/>
    <x v="297"/>
    <x v="308"/>
    <x v="4"/>
  </r>
  <r>
    <x v="111"/>
    <d v="2013-09-14T00:00:00"/>
    <x v="4"/>
    <s v="Standard Class"/>
    <s v="DP-13390"/>
    <x v="97"/>
    <s v="California"/>
    <x v="0"/>
    <x v="4"/>
    <x v="298"/>
    <x v="309"/>
    <x v="1"/>
  </r>
  <r>
    <x v="111"/>
    <d v="2013-09-14T00:00:00"/>
    <x v="4"/>
    <s v="Standard Class"/>
    <s v="DP-13390"/>
    <x v="97"/>
    <s v="California"/>
    <x v="0"/>
    <x v="1"/>
    <x v="299"/>
    <x v="310"/>
    <x v="6"/>
  </r>
  <r>
    <x v="111"/>
    <d v="2013-09-14T00:00:00"/>
    <x v="4"/>
    <s v="Standard Class"/>
    <s v="DP-13390"/>
    <x v="97"/>
    <s v="California"/>
    <x v="0"/>
    <x v="9"/>
    <x v="300"/>
    <x v="311"/>
    <x v="4"/>
  </r>
  <r>
    <x v="111"/>
    <d v="2013-09-14T00:00:00"/>
    <x v="4"/>
    <s v="Standard Class"/>
    <s v="MC-17275"/>
    <x v="145"/>
    <s v="Washington"/>
    <x v="0"/>
    <x v="3"/>
    <x v="301"/>
    <x v="312"/>
    <x v="4"/>
  </r>
  <r>
    <x v="111"/>
    <d v="2013-09-14T00:00:00"/>
    <x v="4"/>
    <s v="Standard Class"/>
    <s v="MC-17275"/>
    <x v="145"/>
    <s v="Washington"/>
    <x v="1"/>
    <x v="10"/>
    <x v="302"/>
    <x v="313"/>
    <x v="1"/>
  </r>
  <r>
    <x v="111"/>
    <d v="2013-09-14T00:00:00"/>
    <x v="4"/>
    <s v="Standard Class"/>
    <s v="MC-17275"/>
    <x v="145"/>
    <s v="Washington"/>
    <x v="0"/>
    <x v="3"/>
    <x v="303"/>
    <x v="314"/>
    <x v="9"/>
  </r>
  <r>
    <x v="111"/>
    <d v="2013-09-14T00:00:00"/>
    <x v="4"/>
    <s v="Standard Class"/>
    <s v="MC-17275"/>
    <x v="145"/>
    <s v="Washington"/>
    <x v="0"/>
    <x v="1"/>
    <x v="46"/>
    <x v="315"/>
    <x v="5"/>
  </r>
  <r>
    <x v="111"/>
    <d v="2013-09-13T00:00:00"/>
    <x v="1"/>
    <s v="Standard Class"/>
    <s v="TS-21340"/>
    <x v="3"/>
    <s v="California"/>
    <x v="0"/>
    <x v="5"/>
    <x v="304"/>
    <x v="316"/>
    <x v="4"/>
  </r>
  <r>
    <x v="112"/>
    <d v="2013-09-16T00:00:00"/>
    <x v="4"/>
    <s v="Standard Class"/>
    <s v="CL-12565"/>
    <x v="104"/>
    <s v="Oregon"/>
    <x v="0"/>
    <x v="6"/>
    <x v="305"/>
    <x v="317"/>
    <x v="8"/>
  </r>
  <r>
    <x v="112"/>
    <d v="2013-09-16T00:00:00"/>
    <x v="4"/>
    <s v="Standard Class"/>
    <s v="CL-12565"/>
    <x v="104"/>
    <s v="Oregon"/>
    <x v="1"/>
    <x v="10"/>
    <x v="112"/>
    <x v="115"/>
    <x v="1"/>
  </r>
  <r>
    <x v="113"/>
    <d v="2013-09-16T00:00:00"/>
    <x v="1"/>
    <s v="Standard Class"/>
    <s v="LW-17125"/>
    <x v="146"/>
    <s v="California"/>
    <x v="1"/>
    <x v="7"/>
    <x v="306"/>
    <x v="318"/>
    <x v="0"/>
  </r>
  <r>
    <x v="114"/>
    <d v="2013-09-17T00:00:00"/>
    <x v="5"/>
    <s v="Standard Class"/>
    <s v="ON-18715"/>
    <x v="147"/>
    <s v="Arizona"/>
    <x v="0"/>
    <x v="1"/>
    <x v="307"/>
    <x v="319"/>
    <x v="1"/>
  </r>
  <r>
    <x v="114"/>
    <d v="2013-09-13T00:00:00"/>
    <x v="7"/>
    <s v="Same Day"/>
    <s v="RP-19390"/>
    <x v="148"/>
    <s v="Washington"/>
    <x v="0"/>
    <x v="9"/>
    <x v="308"/>
    <x v="320"/>
    <x v="1"/>
  </r>
  <r>
    <x v="114"/>
    <d v="2013-09-13T00:00:00"/>
    <x v="7"/>
    <s v="Same Day"/>
    <s v="RP-19390"/>
    <x v="148"/>
    <s v="Washington"/>
    <x v="1"/>
    <x v="7"/>
    <x v="81"/>
    <x v="321"/>
    <x v="0"/>
  </r>
  <r>
    <x v="114"/>
    <d v="2013-09-13T00:00:00"/>
    <x v="7"/>
    <s v="Same Day"/>
    <s v="RP-19390"/>
    <x v="148"/>
    <s v="Washington"/>
    <x v="0"/>
    <x v="12"/>
    <x v="309"/>
    <x v="322"/>
    <x v="4"/>
  </r>
  <r>
    <x v="114"/>
    <d v="2013-09-13T00:00:00"/>
    <x v="7"/>
    <s v="Same Day"/>
    <s v="RP-19390"/>
    <x v="148"/>
    <s v="Washington"/>
    <x v="2"/>
    <x v="11"/>
    <x v="143"/>
    <x v="323"/>
    <x v="4"/>
  </r>
  <r>
    <x v="114"/>
    <d v="2013-09-13T00:00:00"/>
    <x v="7"/>
    <s v="Same Day"/>
    <s v="RP-19390"/>
    <x v="148"/>
    <s v="Washington"/>
    <x v="2"/>
    <x v="11"/>
    <x v="95"/>
    <x v="324"/>
    <x v="2"/>
  </r>
  <r>
    <x v="114"/>
    <d v="2013-09-13T00:00:00"/>
    <x v="7"/>
    <s v="Same Day"/>
    <s v="RP-19390"/>
    <x v="148"/>
    <s v="Washington"/>
    <x v="2"/>
    <x v="11"/>
    <x v="310"/>
    <x v="325"/>
    <x v="4"/>
  </r>
  <r>
    <x v="114"/>
    <d v="2013-09-13T00:00:00"/>
    <x v="7"/>
    <s v="Same Day"/>
    <s v="RP-19390"/>
    <x v="148"/>
    <s v="Washington"/>
    <x v="0"/>
    <x v="0"/>
    <x v="311"/>
    <x v="326"/>
    <x v="6"/>
  </r>
  <r>
    <x v="114"/>
    <d v="2013-09-13T00:00:00"/>
    <x v="7"/>
    <s v="Same Day"/>
    <s v="RP-19390"/>
    <x v="148"/>
    <s v="Washington"/>
    <x v="0"/>
    <x v="4"/>
    <x v="298"/>
    <x v="327"/>
    <x v="4"/>
  </r>
  <r>
    <x v="115"/>
    <d v="2013-09-21T00:00:00"/>
    <x v="5"/>
    <s v="Standard Class"/>
    <s v="BN-11515"/>
    <x v="149"/>
    <s v="Washington"/>
    <x v="0"/>
    <x v="1"/>
    <x v="312"/>
    <x v="328"/>
    <x v="4"/>
  </r>
  <r>
    <x v="115"/>
    <d v="2013-09-21T00:00:00"/>
    <x v="5"/>
    <s v="Standard Class"/>
    <s v="BN-11515"/>
    <x v="149"/>
    <s v="Washington"/>
    <x v="0"/>
    <x v="1"/>
    <x v="313"/>
    <x v="329"/>
    <x v="0"/>
  </r>
  <r>
    <x v="115"/>
    <d v="2013-09-21T00:00:00"/>
    <x v="5"/>
    <s v="Standard Class"/>
    <s v="BN-11515"/>
    <x v="149"/>
    <s v="Washington"/>
    <x v="1"/>
    <x v="7"/>
    <x v="314"/>
    <x v="330"/>
    <x v="4"/>
  </r>
  <r>
    <x v="115"/>
    <d v="2013-09-21T00:00:00"/>
    <x v="5"/>
    <s v="Standard Class"/>
    <s v="BN-11515"/>
    <x v="149"/>
    <s v="Washington"/>
    <x v="0"/>
    <x v="5"/>
    <x v="315"/>
    <x v="331"/>
    <x v="1"/>
  </r>
  <r>
    <x v="115"/>
    <d v="2013-09-21T00:00:00"/>
    <x v="5"/>
    <s v="Standard Class"/>
    <s v="NR-18550"/>
    <x v="150"/>
    <s v="California"/>
    <x v="0"/>
    <x v="6"/>
    <x v="316"/>
    <x v="332"/>
    <x v="0"/>
  </r>
  <r>
    <x v="115"/>
    <d v="2013-09-22T00:00:00"/>
    <x v="1"/>
    <s v="Standard Class"/>
    <s v="JA-15970"/>
    <x v="151"/>
    <s v="Oregon"/>
    <x v="0"/>
    <x v="3"/>
    <x v="317"/>
    <x v="333"/>
    <x v="4"/>
  </r>
  <r>
    <x v="115"/>
    <d v="2013-09-22T00:00:00"/>
    <x v="1"/>
    <s v="Standard Class"/>
    <s v="JA-15970"/>
    <x v="151"/>
    <s v="Oregon"/>
    <x v="0"/>
    <x v="3"/>
    <x v="318"/>
    <x v="334"/>
    <x v="0"/>
  </r>
  <r>
    <x v="115"/>
    <d v="2013-09-22T00:00:00"/>
    <x v="1"/>
    <s v="Standard Class"/>
    <s v="JA-15970"/>
    <x v="151"/>
    <s v="Oregon"/>
    <x v="0"/>
    <x v="0"/>
    <x v="319"/>
    <x v="335"/>
    <x v="1"/>
  </r>
  <r>
    <x v="115"/>
    <d v="2013-09-22T00:00:00"/>
    <x v="1"/>
    <s v="Standard Class"/>
    <s v="JA-15970"/>
    <x v="151"/>
    <s v="Oregon"/>
    <x v="2"/>
    <x v="13"/>
    <x v="320"/>
    <x v="336"/>
    <x v="1"/>
  </r>
  <r>
    <x v="115"/>
    <d v="2013-09-22T00:00:00"/>
    <x v="1"/>
    <s v="Standard Class"/>
    <s v="JA-15970"/>
    <x v="151"/>
    <s v="Oregon"/>
    <x v="0"/>
    <x v="0"/>
    <x v="321"/>
    <x v="337"/>
    <x v="5"/>
  </r>
  <r>
    <x v="115"/>
    <d v="2013-09-22T00:00:00"/>
    <x v="1"/>
    <s v="Standard Class"/>
    <s v="JA-15970"/>
    <x v="151"/>
    <s v="Oregon"/>
    <x v="2"/>
    <x v="11"/>
    <x v="322"/>
    <x v="203"/>
    <x v="3"/>
  </r>
  <r>
    <x v="116"/>
    <d v="2013-09-24T00:00:00"/>
    <x v="1"/>
    <s v="Standard Class"/>
    <s v="FA-14230"/>
    <x v="152"/>
    <s v="California"/>
    <x v="0"/>
    <x v="9"/>
    <x v="164"/>
    <x v="338"/>
    <x v="4"/>
  </r>
  <r>
    <x v="116"/>
    <d v="2013-09-23T00:00:00"/>
    <x v="5"/>
    <s v="Standard Class"/>
    <s v="MC-18130"/>
    <x v="153"/>
    <s v="Washington"/>
    <x v="0"/>
    <x v="1"/>
    <x v="323"/>
    <x v="301"/>
    <x v="5"/>
  </r>
  <r>
    <x v="116"/>
    <d v="2013-09-19T00:00:00"/>
    <x v="7"/>
    <s v="Same Day"/>
    <s v="JK-15640"/>
    <x v="154"/>
    <s v="California"/>
    <x v="0"/>
    <x v="9"/>
    <x v="324"/>
    <x v="339"/>
    <x v="0"/>
  </r>
  <r>
    <x v="116"/>
    <d v="2013-09-24T00:00:00"/>
    <x v="1"/>
    <s v="Standard Class"/>
    <s v="ND-18460"/>
    <x v="155"/>
    <s v="Arizona"/>
    <x v="1"/>
    <x v="8"/>
    <x v="325"/>
    <x v="340"/>
    <x v="6"/>
  </r>
  <r>
    <x v="117"/>
    <d v="2013-09-26T00:00:00"/>
    <x v="4"/>
    <s v="Standard Class"/>
    <s v="ES-14020"/>
    <x v="156"/>
    <s v="California"/>
    <x v="0"/>
    <x v="15"/>
    <x v="326"/>
    <x v="341"/>
    <x v="4"/>
  </r>
  <r>
    <x v="117"/>
    <d v="2013-09-26T00:00:00"/>
    <x v="4"/>
    <s v="Standard Class"/>
    <s v="ES-14020"/>
    <x v="156"/>
    <s v="California"/>
    <x v="0"/>
    <x v="0"/>
    <x v="327"/>
    <x v="342"/>
    <x v="2"/>
  </r>
  <r>
    <x v="117"/>
    <d v="2013-09-26T00:00:00"/>
    <x v="4"/>
    <s v="Standard Class"/>
    <s v="MA-17995"/>
    <x v="157"/>
    <s v="California"/>
    <x v="0"/>
    <x v="4"/>
    <x v="328"/>
    <x v="343"/>
    <x v="2"/>
  </r>
  <r>
    <x v="117"/>
    <d v="2013-09-26T00:00:00"/>
    <x v="4"/>
    <s v="Standard Class"/>
    <s v="MA-17995"/>
    <x v="157"/>
    <s v="California"/>
    <x v="0"/>
    <x v="5"/>
    <x v="329"/>
    <x v="344"/>
    <x v="0"/>
  </r>
  <r>
    <x v="117"/>
    <d v="2013-09-24T00:00:00"/>
    <x v="5"/>
    <s v="Standard Class"/>
    <s v="HG-14965"/>
    <x v="158"/>
    <s v="California"/>
    <x v="0"/>
    <x v="0"/>
    <x v="330"/>
    <x v="296"/>
    <x v="4"/>
  </r>
  <r>
    <x v="118"/>
    <d v="2013-09-23T00:00:00"/>
    <x v="0"/>
    <s v="Second Class"/>
    <s v="JG-15115"/>
    <x v="159"/>
    <s v="Washington"/>
    <x v="2"/>
    <x v="14"/>
    <x v="331"/>
    <x v="345"/>
    <x v="4"/>
  </r>
  <r>
    <x v="118"/>
    <d v="2013-09-23T00:00:00"/>
    <x v="0"/>
    <s v="Second Class"/>
    <s v="JG-15115"/>
    <x v="159"/>
    <s v="Washington"/>
    <x v="2"/>
    <x v="16"/>
    <x v="332"/>
    <x v="346"/>
    <x v="0"/>
  </r>
  <r>
    <x v="118"/>
    <d v="2013-09-25T00:00:00"/>
    <x v="5"/>
    <s v="Standard Class"/>
    <s v="HF-14995"/>
    <x v="75"/>
    <s v="California"/>
    <x v="0"/>
    <x v="6"/>
    <x v="74"/>
    <x v="347"/>
    <x v="4"/>
  </r>
  <r>
    <x v="118"/>
    <d v="2013-09-25T00:00:00"/>
    <x v="5"/>
    <s v="Standard Class"/>
    <s v="HF-14995"/>
    <x v="75"/>
    <s v="California"/>
    <x v="0"/>
    <x v="6"/>
    <x v="333"/>
    <x v="348"/>
    <x v="1"/>
  </r>
  <r>
    <x v="118"/>
    <d v="2013-09-25T00:00:00"/>
    <x v="5"/>
    <s v="Standard Class"/>
    <s v="HF-14995"/>
    <x v="75"/>
    <s v="California"/>
    <x v="0"/>
    <x v="3"/>
    <x v="334"/>
    <x v="349"/>
    <x v="0"/>
  </r>
  <r>
    <x v="118"/>
    <d v="2013-09-25T00:00:00"/>
    <x v="5"/>
    <s v="Standard Class"/>
    <s v="HF-14995"/>
    <x v="75"/>
    <s v="California"/>
    <x v="0"/>
    <x v="0"/>
    <x v="335"/>
    <x v="350"/>
    <x v="11"/>
  </r>
  <r>
    <x v="118"/>
    <d v="2013-09-25T00:00:00"/>
    <x v="5"/>
    <s v="Standard Class"/>
    <s v="HF-14995"/>
    <x v="75"/>
    <s v="California"/>
    <x v="2"/>
    <x v="14"/>
    <x v="336"/>
    <x v="351"/>
    <x v="4"/>
  </r>
  <r>
    <x v="118"/>
    <d v="2013-09-25T00:00:00"/>
    <x v="5"/>
    <s v="Standard Class"/>
    <s v="HF-14995"/>
    <x v="75"/>
    <s v="California"/>
    <x v="0"/>
    <x v="0"/>
    <x v="337"/>
    <x v="352"/>
    <x v="0"/>
  </r>
  <r>
    <x v="119"/>
    <d v="2013-09-28T00:00:00"/>
    <x v="4"/>
    <s v="Standard Class"/>
    <s v="SE-20110"/>
    <x v="50"/>
    <s v="California"/>
    <x v="0"/>
    <x v="1"/>
    <x v="338"/>
    <x v="353"/>
    <x v="1"/>
  </r>
  <r>
    <x v="119"/>
    <d v="2013-09-28T00:00:00"/>
    <x v="4"/>
    <s v="Standard Class"/>
    <s v="SE-20110"/>
    <x v="50"/>
    <s v="California"/>
    <x v="0"/>
    <x v="1"/>
    <x v="339"/>
    <x v="354"/>
    <x v="4"/>
  </r>
  <r>
    <x v="120"/>
    <d v="2013-09-28T00:00:00"/>
    <x v="1"/>
    <s v="Standard Class"/>
    <s v="BM-11650"/>
    <x v="160"/>
    <s v="California"/>
    <x v="1"/>
    <x v="2"/>
    <x v="231"/>
    <x v="355"/>
    <x v="0"/>
  </r>
  <r>
    <x v="120"/>
    <d v="2013-09-28T00:00:00"/>
    <x v="1"/>
    <s v="Standard Class"/>
    <s v="BM-11650"/>
    <x v="160"/>
    <s v="California"/>
    <x v="2"/>
    <x v="14"/>
    <x v="138"/>
    <x v="142"/>
    <x v="4"/>
  </r>
  <r>
    <x v="121"/>
    <d v="2013-09-29T00:00:00"/>
    <x v="1"/>
    <s v="Standard Class"/>
    <s v="JD-16060"/>
    <x v="161"/>
    <s v="California"/>
    <x v="0"/>
    <x v="1"/>
    <x v="340"/>
    <x v="356"/>
    <x v="2"/>
  </r>
  <r>
    <x v="122"/>
    <d v="2013-09-30T00:00:00"/>
    <x v="1"/>
    <s v="Standard Class"/>
    <s v="BF-11005"/>
    <x v="162"/>
    <s v="Colorado"/>
    <x v="0"/>
    <x v="3"/>
    <x v="14"/>
    <x v="357"/>
    <x v="4"/>
  </r>
  <r>
    <x v="123"/>
    <d v="2013-10-01T00:00:00"/>
    <x v="1"/>
    <s v="Second Class"/>
    <s v="KT-16465"/>
    <x v="163"/>
    <s v="California"/>
    <x v="1"/>
    <x v="10"/>
    <x v="341"/>
    <x v="358"/>
    <x v="4"/>
  </r>
  <r>
    <x v="123"/>
    <d v="2013-09-30T00:00:00"/>
    <x v="5"/>
    <s v="Standard Class"/>
    <s v="CS-12400"/>
    <x v="164"/>
    <s v="Washington"/>
    <x v="0"/>
    <x v="1"/>
    <x v="342"/>
    <x v="359"/>
    <x v="4"/>
  </r>
  <r>
    <x v="123"/>
    <d v="2013-09-27T00:00:00"/>
    <x v="3"/>
    <s v="First Class"/>
    <s v="KF-16285"/>
    <x v="165"/>
    <s v="California"/>
    <x v="1"/>
    <x v="10"/>
    <x v="302"/>
    <x v="155"/>
    <x v="0"/>
  </r>
  <r>
    <x v="123"/>
    <d v="2013-09-27T00:00:00"/>
    <x v="3"/>
    <s v="First Class"/>
    <s v="KF-16285"/>
    <x v="165"/>
    <s v="California"/>
    <x v="0"/>
    <x v="0"/>
    <x v="343"/>
    <x v="0"/>
    <x v="0"/>
  </r>
  <r>
    <x v="124"/>
    <d v="2013-10-01T00:00:00"/>
    <x v="5"/>
    <s v="Standard Class"/>
    <s v="TH-21100"/>
    <x v="166"/>
    <s v="California"/>
    <x v="1"/>
    <x v="10"/>
    <x v="344"/>
    <x v="360"/>
    <x v="1"/>
  </r>
  <r>
    <x v="124"/>
    <d v="2013-10-01T00:00:00"/>
    <x v="5"/>
    <s v="Standard Class"/>
    <s v="TH-21100"/>
    <x v="166"/>
    <s v="California"/>
    <x v="0"/>
    <x v="0"/>
    <x v="345"/>
    <x v="361"/>
    <x v="4"/>
  </r>
  <r>
    <x v="125"/>
    <d v="2013-10-03T00:00:00"/>
    <x v="5"/>
    <s v="Standard Class"/>
    <s v="AP-10915"/>
    <x v="134"/>
    <s v="California"/>
    <x v="1"/>
    <x v="7"/>
    <x v="346"/>
    <x v="362"/>
    <x v="4"/>
  </r>
  <r>
    <x v="125"/>
    <d v="2013-10-03T00:00:00"/>
    <x v="5"/>
    <s v="Standard Class"/>
    <s v="AP-10915"/>
    <x v="134"/>
    <s v="California"/>
    <x v="0"/>
    <x v="9"/>
    <x v="347"/>
    <x v="363"/>
    <x v="2"/>
  </r>
  <r>
    <x v="125"/>
    <d v="2013-10-03T00:00:00"/>
    <x v="5"/>
    <s v="Standard Class"/>
    <s v="AP-10915"/>
    <x v="134"/>
    <s v="California"/>
    <x v="0"/>
    <x v="0"/>
    <x v="348"/>
    <x v="231"/>
    <x v="6"/>
  </r>
  <r>
    <x v="125"/>
    <d v="2013-10-03T00:00:00"/>
    <x v="5"/>
    <s v="Standard Class"/>
    <s v="AP-10915"/>
    <x v="134"/>
    <s v="California"/>
    <x v="2"/>
    <x v="13"/>
    <x v="349"/>
    <x v="364"/>
    <x v="4"/>
  </r>
  <r>
    <x v="125"/>
    <d v="2013-10-03T00:00:00"/>
    <x v="5"/>
    <s v="Standard Class"/>
    <s v="AP-10915"/>
    <x v="134"/>
    <s v="California"/>
    <x v="0"/>
    <x v="1"/>
    <x v="350"/>
    <x v="365"/>
    <x v="6"/>
  </r>
  <r>
    <x v="125"/>
    <d v="2013-10-01T00:00:00"/>
    <x v="0"/>
    <s v="Second Class"/>
    <s v="PP-18955"/>
    <x v="167"/>
    <s v="Washington"/>
    <x v="1"/>
    <x v="7"/>
    <x v="351"/>
    <x v="366"/>
    <x v="4"/>
  </r>
  <r>
    <x v="125"/>
    <d v="2013-10-01T00:00:00"/>
    <x v="0"/>
    <s v="Second Class"/>
    <s v="PP-18955"/>
    <x v="167"/>
    <s v="Washington"/>
    <x v="1"/>
    <x v="8"/>
    <x v="32"/>
    <x v="367"/>
    <x v="11"/>
  </r>
  <r>
    <x v="125"/>
    <d v="2013-10-04T00:00:00"/>
    <x v="1"/>
    <s v="Standard Class"/>
    <s v="EB-14170"/>
    <x v="168"/>
    <s v="Washington"/>
    <x v="0"/>
    <x v="5"/>
    <x v="352"/>
    <x v="368"/>
    <x v="4"/>
  </r>
  <r>
    <x v="125"/>
    <d v="2013-10-04T00:00:00"/>
    <x v="1"/>
    <s v="Standard Class"/>
    <s v="EB-14170"/>
    <x v="168"/>
    <s v="Washington"/>
    <x v="0"/>
    <x v="1"/>
    <x v="353"/>
    <x v="369"/>
    <x v="1"/>
  </r>
  <r>
    <x v="126"/>
    <d v="2013-10-04T00:00:00"/>
    <x v="5"/>
    <s v="Standard Class"/>
    <s v="DB-13615"/>
    <x v="169"/>
    <s v="Washington"/>
    <x v="0"/>
    <x v="5"/>
    <x v="153"/>
    <x v="370"/>
    <x v="8"/>
  </r>
  <r>
    <x v="127"/>
    <d v="2013-10-05T00:00:00"/>
    <x v="5"/>
    <s v="Standard Class"/>
    <s v="NF-18475"/>
    <x v="170"/>
    <s v="Nevada"/>
    <x v="0"/>
    <x v="9"/>
    <x v="354"/>
    <x v="371"/>
    <x v="6"/>
  </r>
  <r>
    <x v="128"/>
    <d v="2013-10-05T00:00:00"/>
    <x v="2"/>
    <s v="First Class"/>
    <s v="ES-14080"/>
    <x v="171"/>
    <s v="Arizona"/>
    <x v="0"/>
    <x v="0"/>
    <x v="355"/>
    <x v="372"/>
    <x v="4"/>
  </r>
  <r>
    <x v="128"/>
    <d v="2013-10-05T00:00:00"/>
    <x v="2"/>
    <s v="First Class"/>
    <s v="ES-14080"/>
    <x v="171"/>
    <s v="Arizona"/>
    <x v="0"/>
    <x v="9"/>
    <x v="16"/>
    <x v="373"/>
    <x v="4"/>
  </r>
  <r>
    <x v="128"/>
    <d v="2013-10-05T00:00:00"/>
    <x v="2"/>
    <s v="First Class"/>
    <s v="ES-14080"/>
    <x v="171"/>
    <s v="Arizona"/>
    <x v="2"/>
    <x v="14"/>
    <x v="356"/>
    <x v="374"/>
    <x v="4"/>
  </r>
  <r>
    <x v="128"/>
    <d v="2013-10-05T00:00:00"/>
    <x v="2"/>
    <s v="First Class"/>
    <s v="ES-14080"/>
    <x v="171"/>
    <s v="Arizona"/>
    <x v="0"/>
    <x v="6"/>
    <x v="357"/>
    <x v="375"/>
    <x v="5"/>
  </r>
  <r>
    <x v="128"/>
    <d v="2013-10-05T00:00:00"/>
    <x v="2"/>
    <s v="First Class"/>
    <s v="ES-14080"/>
    <x v="171"/>
    <s v="Arizona"/>
    <x v="0"/>
    <x v="12"/>
    <x v="358"/>
    <x v="376"/>
    <x v="4"/>
  </r>
  <r>
    <x v="128"/>
    <d v="2013-10-05T00:00:00"/>
    <x v="2"/>
    <s v="First Class"/>
    <s v="ES-14080"/>
    <x v="171"/>
    <s v="Arizona"/>
    <x v="2"/>
    <x v="14"/>
    <x v="96"/>
    <x v="377"/>
    <x v="0"/>
  </r>
  <r>
    <x v="128"/>
    <d v="2013-10-05T00:00:00"/>
    <x v="2"/>
    <s v="First Class"/>
    <s v="ES-14080"/>
    <x v="171"/>
    <s v="Arizona"/>
    <x v="2"/>
    <x v="11"/>
    <x v="359"/>
    <x v="338"/>
    <x v="6"/>
  </r>
  <r>
    <x v="129"/>
    <d v="2013-10-08T00:00:00"/>
    <x v="1"/>
    <s v="Second Class"/>
    <s v="AR-10405"/>
    <x v="172"/>
    <s v="California"/>
    <x v="1"/>
    <x v="8"/>
    <x v="360"/>
    <x v="378"/>
    <x v="6"/>
  </r>
  <r>
    <x v="129"/>
    <d v="2013-10-08T00:00:00"/>
    <x v="1"/>
    <s v="Second Class"/>
    <s v="AR-10405"/>
    <x v="172"/>
    <s v="California"/>
    <x v="1"/>
    <x v="10"/>
    <x v="361"/>
    <x v="379"/>
    <x v="0"/>
  </r>
  <r>
    <x v="130"/>
    <d v="2013-10-08T00:00:00"/>
    <x v="5"/>
    <s v="Standard Class"/>
    <s v="DF-13135"/>
    <x v="173"/>
    <s v="California"/>
    <x v="0"/>
    <x v="15"/>
    <x v="362"/>
    <x v="380"/>
    <x v="1"/>
  </r>
  <r>
    <x v="130"/>
    <d v="2013-10-08T00:00:00"/>
    <x v="5"/>
    <s v="Standard Class"/>
    <s v="DF-13135"/>
    <x v="173"/>
    <s v="California"/>
    <x v="0"/>
    <x v="5"/>
    <x v="363"/>
    <x v="381"/>
    <x v="4"/>
  </r>
  <r>
    <x v="130"/>
    <d v="2013-10-09T00:00:00"/>
    <x v="1"/>
    <s v="Standard Class"/>
    <s v="JD-16015"/>
    <x v="174"/>
    <s v="Washington"/>
    <x v="0"/>
    <x v="15"/>
    <x v="364"/>
    <x v="382"/>
    <x v="2"/>
  </r>
  <r>
    <x v="131"/>
    <d v="2013-10-06T00:00:00"/>
    <x v="3"/>
    <s v="First Class"/>
    <s v="KH-16510"/>
    <x v="175"/>
    <s v="California"/>
    <x v="2"/>
    <x v="11"/>
    <x v="131"/>
    <x v="383"/>
    <x v="4"/>
  </r>
  <r>
    <x v="132"/>
    <d v="2013-10-10T00:00:00"/>
    <x v="5"/>
    <s v="Standard Class"/>
    <s v="XP-21865"/>
    <x v="176"/>
    <s v="California"/>
    <x v="2"/>
    <x v="11"/>
    <x v="365"/>
    <x v="384"/>
    <x v="0"/>
  </r>
  <r>
    <x v="133"/>
    <d v="2013-10-14T00:00:00"/>
    <x v="1"/>
    <s v="Standard Class"/>
    <s v="SJ-20500"/>
    <x v="140"/>
    <s v="California"/>
    <x v="0"/>
    <x v="3"/>
    <x v="366"/>
    <x v="385"/>
    <x v="0"/>
  </r>
  <r>
    <x v="133"/>
    <d v="2013-10-14T00:00:00"/>
    <x v="1"/>
    <s v="Standard Class"/>
    <s v="SJ-20500"/>
    <x v="140"/>
    <s v="California"/>
    <x v="2"/>
    <x v="14"/>
    <x v="367"/>
    <x v="386"/>
    <x v="6"/>
  </r>
  <r>
    <x v="134"/>
    <d v="2013-10-10T00:00:00"/>
    <x v="7"/>
    <s v="Same Day"/>
    <s v="TN-21040"/>
    <x v="177"/>
    <s v="California"/>
    <x v="1"/>
    <x v="10"/>
    <x v="361"/>
    <x v="379"/>
    <x v="0"/>
  </r>
  <r>
    <x v="134"/>
    <d v="2013-10-10T00:00:00"/>
    <x v="7"/>
    <s v="Same Day"/>
    <s v="TN-21040"/>
    <x v="177"/>
    <s v="California"/>
    <x v="0"/>
    <x v="6"/>
    <x v="368"/>
    <x v="387"/>
    <x v="4"/>
  </r>
  <r>
    <x v="134"/>
    <d v="2013-10-14T00:00:00"/>
    <x v="5"/>
    <s v="Standard Class"/>
    <s v="SD-20485"/>
    <x v="178"/>
    <s v="Arizona"/>
    <x v="1"/>
    <x v="7"/>
    <x v="369"/>
    <x v="388"/>
    <x v="8"/>
  </r>
  <r>
    <x v="134"/>
    <d v="2013-10-10T00:00:00"/>
    <x v="7"/>
    <s v="Same Day"/>
    <s v="FC-14335"/>
    <x v="179"/>
    <s v="New Mexico"/>
    <x v="0"/>
    <x v="3"/>
    <x v="370"/>
    <x v="389"/>
    <x v="8"/>
  </r>
  <r>
    <x v="135"/>
    <d v="2013-10-16T00:00:00"/>
    <x v="1"/>
    <s v="Standard Class"/>
    <s v="Dp-13240"/>
    <x v="76"/>
    <s v="Washington"/>
    <x v="1"/>
    <x v="7"/>
    <x v="371"/>
    <x v="390"/>
    <x v="12"/>
  </r>
  <r>
    <x v="135"/>
    <d v="2013-10-16T00:00:00"/>
    <x v="1"/>
    <s v="Standard Class"/>
    <s v="Dp-13240"/>
    <x v="76"/>
    <s v="Washington"/>
    <x v="2"/>
    <x v="11"/>
    <x v="372"/>
    <x v="391"/>
    <x v="1"/>
  </r>
  <r>
    <x v="135"/>
    <d v="2013-10-13T00:00:00"/>
    <x v="0"/>
    <s v="First Class"/>
    <s v="HA-14920"/>
    <x v="180"/>
    <s v="California"/>
    <x v="0"/>
    <x v="1"/>
    <x v="373"/>
    <x v="392"/>
    <x v="2"/>
  </r>
  <r>
    <x v="135"/>
    <d v="2013-10-13T00:00:00"/>
    <x v="0"/>
    <s v="First Class"/>
    <s v="HA-14920"/>
    <x v="180"/>
    <s v="California"/>
    <x v="1"/>
    <x v="10"/>
    <x v="374"/>
    <x v="393"/>
    <x v="4"/>
  </r>
  <r>
    <x v="135"/>
    <d v="2013-10-15T00:00:00"/>
    <x v="5"/>
    <s v="Standard Class"/>
    <s v="AS-10240"/>
    <x v="181"/>
    <s v="California"/>
    <x v="0"/>
    <x v="6"/>
    <x v="368"/>
    <x v="394"/>
    <x v="6"/>
  </r>
  <r>
    <x v="136"/>
    <d v="2013-10-16T00:00:00"/>
    <x v="5"/>
    <s v="Standard Class"/>
    <s v="DN-13690"/>
    <x v="182"/>
    <s v="California"/>
    <x v="0"/>
    <x v="3"/>
    <x v="375"/>
    <x v="395"/>
    <x v="1"/>
  </r>
  <r>
    <x v="136"/>
    <d v="2013-10-16T00:00:00"/>
    <x v="5"/>
    <s v="Standard Class"/>
    <s v="DN-13690"/>
    <x v="182"/>
    <s v="California"/>
    <x v="0"/>
    <x v="1"/>
    <x v="376"/>
    <x v="396"/>
    <x v="6"/>
  </r>
  <r>
    <x v="137"/>
    <d v="2013-10-15T00:00:00"/>
    <x v="0"/>
    <s v="First Class"/>
    <s v="ZC-21910"/>
    <x v="183"/>
    <s v="Washington"/>
    <x v="0"/>
    <x v="3"/>
    <x v="209"/>
    <x v="217"/>
    <x v="2"/>
  </r>
  <r>
    <x v="137"/>
    <d v="2013-10-15T00:00:00"/>
    <x v="0"/>
    <s v="First Class"/>
    <s v="ZC-21910"/>
    <x v="183"/>
    <s v="Washington"/>
    <x v="1"/>
    <x v="8"/>
    <x v="377"/>
    <x v="397"/>
    <x v="1"/>
  </r>
  <r>
    <x v="137"/>
    <d v="2013-10-15T00:00:00"/>
    <x v="0"/>
    <s v="First Class"/>
    <s v="ZC-21910"/>
    <x v="183"/>
    <s v="Washington"/>
    <x v="0"/>
    <x v="4"/>
    <x v="100"/>
    <x v="398"/>
    <x v="2"/>
  </r>
  <r>
    <x v="137"/>
    <d v="2013-10-15T00:00:00"/>
    <x v="0"/>
    <s v="First Class"/>
    <s v="ZC-21910"/>
    <x v="183"/>
    <s v="Washington"/>
    <x v="2"/>
    <x v="11"/>
    <x v="378"/>
    <x v="399"/>
    <x v="4"/>
  </r>
  <r>
    <x v="138"/>
    <d v="2013-10-17T00:00:00"/>
    <x v="3"/>
    <s v="Same Day"/>
    <s v="LS-17245"/>
    <x v="184"/>
    <s v="California"/>
    <x v="0"/>
    <x v="5"/>
    <x v="379"/>
    <x v="400"/>
    <x v="0"/>
  </r>
  <r>
    <x v="138"/>
    <d v="2013-10-17T00:00:00"/>
    <x v="3"/>
    <s v="Same Day"/>
    <s v="LS-17245"/>
    <x v="184"/>
    <s v="California"/>
    <x v="2"/>
    <x v="11"/>
    <x v="380"/>
    <x v="401"/>
    <x v="0"/>
  </r>
  <r>
    <x v="139"/>
    <d v="2013-10-23T00:00:00"/>
    <x v="1"/>
    <s v="Second Class"/>
    <s v="IG-15085"/>
    <x v="185"/>
    <s v="Washington"/>
    <x v="0"/>
    <x v="0"/>
    <x v="268"/>
    <x v="402"/>
    <x v="4"/>
  </r>
  <r>
    <x v="139"/>
    <d v="2013-10-23T00:00:00"/>
    <x v="1"/>
    <s v="Second Class"/>
    <s v="IG-15085"/>
    <x v="185"/>
    <s v="Washington"/>
    <x v="0"/>
    <x v="5"/>
    <x v="381"/>
    <x v="403"/>
    <x v="6"/>
  </r>
  <r>
    <x v="140"/>
    <d v="2013-10-19T00:00:00"/>
    <x v="7"/>
    <s v="Same Day"/>
    <s v="JF-15490"/>
    <x v="186"/>
    <s v="California"/>
    <x v="0"/>
    <x v="0"/>
    <x v="382"/>
    <x v="404"/>
    <x v="0"/>
  </r>
  <r>
    <x v="140"/>
    <d v="2013-10-22T00:00:00"/>
    <x v="2"/>
    <s v="Second Class"/>
    <s v="RP-19270"/>
    <x v="187"/>
    <s v="California"/>
    <x v="0"/>
    <x v="5"/>
    <x v="383"/>
    <x v="405"/>
    <x v="6"/>
  </r>
  <r>
    <x v="140"/>
    <d v="2013-10-22T00:00:00"/>
    <x v="2"/>
    <s v="Second Class"/>
    <s v="RP-19270"/>
    <x v="187"/>
    <s v="California"/>
    <x v="0"/>
    <x v="5"/>
    <x v="384"/>
    <x v="406"/>
    <x v="5"/>
  </r>
  <r>
    <x v="140"/>
    <d v="2013-10-22T00:00:00"/>
    <x v="2"/>
    <s v="Second Class"/>
    <s v="RP-19270"/>
    <x v="187"/>
    <s v="California"/>
    <x v="0"/>
    <x v="0"/>
    <x v="385"/>
    <x v="407"/>
    <x v="0"/>
  </r>
  <r>
    <x v="140"/>
    <d v="2013-10-22T00:00:00"/>
    <x v="2"/>
    <s v="Second Class"/>
    <s v="RP-19270"/>
    <x v="187"/>
    <s v="California"/>
    <x v="0"/>
    <x v="15"/>
    <x v="386"/>
    <x v="67"/>
    <x v="1"/>
  </r>
  <r>
    <x v="140"/>
    <d v="2013-10-22T00:00:00"/>
    <x v="2"/>
    <s v="Second Class"/>
    <s v="RP-19270"/>
    <x v="187"/>
    <s v="California"/>
    <x v="2"/>
    <x v="14"/>
    <x v="387"/>
    <x v="408"/>
    <x v="0"/>
  </r>
  <r>
    <x v="140"/>
    <d v="2013-10-24T00:00:00"/>
    <x v="1"/>
    <s v="Standard Class"/>
    <s v="EH-14125"/>
    <x v="188"/>
    <s v="California"/>
    <x v="2"/>
    <x v="14"/>
    <x v="388"/>
    <x v="409"/>
    <x v="5"/>
  </r>
  <r>
    <x v="141"/>
    <d v="2013-10-26T00:00:00"/>
    <x v="1"/>
    <s v="Standard Class"/>
    <s v="SF-20965"/>
    <x v="189"/>
    <s v="California"/>
    <x v="0"/>
    <x v="5"/>
    <x v="389"/>
    <x v="410"/>
    <x v="0"/>
  </r>
  <r>
    <x v="142"/>
    <d v="2013-10-29T00:00:00"/>
    <x v="1"/>
    <s v="Standard Class"/>
    <s v="AA-10375"/>
    <x v="58"/>
    <s v="California"/>
    <x v="0"/>
    <x v="5"/>
    <x v="390"/>
    <x v="411"/>
    <x v="0"/>
  </r>
  <r>
    <x v="143"/>
    <d v="2013-10-28T00:00:00"/>
    <x v="2"/>
    <s v="First Class"/>
    <s v="AH-10030"/>
    <x v="70"/>
    <s v="California"/>
    <x v="0"/>
    <x v="5"/>
    <x v="391"/>
    <x v="412"/>
    <x v="2"/>
  </r>
  <r>
    <x v="144"/>
    <d v="2013-10-30T00:00:00"/>
    <x v="5"/>
    <s v="Second Class"/>
    <s v="AH-10585"/>
    <x v="190"/>
    <s v="Washington"/>
    <x v="1"/>
    <x v="7"/>
    <x v="392"/>
    <x v="413"/>
    <x v="2"/>
  </r>
  <r>
    <x v="144"/>
    <d v="2013-10-30T00:00:00"/>
    <x v="5"/>
    <s v="Second Class"/>
    <s v="AH-10585"/>
    <x v="190"/>
    <s v="Washington"/>
    <x v="2"/>
    <x v="14"/>
    <x v="393"/>
    <x v="414"/>
    <x v="1"/>
  </r>
  <r>
    <x v="145"/>
    <d v="2013-10-31T00:00:00"/>
    <x v="2"/>
    <s v="First Class"/>
    <s v="TS-21370"/>
    <x v="191"/>
    <s v="California"/>
    <x v="0"/>
    <x v="5"/>
    <x v="77"/>
    <x v="80"/>
    <x v="4"/>
  </r>
  <r>
    <x v="145"/>
    <d v="2013-10-31T00:00:00"/>
    <x v="2"/>
    <s v="First Class"/>
    <s v="TS-21370"/>
    <x v="191"/>
    <s v="California"/>
    <x v="0"/>
    <x v="12"/>
    <x v="394"/>
    <x v="290"/>
    <x v="4"/>
  </r>
  <r>
    <x v="145"/>
    <d v="2013-10-31T00:00:00"/>
    <x v="2"/>
    <s v="First Class"/>
    <s v="TS-21370"/>
    <x v="191"/>
    <s v="California"/>
    <x v="0"/>
    <x v="12"/>
    <x v="395"/>
    <x v="415"/>
    <x v="4"/>
  </r>
  <r>
    <x v="145"/>
    <d v="2013-10-31T00:00:00"/>
    <x v="2"/>
    <s v="First Class"/>
    <s v="TS-21370"/>
    <x v="191"/>
    <s v="California"/>
    <x v="1"/>
    <x v="2"/>
    <x v="70"/>
    <x v="416"/>
    <x v="5"/>
  </r>
  <r>
    <x v="145"/>
    <d v="2013-10-31T00:00:00"/>
    <x v="2"/>
    <s v="First Class"/>
    <s v="TS-21370"/>
    <x v="191"/>
    <s v="California"/>
    <x v="0"/>
    <x v="1"/>
    <x v="396"/>
    <x v="417"/>
    <x v="1"/>
  </r>
  <r>
    <x v="146"/>
    <d v="2013-11-04T00:00:00"/>
    <x v="5"/>
    <s v="Standard Class"/>
    <s v="GG-14650"/>
    <x v="192"/>
    <s v="California"/>
    <x v="0"/>
    <x v="9"/>
    <x v="16"/>
    <x v="418"/>
    <x v="0"/>
  </r>
  <r>
    <x v="146"/>
    <d v="2013-11-04T00:00:00"/>
    <x v="5"/>
    <s v="Standard Class"/>
    <s v="GG-14650"/>
    <x v="192"/>
    <s v="California"/>
    <x v="0"/>
    <x v="1"/>
    <x v="397"/>
    <x v="419"/>
    <x v="1"/>
  </r>
  <r>
    <x v="146"/>
    <d v="2013-11-04T00:00:00"/>
    <x v="5"/>
    <s v="Standard Class"/>
    <s v="GG-14650"/>
    <x v="192"/>
    <s v="California"/>
    <x v="0"/>
    <x v="5"/>
    <x v="398"/>
    <x v="420"/>
    <x v="4"/>
  </r>
  <r>
    <x v="146"/>
    <d v="2013-11-04T00:00:00"/>
    <x v="5"/>
    <s v="Standard Class"/>
    <s v="GG-14650"/>
    <x v="192"/>
    <s v="California"/>
    <x v="0"/>
    <x v="0"/>
    <x v="399"/>
    <x v="421"/>
    <x v="13"/>
  </r>
  <r>
    <x v="146"/>
    <d v="2013-11-04T00:00:00"/>
    <x v="5"/>
    <s v="Standard Class"/>
    <s v="GG-14650"/>
    <x v="192"/>
    <s v="California"/>
    <x v="0"/>
    <x v="5"/>
    <x v="400"/>
    <x v="422"/>
    <x v="0"/>
  </r>
  <r>
    <x v="146"/>
    <d v="2013-11-04T00:00:00"/>
    <x v="5"/>
    <s v="Standard Class"/>
    <s v="GG-14650"/>
    <x v="192"/>
    <s v="California"/>
    <x v="0"/>
    <x v="1"/>
    <x v="401"/>
    <x v="423"/>
    <x v="2"/>
  </r>
  <r>
    <x v="146"/>
    <d v="2013-11-04T00:00:00"/>
    <x v="5"/>
    <s v="Standard Class"/>
    <s v="GG-14650"/>
    <x v="192"/>
    <s v="California"/>
    <x v="1"/>
    <x v="10"/>
    <x v="271"/>
    <x v="424"/>
    <x v="0"/>
  </r>
  <r>
    <x v="146"/>
    <d v="2013-11-04T00:00:00"/>
    <x v="5"/>
    <s v="Standard Class"/>
    <s v="GG-14650"/>
    <x v="192"/>
    <s v="California"/>
    <x v="2"/>
    <x v="11"/>
    <x v="402"/>
    <x v="425"/>
    <x v="11"/>
  </r>
  <r>
    <x v="146"/>
    <d v="2013-11-04T00:00:00"/>
    <x v="5"/>
    <s v="Standard Class"/>
    <s v="GG-14650"/>
    <x v="192"/>
    <s v="California"/>
    <x v="0"/>
    <x v="3"/>
    <x v="403"/>
    <x v="426"/>
    <x v="0"/>
  </r>
  <r>
    <x v="146"/>
    <d v="2013-11-03T00:00:00"/>
    <x v="2"/>
    <s v="Second Class"/>
    <s v="AC-10450"/>
    <x v="193"/>
    <s v="Arizona"/>
    <x v="2"/>
    <x v="14"/>
    <x v="142"/>
    <x v="427"/>
    <x v="9"/>
  </r>
  <r>
    <x v="146"/>
    <d v="2013-11-02T00:00:00"/>
    <x v="0"/>
    <s v="Second Class"/>
    <s v="NL-18310"/>
    <x v="194"/>
    <s v="California"/>
    <x v="2"/>
    <x v="14"/>
    <x v="404"/>
    <x v="428"/>
    <x v="4"/>
  </r>
  <r>
    <x v="147"/>
    <d v="2013-11-07T00:00:00"/>
    <x v="4"/>
    <s v="Standard Class"/>
    <s v="RA-19915"/>
    <x v="195"/>
    <s v="Colorado"/>
    <x v="0"/>
    <x v="3"/>
    <x v="122"/>
    <x v="370"/>
    <x v="0"/>
  </r>
  <r>
    <x v="147"/>
    <d v="2013-11-07T00:00:00"/>
    <x v="4"/>
    <s v="Standard Class"/>
    <s v="RA-19915"/>
    <x v="195"/>
    <s v="Colorado"/>
    <x v="2"/>
    <x v="14"/>
    <x v="405"/>
    <x v="429"/>
    <x v="2"/>
  </r>
  <r>
    <x v="147"/>
    <d v="2013-11-05T00:00:00"/>
    <x v="5"/>
    <s v="Standard Class"/>
    <s v="ND-18370"/>
    <x v="196"/>
    <s v="Oregon"/>
    <x v="0"/>
    <x v="1"/>
    <x v="406"/>
    <x v="430"/>
    <x v="1"/>
  </r>
  <r>
    <x v="147"/>
    <d v="2013-11-05T00:00:00"/>
    <x v="5"/>
    <s v="Standard Class"/>
    <s v="ND-18370"/>
    <x v="196"/>
    <s v="Oregon"/>
    <x v="2"/>
    <x v="14"/>
    <x v="407"/>
    <x v="431"/>
    <x v="0"/>
  </r>
  <r>
    <x v="147"/>
    <d v="2013-11-08T00:00:00"/>
    <x v="6"/>
    <s v="Standard Class"/>
    <s v="PL-18925"/>
    <x v="197"/>
    <s v="California"/>
    <x v="0"/>
    <x v="15"/>
    <x v="408"/>
    <x v="70"/>
    <x v="0"/>
  </r>
  <r>
    <x v="147"/>
    <d v="2013-11-08T00:00:00"/>
    <x v="6"/>
    <s v="Standard Class"/>
    <s v="PL-18925"/>
    <x v="197"/>
    <s v="California"/>
    <x v="0"/>
    <x v="0"/>
    <x v="409"/>
    <x v="118"/>
    <x v="1"/>
  </r>
  <r>
    <x v="148"/>
    <d v="2013-11-06T00:00:00"/>
    <x v="5"/>
    <s v="Standard Class"/>
    <s v="SH-20395"/>
    <x v="198"/>
    <s v="California"/>
    <x v="2"/>
    <x v="14"/>
    <x v="410"/>
    <x v="432"/>
    <x v="4"/>
  </r>
  <r>
    <x v="148"/>
    <d v="2013-11-06T00:00:00"/>
    <x v="5"/>
    <s v="Standard Class"/>
    <s v="SH-20395"/>
    <x v="198"/>
    <s v="California"/>
    <x v="0"/>
    <x v="1"/>
    <x v="411"/>
    <x v="433"/>
    <x v="4"/>
  </r>
  <r>
    <x v="148"/>
    <d v="2013-11-07T00:00:00"/>
    <x v="1"/>
    <s v="Second Class"/>
    <s v="SW-20755"/>
    <x v="199"/>
    <s v="Washington"/>
    <x v="2"/>
    <x v="11"/>
    <x v="202"/>
    <x v="211"/>
    <x v="4"/>
  </r>
  <r>
    <x v="148"/>
    <d v="2013-11-07T00:00:00"/>
    <x v="1"/>
    <s v="Second Class"/>
    <s v="SW-20755"/>
    <x v="199"/>
    <s v="Washington"/>
    <x v="2"/>
    <x v="14"/>
    <x v="412"/>
    <x v="434"/>
    <x v="6"/>
  </r>
  <r>
    <x v="149"/>
    <d v="2013-11-03T00:00:00"/>
    <x v="7"/>
    <s v="Same Day"/>
    <s v="TC-21535"/>
    <x v="200"/>
    <s v="California"/>
    <x v="0"/>
    <x v="3"/>
    <x v="413"/>
    <x v="435"/>
    <x v="2"/>
  </r>
  <r>
    <x v="150"/>
    <d v="2013-11-08T00:00:00"/>
    <x v="5"/>
    <s v="Standard Class"/>
    <s v="MS-17530"/>
    <x v="201"/>
    <s v="California"/>
    <x v="1"/>
    <x v="7"/>
    <x v="314"/>
    <x v="330"/>
    <x v="4"/>
  </r>
  <r>
    <x v="150"/>
    <d v="2013-11-11T00:00:00"/>
    <x v="6"/>
    <s v="Standard Class"/>
    <s v="WB-21850"/>
    <x v="202"/>
    <s v="California"/>
    <x v="2"/>
    <x v="14"/>
    <x v="414"/>
    <x v="436"/>
    <x v="8"/>
  </r>
  <r>
    <x v="150"/>
    <d v="2013-11-11T00:00:00"/>
    <x v="6"/>
    <s v="Standard Class"/>
    <s v="WB-21850"/>
    <x v="202"/>
    <s v="California"/>
    <x v="1"/>
    <x v="8"/>
    <x v="415"/>
    <x v="437"/>
    <x v="2"/>
  </r>
  <r>
    <x v="150"/>
    <d v="2013-11-11T00:00:00"/>
    <x v="6"/>
    <s v="Standard Class"/>
    <s v="WB-21850"/>
    <x v="202"/>
    <s v="California"/>
    <x v="0"/>
    <x v="5"/>
    <x v="416"/>
    <x v="438"/>
    <x v="0"/>
  </r>
  <r>
    <x v="150"/>
    <d v="2013-11-11T00:00:00"/>
    <x v="6"/>
    <s v="Standard Class"/>
    <s v="WB-21850"/>
    <x v="202"/>
    <s v="California"/>
    <x v="0"/>
    <x v="0"/>
    <x v="417"/>
    <x v="0"/>
    <x v="0"/>
  </r>
  <r>
    <x v="150"/>
    <d v="2013-11-11T00:00:00"/>
    <x v="6"/>
    <s v="Standard Class"/>
    <s v="WB-21850"/>
    <x v="202"/>
    <s v="California"/>
    <x v="2"/>
    <x v="13"/>
    <x v="418"/>
    <x v="439"/>
    <x v="2"/>
  </r>
  <r>
    <x v="150"/>
    <d v="2013-11-11T00:00:00"/>
    <x v="6"/>
    <s v="Standard Class"/>
    <s v="TH-21235"/>
    <x v="203"/>
    <s v="California"/>
    <x v="0"/>
    <x v="3"/>
    <x v="419"/>
    <x v="440"/>
    <x v="6"/>
  </r>
  <r>
    <x v="151"/>
    <d v="2013-11-10T00:00:00"/>
    <x v="1"/>
    <s v="Standard Class"/>
    <s v="DE-13255"/>
    <x v="204"/>
    <s v="California"/>
    <x v="1"/>
    <x v="7"/>
    <x v="420"/>
    <x v="441"/>
    <x v="5"/>
  </r>
  <r>
    <x v="152"/>
    <d v="2013-11-12T00:00:00"/>
    <x v="1"/>
    <s v="Standard Class"/>
    <s v="LH-16900"/>
    <x v="205"/>
    <s v="California"/>
    <x v="0"/>
    <x v="5"/>
    <x v="120"/>
    <x v="442"/>
    <x v="8"/>
  </r>
  <r>
    <x v="152"/>
    <d v="2013-11-11T00:00:00"/>
    <x v="5"/>
    <s v="Second Class"/>
    <s v="TB-21595"/>
    <x v="206"/>
    <s v="Oregon"/>
    <x v="0"/>
    <x v="0"/>
    <x v="421"/>
    <x v="443"/>
    <x v="1"/>
  </r>
  <r>
    <x v="152"/>
    <d v="2013-11-11T00:00:00"/>
    <x v="5"/>
    <s v="Second Class"/>
    <s v="TB-21595"/>
    <x v="206"/>
    <s v="Oregon"/>
    <x v="0"/>
    <x v="3"/>
    <x v="422"/>
    <x v="444"/>
    <x v="2"/>
  </r>
  <r>
    <x v="153"/>
    <d v="2013-11-14T00:00:00"/>
    <x v="4"/>
    <s v="Standard Class"/>
    <s v="EB-13870"/>
    <x v="207"/>
    <s v="California"/>
    <x v="2"/>
    <x v="14"/>
    <x v="423"/>
    <x v="445"/>
    <x v="0"/>
  </r>
  <r>
    <x v="154"/>
    <d v="2013-11-11T00:00:00"/>
    <x v="0"/>
    <s v="Second Class"/>
    <s v="JP-15520"/>
    <x v="208"/>
    <s v="California"/>
    <x v="0"/>
    <x v="1"/>
    <x v="424"/>
    <x v="446"/>
    <x v="0"/>
  </r>
  <r>
    <x v="154"/>
    <d v="2013-11-11T00:00:00"/>
    <x v="0"/>
    <s v="Second Class"/>
    <s v="JP-15520"/>
    <x v="208"/>
    <s v="California"/>
    <x v="1"/>
    <x v="2"/>
    <x v="425"/>
    <x v="447"/>
    <x v="4"/>
  </r>
  <r>
    <x v="154"/>
    <d v="2013-11-11T00:00:00"/>
    <x v="0"/>
    <s v="Second Class"/>
    <s v="JP-15520"/>
    <x v="208"/>
    <s v="California"/>
    <x v="2"/>
    <x v="14"/>
    <x v="426"/>
    <x v="448"/>
    <x v="2"/>
  </r>
  <r>
    <x v="154"/>
    <d v="2013-11-11T00:00:00"/>
    <x v="0"/>
    <s v="Second Class"/>
    <s v="JP-15520"/>
    <x v="208"/>
    <s v="California"/>
    <x v="0"/>
    <x v="1"/>
    <x v="323"/>
    <x v="301"/>
    <x v="5"/>
  </r>
  <r>
    <x v="154"/>
    <d v="2013-11-11T00:00:00"/>
    <x v="0"/>
    <s v="Second Class"/>
    <s v="JP-15520"/>
    <x v="208"/>
    <s v="California"/>
    <x v="0"/>
    <x v="0"/>
    <x v="427"/>
    <x v="449"/>
    <x v="8"/>
  </r>
  <r>
    <x v="154"/>
    <d v="2013-11-11T00:00:00"/>
    <x v="0"/>
    <s v="Second Class"/>
    <s v="JP-15520"/>
    <x v="208"/>
    <s v="California"/>
    <x v="0"/>
    <x v="0"/>
    <x v="428"/>
    <x v="450"/>
    <x v="1"/>
  </r>
  <r>
    <x v="155"/>
    <d v="2013-11-16T00:00:00"/>
    <x v="4"/>
    <s v="Standard Class"/>
    <s v="RD-19900"/>
    <x v="209"/>
    <s v="California"/>
    <x v="2"/>
    <x v="14"/>
    <x v="429"/>
    <x v="451"/>
    <x v="9"/>
  </r>
  <r>
    <x v="155"/>
    <d v="2013-11-16T00:00:00"/>
    <x v="4"/>
    <s v="Standard Class"/>
    <s v="RD-19900"/>
    <x v="209"/>
    <s v="California"/>
    <x v="2"/>
    <x v="11"/>
    <x v="430"/>
    <x v="452"/>
    <x v="6"/>
  </r>
  <r>
    <x v="155"/>
    <d v="2013-11-16T00:00:00"/>
    <x v="4"/>
    <s v="Standard Class"/>
    <s v="RD-19900"/>
    <x v="209"/>
    <s v="California"/>
    <x v="1"/>
    <x v="7"/>
    <x v="431"/>
    <x v="453"/>
    <x v="4"/>
  </r>
  <r>
    <x v="155"/>
    <d v="2013-11-16T00:00:00"/>
    <x v="4"/>
    <s v="Standard Class"/>
    <s v="RD-19900"/>
    <x v="209"/>
    <s v="California"/>
    <x v="0"/>
    <x v="0"/>
    <x v="432"/>
    <x v="454"/>
    <x v="9"/>
  </r>
  <r>
    <x v="155"/>
    <d v="2013-11-16T00:00:00"/>
    <x v="4"/>
    <s v="Standard Class"/>
    <s v="RD-19900"/>
    <x v="209"/>
    <s v="California"/>
    <x v="1"/>
    <x v="7"/>
    <x v="433"/>
    <x v="455"/>
    <x v="1"/>
  </r>
  <r>
    <x v="155"/>
    <d v="2013-11-16T00:00:00"/>
    <x v="4"/>
    <s v="Standard Class"/>
    <s v="RD-19900"/>
    <x v="209"/>
    <s v="California"/>
    <x v="0"/>
    <x v="15"/>
    <x v="434"/>
    <x v="456"/>
    <x v="9"/>
  </r>
  <r>
    <x v="156"/>
    <d v="2013-11-14T00:00:00"/>
    <x v="2"/>
    <s v="Second Class"/>
    <s v="TZ-21580"/>
    <x v="210"/>
    <s v="Colorado"/>
    <x v="0"/>
    <x v="3"/>
    <x v="61"/>
    <x v="457"/>
    <x v="6"/>
  </r>
  <r>
    <x v="156"/>
    <d v="2013-11-14T00:00:00"/>
    <x v="2"/>
    <s v="Second Class"/>
    <s v="TZ-21580"/>
    <x v="210"/>
    <s v="Colorado"/>
    <x v="2"/>
    <x v="14"/>
    <x v="435"/>
    <x v="458"/>
    <x v="4"/>
  </r>
  <r>
    <x v="156"/>
    <d v="2013-11-14T00:00:00"/>
    <x v="2"/>
    <s v="Second Class"/>
    <s v="TZ-21580"/>
    <x v="210"/>
    <s v="Colorado"/>
    <x v="1"/>
    <x v="10"/>
    <x v="436"/>
    <x v="360"/>
    <x v="1"/>
  </r>
  <r>
    <x v="156"/>
    <d v="2013-11-18T00:00:00"/>
    <x v="6"/>
    <s v="Standard Class"/>
    <s v="AP-10915"/>
    <x v="134"/>
    <s v="California"/>
    <x v="0"/>
    <x v="3"/>
    <x v="437"/>
    <x v="459"/>
    <x v="0"/>
  </r>
  <r>
    <x v="156"/>
    <d v="2013-11-18T00:00:00"/>
    <x v="6"/>
    <s v="Standard Class"/>
    <s v="AP-10915"/>
    <x v="134"/>
    <s v="California"/>
    <x v="1"/>
    <x v="10"/>
    <x v="139"/>
    <x v="460"/>
    <x v="6"/>
  </r>
  <r>
    <x v="156"/>
    <d v="2013-11-13T00:00:00"/>
    <x v="0"/>
    <s v="Second Class"/>
    <s v="MA-17560"/>
    <x v="211"/>
    <s v="California"/>
    <x v="2"/>
    <x v="14"/>
    <x v="438"/>
    <x v="461"/>
    <x v="11"/>
  </r>
  <r>
    <x v="156"/>
    <d v="2013-11-13T00:00:00"/>
    <x v="0"/>
    <s v="Second Class"/>
    <s v="MA-17560"/>
    <x v="211"/>
    <s v="California"/>
    <x v="0"/>
    <x v="4"/>
    <x v="439"/>
    <x v="462"/>
    <x v="4"/>
  </r>
  <r>
    <x v="156"/>
    <d v="2013-11-13T00:00:00"/>
    <x v="0"/>
    <s v="Second Class"/>
    <s v="MA-17560"/>
    <x v="211"/>
    <s v="California"/>
    <x v="0"/>
    <x v="0"/>
    <x v="440"/>
    <x v="463"/>
    <x v="2"/>
  </r>
  <r>
    <x v="156"/>
    <d v="2013-11-13T00:00:00"/>
    <x v="0"/>
    <s v="First Class"/>
    <s v="MZ-17515"/>
    <x v="44"/>
    <s v="Washington"/>
    <x v="0"/>
    <x v="4"/>
    <x v="154"/>
    <x v="464"/>
    <x v="6"/>
  </r>
  <r>
    <x v="156"/>
    <d v="2013-11-13T00:00:00"/>
    <x v="0"/>
    <s v="First Class"/>
    <s v="MZ-17515"/>
    <x v="44"/>
    <s v="Washington"/>
    <x v="2"/>
    <x v="11"/>
    <x v="441"/>
    <x v="465"/>
    <x v="8"/>
  </r>
  <r>
    <x v="156"/>
    <d v="2013-11-13T00:00:00"/>
    <x v="0"/>
    <s v="First Class"/>
    <s v="MZ-17515"/>
    <x v="44"/>
    <s v="Washington"/>
    <x v="0"/>
    <x v="5"/>
    <x v="442"/>
    <x v="466"/>
    <x v="4"/>
  </r>
  <r>
    <x v="157"/>
    <d v="2013-11-16T00:00:00"/>
    <x v="5"/>
    <s v="Standard Class"/>
    <s v="JA-15970"/>
    <x v="151"/>
    <s v="California"/>
    <x v="0"/>
    <x v="0"/>
    <x v="443"/>
    <x v="212"/>
    <x v="4"/>
  </r>
  <r>
    <x v="157"/>
    <d v="2013-11-16T00:00:00"/>
    <x v="5"/>
    <s v="Standard Class"/>
    <s v="JA-15970"/>
    <x v="151"/>
    <s v="California"/>
    <x v="1"/>
    <x v="8"/>
    <x v="444"/>
    <x v="467"/>
    <x v="0"/>
  </r>
  <r>
    <x v="158"/>
    <d v="2013-11-18T00:00:00"/>
    <x v="2"/>
    <s v="First Class"/>
    <s v="SS-20410"/>
    <x v="212"/>
    <s v="California"/>
    <x v="1"/>
    <x v="7"/>
    <x v="445"/>
    <x v="468"/>
    <x v="0"/>
  </r>
  <r>
    <x v="158"/>
    <d v="2013-11-18T00:00:00"/>
    <x v="2"/>
    <s v="First Class"/>
    <s v="SS-20410"/>
    <x v="212"/>
    <s v="California"/>
    <x v="2"/>
    <x v="11"/>
    <x v="446"/>
    <x v="469"/>
    <x v="0"/>
  </r>
  <r>
    <x v="158"/>
    <d v="2013-11-18T00:00:00"/>
    <x v="2"/>
    <s v="First Class"/>
    <s v="SS-20410"/>
    <x v="212"/>
    <s v="California"/>
    <x v="0"/>
    <x v="12"/>
    <x v="447"/>
    <x v="470"/>
    <x v="4"/>
  </r>
  <r>
    <x v="158"/>
    <d v="2013-11-17T00:00:00"/>
    <x v="0"/>
    <s v="Second Class"/>
    <s v="SC-20260"/>
    <x v="45"/>
    <s v="California"/>
    <x v="0"/>
    <x v="12"/>
    <x v="309"/>
    <x v="471"/>
    <x v="0"/>
  </r>
  <r>
    <x v="159"/>
    <d v="2013-11-22T00:00:00"/>
    <x v="4"/>
    <s v="Standard Class"/>
    <s v="AH-10075"/>
    <x v="213"/>
    <s v="California"/>
    <x v="0"/>
    <x v="15"/>
    <x v="448"/>
    <x v="472"/>
    <x v="4"/>
  </r>
  <r>
    <x v="159"/>
    <d v="2013-11-18T00:00:00"/>
    <x v="0"/>
    <s v="First Class"/>
    <s v="JD-16150"/>
    <x v="214"/>
    <s v="California"/>
    <x v="2"/>
    <x v="14"/>
    <x v="449"/>
    <x v="473"/>
    <x v="2"/>
  </r>
  <r>
    <x v="159"/>
    <d v="2013-11-18T00:00:00"/>
    <x v="0"/>
    <s v="First Class"/>
    <s v="JD-16150"/>
    <x v="214"/>
    <s v="California"/>
    <x v="1"/>
    <x v="2"/>
    <x v="450"/>
    <x v="474"/>
    <x v="0"/>
  </r>
  <r>
    <x v="159"/>
    <d v="2013-11-18T00:00:00"/>
    <x v="0"/>
    <s v="First Class"/>
    <s v="JD-16150"/>
    <x v="214"/>
    <s v="California"/>
    <x v="0"/>
    <x v="1"/>
    <x v="451"/>
    <x v="475"/>
    <x v="0"/>
  </r>
  <r>
    <x v="160"/>
    <d v="2013-11-19T00:00:00"/>
    <x v="0"/>
    <s v="First Class"/>
    <s v="TS-21205"/>
    <x v="86"/>
    <s v="California"/>
    <x v="2"/>
    <x v="11"/>
    <x v="452"/>
    <x v="383"/>
    <x v="4"/>
  </r>
  <r>
    <x v="160"/>
    <d v="2013-11-19T00:00:00"/>
    <x v="0"/>
    <s v="First Class"/>
    <s v="TS-21205"/>
    <x v="86"/>
    <s v="California"/>
    <x v="0"/>
    <x v="0"/>
    <x v="453"/>
    <x v="476"/>
    <x v="8"/>
  </r>
  <r>
    <x v="160"/>
    <d v="2013-11-19T00:00:00"/>
    <x v="0"/>
    <s v="First Class"/>
    <s v="TS-21205"/>
    <x v="86"/>
    <s v="California"/>
    <x v="0"/>
    <x v="4"/>
    <x v="454"/>
    <x v="477"/>
    <x v="0"/>
  </r>
  <r>
    <x v="161"/>
    <d v="2013-11-20T00:00:00"/>
    <x v="0"/>
    <s v="Second Class"/>
    <s v="PW-19240"/>
    <x v="215"/>
    <s v="Colorado"/>
    <x v="1"/>
    <x v="8"/>
    <x v="455"/>
    <x v="478"/>
    <x v="4"/>
  </r>
  <r>
    <x v="161"/>
    <d v="2013-11-20T00:00:00"/>
    <x v="0"/>
    <s v="Second Class"/>
    <s v="PW-19240"/>
    <x v="215"/>
    <s v="Colorado"/>
    <x v="0"/>
    <x v="0"/>
    <x v="456"/>
    <x v="479"/>
    <x v="2"/>
  </r>
  <r>
    <x v="161"/>
    <d v="2013-11-21T00:00:00"/>
    <x v="2"/>
    <s v="Second Class"/>
    <s v="JG-15805"/>
    <x v="216"/>
    <s v="Utah"/>
    <x v="0"/>
    <x v="0"/>
    <x v="457"/>
    <x v="480"/>
    <x v="8"/>
  </r>
  <r>
    <x v="161"/>
    <d v="2013-11-25T00:00:00"/>
    <x v="6"/>
    <s v="Standard Class"/>
    <s v="MH-17785"/>
    <x v="77"/>
    <s v="Washington"/>
    <x v="1"/>
    <x v="7"/>
    <x v="458"/>
    <x v="481"/>
    <x v="4"/>
  </r>
  <r>
    <x v="161"/>
    <d v="2013-11-25T00:00:00"/>
    <x v="6"/>
    <s v="Standard Class"/>
    <s v="MH-17785"/>
    <x v="77"/>
    <s v="Washington"/>
    <x v="1"/>
    <x v="8"/>
    <x v="459"/>
    <x v="482"/>
    <x v="2"/>
  </r>
  <r>
    <x v="162"/>
    <d v="2013-11-24T00:00:00"/>
    <x v="1"/>
    <s v="Second Class"/>
    <s v="DB-13360"/>
    <x v="217"/>
    <s v="Utah"/>
    <x v="0"/>
    <x v="0"/>
    <x v="460"/>
    <x v="483"/>
    <x v="0"/>
  </r>
  <r>
    <x v="163"/>
    <d v="2013-11-26T00:00:00"/>
    <x v="1"/>
    <s v="Standard Class"/>
    <s v="GR-14560"/>
    <x v="218"/>
    <s v="California"/>
    <x v="0"/>
    <x v="0"/>
    <x v="82"/>
    <x v="28"/>
    <x v="4"/>
  </r>
  <r>
    <x v="163"/>
    <d v="2013-11-26T00:00:00"/>
    <x v="1"/>
    <s v="Standard Class"/>
    <s v="SC-20680"/>
    <x v="219"/>
    <s v="California"/>
    <x v="0"/>
    <x v="0"/>
    <x v="461"/>
    <x v="484"/>
    <x v="4"/>
  </r>
  <r>
    <x v="163"/>
    <d v="2013-11-26T00:00:00"/>
    <x v="1"/>
    <s v="Standard Class"/>
    <s v="SC-20680"/>
    <x v="219"/>
    <s v="California"/>
    <x v="2"/>
    <x v="11"/>
    <x v="462"/>
    <x v="485"/>
    <x v="6"/>
  </r>
  <r>
    <x v="164"/>
    <d v="2013-11-26T00:00:00"/>
    <x v="5"/>
    <s v="Standard Class"/>
    <s v="SP-20920"/>
    <x v="220"/>
    <s v="California"/>
    <x v="0"/>
    <x v="0"/>
    <x v="463"/>
    <x v="486"/>
    <x v="11"/>
  </r>
  <r>
    <x v="165"/>
    <d v="2013-11-25T00:00:00"/>
    <x v="0"/>
    <s v="First Class"/>
    <s v="SC-20095"/>
    <x v="13"/>
    <s v="California"/>
    <x v="1"/>
    <x v="10"/>
    <x v="464"/>
    <x v="360"/>
    <x v="1"/>
  </r>
  <r>
    <x v="165"/>
    <d v="2013-11-25T00:00:00"/>
    <x v="0"/>
    <s v="First Class"/>
    <s v="SC-20095"/>
    <x v="13"/>
    <s v="California"/>
    <x v="0"/>
    <x v="6"/>
    <x v="465"/>
    <x v="487"/>
    <x v="0"/>
  </r>
  <r>
    <x v="165"/>
    <d v="2013-11-25T00:00:00"/>
    <x v="0"/>
    <s v="First Class"/>
    <s v="SC-20095"/>
    <x v="13"/>
    <s v="California"/>
    <x v="2"/>
    <x v="11"/>
    <x v="466"/>
    <x v="488"/>
    <x v="6"/>
  </r>
  <r>
    <x v="165"/>
    <d v="2013-11-25T00:00:00"/>
    <x v="0"/>
    <s v="First Class"/>
    <s v="SC-20095"/>
    <x v="13"/>
    <s v="California"/>
    <x v="1"/>
    <x v="10"/>
    <x v="467"/>
    <x v="489"/>
    <x v="4"/>
  </r>
  <r>
    <x v="165"/>
    <d v="2013-11-28T00:00:00"/>
    <x v="1"/>
    <s v="Standard Class"/>
    <s v="SM-20005"/>
    <x v="221"/>
    <s v="Arizona"/>
    <x v="0"/>
    <x v="6"/>
    <x v="74"/>
    <x v="490"/>
    <x v="0"/>
  </r>
  <r>
    <x v="166"/>
    <d v="2013-11-26T00:00:00"/>
    <x v="0"/>
    <s v="First Class"/>
    <s v="VG-21790"/>
    <x v="222"/>
    <s v="California"/>
    <x v="1"/>
    <x v="7"/>
    <x v="252"/>
    <x v="491"/>
    <x v="2"/>
  </r>
  <r>
    <x v="166"/>
    <d v="2013-11-30T00:00:00"/>
    <x v="4"/>
    <s v="Standard Class"/>
    <s v="HR-14830"/>
    <x v="223"/>
    <s v="Washington"/>
    <x v="0"/>
    <x v="5"/>
    <x v="468"/>
    <x v="492"/>
    <x v="8"/>
  </r>
  <r>
    <x v="166"/>
    <d v="2013-11-30T00:00:00"/>
    <x v="4"/>
    <s v="Standard Class"/>
    <s v="HR-14830"/>
    <x v="223"/>
    <s v="Washington"/>
    <x v="0"/>
    <x v="1"/>
    <x v="35"/>
    <x v="315"/>
    <x v="5"/>
  </r>
  <r>
    <x v="166"/>
    <d v="2013-11-30T00:00:00"/>
    <x v="4"/>
    <s v="Standard Class"/>
    <s v="HR-14830"/>
    <x v="223"/>
    <s v="Washington"/>
    <x v="0"/>
    <x v="0"/>
    <x v="28"/>
    <x v="292"/>
    <x v="2"/>
  </r>
  <r>
    <x v="166"/>
    <d v="2013-11-30T00:00:00"/>
    <x v="4"/>
    <s v="Standard Class"/>
    <s v="HR-14830"/>
    <x v="223"/>
    <s v="Washington"/>
    <x v="0"/>
    <x v="1"/>
    <x v="469"/>
    <x v="493"/>
    <x v="4"/>
  </r>
  <r>
    <x v="166"/>
    <d v="2013-11-26T00:00:00"/>
    <x v="0"/>
    <s v="Second Class"/>
    <s v="EH-13990"/>
    <x v="74"/>
    <s v="California"/>
    <x v="1"/>
    <x v="10"/>
    <x v="470"/>
    <x v="494"/>
    <x v="6"/>
  </r>
  <r>
    <x v="167"/>
    <d v="2013-11-27T00:00:00"/>
    <x v="0"/>
    <s v="Second Class"/>
    <s v="LW-16825"/>
    <x v="224"/>
    <s v="California"/>
    <x v="0"/>
    <x v="4"/>
    <x v="100"/>
    <x v="495"/>
    <x v="5"/>
  </r>
  <r>
    <x v="167"/>
    <d v="2013-11-27T00:00:00"/>
    <x v="0"/>
    <s v="Second Class"/>
    <s v="LW-16825"/>
    <x v="224"/>
    <s v="California"/>
    <x v="1"/>
    <x v="7"/>
    <x v="221"/>
    <x v="496"/>
    <x v="0"/>
  </r>
  <r>
    <x v="167"/>
    <d v="2013-11-27T00:00:00"/>
    <x v="0"/>
    <s v="Second Class"/>
    <s v="LW-16825"/>
    <x v="224"/>
    <s v="California"/>
    <x v="0"/>
    <x v="0"/>
    <x v="471"/>
    <x v="497"/>
    <x v="2"/>
  </r>
  <r>
    <x v="167"/>
    <d v="2013-11-30T00:00:00"/>
    <x v="1"/>
    <s v="Standard Class"/>
    <s v="SE-20110"/>
    <x v="50"/>
    <s v="Oregon"/>
    <x v="0"/>
    <x v="3"/>
    <x v="14"/>
    <x v="498"/>
    <x v="8"/>
  </r>
  <r>
    <x v="167"/>
    <d v="2013-11-29T00:00:00"/>
    <x v="5"/>
    <s v="Standard Class"/>
    <s v="RB-19435"/>
    <x v="25"/>
    <s v="California"/>
    <x v="2"/>
    <x v="14"/>
    <x v="472"/>
    <x v="499"/>
    <x v="1"/>
  </r>
  <r>
    <x v="167"/>
    <d v="2013-11-29T00:00:00"/>
    <x v="5"/>
    <s v="Standard Class"/>
    <s v="RB-19435"/>
    <x v="25"/>
    <s v="California"/>
    <x v="1"/>
    <x v="10"/>
    <x v="473"/>
    <x v="500"/>
    <x v="2"/>
  </r>
  <r>
    <x v="167"/>
    <d v="2013-11-29T00:00:00"/>
    <x v="5"/>
    <s v="Standard Class"/>
    <s v="RB-19435"/>
    <x v="25"/>
    <s v="California"/>
    <x v="0"/>
    <x v="3"/>
    <x v="162"/>
    <x v="501"/>
    <x v="0"/>
  </r>
  <r>
    <x v="168"/>
    <d v="2013-12-02T00:00:00"/>
    <x v="4"/>
    <s v="Standard Class"/>
    <s v="NW-18400"/>
    <x v="225"/>
    <s v="Oregon"/>
    <x v="0"/>
    <x v="0"/>
    <x v="474"/>
    <x v="283"/>
    <x v="0"/>
  </r>
  <r>
    <x v="168"/>
    <d v="2013-12-02T00:00:00"/>
    <x v="4"/>
    <s v="Standard Class"/>
    <s v="NW-18400"/>
    <x v="225"/>
    <s v="Oregon"/>
    <x v="0"/>
    <x v="1"/>
    <x v="475"/>
    <x v="502"/>
    <x v="1"/>
  </r>
  <r>
    <x v="168"/>
    <d v="2013-12-02T00:00:00"/>
    <x v="4"/>
    <s v="Standard Class"/>
    <s v="NW-18400"/>
    <x v="225"/>
    <s v="Oregon"/>
    <x v="2"/>
    <x v="14"/>
    <x v="257"/>
    <x v="503"/>
    <x v="2"/>
  </r>
  <r>
    <x v="168"/>
    <d v="2013-12-01T00:00:00"/>
    <x v="1"/>
    <s v="Standard Class"/>
    <s v="LS-16975"/>
    <x v="226"/>
    <s v="California"/>
    <x v="0"/>
    <x v="0"/>
    <x v="476"/>
    <x v="361"/>
    <x v="4"/>
  </r>
  <r>
    <x v="168"/>
    <d v="2013-12-01T00:00:00"/>
    <x v="1"/>
    <s v="Standard Class"/>
    <s v="LS-17200"/>
    <x v="227"/>
    <s v="California"/>
    <x v="0"/>
    <x v="5"/>
    <x v="477"/>
    <x v="504"/>
    <x v="0"/>
  </r>
  <r>
    <x v="168"/>
    <d v="2013-12-01T00:00:00"/>
    <x v="1"/>
    <s v="Standard Class"/>
    <s v="LS-17200"/>
    <x v="227"/>
    <s v="California"/>
    <x v="0"/>
    <x v="0"/>
    <x v="478"/>
    <x v="505"/>
    <x v="0"/>
  </r>
  <r>
    <x v="168"/>
    <d v="2013-12-01T00:00:00"/>
    <x v="1"/>
    <s v="Standard Class"/>
    <s v="LS-17200"/>
    <x v="227"/>
    <s v="California"/>
    <x v="0"/>
    <x v="4"/>
    <x v="4"/>
    <x v="506"/>
    <x v="4"/>
  </r>
  <r>
    <x v="168"/>
    <d v="2013-12-01T00:00:00"/>
    <x v="1"/>
    <s v="Standard Class"/>
    <s v="LS-17200"/>
    <x v="227"/>
    <s v="California"/>
    <x v="0"/>
    <x v="5"/>
    <x v="170"/>
    <x v="507"/>
    <x v="6"/>
  </r>
  <r>
    <x v="169"/>
    <d v="2013-11-28T00:00:00"/>
    <x v="7"/>
    <s v="Same Day"/>
    <s v="DH-13675"/>
    <x v="228"/>
    <s v="California"/>
    <x v="0"/>
    <x v="12"/>
    <x v="157"/>
    <x v="163"/>
    <x v="4"/>
  </r>
  <r>
    <x v="169"/>
    <d v="2013-11-28T00:00:00"/>
    <x v="7"/>
    <s v="Same Day"/>
    <s v="DH-13675"/>
    <x v="228"/>
    <s v="California"/>
    <x v="0"/>
    <x v="15"/>
    <x v="479"/>
    <x v="508"/>
    <x v="2"/>
  </r>
  <r>
    <x v="169"/>
    <d v="2013-11-28T00:00:00"/>
    <x v="7"/>
    <s v="Same Day"/>
    <s v="DH-13675"/>
    <x v="228"/>
    <s v="California"/>
    <x v="1"/>
    <x v="2"/>
    <x v="480"/>
    <x v="509"/>
    <x v="2"/>
  </r>
  <r>
    <x v="169"/>
    <d v="2013-12-01T00:00:00"/>
    <x v="2"/>
    <s v="First Class"/>
    <s v="SG-20470"/>
    <x v="229"/>
    <s v="California"/>
    <x v="0"/>
    <x v="4"/>
    <x v="481"/>
    <x v="510"/>
    <x v="0"/>
  </r>
  <r>
    <x v="169"/>
    <d v="2013-12-01T00:00:00"/>
    <x v="2"/>
    <s v="First Class"/>
    <s v="SG-20470"/>
    <x v="229"/>
    <s v="California"/>
    <x v="2"/>
    <x v="11"/>
    <x v="482"/>
    <x v="511"/>
    <x v="8"/>
  </r>
  <r>
    <x v="170"/>
    <d v="2013-12-06T00:00:00"/>
    <x v="6"/>
    <s v="Standard Class"/>
    <s v="AH-10210"/>
    <x v="230"/>
    <s v="California"/>
    <x v="2"/>
    <x v="14"/>
    <x v="483"/>
    <x v="512"/>
    <x v="4"/>
  </r>
  <r>
    <x v="170"/>
    <d v="2013-12-06T00:00:00"/>
    <x v="6"/>
    <s v="Standard Class"/>
    <s v="AH-10210"/>
    <x v="230"/>
    <s v="California"/>
    <x v="0"/>
    <x v="9"/>
    <x v="16"/>
    <x v="513"/>
    <x v="1"/>
  </r>
  <r>
    <x v="171"/>
    <d v="2013-12-06T00:00:00"/>
    <x v="4"/>
    <s v="Standard Class"/>
    <s v="PB-19150"/>
    <x v="105"/>
    <s v="Arizona"/>
    <x v="0"/>
    <x v="12"/>
    <x v="484"/>
    <x v="514"/>
    <x v="8"/>
  </r>
  <r>
    <x v="171"/>
    <d v="2013-12-06T00:00:00"/>
    <x v="4"/>
    <s v="Standard Class"/>
    <s v="PB-19150"/>
    <x v="105"/>
    <s v="Arizona"/>
    <x v="2"/>
    <x v="11"/>
    <x v="485"/>
    <x v="515"/>
    <x v="2"/>
  </r>
  <r>
    <x v="172"/>
    <d v="2013-12-05T00:00:00"/>
    <x v="5"/>
    <s v="Standard Class"/>
    <s v="TR-21325"/>
    <x v="231"/>
    <s v="California"/>
    <x v="1"/>
    <x v="7"/>
    <x v="486"/>
    <x v="516"/>
    <x v="0"/>
  </r>
  <r>
    <x v="173"/>
    <d v="2013-12-10T00:00:00"/>
    <x v="1"/>
    <s v="Standard Class"/>
    <s v="BS-11590"/>
    <x v="232"/>
    <s v="Arizona"/>
    <x v="0"/>
    <x v="3"/>
    <x v="487"/>
    <x v="517"/>
    <x v="9"/>
  </r>
  <r>
    <x v="173"/>
    <d v="2013-12-10T00:00:00"/>
    <x v="1"/>
    <s v="Standard Class"/>
    <s v="BS-11590"/>
    <x v="232"/>
    <s v="Arizona"/>
    <x v="2"/>
    <x v="14"/>
    <x v="138"/>
    <x v="518"/>
    <x v="2"/>
  </r>
  <r>
    <x v="173"/>
    <d v="2013-12-10T00:00:00"/>
    <x v="1"/>
    <s v="Standard Class"/>
    <s v="RL-19615"/>
    <x v="233"/>
    <s v="California"/>
    <x v="0"/>
    <x v="3"/>
    <x v="301"/>
    <x v="519"/>
    <x v="11"/>
  </r>
  <r>
    <x v="173"/>
    <d v="2013-12-10T00:00:00"/>
    <x v="1"/>
    <s v="Standard Class"/>
    <s v="RL-19615"/>
    <x v="233"/>
    <s v="California"/>
    <x v="0"/>
    <x v="0"/>
    <x v="488"/>
    <x v="520"/>
    <x v="2"/>
  </r>
  <r>
    <x v="173"/>
    <d v="2013-12-10T00:00:00"/>
    <x v="1"/>
    <s v="Standard Class"/>
    <s v="RL-19615"/>
    <x v="233"/>
    <s v="California"/>
    <x v="0"/>
    <x v="9"/>
    <x v="489"/>
    <x v="521"/>
    <x v="0"/>
  </r>
  <r>
    <x v="173"/>
    <d v="2013-12-07T00:00:00"/>
    <x v="0"/>
    <s v="First Class"/>
    <s v="JB-15925"/>
    <x v="234"/>
    <s v="California"/>
    <x v="0"/>
    <x v="4"/>
    <x v="490"/>
    <x v="522"/>
    <x v="5"/>
  </r>
  <r>
    <x v="174"/>
    <d v="2013-12-11T00:00:00"/>
    <x v="1"/>
    <s v="Second Class"/>
    <s v="RC-19960"/>
    <x v="235"/>
    <s v="Oregon"/>
    <x v="0"/>
    <x v="1"/>
    <x v="491"/>
    <x v="523"/>
    <x v="0"/>
  </r>
  <r>
    <x v="174"/>
    <d v="2013-12-11T00:00:00"/>
    <x v="1"/>
    <s v="Second Class"/>
    <s v="RC-19960"/>
    <x v="235"/>
    <s v="Oregon"/>
    <x v="1"/>
    <x v="8"/>
    <x v="492"/>
    <x v="524"/>
    <x v="6"/>
  </r>
  <r>
    <x v="174"/>
    <d v="2013-12-08T00:00:00"/>
    <x v="0"/>
    <s v="First Class"/>
    <s v="RS-19765"/>
    <x v="236"/>
    <s v="California"/>
    <x v="0"/>
    <x v="1"/>
    <x v="493"/>
    <x v="525"/>
    <x v="8"/>
  </r>
  <r>
    <x v="175"/>
    <d v="2013-12-10T00:00:00"/>
    <x v="2"/>
    <s v="First Class"/>
    <s v="FP-14320"/>
    <x v="237"/>
    <s v="California"/>
    <x v="0"/>
    <x v="3"/>
    <x v="209"/>
    <x v="526"/>
    <x v="0"/>
  </r>
  <r>
    <x v="175"/>
    <d v="2013-12-13T00:00:00"/>
    <x v="4"/>
    <s v="Standard Class"/>
    <s v="AS-10630"/>
    <x v="238"/>
    <s v="Washington"/>
    <x v="0"/>
    <x v="1"/>
    <x v="254"/>
    <x v="527"/>
    <x v="8"/>
  </r>
  <r>
    <x v="175"/>
    <d v="2013-12-08T00:00:00"/>
    <x v="3"/>
    <s v="First Class"/>
    <s v="EH-14005"/>
    <x v="239"/>
    <s v="California"/>
    <x v="0"/>
    <x v="0"/>
    <x v="494"/>
    <x v="528"/>
    <x v="0"/>
  </r>
  <r>
    <x v="176"/>
    <d v="2013-12-13T00:00:00"/>
    <x v="1"/>
    <s v="Standard Class"/>
    <s v="TB-21250"/>
    <x v="240"/>
    <s v="Oregon"/>
    <x v="0"/>
    <x v="15"/>
    <x v="326"/>
    <x v="529"/>
    <x v="8"/>
  </r>
  <r>
    <x v="176"/>
    <d v="2013-12-13T00:00:00"/>
    <x v="1"/>
    <s v="Standard Class"/>
    <s v="TB-21250"/>
    <x v="240"/>
    <s v="Oregon"/>
    <x v="0"/>
    <x v="5"/>
    <x v="495"/>
    <x v="530"/>
    <x v="2"/>
  </r>
  <r>
    <x v="176"/>
    <d v="2013-12-13T00:00:00"/>
    <x v="1"/>
    <s v="Standard Class"/>
    <s v="TB-21250"/>
    <x v="240"/>
    <s v="Oregon"/>
    <x v="2"/>
    <x v="14"/>
    <x v="496"/>
    <x v="531"/>
    <x v="0"/>
  </r>
  <r>
    <x v="176"/>
    <d v="2013-12-13T00:00:00"/>
    <x v="1"/>
    <s v="Standard Class"/>
    <s v="TB-21250"/>
    <x v="240"/>
    <s v="Oregon"/>
    <x v="0"/>
    <x v="12"/>
    <x v="497"/>
    <x v="532"/>
    <x v="1"/>
  </r>
  <r>
    <x v="176"/>
    <d v="2013-12-13T00:00:00"/>
    <x v="1"/>
    <s v="Standard Class"/>
    <s v="TB-21250"/>
    <x v="240"/>
    <s v="Oregon"/>
    <x v="2"/>
    <x v="11"/>
    <x v="498"/>
    <x v="533"/>
    <x v="3"/>
  </r>
  <r>
    <x v="176"/>
    <d v="2013-12-13T00:00:00"/>
    <x v="1"/>
    <s v="Standard Class"/>
    <s v="TB-21250"/>
    <x v="240"/>
    <s v="Oregon"/>
    <x v="0"/>
    <x v="15"/>
    <x v="499"/>
    <x v="217"/>
    <x v="1"/>
  </r>
  <r>
    <x v="176"/>
    <d v="2013-12-13T00:00:00"/>
    <x v="1"/>
    <s v="Standard Class"/>
    <s v="TB-21250"/>
    <x v="240"/>
    <s v="Oregon"/>
    <x v="0"/>
    <x v="0"/>
    <x v="500"/>
    <x v="534"/>
    <x v="4"/>
  </r>
  <r>
    <x v="176"/>
    <d v="2013-12-13T00:00:00"/>
    <x v="1"/>
    <s v="Standard Class"/>
    <s v="TB-21250"/>
    <x v="240"/>
    <s v="Oregon"/>
    <x v="0"/>
    <x v="1"/>
    <x v="501"/>
    <x v="535"/>
    <x v="0"/>
  </r>
  <r>
    <x v="176"/>
    <d v="2013-12-10T00:00:00"/>
    <x v="0"/>
    <s v="Second Class"/>
    <s v="JK-15625"/>
    <x v="241"/>
    <s v="Washington"/>
    <x v="0"/>
    <x v="0"/>
    <x v="502"/>
    <x v="536"/>
    <x v="4"/>
  </r>
  <r>
    <x v="176"/>
    <d v="2013-12-10T00:00:00"/>
    <x v="0"/>
    <s v="Second Class"/>
    <s v="JK-15625"/>
    <x v="241"/>
    <s v="Washington"/>
    <x v="1"/>
    <x v="10"/>
    <x v="344"/>
    <x v="360"/>
    <x v="1"/>
  </r>
  <r>
    <x v="176"/>
    <d v="2013-12-15T00:00:00"/>
    <x v="6"/>
    <s v="Standard Class"/>
    <s v="DJ-13420"/>
    <x v="242"/>
    <s v="California"/>
    <x v="1"/>
    <x v="7"/>
    <x v="431"/>
    <x v="453"/>
    <x v="4"/>
  </r>
  <r>
    <x v="176"/>
    <d v="2013-12-15T00:00:00"/>
    <x v="6"/>
    <s v="Standard Class"/>
    <s v="DJ-13420"/>
    <x v="242"/>
    <s v="California"/>
    <x v="1"/>
    <x v="7"/>
    <x v="503"/>
    <x v="537"/>
    <x v="0"/>
  </r>
  <r>
    <x v="177"/>
    <d v="2013-12-16T00:00:00"/>
    <x v="6"/>
    <s v="Standard Class"/>
    <s v="CK-12760"/>
    <x v="243"/>
    <s v="California"/>
    <x v="0"/>
    <x v="0"/>
    <x v="504"/>
    <x v="538"/>
    <x v="5"/>
  </r>
  <r>
    <x v="177"/>
    <d v="2013-12-14T00:00:00"/>
    <x v="1"/>
    <s v="Standard Class"/>
    <s v="DM-12955"/>
    <x v="244"/>
    <s v="Arizona"/>
    <x v="0"/>
    <x v="1"/>
    <x v="505"/>
    <x v="539"/>
    <x v="5"/>
  </r>
  <r>
    <x v="178"/>
    <d v="2013-12-14T00:00:00"/>
    <x v="5"/>
    <s v="Standard Class"/>
    <s v="SH-19975"/>
    <x v="245"/>
    <s v="Idaho"/>
    <x v="1"/>
    <x v="10"/>
    <x v="506"/>
    <x v="540"/>
    <x v="0"/>
  </r>
  <r>
    <x v="178"/>
    <d v="2013-12-14T00:00:00"/>
    <x v="5"/>
    <s v="Standard Class"/>
    <s v="SH-19975"/>
    <x v="245"/>
    <s v="Idaho"/>
    <x v="0"/>
    <x v="0"/>
    <x v="279"/>
    <x v="292"/>
    <x v="2"/>
  </r>
  <r>
    <x v="178"/>
    <d v="2013-12-14T00:00:00"/>
    <x v="5"/>
    <s v="Standard Class"/>
    <s v="SH-19975"/>
    <x v="245"/>
    <s v="Idaho"/>
    <x v="0"/>
    <x v="0"/>
    <x v="507"/>
    <x v="541"/>
    <x v="2"/>
  </r>
  <r>
    <x v="179"/>
    <d v="2013-12-14T00:00:00"/>
    <x v="0"/>
    <s v="Second Class"/>
    <s v="NP-18700"/>
    <x v="246"/>
    <s v="California"/>
    <x v="1"/>
    <x v="8"/>
    <x v="508"/>
    <x v="542"/>
    <x v="5"/>
  </r>
  <r>
    <x v="179"/>
    <d v="2013-12-14T00:00:00"/>
    <x v="0"/>
    <s v="Second Class"/>
    <s v="NP-18700"/>
    <x v="246"/>
    <s v="California"/>
    <x v="1"/>
    <x v="8"/>
    <x v="509"/>
    <x v="543"/>
    <x v="7"/>
  </r>
  <r>
    <x v="179"/>
    <d v="2013-12-14T00:00:00"/>
    <x v="0"/>
    <s v="Second Class"/>
    <s v="NP-18700"/>
    <x v="246"/>
    <s v="California"/>
    <x v="1"/>
    <x v="2"/>
    <x v="510"/>
    <x v="544"/>
    <x v="0"/>
  </r>
  <r>
    <x v="179"/>
    <d v="2013-12-17T00:00:00"/>
    <x v="1"/>
    <s v="Standard Class"/>
    <s v="WB-21850"/>
    <x v="202"/>
    <s v="California"/>
    <x v="1"/>
    <x v="7"/>
    <x v="511"/>
    <x v="545"/>
    <x v="6"/>
  </r>
  <r>
    <x v="179"/>
    <d v="2013-12-15T00:00:00"/>
    <x v="2"/>
    <s v="Second Class"/>
    <s v="LH-17155"/>
    <x v="247"/>
    <s v="California"/>
    <x v="1"/>
    <x v="7"/>
    <x v="512"/>
    <x v="546"/>
    <x v="0"/>
  </r>
  <r>
    <x v="179"/>
    <d v="2013-12-15T00:00:00"/>
    <x v="2"/>
    <s v="Second Class"/>
    <s v="LH-17155"/>
    <x v="247"/>
    <s v="California"/>
    <x v="0"/>
    <x v="1"/>
    <x v="513"/>
    <x v="547"/>
    <x v="0"/>
  </r>
  <r>
    <x v="179"/>
    <d v="2013-12-15T00:00:00"/>
    <x v="2"/>
    <s v="Second Class"/>
    <s v="LH-17155"/>
    <x v="247"/>
    <s v="California"/>
    <x v="1"/>
    <x v="7"/>
    <x v="351"/>
    <x v="224"/>
    <x v="0"/>
  </r>
  <r>
    <x v="180"/>
    <d v="2013-12-15T00:00:00"/>
    <x v="0"/>
    <s v="Second Class"/>
    <s v="KD-16345"/>
    <x v="248"/>
    <s v="California"/>
    <x v="0"/>
    <x v="0"/>
    <x v="514"/>
    <x v="548"/>
    <x v="5"/>
  </r>
  <r>
    <x v="180"/>
    <d v="2013-12-17T00:00:00"/>
    <x v="5"/>
    <s v="Standard Class"/>
    <s v="RF-19345"/>
    <x v="249"/>
    <s v="Arizona"/>
    <x v="1"/>
    <x v="7"/>
    <x v="515"/>
    <x v="549"/>
    <x v="0"/>
  </r>
  <r>
    <x v="180"/>
    <d v="2013-12-17T00:00:00"/>
    <x v="5"/>
    <s v="Standard Class"/>
    <s v="RF-19345"/>
    <x v="249"/>
    <s v="Arizona"/>
    <x v="0"/>
    <x v="5"/>
    <x v="516"/>
    <x v="550"/>
    <x v="4"/>
  </r>
  <r>
    <x v="181"/>
    <d v="2013-12-19T00:00:00"/>
    <x v="5"/>
    <s v="Second Class"/>
    <s v="JO-15280"/>
    <x v="250"/>
    <s v="California"/>
    <x v="1"/>
    <x v="7"/>
    <x v="517"/>
    <x v="366"/>
    <x v="4"/>
  </r>
  <r>
    <x v="182"/>
    <d v="2013-12-17T00:00:00"/>
    <x v="3"/>
    <s v="First Class"/>
    <s v="CC-12100"/>
    <x v="251"/>
    <s v="California"/>
    <x v="1"/>
    <x v="7"/>
    <x v="518"/>
    <x v="551"/>
    <x v="4"/>
  </r>
  <r>
    <x v="182"/>
    <d v="2013-12-17T00:00:00"/>
    <x v="3"/>
    <s v="First Class"/>
    <s v="CC-12100"/>
    <x v="251"/>
    <s v="California"/>
    <x v="1"/>
    <x v="10"/>
    <x v="344"/>
    <x v="552"/>
    <x v="4"/>
  </r>
  <r>
    <x v="182"/>
    <d v="2013-12-17T00:00:00"/>
    <x v="3"/>
    <s v="First Class"/>
    <s v="CC-12100"/>
    <x v="251"/>
    <s v="California"/>
    <x v="2"/>
    <x v="11"/>
    <x v="519"/>
    <x v="553"/>
    <x v="1"/>
  </r>
  <r>
    <x v="182"/>
    <d v="2013-12-17T00:00:00"/>
    <x v="3"/>
    <s v="First Class"/>
    <s v="CC-12100"/>
    <x v="251"/>
    <s v="California"/>
    <x v="2"/>
    <x v="14"/>
    <x v="520"/>
    <x v="554"/>
    <x v="2"/>
  </r>
  <r>
    <x v="182"/>
    <d v="2013-12-21T00:00:00"/>
    <x v="1"/>
    <s v="Standard Class"/>
    <s v="SH-20635"/>
    <x v="252"/>
    <s v="California"/>
    <x v="1"/>
    <x v="10"/>
    <x v="521"/>
    <x v="555"/>
    <x v="1"/>
  </r>
  <r>
    <x v="183"/>
    <d v="2013-12-21T00:00:00"/>
    <x v="0"/>
    <s v="First Class"/>
    <s v="BP-11095"/>
    <x v="253"/>
    <s v="California"/>
    <x v="0"/>
    <x v="15"/>
    <x v="294"/>
    <x v="556"/>
    <x v="4"/>
  </r>
  <r>
    <x v="183"/>
    <d v="2013-12-21T00:00:00"/>
    <x v="0"/>
    <s v="First Class"/>
    <s v="BP-11095"/>
    <x v="253"/>
    <s v="California"/>
    <x v="0"/>
    <x v="9"/>
    <x v="522"/>
    <x v="557"/>
    <x v="1"/>
  </r>
  <r>
    <x v="183"/>
    <d v="2013-12-21T00:00:00"/>
    <x v="0"/>
    <s v="First Class"/>
    <s v="BP-11095"/>
    <x v="253"/>
    <s v="California"/>
    <x v="2"/>
    <x v="14"/>
    <x v="523"/>
    <x v="558"/>
    <x v="1"/>
  </r>
  <r>
    <x v="183"/>
    <d v="2013-12-21T00:00:00"/>
    <x v="0"/>
    <s v="First Class"/>
    <s v="BP-11095"/>
    <x v="253"/>
    <s v="California"/>
    <x v="2"/>
    <x v="14"/>
    <x v="524"/>
    <x v="559"/>
    <x v="2"/>
  </r>
  <r>
    <x v="184"/>
    <d v="2013-12-25T00:00:00"/>
    <x v="1"/>
    <s v="Standard Class"/>
    <s v="KH-16510"/>
    <x v="175"/>
    <s v="Washington"/>
    <x v="0"/>
    <x v="15"/>
    <x v="479"/>
    <x v="560"/>
    <x v="0"/>
  </r>
  <r>
    <x v="184"/>
    <d v="2013-12-23T00:00:00"/>
    <x v="2"/>
    <s v="Second Class"/>
    <s v="MC-17845"/>
    <x v="254"/>
    <s v="California"/>
    <x v="0"/>
    <x v="5"/>
    <x v="525"/>
    <x v="561"/>
    <x v="4"/>
  </r>
  <r>
    <x v="184"/>
    <d v="2013-12-23T00:00:00"/>
    <x v="2"/>
    <s v="Second Class"/>
    <s v="MC-17845"/>
    <x v="254"/>
    <s v="California"/>
    <x v="0"/>
    <x v="3"/>
    <x v="84"/>
    <x v="562"/>
    <x v="4"/>
  </r>
  <r>
    <x v="184"/>
    <d v="2013-12-23T00:00:00"/>
    <x v="2"/>
    <s v="Second Class"/>
    <s v="MC-17845"/>
    <x v="254"/>
    <s v="California"/>
    <x v="0"/>
    <x v="3"/>
    <x v="526"/>
    <x v="563"/>
    <x v="6"/>
  </r>
  <r>
    <x v="184"/>
    <d v="2013-12-23T00:00:00"/>
    <x v="2"/>
    <s v="Second Class"/>
    <s v="MC-17845"/>
    <x v="254"/>
    <s v="California"/>
    <x v="0"/>
    <x v="5"/>
    <x v="49"/>
    <x v="564"/>
    <x v="1"/>
  </r>
  <r>
    <x v="184"/>
    <d v="2013-12-20T00:00:00"/>
    <x v="7"/>
    <s v="Same Day"/>
    <s v="TC-21295"/>
    <x v="255"/>
    <s v="Colorado"/>
    <x v="2"/>
    <x v="11"/>
    <x v="527"/>
    <x v="565"/>
    <x v="8"/>
  </r>
  <r>
    <x v="184"/>
    <d v="2013-12-22T00:00:00"/>
    <x v="0"/>
    <s v="First Class"/>
    <s v="CT-11995"/>
    <x v="256"/>
    <s v="Arizona"/>
    <x v="1"/>
    <x v="7"/>
    <x v="528"/>
    <x v="566"/>
    <x v="4"/>
  </r>
  <r>
    <x v="184"/>
    <d v="2013-12-22T00:00:00"/>
    <x v="0"/>
    <s v="First Class"/>
    <s v="CT-11995"/>
    <x v="256"/>
    <s v="Arizona"/>
    <x v="2"/>
    <x v="11"/>
    <x v="529"/>
    <x v="567"/>
    <x v="0"/>
  </r>
  <r>
    <x v="184"/>
    <d v="2013-12-22T00:00:00"/>
    <x v="0"/>
    <s v="First Class"/>
    <s v="CT-11995"/>
    <x v="256"/>
    <s v="Arizona"/>
    <x v="1"/>
    <x v="10"/>
    <x v="530"/>
    <x v="568"/>
    <x v="0"/>
  </r>
  <r>
    <x v="184"/>
    <d v="2013-12-22T00:00:00"/>
    <x v="0"/>
    <s v="First Class"/>
    <s v="CT-11995"/>
    <x v="256"/>
    <s v="Arizona"/>
    <x v="0"/>
    <x v="0"/>
    <x v="460"/>
    <x v="569"/>
    <x v="1"/>
  </r>
  <r>
    <x v="184"/>
    <d v="2013-12-22T00:00:00"/>
    <x v="0"/>
    <s v="First Class"/>
    <s v="CT-11995"/>
    <x v="256"/>
    <s v="Arizona"/>
    <x v="0"/>
    <x v="0"/>
    <x v="531"/>
    <x v="570"/>
    <x v="4"/>
  </r>
  <r>
    <x v="185"/>
    <d v="2013-12-27T00:00:00"/>
    <x v="4"/>
    <s v="Standard Class"/>
    <s v="GM-14440"/>
    <x v="257"/>
    <s v="California"/>
    <x v="1"/>
    <x v="10"/>
    <x v="532"/>
    <x v="571"/>
    <x v="5"/>
  </r>
  <r>
    <x v="185"/>
    <d v="2013-12-27T00:00:00"/>
    <x v="4"/>
    <s v="Standard Class"/>
    <s v="GM-14440"/>
    <x v="257"/>
    <s v="California"/>
    <x v="1"/>
    <x v="10"/>
    <x v="467"/>
    <x v="572"/>
    <x v="0"/>
  </r>
  <r>
    <x v="186"/>
    <d v="2013-12-26T00:00:00"/>
    <x v="5"/>
    <s v="Standard Class"/>
    <s v="KM-16660"/>
    <x v="258"/>
    <s v="California"/>
    <x v="0"/>
    <x v="3"/>
    <x v="533"/>
    <x v="573"/>
    <x v="2"/>
  </r>
  <r>
    <x v="187"/>
    <d v="2013-12-29T00:00:00"/>
    <x v="1"/>
    <s v="Standard Class"/>
    <s v="JC-16105"/>
    <x v="259"/>
    <s v="California"/>
    <x v="0"/>
    <x v="1"/>
    <x v="534"/>
    <x v="574"/>
    <x v="6"/>
  </r>
  <r>
    <x v="187"/>
    <d v="2013-12-29T00:00:00"/>
    <x v="1"/>
    <s v="Standard Class"/>
    <s v="JC-16105"/>
    <x v="259"/>
    <s v="California"/>
    <x v="1"/>
    <x v="10"/>
    <x v="535"/>
    <x v="575"/>
    <x v="5"/>
  </r>
  <r>
    <x v="187"/>
    <d v="2013-12-29T00:00:00"/>
    <x v="1"/>
    <s v="Standard Class"/>
    <s v="BF-11170"/>
    <x v="103"/>
    <s v="California"/>
    <x v="2"/>
    <x v="14"/>
    <x v="536"/>
    <x v="576"/>
    <x v="8"/>
  </r>
  <r>
    <x v="187"/>
    <d v="2013-12-29T00:00:00"/>
    <x v="1"/>
    <s v="Standard Class"/>
    <s v="BF-11170"/>
    <x v="103"/>
    <s v="California"/>
    <x v="0"/>
    <x v="4"/>
    <x v="537"/>
    <x v="577"/>
    <x v="4"/>
  </r>
  <r>
    <x v="187"/>
    <d v="2013-12-29T00:00:00"/>
    <x v="1"/>
    <s v="Standard Class"/>
    <s v="BF-11170"/>
    <x v="103"/>
    <s v="California"/>
    <x v="2"/>
    <x v="11"/>
    <x v="538"/>
    <x v="578"/>
    <x v="0"/>
  </r>
  <r>
    <x v="187"/>
    <d v="2013-12-29T00:00:00"/>
    <x v="1"/>
    <s v="Standard Class"/>
    <s v="BF-11170"/>
    <x v="103"/>
    <s v="California"/>
    <x v="2"/>
    <x v="14"/>
    <x v="256"/>
    <x v="579"/>
    <x v="0"/>
  </r>
  <r>
    <x v="187"/>
    <d v="2013-12-29T00:00:00"/>
    <x v="1"/>
    <s v="Standard Class"/>
    <s v="BF-11170"/>
    <x v="103"/>
    <s v="California"/>
    <x v="0"/>
    <x v="1"/>
    <x v="339"/>
    <x v="580"/>
    <x v="6"/>
  </r>
  <r>
    <x v="187"/>
    <d v="2013-12-29T00:00:00"/>
    <x v="1"/>
    <s v="Standard Class"/>
    <s v="BF-11170"/>
    <x v="103"/>
    <s v="California"/>
    <x v="1"/>
    <x v="7"/>
    <x v="539"/>
    <x v="581"/>
    <x v="6"/>
  </r>
  <r>
    <x v="187"/>
    <d v="2013-12-26T00:00:00"/>
    <x v="0"/>
    <s v="First Class"/>
    <s v="AS-10090"/>
    <x v="260"/>
    <s v="California"/>
    <x v="0"/>
    <x v="4"/>
    <x v="540"/>
    <x v="582"/>
    <x v="6"/>
  </r>
  <r>
    <x v="188"/>
    <d v="2013-12-28T00:00:00"/>
    <x v="0"/>
    <s v="First Class"/>
    <s v="KL-16555"/>
    <x v="261"/>
    <s v="Colorado"/>
    <x v="1"/>
    <x v="7"/>
    <x v="101"/>
    <x v="583"/>
    <x v="9"/>
  </r>
  <r>
    <x v="188"/>
    <d v="2013-12-28T00:00:00"/>
    <x v="0"/>
    <s v="First Class"/>
    <s v="KL-16555"/>
    <x v="261"/>
    <s v="Colorado"/>
    <x v="1"/>
    <x v="10"/>
    <x v="541"/>
    <x v="584"/>
    <x v="0"/>
  </r>
  <r>
    <x v="188"/>
    <d v="2013-12-28T00:00:00"/>
    <x v="0"/>
    <s v="First Class"/>
    <s v="KL-16555"/>
    <x v="261"/>
    <s v="Colorado"/>
    <x v="1"/>
    <x v="7"/>
    <x v="542"/>
    <x v="585"/>
    <x v="0"/>
  </r>
  <r>
    <x v="188"/>
    <d v="2013-12-28T00:00:00"/>
    <x v="0"/>
    <s v="First Class"/>
    <s v="KL-16555"/>
    <x v="261"/>
    <s v="Colorado"/>
    <x v="0"/>
    <x v="5"/>
    <x v="17"/>
    <x v="586"/>
    <x v="1"/>
  </r>
  <r>
    <x v="188"/>
    <d v="2013-12-28T00:00:00"/>
    <x v="0"/>
    <s v="First Class"/>
    <s v="KL-16555"/>
    <x v="261"/>
    <s v="Colorado"/>
    <x v="0"/>
    <x v="9"/>
    <x v="264"/>
    <x v="587"/>
    <x v="0"/>
  </r>
  <r>
    <x v="188"/>
    <d v="2013-12-30T00:00:00"/>
    <x v="5"/>
    <s v="Standard Class"/>
    <s v="CK-12595"/>
    <x v="262"/>
    <s v="California"/>
    <x v="0"/>
    <x v="12"/>
    <x v="543"/>
    <x v="588"/>
    <x v="0"/>
  </r>
  <r>
    <x v="188"/>
    <d v="2013-12-30T00:00:00"/>
    <x v="5"/>
    <s v="Standard Class"/>
    <s v="CK-12595"/>
    <x v="262"/>
    <s v="California"/>
    <x v="1"/>
    <x v="7"/>
    <x v="118"/>
    <x v="589"/>
    <x v="4"/>
  </r>
  <r>
    <x v="189"/>
    <d v="2013-12-30T00:00:00"/>
    <x v="2"/>
    <s v="Second Class"/>
    <s v="AT-10435"/>
    <x v="263"/>
    <s v="California"/>
    <x v="0"/>
    <x v="15"/>
    <x v="121"/>
    <x v="590"/>
    <x v="2"/>
  </r>
  <r>
    <x v="189"/>
    <d v="2014-01-02T00:00:00"/>
    <x v="4"/>
    <s v="Standard Class"/>
    <s v="JF-15490"/>
    <x v="186"/>
    <s v="California"/>
    <x v="1"/>
    <x v="10"/>
    <x v="113"/>
    <x v="116"/>
    <x v="0"/>
  </r>
  <r>
    <x v="189"/>
    <d v="2014-01-02T00:00:00"/>
    <x v="4"/>
    <s v="Standard Class"/>
    <s v="JF-15490"/>
    <x v="186"/>
    <s v="California"/>
    <x v="0"/>
    <x v="0"/>
    <x v="544"/>
    <x v="591"/>
    <x v="0"/>
  </r>
  <r>
    <x v="189"/>
    <d v="2013-12-31T00:00:00"/>
    <x v="5"/>
    <s v="Standard Class"/>
    <s v="CD-12790"/>
    <x v="8"/>
    <s v="California"/>
    <x v="0"/>
    <x v="4"/>
    <x v="328"/>
    <x v="592"/>
    <x v="6"/>
  </r>
  <r>
    <x v="189"/>
    <d v="2013-12-31T00:00:00"/>
    <x v="5"/>
    <s v="Standard Class"/>
    <s v="CD-12790"/>
    <x v="8"/>
    <s v="California"/>
    <x v="0"/>
    <x v="9"/>
    <x v="16"/>
    <x v="593"/>
    <x v="0"/>
  </r>
  <r>
    <x v="189"/>
    <d v="2013-12-31T00:00:00"/>
    <x v="5"/>
    <s v="Standard Class"/>
    <s v="CD-12790"/>
    <x v="8"/>
    <s v="California"/>
    <x v="0"/>
    <x v="1"/>
    <x v="545"/>
    <x v="594"/>
    <x v="0"/>
  </r>
  <r>
    <x v="189"/>
    <d v="2013-12-31T00:00:00"/>
    <x v="5"/>
    <s v="Standard Class"/>
    <s v="CD-12790"/>
    <x v="8"/>
    <s v="California"/>
    <x v="0"/>
    <x v="5"/>
    <x v="391"/>
    <x v="595"/>
    <x v="0"/>
  </r>
  <r>
    <x v="189"/>
    <d v="2013-12-31T00:00:00"/>
    <x v="5"/>
    <s v="Standard Class"/>
    <s v="RP-19390"/>
    <x v="148"/>
    <s v="Arizona"/>
    <x v="0"/>
    <x v="5"/>
    <x v="546"/>
    <x v="596"/>
    <x v="5"/>
  </r>
  <r>
    <x v="190"/>
    <d v="2014-01-03T00:00:00"/>
    <x v="4"/>
    <s v="Standard Class"/>
    <s v="MD-17350"/>
    <x v="264"/>
    <s v="California"/>
    <x v="0"/>
    <x v="1"/>
    <x v="406"/>
    <x v="597"/>
    <x v="11"/>
  </r>
  <r>
    <x v="190"/>
    <d v="2014-01-03T00:00:00"/>
    <x v="4"/>
    <s v="Standard Class"/>
    <s v="MD-17350"/>
    <x v="264"/>
    <s v="California"/>
    <x v="0"/>
    <x v="12"/>
    <x v="447"/>
    <x v="598"/>
    <x v="1"/>
  </r>
  <r>
    <x v="191"/>
    <d v="2014-01-02T00:00:00"/>
    <x v="5"/>
    <s v="Standard Class"/>
    <s v="AJ-10795"/>
    <x v="265"/>
    <s v="California"/>
    <x v="1"/>
    <x v="7"/>
    <x v="547"/>
    <x v="599"/>
    <x v="1"/>
  </r>
  <r>
    <x v="191"/>
    <d v="2014-01-02T00:00:00"/>
    <x v="5"/>
    <s v="Standard Class"/>
    <s v="AJ-10795"/>
    <x v="265"/>
    <s v="California"/>
    <x v="0"/>
    <x v="0"/>
    <x v="548"/>
    <x v="600"/>
    <x v="2"/>
  </r>
  <r>
    <x v="191"/>
    <d v="2014-01-02T00:00:00"/>
    <x v="5"/>
    <s v="Standard Class"/>
    <s v="AJ-10795"/>
    <x v="265"/>
    <s v="California"/>
    <x v="2"/>
    <x v="13"/>
    <x v="549"/>
    <x v="601"/>
    <x v="5"/>
  </r>
  <r>
    <x v="191"/>
    <d v="2014-01-02T00:00:00"/>
    <x v="5"/>
    <s v="Standard Class"/>
    <s v="AJ-10795"/>
    <x v="265"/>
    <s v="California"/>
    <x v="0"/>
    <x v="5"/>
    <x v="550"/>
    <x v="400"/>
    <x v="0"/>
  </r>
  <r>
    <x v="191"/>
    <d v="2014-01-02T00:00:00"/>
    <x v="5"/>
    <s v="Standard Class"/>
    <s v="AJ-10795"/>
    <x v="265"/>
    <s v="California"/>
    <x v="2"/>
    <x v="14"/>
    <x v="438"/>
    <x v="602"/>
    <x v="0"/>
  </r>
  <r>
    <x v="191"/>
    <d v="2014-01-02T00:00:00"/>
    <x v="5"/>
    <s v="Standard Class"/>
    <s v="AJ-10795"/>
    <x v="265"/>
    <s v="California"/>
    <x v="0"/>
    <x v="15"/>
    <x v="551"/>
    <x v="603"/>
    <x v="11"/>
  </r>
  <r>
    <x v="191"/>
    <d v="2014-01-02T00:00:00"/>
    <x v="5"/>
    <s v="Standard Class"/>
    <s v="AJ-10795"/>
    <x v="265"/>
    <s v="California"/>
    <x v="1"/>
    <x v="7"/>
    <x v="552"/>
    <x v="604"/>
    <x v="5"/>
  </r>
  <r>
    <x v="191"/>
    <d v="2014-01-03T00:00:00"/>
    <x v="1"/>
    <s v="Second Class"/>
    <s v="ST-20530"/>
    <x v="266"/>
    <s v="New Mexico"/>
    <x v="2"/>
    <x v="14"/>
    <x v="553"/>
    <x v="605"/>
    <x v="0"/>
  </r>
  <r>
    <x v="191"/>
    <d v="2014-01-03T00:00:00"/>
    <x v="1"/>
    <s v="Second Class"/>
    <s v="ST-20530"/>
    <x v="266"/>
    <s v="New Mexico"/>
    <x v="0"/>
    <x v="1"/>
    <x v="554"/>
    <x v="606"/>
    <x v="6"/>
  </r>
  <r>
    <x v="191"/>
    <d v="2014-01-03T00:00:00"/>
    <x v="1"/>
    <s v="Standard Class"/>
    <s v="AI-10855"/>
    <x v="62"/>
    <s v="California"/>
    <x v="0"/>
    <x v="15"/>
    <x v="555"/>
    <x v="607"/>
    <x v="5"/>
  </r>
  <r>
    <x v="191"/>
    <d v="2014-01-03T00:00:00"/>
    <x v="1"/>
    <s v="Standard Class"/>
    <s v="AI-10855"/>
    <x v="62"/>
    <s v="California"/>
    <x v="2"/>
    <x v="14"/>
    <x v="556"/>
    <x v="608"/>
    <x v="2"/>
  </r>
  <r>
    <x v="192"/>
    <d v="2014-01-04T00:00:00"/>
    <x v="1"/>
    <s v="Standard Class"/>
    <s v="MF-17665"/>
    <x v="267"/>
    <s v="Arizona"/>
    <x v="0"/>
    <x v="5"/>
    <x v="258"/>
    <x v="609"/>
    <x v="1"/>
  </r>
  <r>
    <x v="193"/>
    <d v="2013-12-31T00:00:00"/>
    <x v="7"/>
    <s v="Same Day"/>
    <s v="JL-15175"/>
    <x v="268"/>
    <s v="Nevada"/>
    <x v="2"/>
    <x v="14"/>
    <x v="557"/>
    <x v="610"/>
    <x v="8"/>
  </r>
  <r>
    <x v="194"/>
    <d v="2014-01-10T00:00:00"/>
    <x v="1"/>
    <s v="Standard Class"/>
    <s v="SR-20740"/>
    <x v="16"/>
    <s v="Washington"/>
    <x v="1"/>
    <x v="10"/>
    <x v="558"/>
    <x v="611"/>
    <x v="6"/>
  </r>
  <r>
    <x v="194"/>
    <d v="2014-01-10T00:00:00"/>
    <x v="1"/>
    <s v="Standard Class"/>
    <s v="JL-15175"/>
    <x v="268"/>
    <s v="California"/>
    <x v="0"/>
    <x v="4"/>
    <x v="481"/>
    <x v="612"/>
    <x v="5"/>
  </r>
  <r>
    <x v="194"/>
    <d v="2014-01-10T00:00:00"/>
    <x v="1"/>
    <s v="Standard Class"/>
    <s v="JL-15175"/>
    <x v="268"/>
    <s v="California"/>
    <x v="0"/>
    <x v="5"/>
    <x v="559"/>
    <x v="613"/>
    <x v="5"/>
  </r>
  <r>
    <x v="195"/>
    <d v="2014-01-12T00:00:00"/>
    <x v="4"/>
    <s v="Standard Class"/>
    <s v="SP-20620"/>
    <x v="269"/>
    <s v="Colorado"/>
    <x v="0"/>
    <x v="0"/>
    <x v="560"/>
    <x v="614"/>
    <x v="1"/>
  </r>
  <r>
    <x v="195"/>
    <d v="2014-01-12T00:00:00"/>
    <x v="4"/>
    <s v="Standard Class"/>
    <s v="SP-20620"/>
    <x v="269"/>
    <s v="Colorado"/>
    <x v="0"/>
    <x v="5"/>
    <x v="98"/>
    <x v="615"/>
    <x v="4"/>
  </r>
  <r>
    <x v="196"/>
    <d v="2014-01-17T00:00:00"/>
    <x v="5"/>
    <s v="Standard Class"/>
    <s v="PB-19150"/>
    <x v="105"/>
    <s v="California"/>
    <x v="0"/>
    <x v="5"/>
    <x v="561"/>
    <x v="616"/>
    <x v="0"/>
  </r>
  <r>
    <x v="196"/>
    <d v="2014-01-17T00:00:00"/>
    <x v="5"/>
    <s v="Standard Class"/>
    <s v="PB-19150"/>
    <x v="105"/>
    <s v="California"/>
    <x v="1"/>
    <x v="7"/>
    <x v="486"/>
    <x v="617"/>
    <x v="2"/>
  </r>
  <r>
    <x v="196"/>
    <d v="2014-01-17T00:00:00"/>
    <x v="5"/>
    <s v="Standard Class"/>
    <s v="PB-19150"/>
    <x v="105"/>
    <s v="California"/>
    <x v="1"/>
    <x v="7"/>
    <x v="562"/>
    <x v="618"/>
    <x v="11"/>
  </r>
  <r>
    <x v="197"/>
    <d v="2014-01-27T00:00:00"/>
    <x v="5"/>
    <s v="Standard Class"/>
    <s v="CW-11905"/>
    <x v="270"/>
    <s v="Montana"/>
    <x v="0"/>
    <x v="0"/>
    <x v="9"/>
    <x v="619"/>
    <x v="0"/>
  </r>
  <r>
    <x v="197"/>
    <d v="2014-01-27T00:00:00"/>
    <x v="5"/>
    <s v="Standard Class"/>
    <s v="CW-11905"/>
    <x v="270"/>
    <s v="Montana"/>
    <x v="0"/>
    <x v="15"/>
    <x v="563"/>
    <x v="556"/>
    <x v="4"/>
  </r>
  <r>
    <x v="198"/>
    <d v="2014-02-01T00:00:00"/>
    <x v="4"/>
    <s v="Standard Class"/>
    <s v="EM-13825"/>
    <x v="271"/>
    <s v="California"/>
    <x v="0"/>
    <x v="0"/>
    <x v="564"/>
    <x v="620"/>
    <x v="9"/>
  </r>
  <r>
    <x v="199"/>
    <d v="2014-01-29T00:00:00"/>
    <x v="0"/>
    <s v="First Class"/>
    <s v="SC-20305"/>
    <x v="272"/>
    <s v="California"/>
    <x v="1"/>
    <x v="10"/>
    <x v="565"/>
    <x v="621"/>
    <x v="1"/>
  </r>
  <r>
    <x v="200"/>
    <d v="2014-02-06T00:00:00"/>
    <x v="6"/>
    <s v="Standard Class"/>
    <s v="CC-12145"/>
    <x v="108"/>
    <s v="California"/>
    <x v="1"/>
    <x v="7"/>
    <x v="528"/>
    <x v="622"/>
    <x v="8"/>
  </r>
  <r>
    <x v="200"/>
    <d v="2014-02-06T00:00:00"/>
    <x v="6"/>
    <s v="Standard Class"/>
    <s v="CC-12145"/>
    <x v="108"/>
    <s v="California"/>
    <x v="2"/>
    <x v="13"/>
    <x v="566"/>
    <x v="623"/>
    <x v="0"/>
  </r>
  <r>
    <x v="201"/>
    <d v="2014-02-04T00:00:00"/>
    <x v="3"/>
    <s v="First Class"/>
    <s v="RW-19540"/>
    <x v="273"/>
    <s v="California"/>
    <x v="1"/>
    <x v="7"/>
    <x v="567"/>
    <x v="624"/>
    <x v="2"/>
  </r>
  <r>
    <x v="201"/>
    <d v="2014-02-05T00:00:00"/>
    <x v="0"/>
    <s v="Second Class"/>
    <s v="KH-16630"/>
    <x v="274"/>
    <s v="Utah"/>
    <x v="0"/>
    <x v="5"/>
    <x v="568"/>
    <x v="625"/>
    <x v="0"/>
  </r>
  <r>
    <x v="202"/>
    <d v="2014-02-13T00:00:00"/>
    <x v="6"/>
    <s v="Standard Class"/>
    <s v="VW-21775"/>
    <x v="275"/>
    <s v="Washington"/>
    <x v="0"/>
    <x v="3"/>
    <x v="569"/>
    <x v="626"/>
    <x v="0"/>
  </r>
  <r>
    <x v="203"/>
    <d v="2014-02-16T00:00:00"/>
    <x v="6"/>
    <s v="Standard Class"/>
    <s v="SJ-20215"/>
    <x v="276"/>
    <s v="California"/>
    <x v="1"/>
    <x v="10"/>
    <x v="361"/>
    <x v="627"/>
    <x v="1"/>
  </r>
  <r>
    <x v="204"/>
    <d v="2014-02-18T00:00:00"/>
    <x v="2"/>
    <s v="Second Class"/>
    <s v="JM-16195"/>
    <x v="277"/>
    <s v="California"/>
    <x v="0"/>
    <x v="0"/>
    <x v="570"/>
    <x v="300"/>
    <x v="4"/>
  </r>
  <r>
    <x v="204"/>
    <d v="2014-02-18T00:00:00"/>
    <x v="2"/>
    <s v="Second Class"/>
    <s v="JM-16195"/>
    <x v="277"/>
    <s v="California"/>
    <x v="0"/>
    <x v="5"/>
    <x v="571"/>
    <x v="628"/>
    <x v="1"/>
  </r>
  <r>
    <x v="204"/>
    <d v="2014-02-18T00:00:00"/>
    <x v="2"/>
    <s v="Second Class"/>
    <s v="JM-16195"/>
    <x v="277"/>
    <s v="California"/>
    <x v="0"/>
    <x v="5"/>
    <x v="572"/>
    <x v="217"/>
    <x v="1"/>
  </r>
  <r>
    <x v="204"/>
    <d v="2014-02-18T00:00:00"/>
    <x v="2"/>
    <s v="Second Class"/>
    <s v="JM-16195"/>
    <x v="277"/>
    <s v="California"/>
    <x v="0"/>
    <x v="4"/>
    <x v="111"/>
    <x v="629"/>
    <x v="5"/>
  </r>
  <r>
    <x v="204"/>
    <d v="2014-02-18T00:00:00"/>
    <x v="2"/>
    <s v="Second Class"/>
    <s v="JM-16195"/>
    <x v="277"/>
    <s v="California"/>
    <x v="0"/>
    <x v="0"/>
    <x v="573"/>
    <x v="0"/>
    <x v="0"/>
  </r>
  <r>
    <x v="205"/>
    <d v="2014-02-21T00:00:00"/>
    <x v="1"/>
    <s v="Standard Class"/>
    <s v="RD-19585"/>
    <x v="278"/>
    <s v="California"/>
    <x v="0"/>
    <x v="0"/>
    <x v="574"/>
    <x v="630"/>
    <x v="0"/>
  </r>
  <r>
    <x v="205"/>
    <d v="2014-02-21T00:00:00"/>
    <x v="1"/>
    <s v="Standard Class"/>
    <s v="RD-19585"/>
    <x v="278"/>
    <s v="California"/>
    <x v="0"/>
    <x v="15"/>
    <x v="575"/>
    <x v="631"/>
    <x v="8"/>
  </r>
  <r>
    <x v="206"/>
    <d v="2014-02-22T00:00:00"/>
    <x v="5"/>
    <s v="Standard Class"/>
    <s v="AB-10600"/>
    <x v="279"/>
    <s v="California"/>
    <x v="0"/>
    <x v="15"/>
    <x v="576"/>
    <x v="224"/>
    <x v="0"/>
  </r>
  <r>
    <x v="206"/>
    <d v="2014-02-24T00:00:00"/>
    <x v="4"/>
    <s v="Standard Class"/>
    <s v="GT-14755"/>
    <x v="280"/>
    <s v="California"/>
    <x v="0"/>
    <x v="15"/>
    <x v="577"/>
    <x v="632"/>
    <x v="4"/>
  </r>
  <r>
    <x v="206"/>
    <d v="2014-02-24T00:00:00"/>
    <x v="4"/>
    <s v="Standard Class"/>
    <s v="GT-14755"/>
    <x v="280"/>
    <s v="California"/>
    <x v="1"/>
    <x v="8"/>
    <x v="578"/>
    <x v="633"/>
    <x v="6"/>
  </r>
  <r>
    <x v="207"/>
    <d v="2014-02-23T00:00:00"/>
    <x v="0"/>
    <s v="Second Class"/>
    <s v="JE-15715"/>
    <x v="281"/>
    <s v="New Mexico"/>
    <x v="0"/>
    <x v="0"/>
    <x v="409"/>
    <x v="520"/>
    <x v="2"/>
  </r>
  <r>
    <x v="208"/>
    <d v="2014-03-01T00:00:00"/>
    <x v="0"/>
    <s v="Second Class"/>
    <s v="NP-18670"/>
    <x v="282"/>
    <s v="Washington"/>
    <x v="2"/>
    <x v="11"/>
    <x v="215"/>
    <x v="634"/>
    <x v="11"/>
  </r>
  <r>
    <x v="209"/>
    <d v="2014-03-03T00:00:00"/>
    <x v="0"/>
    <s v="Second Class"/>
    <s v="DH-13075"/>
    <x v="283"/>
    <s v="California"/>
    <x v="2"/>
    <x v="14"/>
    <x v="579"/>
    <x v="635"/>
    <x v="4"/>
  </r>
  <r>
    <x v="209"/>
    <d v="2014-03-03T00:00:00"/>
    <x v="0"/>
    <s v="Second Class"/>
    <s v="DH-13075"/>
    <x v="283"/>
    <s v="California"/>
    <x v="1"/>
    <x v="10"/>
    <x v="558"/>
    <x v="636"/>
    <x v="0"/>
  </r>
  <r>
    <x v="210"/>
    <d v="2014-03-06T00:00:00"/>
    <x v="5"/>
    <s v="Standard Class"/>
    <s v="DK-13090"/>
    <x v="284"/>
    <s v="Washington"/>
    <x v="1"/>
    <x v="8"/>
    <x v="580"/>
    <x v="637"/>
    <x v="0"/>
  </r>
  <r>
    <x v="211"/>
    <d v="2014-03-11T00:00:00"/>
    <x v="1"/>
    <s v="Standard Class"/>
    <s v="JL-15850"/>
    <x v="285"/>
    <s v="California"/>
    <x v="1"/>
    <x v="7"/>
    <x v="581"/>
    <x v="638"/>
    <x v="8"/>
  </r>
  <r>
    <x v="211"/>
    <d v="2014-03-11T00:00:00"/>
    <x v="1"/>
    <s v="Standard Class"/>
    <s v="JL-15850"/>
    <x v="285"/>
    <s v="California"/>
    <x v="2"/>
    <x v="16"/>
    <x v="582"/>
    <x v="639"/>
    <x v="4"/>
  </r>
  <r>
    <x v="212"/>
    <d v="2014-03-10T00:00:00"/>
    <x v="0"/>
    <s v="First Class"/>
    <s v="FC-14335"/>
    <x v="179"/>
    <s v="Colorado"/>
    <x v="0"/>
    <x v="3"/>
    <x v="583"/>
    <x v="640"/>
    <x v="6"/>
  </r>
  <r>
    <x v="213"/>
    <d v="2014-03-15T00:00:00"/>
    <x v="0"/>
    <s v="First Class"/>
    <s v="MC-17275"/>
    <x v="145"/>
    <s v="Washington"/>
    <x v="1"/>
    <x v="2"/>
    <x v="584"/>
    <x v="641"/>
    <x v="4"/>
  </r>
  <r>
    <x v="213"/>
    <d v="2014-03-18T00:00:00"/>
    <x v="1"/>
    <s v="Second Class"/>
    <s v="NF-18595"/>
    <x v="56"/>
    <s v="California"/>
    <x v="1"/>
    <x v="10"/>
    <x v="31"/>
    <x v="642"/>
    <x v="2"/>
  </r>
  <r>
    <x v="213"/>
    <d v="2014-03-18T00:00:00"/>
    <x v="1"/>
    <s v="Second Class"/>
    <s v="NF-18595"/>
    <x v="56"/>
    <s v="California"/>
    <x v="1"/>
    <x v="7"/>
    <x v="251"/>
    <x v="259"/>
    <x v="9"/>
  </r>
  <r>
    <x v="214"/>
    <d v="2014-03-19T00:00:00"/>
    <x v="1"/>
    <s v="Standard Class"/>
    <s v="AI-10855"/>
    <x v="62"/>
    <s v="California"/>
    <x v="0"/>
    <x v="0"/>
    <x v="348"/>
    <x v="0"/>
    <x v="0"/>
  </r>
  <r>
    <x v="215"/>
    <d v="2014-03-21T00:00:00"/>
    <x v="4"/>
    <s v="Standard Class"/>
    <s v="KS-16300"/>
    <x v="286"/>
    <s v="Utah"/>
    <x v="2"/>
    <x v="14"/>
    <x v="585"/>
    <x v="643"/>
    <x v="0"/>
  </r>
  <r>
    <x v="216"/>
    <d v="2014-03-18T00:00:00"/>
    <x v="0"/>
    <s v="Second Class"/>
    <s v="JE-15475"/>
    <x v="287"/>
    <s v="Washington"/>
    <x v="1"/>
    <x v="8"/>
    <x v="148"/>
    <x v="644"/>
    <x v="4"/>
  </r>
  <r>
    <x v="216"/>
    <d v="2014-03-23T00:00:00"/>
    <x v="6"/>
    <s v="Standard Class"/>
    <s v="MF-18250"/>
    <x v="288"/>
    <s v="California"/>
    <x v="1"/>
    <x v="7"/>
    <x v="586"/>
    <x v="645"/>
    <x v="6"/>
  </r>
  <r>
    <x v="217"/>
    <d v="2014-03-25T00:00:00"/>
    <x v="4"/>
    <s v="Standard Class"/>
    <s v="JO-15550"/>
    <x v="289"/>
    <s v="Washington"/>
    <x v="2"/>
    <x v="14"/>
    <x v="587"/>
    <x v="646"/>
    <x v="0"/>
  </r>
  <r>
    <x v="217"/>
    <d v="2014-03-20T00:00:00"/>
    <x v="3"/>
    <s v="First Class"/>
    <s v="FH-14365"/>
    <x v="290"/>
    <s v="Washington"/>
    <x v="0"/>
    <x v="1"/>
    <x v="588"/>
    <x v="647"/>
    <x v="0"/>
  </r>
  <r>
    <x v="217"/>
    <d v="2014-03-20T00:00:00"/>
    <x v="3"/>
    <s v="First Class"/>
    <s v="FH-14365"/>
    <x v="290"/>
    <s v="Washington"/>
    <x v="2"/>
    <x v="16"/>
    <x v="589"/>
    <x v="648"/>
    <x v="8"/>
  </r>
  <r>
    <x v="217"/>
    <d v="2014-03-20T00:00:00"/>
    <x v="3"/>
    <s v="First Class"/>
    <s v="FH-14365"/>
    <x v="290"/>
    <s v="Washington"/>
    <x v="0"/>
    <x v="0"/>
    <x v="590"/>
    <x v="649"/>
    <x v="4"/>
  </r>
  <r>
    <x v="217"/>
    <d v="2014-03-23T00:00:00"/>
    <x v="5"/>
    <s v="Standard Class"/>
    <s v="BK-11260"/>
    <x v="291"/>
    <s v="California"/>
    <x v="0"/>
    <x v="5"/>
    <x v="591"/>
    <x v="650"/>
    <x v="4"/>
  </r>
  <r>
    <x v="217"/>
    <d v="2014-03-23T00:00:00"/>
    <x v="5"/>
    <s v="Standard Class"/>
    <s v="BK-11260"/>
    <x v="291"/>
    <s v="California"/>
    <x v="0"/>
    <x v="15"/>
    <x v="592"/>
    <x v="556"/>
    <x v="4"/>
  </r>
  <r>
    <x v="217"/>
    <d v="2014-03-23T00:00:00"/>
    <x v="5"/>
    <s v="Standard Class"/>
    <s v="BK-11260"/>
    <x v="291"/>
    <s v="California"/>
    <x v="0"/>
    <x v="12"/>
    <x v="593"/>
    <x v="651"/>
    <x v="2"/>
  </r>
  <r>
    <x v="217"/>
    <d v="2014-03-23T00:00:00"/>
    <x v="5"/>
    <s v="Standard Class"/>
    <s v="BK-11260"/>
    <x v="291"/>
    <s v="California"/>
    <x v="0"/>
    <x v="0"/>
    <x v="594"/>
    <x v="652"/>
    <x v="5"/>
  </r>
  <r>
    <x v="217"/>
    <d v="2014-03-26T00:00:00"/>
    <x v="6"/>
    <s v="Standard Class"/>
    <s v="MC-18130"/>
    <x v="153"/>
    <s v="California"/>
    <x v="0"/>
    <x v="0"/>
    <x v="443"/>
    <x v="212"/>
    <x v="4"/>
  </r>
  <r>
    <x v="217"/>
    <d v="2014-03-20T00:00:00"/>
    <x v="3"/>
    <s v="First Class"/>
    <s v="GA-14725"/>
    <x v="39"/>
    <s v="California"/>
    <x v="0"/>
    <x v="9"/>
    <x v="347"/>
    <x v="653"/>
    <x v="1"/>
  </r>
  <r>
    <x v="218"/>
    <d v="2014-03-22T00:00:00"/>
    <x v="0"/>
    <s v="Second Class"/>
    <s v="BM-11785"/>
    <x v="292"/>
    <s v="Oregon"/>
    <x v="0"/>
    <x v="1"/>
    <x v="285"/>
    <x v="654"/>
    <x v="0"/>
  </r>
  <r>
    <x v="219"/>
    <d v="2014-03-24T00:00:00"/>
    <x v="0"/>
    <s v="First Class"/>
    <s v="RD-19900"/>
    <x v="209"/>
    <s v="California"/>
    <x v="2"/>
    <x v="14"/>
    <x v="579"/>
    <x v="635"/>
    <x v="4"/>
  </r>
  <r>
    <x v="219"/>
    <d v="2014-03-26T00:00:00"/>
    <x v="5"/>
    <s v="Standard Class"/>
    <s v="JD-16150"/>
    <x v="214"/>
    <s v="California"/>
    <x v="0"/>
    <x v="0"/>
    <x v="409"/>
    <x v="655"/>
    <x v="2"/>
  </r>
  <r>
    <x v="219"/>
    <d v="2014-03-26T00:00:00"/>
    <x v="5"/>
    <s v="Standard Class"/>
    <s v="JD-16150"/>
    <x v="214"/>
    <s v="California"/>
    <x v="1"/>
    <x v="7"/>
    <x v="80"/>
    <x v="83"/>
    <x v="4"/>
  </r>
  <r>
    <x v="219"/>
    <d v="2014-03-26T00:00:00"/>
    <x v="5"/>
    <s v="Standard Class"/>
    <s v="JD-16150"/>
    <x v="214"/>
    <s v="California"/>
    <x v="2"/>
    <x v="14"/>
    <x v="405"/>
    <x v="656"/>
    <x v="0"/>
  </r>
  <r>
    <x v="220"/>
    <d v="2014-03-30T00:00:00"/>
    <x v="6"/>
    <s v="Standard Class"/>
    <s v="BP-11095"/>
    <x v="253"/>
    <s v="California"/>
    <x v="0"/>
    <x v="0"/>
    <x v="595"/>
    <x v="651"/>
    <x v="2"/>
  </r>
  <r>
    <x v="220"/>
    <d v="2014-03-25T00:00:00"/>
    <x v="0"/>
    <s v="First Class"/>
    <s v="AM-10360"/>
    <x v="293"/>
    <s v="California"/>
    <x v="0"/>
    <x v="0"/>
    <x v="6"/>
    <x v="657"/>
    <x v="12"/>
  </r>
  <r>
    <x v="220"/>
    <d v="2014-03-25T00:00:00"/>
    <x v="0"/>
    <s v="First Class"/>
    <s v="AM-10360"/>
    <x v="293"/>
    <s v="California"/>
    <x v="2"/>
    <x v="11"/>
    <x v="23"/>
    <x v="24"/>
    <x v="0"/>
  </r>
  <r>
    <x v="221"/>
    <d v="2014-03-27T00:00:00"/>
    <x v="2"/>
    <s v="Second Class"/>
    <s v="CP-12085"/>
    <x v="294"/>
    <s v="Washington"/>
    <x v="1"/>
    <x v="7"/>
    <x v="596"/>
    <x v="658"/>
    <x v="1"/>
  </r>
  <r>
    <x v="222"/>
    <d v="2014-03-30T00:00:00"/>
    <x v="5"/>
    <s v="Standard Class"/>
    <s v="EB-13840"/>
    <x v="295"/>
    <s v="Washington"/>
    <x v="1"/>
    <x v="8"/>
    <x v="597"/>
    <x v="659"/>
    <x v="9"/>
  </r>
  <r>
    <x v="223"/>
    <d v="2014-04-03T00:00:00"/>
    <x v="6"/>
    <s v="Standard Class"/>
    <s v="MV-17485"/>
    <x v="4"/>
    <s v="Washington"/>
    <x v="0"/>
    <x v="1"/>
    <x v="598"/>
    <x v="660"/>
    <x v="1"/>
  </r>
  <r>
    <x v="224"/>
    <d v="2014-04-02T00:00:00"/>
    <x v="1"/>
    <s v="Standard Class"/>
    <s v="AB-10165"/>
    <x v="296"/>
    <s v="California"/>
    <x v="2"/>
    <x v="11"/>
    <x v="599"/>
    <x v="661"/>
    <x v="6"/>
  </r>
  <r>
    <x v="224"/>
    <d v="2014-04-02T00:00:00"/>
    <x v="1"/>
    <s v="Standard Class"/>
    <s v="AB-10165"/>
    <x v="296"/>
    <s v="California"/>
    <x v="0"/>
    <x v="0"/>
    <x v="600"/>
    <x v="662"/>
    <x v="1"/>
  </r>
  <r>
    <x v="225"/>
    <d v="2014-04-04T00:00:00"/>
    <x v="4"/>
    <s v="Standard Class"/>
    <s v="DO-13435"/>
    <x v="297"/>
    <s v="Washington"/>
    <x v="0"/>
    <x v="4"/>
    <x v="601"/>
    <x v="663"/>
    <x v="2"/>
  </r>
  <r>
    <x v="225"/>
    <d v="2014-03-31T00:00:00"/>
    <x v="0"/>
    <s v="Second Class"/>
    <s v="RB-19435"/>
    <x v="25"/>
    <s v="California"/>
    <x v="0"/>
    <x v="0"/>
    <x v="602"/>
    <x v="664"/>
    <x v="5"/>
  </r>
  <r>
    <x v="225"/>
    <d v="2014-03-31T00:00:00"/>
    <x v="0"/>
    <s v="Second Class"/>
    <s v="RB-19435"/>
    <x v="25"/>
    <s v="California"/>
    <x v="0"/>
    <x v="0"/>
    <x v="461"/>
    <x v="665"/>
    <x v="0"/>
  </r>
  <r>
    <x v="225"/>
    <d v="2014-03-31T00:00:00"/>
    <x v="0"/>
    <s v="Second Class"/>
    <s v="RB-19435"/>
    <x v="25"/>
    <s v="California"/>
    <x v="2"/>
    <x v="11"/>
    <x v="603"/>
    <x v="666"/>
    <x v="0"/>
  </r>
  <r>
    <x v="225"/>
    <d v="2014-03-31T00:00:00"/>
    <x v="0"/>
    <s v="Second Class"/>
    <s v="RB-19435"/>
    <x v="25"/>
    <s v="California"/>
    <x v="1"/>
    <x v="7"/>
    <x v="604"/>
    <x v="667"/>
    <x v="0"/>
  </r>
  <r>
    <x v="226"/>
    <d v="2014-04-09T00:00:00"/>
    <x v="6"/>
    <s v="Standard Class"/>
    <s v="JD-15790"/>
    <x v="298"/>
    <s v="California"/>
    <x v="2"/>
    <x v="13"/>
    <x v="605"/>
    <x v="567"/>
    <x v="0"/>
  </r>
  <r>
    <x v="226"/>
    <d v="2014-04-07T00:00:00"/>
    <x v="1"/>
    <s v="Standard Class"/>
    <s v="JL-15850"/>
    <x v="285"/>
    <s v="Arizona"/>
    <x v="2"/>
    <x v="14"/>
    <x v="496"/>
    <x v="668"/>
    <x v="1"/>
  </r>
  <r>
    <x v="227"/>
    <d v="2014-04-11T00:00:00"/>
    <x v="4"/>
    <s v="Standard Class"/>
    <s v="CA-11965"/>
    <x v="299"/>
    <s v="California"/>
    <x v="1"/>
    <x v="10"/>
    <x v="112"/>
    <x v="669"/>
    <x v="0"/>
  </r>
  <r>
    <x v="227"/>
    <d v="2014-04-06T00:00:00"/>
    <x v="3"/>
    <s v="Same Day"/>
    <s v="JF-15415"/>
    <x v="300"/>
    <s v="Washington"/>
    <x v="2"/>
    <x v="11"/>
    <x v="253"/>
    <x v="670"/>
    <x v="5"/>
  </r>
  <r>
    <x v="227"/>
    <d v="2014-04-06T00:00:00"/>
    <x v="3"/>
    <s v="Same Day"/>
    <s v="JF-15415"/>
    <x v="300"/>
    <s v="Washington"/>
    <x v="0"/>
    <x v="3"/>
    <x v="606"/>
    <x v="671"/>
    <x v="9"/>
  </r>
  <r>
    <x v="228"/>
    <d v="2014-04-14T00:00:00"/>
    <x v="1"/>
    <s v="Standard Class"/>
    <s v="JK-15370"/>
    <x v="301"/>
    <s v="California"/>
    <x v="1"/>
    <x v="8"/>
    <x v="607"/>
    <x v="672"/>
    <x v="0"/>
  </r>
  <r>
    <x v="229"/>
    <d v="2014-04-15T00:00:00"/>
    <x v="1"/>
    <s v="Standard Class"/>
    <s v="DM-12955"/>
    <x v="244"/>
    <s v="California"/>
    <x v="0"/>
    <x v="5"/>
    <x v="608"/>
    <x v="673"/>
    <x v="4"/>
  </r>
  <r>
    <x v="230"/>
    <d v="2014-04-14T00:00:00"/>
    <x v="2"/>
    <s v="Second Class"/>
    <s v="AR-10540"/>
    <x v="302"/>
    <s v="California"/>
    <x v="2"/>
    <x v="16"/>
    <x v="609"/>
    <x v="674"/>
    <x v="2"/>
  </r>
  <r>
    <x v="230"/>
    <d v="2014-04-14T00:00:00"/>
    <x v="2"/>
    <s v="Second Class"/>
    <s v="AR-10540"/>
    <x v="302"/>
    <s v="California"/>
    <x v="0"/>
    <x v="0"/>
    <x v="409"/>
    <x v="675"/>
    <x v="4"/>
  </r>
  <r>
    <x v="231"/>
    <d v="2014-04-17T00:00:00"/>
    <x v="1"/>
    <s v="Second Class"/>
    <s v="RD-19660"/>
    <x v="303"/>
    <s v="Washington"/>
    <x v="0"/>
    <x v="1"/>
    <x v="610"/>
    <x v="676"/>
    <x v="0"/>
  </r>
  <r>
    <x v="232"/>
    <d v="2014-04-19T00:00:00"/>
    <x v="4"/>
    <s v="Standard Class"/>
    <s v="ZC-21910"/>
    <x v="183"/>
    <s v="California"/>
    <x v="2"/>
    <x v="11"/>
    <x v="131"/>
    <x v="677"/>
    <x v="2"/>
  </r>
  <r>
    <x v="232"/>
    <d v="2014-04-19T00:00:00"/>
    <x v="4"/>
    <s v="Standard Class"/>
    <s v="ZC-21910"/>
    <x v="183"/>
    <s v="California"/>
    <x v="1"/>
    <x v="8"/>
    <x v="611"/>
    <x v="678"/>
    <x v="0"/>
  </r>
  <r>
    <x v="232"/>
    <d v="2014-04-15T00:00:00"/>
    <x v="0"/>
    <s v="Second Class"/>
    <s v="AW-10840"/>
    <x v="304"/>
    <s v="New Mexico"/>
    <x v="0"/>
    <x v="12"/>
    <x v="612"/>
    <x v="679"/>
    <x v="6"/>
  </r>
  <r>
    <x v="232"/>
    <d v="2014-04-14T00:00:00"/>
    <x v="3"/>
    <s v="First Class"/>
    <s v="HJ-14875"/>
    <x v="305"/>
    <s v="Arizona"/>
    <x v="0"/>
    <x v="0"/>
    <x v="613"/>
    <x v="287"/>
    <x v="5"/>
  </r>
  <r>
    <x v="232"/>
    <d v="2014-04-14T00:00:00"/>
    <x v="3"/>
    <s v="First Class"/>
    <s v="HJ-14875"/>
    <x v="305"/>
    <s v="Arizona"/>
    <x v="0"/>
    <x v="0"/>
    <x v="614"/>
    <x v="680"/>
    <x v="0"/>
  </r>
  <r>
    <x v="232"/>
    <d v="2014-04-19T00:00:00"/>
    <x v="4"/>
    <s v="Standard Class"/>
    <s v="BT-11395"/>
    <x v="306"/>
    <s v="California"/>
    <x v="1"/>
    <x v="7"/>
    <x v="615"/>
    <x v="681"/>
    <x v="4"/>
  </r>
  <r>
    <x v="232"/>
    <d v="2014-04-19T00:00:00"/>
    <x v="4"/>
    <s v="Standard Class"/>
    <s v="BT-11395"/>
    <x v="306"/>
    <s v="California"/>
    <x v="2"/>
    <x v="14"/>
    <x v="616"/>
    <x v="682"/>
    <x v="4"/>
  </r>
  <r>
    <x v="232"/>
    <d v="2014-04-19T00:00:00"/>
    <x v="4"/>
    <s v="Standard Class"/>
    <s v="BT-11395"/>
    <x v="306"/>
    <s v="California"/>
    <x v="0"/>
    <x v="4"/>
    <x v="617"/>
    <x v="683"/>
    <x v="4"/>
  </r>
  <r>
    <x v="232"/>
    <d v="2014-04-17T00:00:00"/>
    <x v="5"/>
    <s v="Second Class"/>
    <s v="EB-14110"/>
    <x v="307"/>
    <s v="California"/>
    <x v="1"/>
    <x v="8"/>
    <x v="618"/>
    <x v="552"/>
    <x v="4"/>
  </r>
  <r>
    <x v="232"/>
    <d v="2014-04-17T00:00:00"/>
    <x v="5"/>
    <s v="Second Class"/>
    <s v="EB-14110"/>
    <x v="307"/>
    <s v="California"/>
    <x v="2"/>
    <x v="14"/>
    <x v="619"/>
    <x v="684"/>
    <x v="4"/>
  </r>
  <r>
    <x v="232"/>
    <d v="2014-04-18T00:00:00"/>
    <x v="1"/>
    <s v="Standard Class"/>
    <s v="TH-21100"/>
    <x v="166"/>
    <s v="Arizona"/>
    <x v="0"/>
    <x v="1"/>
    <x v="620"/>
    <x v="685"/>
    <x v="6"/>
  </r>
  <r>
    <x v="233"/>
    <d v="2014-04-18T00:00:00"/>
    <x v="5"/>
    <s v="Standard Class"/>
    <s v="TP-21130"/>
    <x v="308"/>
    <s v="Oregon"/>
    <x v="0"/>
    <x v="4"/>
    <x v="621"/>
    <x v="686"/>
    <x v="6"/>
  </r>
  <r>
    <x v="234"/>
    <d v="2014-04-21T00:00:00"/>
    <x v="5"/>
    <s v="Standard Class"/>
    <s v="GA-14515"/>
    <x v="309"/>
    <s v="California"/>
    <x v="0"/>
    <x v="3"/>
    <x v="185"/>
    <x v="195"/>
    <x v="4"/>
  </r>
  <r>
    <x v="234"/>
    <d v="2014-04-21T00:00:00"/>
    <x v="5"/>
    <s v="Standard Class"/>
    <s v="GA-14515"/>
    <x v="309"/>
    <s v="California"/>
    <x v="2"/>
    <x v="11"/>
    <x v="622"/>
    <x v="687"/>
    <x v="0"/>
  </r>
  <r>
    <x v="234"/>
    <d v="2014-04-21T00:00:00"/>
    <x v="5"/>
    <s v="Standard Class"/>
    <s v="GA-14515"/>
    <x v="309"/>
    <s v="California"/>
    <x v="2"/>
    <x v="14"/>
    <x v="623"/>
    <x v="688"/>
    <x v="1"/>
  </r>
  <r>
    <x v="234"/>
    <d v="2014-04-21T00:00:00"/>
    <x v="5"/>
    <s v="Standard Class"/>
    <s v="GA-14515"/>
    <x v="309"/>
    <s v="California"/>
    <x v="0"/>
    <x v="4"/>
    <x v="624"/>
    <x v="689"/>
    <x v="1"/>
  </r>
  <r>
    <x v="234"/>
    <d v="2014-04-21T00:00:00"/>
    <x v="5"/>
    <s v="Standard Class"/>
    <s v="GA-14515"/>
    <x v="309"/>
    <s v="California"/>
    <x v="0"/>
    <x v="0"/>
    <x v="625"/>
    <x v="212"/>
    <x v="4"/>
  </r>
  <r>
    <x v="235"/>
    <d v="2014-04-20T00:00:00"/>
    <x v="0"/>
    <s v="Second Class"/>
    <s v="DE-13255"/>
    <x v="204"/>
    <s v="California"/>
    <x v="0"/>
    <x v="1"/>
    <x v="626"/>
    <x v="690"/>
    <x v="8"/>
  </r>
  <r>
    <x v="235"/>
    <d v="2014-04-20T00:00:00"/>
    <x v="0"/>
    <s v="Second Class"/>
    <s v="DE-13255"/>
    <x v="204"/>
    <s v="California"/>
    <x v="0"/>
    <x v="0"/>
    <x v="627"/>
    <x v="402"/>
    <x v="4"/>
  </r>
  <r>
    <x v="235"/>
    <d v="2014-04-20T00:00:00"/>
    <x v="0"/>
    <s v="First Class"/>
    <s v="NC-18415"/>
    <x v="310"/>
    <s v="California"/>
    <x v="0"/>
    <x v="1"/>
    <x v="254"/>
    <x v="691"/>
    <x v="0"/>
  </r>
  <r>
    <x v="236"/>
    <d v="2014-04-26T00:00:00"/>
    <x v="5"/>
    <s v="Standard Class"/>
    <s v="AZ-10750"/>
    <x v="311"/>
    <s v="California"/>
    <x v="2"/>
    <x v="14"/>
    <x v="628"/>
    <x v="692"/>
    <x v="0"/>
  </r>
  <r>
    <x v="236"/>
    <d v="2014-04-26T00:00:00"/>
    <x v="5"/>
    <s v="Standard Class"/>
    <s v="AZ-10750"/>
    <x v="311"/>
    <s v="California"/>
    <x v="0"/>
    <x v="3"/>
    <x v="629"/>
    <x v="693"/>
    <x v="0"/>
  </r>
  <r>
    <x v="237"/>
    <d v="2014-04-28T00:00:00"/>
    <x v="2"/>
    <s v="Second Class"/>
    <s v="JS-15595"/>
    <x v="312"/>
    <s v="California"/>
    <x v="0"/>
    <x v="5"/>
    <x v="630"/>
    <x v="694"/>
    <x v="0"/>
  </r>
  <r>
    <x v="237"/>
    <d v="2014-05-02T00:00:00"/>
    <x v="6"/>
    <s v="Standard Class"/>
    <s v="LS-16945"/>
    <x v="313"/>
    <s v="California"/>
    <x v="0"/>
    <x v="6"/>
    <x v="631"/>
    <x v="695"/>
    <x v="4"/>
  </r>
  <r>
    <x v="238"/>
    <d v="2014-05-01T00:00:00"/>
    <x v="1"/>
    <s v="Standard Class"/>
    <s v="BW-11110"/>
    <x v="314"/>
    <s v="California"/>
    <x v="1"/>
    <x v="10"/>
    <x v="632"/>
    <x v="696"/>
    <x v="0"/>
  </r>
  <r>
    <x v="238"/>
    <d v="2014-05-01T00:00:00"/>
    <x v="1"/>
    <s v="Standard Class"/>
    <s v="BW-11110"/>
    <x v="314"/>
    <s v="California"/>
    <x v="0"/>
    <x v="3"/>
    <x v="633"/>
    <x v="349"/>
    <x v="0"/>
  </r>
  <r>
    <x v="238"/>
    <d v="2014-05-01T00:00:00"/>
    <x v="1"/>
    <s v="Standard Class"/>
    <s v="BW-11110"/>
    <x v="314"/>
    <s v="California"/>
    <x v="2"/>
    <x v="14"/>
    <x v="634"/>
    <x v="697"/>
    <x v="0"/>
  </r>
  <r>
    <x v="238"/>
    <d v="2014-05-01T00:00:00"/>
    <x v="1"/>
    <s v="Standard Class"/>
    <s v="BW-11110"/>
    <x v="314"/>
    <s v="California"/>
    <x v="0"/>
    <x v="5"/>
    <x v="635"/>
    <x v="698"/>
    <x v="0"/>
  </r>
  <r>
    <x v="239"/>
    <d v="2014-05-02T00:00:00"/>
    <x v="1"/>
    <s v="Standard Class"/>
    <s v="TC-21475"/>
    <x v="315"/>
    <s v="Colorado"/>
    <x v="0"/>
    <x v="4"/>
    <x v="636"/>
    <x v="699"/>
    <x v="1"/>
  </r>
  <r>
    <x v="239"/>
    <d v="2014-05-02T00:00:00"/>
    <x v="1"/>
    <s v="Standard Class"/>
    <s v="TC-21475"/>
    <x v="315"/>
    <s v="Colorado"/>
    <x v="0"/>
    <x v="12"/>
    <x v="309"/>
    <x v="700"/>
    <x v="4"/>
  </r>
  <r>
    <x v="240"/>
    <d v="2014-05-06T00:00:00"/>
    <x v="4"/>
    <s v="Standard Class"/>
    <s v="KB-16585"/>
    <x v="316"/>
    <s v="California"/>
    <x v="0"/>
    <x v="3"/>
    <x v="214"/>
    <x v="701"/>
    <x v="0"/>
  </r>
  <r>
    <x v="240"/>
    <d v="2014-05-06T00:00:00"/>
    <x v="4"/>
    <s v="Standard Class"/>
    <s v="KB-16585"/>
    <x v="316"/>
    <s v="California"/>
    <x v="2"/>
    <x v="14"/>
    <x v="637"/>
    <x v="702"/>
    <x v="1"/>
  </r>
  <r>
    <x v="241"/>
    <d v="2014-05-07T00:00:00"/>
    <x v="4"/>
    <s v="Standard Class"/>
    <s v="JB-15400"/>
    <x v="317"/>
    <s v="California"/>
    <x v="2"/>
    <x v="14"/>
    <x v="638"/>
    <x v="703"/>
    <x v="0"/>
  </r>
  <r>
    <x v="241"/>
    <d v="2014-05-06T00:00:00"/>
    <x v="1"/>
    <s v="Standard Class"/>
    <s v="PO-18850"/>
    <x v="318"/>
    <s v="California"/>
    <x v="0"/>
    <x v="5"/>
    <x v="639"/>
    <x v="704"/>
    <x v="6"/>
  </r>
  <r>
    <x v="241"/>
    <d v="2014-05-06T00:00:00"/>
    <x v="1"/>
    <s v="Standard Class"/>
    <s v="PO-18850"/>
    <x v="318"/>
    <s v="California"/>
    <x v="0"/>
    <x v="1"/>
    <x v="93"/>
    <x v="705"/>
    <x v="0"/>
  </r>
  <r>
    <x v="241"/>
    <d v="2014-05-06T00:00:00"/>
    <x v="1"/>
    <s v="Standard Class"/>
    <s v="PO-18850"/>
    <x v="318"/>
    <s v="California"/>
    <x v="0"/>
    <x v="12"/>
    <x v="640"/>
    <x v="706"/>
    <x v="4"/>
  </r>
  <r>
    <x v="242"/>
    <d v="2014-05-08T00:00:00"/>
    <x v="1"/>
    <s v="Standard Class"/>
    <s v="JB-16045"/>
    <x v="319"/>
    <s v="California"/>
    <x v="1"/>
    <x v="7"/>
    <x v="641"/>
    <x v="707"/>
    <x v="5"/>
  </r>
  <r>
    <x v="242"/>
    <d v="2014-05-06T00:00:00"/>
    <x v="2"/>
    <s v="First Class"/>
    <s v="LC-16870"/>
    <x v="320"/>
    <s v="California"/>
    <x v="0"/>
    <x v="3"/>
    <x v="642"/>
    <x v="708"/>
    <x v="0"/>
  </r>
  <r>
    <x v="242"/>
    <d v="2014-05-06T00:00:00"/>
    <x v="2"/>
    <s v="First Class"/>
    <s v="LC-16870"/>
    <x v="320"/>
    <s v="California"/>
    <x v="0"/>
    <x v="5"/>
    <x v="643"/>
    <x v="709"/>
    <x v="4"/>
  </r>
  <r>
    <x v="242"/>
    <d v="2014-05-06T00:00:00"/>
    <x v="2"/>
    <s v="First Class"/>
    <s v="LC-16870"/>
    <x v="320"/>
    <s v="California"/>
    <x v="2"/>
    <x v="11"/>
    <x v="644"/>
    <x v="710"/>
    <x v="2"/>
  </r>
  <r>
    <x v="242"/>
    <d v="2014-05-06T00:00:00"/>
    <x v="2"/>
    <s v="First Class"/>
    <s v="LC-16870"/>
    <x v="320"/>
    <s v="California"/>
    <x v="0"/>
    <x v="5"/>
    <x v="274"/>
    <x v="282"/>
    <x v="4"/>
  </r>
  <r>
    <x v="242"/>
    <d v="2014-05-06T00:00:00"/>
    <x v="2"/>
    <s v="First Class"/>
    <s v="NF-18595"/>
    <x v="56"/>
    <s v="California"/>
    <x v="0"/>
    <x v="5"/>
    <x v="645"/>
    <x v="711"/>
    <x v="0"/>
  </r>
  <r>
    <x v="243"/>
    <d v="2014-05-12T00:00:00"/>
    <x v="5"/>
    <s v="Standard Class"/>
    <s v="AA-10375"/>
    <x v="58"/>
    <s v="Oregon"/>
    <x v="0"/>
    <x v="3"/>
    <x v="646"/>
    <x v="333"/>
    <x v="4"/>
  </r>
  <r>
    <x v="244"/>
    <d v="2014-05-15T00:00:00"/>
    <x v="1"/>
    <s v="Standard Class"/>
    <s v="AB-10165"/>
    <x v="296"/>
    <s v="Colorado"/>
    <x v="2"/>
    <x v="11"/>
    <x v="441"/>
    <x v="712"/>
    <x v="2"/>
  </r>
  <r>
    <x v="245"/>
    <d v="2014-05-16T00:00:00"/>
    <x v="1"/>
    <s v="Second Class"/>
    <s v="PS-18970"/>
    <x v="54"/>
    <s v="Arizona"/>
    <x v="1"/>
    <x v="10"/>
    <x v="647"/>
    <x v="713"/>
    <x v="8"/>
  </r>
  <r>
    <x v="246"/>
    <d v="2014-05-16T00:00:00"/>
    <x v="5"/>
    <s v="Standard Class"/>
    <s v="CS-12505"/>
    <x v="36"/>
    <s v="California"/>
    <x v="0"/>
    <x v="0"/>
    <x v="648"/>
    <x v="591"/>
    <x v="0"/>
  </r>
  <r>
    <x v="246"/>
    <d v="2014-05-16T00:00:00"/>
    <x v="5"/>
    <s v="Standard Class"/>
    <s v="CS-12505"/>
    <x v="36"/>
    <s v="California"/>
    <x v="0"/>
    <x v="0"/>
    <x v="649"/>
    <x v="714"/>
    <x v="5"/>
  </r>
  <r>
    <x v="246"/>
    <d v="2014-05-16T00:00:00"/>
    <x v="5"/>
    <s v="Standard Class"/>
    <s v="LT-16765"/>
    <x v="141"/>
    <s v="Colorado"/>
    <x v="2"/>
    <x v="14"/>
    <x v="137"/>
    <x v="141"/>
    <x v="4"/>
  </r>
  <r>
    <x v="246"/>
    <d v="2014-05-18T00:00:00"/>
    <x v="4"/>
    <s v="Standard Class"/>
    <s v="RO-19780"/>
    <x v="321"/>
    <s v="Washington"/>
    <x v="0"/>
    <x v="5"/>
    <x v="650"/>
    <x v="715"/>
    <x v="0"/>
  </r>
  <r>
    <x v="247"/>
    <d v="2014-05-21T00:00:00"/>
    <x v="6"/>
    <s v="Standard Class"/>
    <s v="HG-15025"/>
    <x v="322"/>
    <s v="California"/>
    <x v="0"/>
    <x v="1"/>
    <x v="651"/>
    <x v="716"/>
    <x v="2"/>
  </r>
  <r>
    <x v="247"/>
    <d v="2014-05-19T00:00:00"/>
    <x v="1"/>
    <s v="Standard Class"/>
    <s v="CB-12535"/>
    <x v="323"/>
    <s v="California"/>
    <x v="1"/>
    <x v="2"/>
    <x v="450"/>
    <x v="717"/>
    <x v="1"/>
  </r>
  <r>
    <x v="247"/>
    <d v="2014-05-19T00:00:00"/>
    <x v="1"/>
    <s v="Standard Class"/>
    <s v="CB-12535"/>
    <x v="323"/>
    <s v="California"/>
    <x v="1"/>
    <x v="7"/>
    <x v="251"/>
    <x v="718"/>
    <x v="0"/>
  </r>
  <r>
    <x v="247"/>
    <d v="2014-05-19T00:00:00"/>
    <x v="1"/>
    <s v="Standard Class"/>
    <s v="CB-12535"/>
    <x v="323"/>
    <s v="California"/>
    <x v="1"/>
    <x v="10"/>
    <x v="271"/>
    <x v="719"/>
    <x v="4"/>
  </r>
  <r>
    <x v="247"/>
    <d v="2014-05-19T00:00:00"/>
    <x v="1"/>
    <s v="Standard Class"/>
    <s v="CB-12535"/>
    <x v="323"/>
    <s v="California"/>
    <x v="1"/>
    <x v="10"/>
    <x v="40"/>
    <x v="720"/>
    <x v="0"/>
  </r>
  <r>
    <x v="248"/>
    <d v="2014-05-22T00:00:00"/>
    <x v="5"/>
    <s v="Standard Class"/>
    <s v="AJ-10780"/>
    <x v="324"/>
    <s v="California"/>
    <x v="0"/>
    <x v="0"/>
    <x v="327"/>
    <x v="721"/>
    <x v="4"/>
  </r>
  <r>
    <x v="249"/>
    <d v="2014-05-25T00:00:00"/>
    <x v="5"/>
    <s v="Standard Class"/>
    <s v="ME-18010"/>
    <x v="110"/>
    <s v="Washington"/>
    <x v="0"/>
    <x v="5"/>
    <x v="329"/>
    <x v="722"/>
    <x v="2"/>
  </r>
  <r>
    <x v="250"/>
    <d v="2014-05-26T00:00:00"/>
    <x v="5"/>
    <s v="Standard Class"/>
    <s v="SB-20185"/>
    <x v="325"/>
    <s v="California"/>
    <x v="0"/>
    <x v="15"/>
    <x v="652"/>
    <x v="723"/>
    <x v="4"/>
  </r>
  <r>
    <x v="250"/>
    <d v="2014-05-26T00:00:00"/>
    <x v="5"/>
    <s v="Standard Class"/>
    <s v="SB-20185"/>
    <x v="325"/>
    <s v="California"/>
    <x v="2"/>
    <x v="13"/>
    <x v="653"/>
    <x v="724"/>
    <x v="8"/>
  </r>
  <r>
    <x v="250"/>
    <d v="2014-05-26T00:00:00"/>
    <x v="5"/>
    <s v="Standard Class"/>
    <s v="SB-20185"/>
    <x v="325"/>
    <s v="California"/>
    <x v="0"/>
    <x v="1"/>
    <x v="299"/>
    <x v="725"/>
    <x v="8"/>
  </r>
  <r>
    <x v="250"/>
    <d v="2014-05-26T00:00:00"/>
    <x v="5"/>
    <s v="Standard Class"/>
    <s v="SB-20185"/>
    <x v="325"/>
    <s v="California"/>
    <x v="2"/>
    <x v="14"/>
    <x v="616"/>
    <x v="726"/>
    <x v="5"/>
  </r>
  <r>
    <x v="251"/>
    <d v="2014-05-30T00:00:00"/>
    <x v="6"/>
    <s v="Standard Class"/>
    <s v="EB-13870"/>
    <x v="207"/>
    <s v="Arizona"/>
    <x v="0"/>
    <x v="5"/>
    <x v="416"/>
    <x v="727"/>
    <x v="8"/>
  </r>
  <r>
    <x v="251"/>
    <d v="2014-05-30T00:00:00"/>
    <x v="6"/>
    <s v="Standard Class"/>
    <s v="EB-13870"/>
    <x v="207"/>
    <s v="Arizona"/>
    <x v="0"/>
    <x v="4"/>
    <x v="248"/>
    <x v="728"/>
    <x v="2"/>
  </r>
  <r>
    <x v="252"/>
    <d v="2014-05-29T00:00:00"/>
    <x v="5"/>
    <s v="Standard Class"/>
    <s v="JH-16180"/>
    <x v="326"/>
    <s v="Colorado"/>
    <x v="0"/>
    <x v="4"/>
    <x v="654"/>
    <x v="729"/>
    <x v="13"/>
  </r>
  <r>
    <x v="252"/>
    <d v="2014-05-27T00:00:00"/>
    <x v="0"/>
    <s v="Second Class"/>
    <s v="NP-18685"/>
    <x v="22"/>
    <s v="California"/>
    <x v="1"/>
    <x v="7"/>
    <x v="655"/>
    <x v="730"/>
    <x v="0"/>
  </r>
  <r>
    <x v="253"/>
    <d v="2014-05-31T00:00:00"/>
    <x v="1"/>
    <s v="Standard Class"/>
    <s v="RD-19900"/>
    <x v="209"/>
    <s v="Washington"/>
    <x v="1"/>
    <x v="7"/>
    <x v="656"/>
    <x v="731"/>
    <x v="6"/>
  </r>
  <r>
    <x v="254"/>
    <d v="2014-06-03T00:00:00"/>
    <x v="4"/>
    <s v="Standard Class"/>
    <s v="NK-18490"/>
    <x v="327"/>
    <s v="Washington"/>
    <x v="0"/>
    <x v="3"/>
    <x v="657"/>
    <x v="732"/>
    <x v="0"/>
  </r>
  <r>
    <x v="255"/>
    <d v="2014-06-03T00:00:00"/>
    <x v="1"/>
    <s v="Standard Class"/>
    <s v="JL-15850"/>
    <x v="285"/>
    <s v="Washington"/>
    <x v="0"/>
    <x v="0"/>
    <x v="658"/>
    <x v="182"/>
    <x v="1"/>
  </r>
  <r>
    <x v="255"/>
    <d v="2014-06-03T00:00:00"/>
    <x v="1"/>
    <s v="Standard Class"/>
    <s v="JL-15850"/>
    <x v="285"/>
    <s v="Washington"/>
    <x v="0"/>
    <x v="1"/>
    <x v="493"/>
    <x v="733"/>
    <x v="0"/>
  </r>
  <r>
    <x v="255"/>
    <d v="2014-06-03T00:00:00"/>
    <x v="1"/>
    <s v="Standard Class"/>
    <s v="JL-15850"/>
    <x v="285"/>
    <s v="Washington"/>
    <x v="0"/>
    <x v="5"/>
    <x v="168"/>
    <x v="734"/>
    <x v="1"/>
  </r>
  <r>
    <x v="256"/>
    <d v="2014-06-02T00:00:00"/>
    <x v="0"/>
    <s v="First Class"/>
    <s v="SP-20650"/>
    <x v="328"/>
    <s v="California"/>
    <x v="0"/>
    <x v="0"/>
    <x v="659"/>
    <x v="735"/>
    <x v="8"/>
  </r>
  <r>
    <x v="256"/>
    <d v="2014-06-02T00:00:00"/>
    <x v="0"/>
    <s v="First Class"/>
    <s v="SP-20650"/>
    <x v="328"/>
    <s v="California"/>
    <x v="0"/>
    <x v="0"/>
    <x v="660"/>
    <x v="655"/>
    <x v="2"/>
  </r>
  <r>
    <x v="256"/>
    <d v="2014-06-02T00:00:00"/>
    <x v="0"/>
    <s v="First Class"/>
    <s v="SP-20650"/>
    <x v="328"/>
    <s v="California"/>
    <x v="0"/>
    <x v="1"/>
    <x v="661"/>
    <x v="736"/>
    <x v="5"/>
  </r>
  <r>
    <x v="256"/>
    <d v="2014-06-04T00:00:00"/>
    <x v="5"/>
    <s v="Standard Class"/>
    <s v="TM-21010"/>
    <x v="127"/>
    <s v="Utah"/>
    <x v="1"/>
    <x v="2"/>
    <x v="662"/>
    <x v="737"/>
    <x v="8"/>
  </r>
  <r>
    <x v="256"/>
    <d v="2014-06-04T00:00:00"/>
    <x v="5"/>
    <s v="Standard Class"/>
    <s v="TM-21010"/>
    <x v="127"/>
    <s v="Utah"/>
    <x v="0"/>
    <x v="15"/>
    <x v="663"/>
    <x v="738"/>
    <x v="1"/>
  </r>
  <r>
    <x v="256"/>
    <d v="2014-06-04T00:00:00"/>
    <x v="5"/>
    <s v="Standard Class"/>
    <s v="TM-21010"/>
    <x v="127"/>
    <s v="Utah"/>
    <x v="0"/>
    <x v="1"/>
    <x v="353"/>
    <x v="739"/>
    <x v="4"/>
  </r>
  <r>
    <x v="257"/>
    <d v="2014-06-08T00:00:00"/>
    <x v="6"/>
    <s v="Standard Class"/>
    <s v="CG-12040"/>
    <x v="329"/>
    <s v="California"/>
    <x v="0"/>
    <x v="0"/>
    <x v="355"/>
    <x v="573"/>
    <x v="4"/>
  </r>
  <r>
    <x v="258"/>
    <d v="2014-06-04T00:00:00"/>
    <x v="7"/>
    <s v="Same Day"/>
    <s v="LL-16840"/>
    <x v="330"/>
    <s v="Washington"/>
    <x v="0"/>
    <x v="15"/>
    <x v="664"/>
    <x v="740"/>
    <x v="4"/>
  </r>
  <r>
    <x v="258"/>
    <d v="2014-06-04T00:00:00"/>
    <x v="7"/>
    <s v="Same Day"/>
    <s v="LL-16840"/>
    <x v="330"/>
    <s v="Washington"/>
    <x v="0"/>
    <x v="3"/>
    <x v="665"/>
    <x v="741"/>
    <x v="4"/>
  </r>
  <r>
    <x v="258"/>
    <d v="2014-06-09T00:00:00"/>
    <x v="1"/>
    <s v="Second Class"/>
    <s v="BP-11155"/>
    <x v="331"/>
    <s v="California"/>
    <x v="2"/>
    <x v="11"/>
    <x v="666"/>
    <x v="742"/>
    <x v="4"/>
  </r>
  <r>
    <x v="258"/>
    <d v="2014-06-09T00:00:00"/>
    <x v="1"/>
    <s v="Second Class"/>
    <s v="BP-11155"/>
    <x v="331"/>
    <s v="California"/>
    <x v="2"/>
    <x v="11"/>
    <x v="667"/>
    <x v="743"/>
    <x v="0"/>
  </r>
  <r>
    <x v="259"/>
    <d v="2014-06-09T00:00:00"/>
    <x v="0"/>
    <s v="Second Class"/>
    <s v="EM-13810"/>
    <x v="332"/>
    <s v="California"/>
    <x v="0"/>
    <x v="5"/>
    <x v="668"/>
    <x v="744"/>
    <x v="1"/>
  </r>
  <r>
    <x v="260"/>
    <d v="2014-06-11T00:00:00"/>
    <x v="0"/>
    <s v="Second Class"/>
    <s v="TG-21640"/>
    <x v="333"/>
    <s v="Idaho"/>
    <x v="1"/>
    <x v="7"/>
    <x v="669"/>
    <x v="745"/>
    <x v="2"/>
  </r>
  <r>
    <x v="260"/>
    <d v="2014-06-11T00:00:00"/>
    <x v="0"/>
    <s v="Second Class"/>
    <s v="TG-21640"/>
    <x v="333"/>
    <s v="Idaho"/>
    <x v="2"/>
    <x v="14"/>
    <x v="670"/>
    <x v="746"/>
    <x v="0"/>
  </r>
  <r>
    <x v="261"/>
    <d v="2014-06-14T00:00:00"/>
    <x v="3"/>
    <s v="First Class"/>
    <s v="JJ-15445"/>
    <x v="334"/>
    <s v="California"/>
    <x v="0"/>
    <x v="5"/>
    <x v="671"/>
    <x v="747"/>
    <x v="0"/>
  </r>
  <r>
    <x v="262"/>
    <d v="2014-06-20T00:00:00"/>
    <x v="1"/>
    <s v="Standard Class"/>
    <s v="PF-19120"/>
    <x v="335"/>
    <s v="Arizona"/>
    <x v="0"/>
    <x v="0"/>
    <x v="463"/>
    <x v="748"/>
    <x v="4"/>
  </r>
  <r>
    <x v="262"/>
    <d v="2014-06-20T00:00:00"/>
    <x v="1"/>
    <s v="Standard Class"/>
    <s v="PF-19120"/>
    <x v="335"/>
    <s v="Arizona"/>
    <x v="0"/>
    <x v="1"/>
    <x v="672"/>
    <x v="749"/>
    <x v="4"/>
  </r>
  <r>
    <x v="262"/>
    <d v="2014-06-20T00:00:00"/>
    <x v="1"/>
    <s v="Standard Class"/>
    <s v="PF-19120"/>
    <x v="335"/>
    <s v="Arizona"/>
    <x v="1"/>
    <x v="7"/>
    <x v="673"/>
    <x v="750"/>
    <x v="5"/>
  </r>
  <r>
    <x v="262"/>
    <d v="2014-06-20T00:00:00"/>
    <x v="1"/>
    <s v="Standard Class"/>
    <s v="PF-19120"/>
    <x v="335"/>
    <s v="Arizona"/>
    <x v="1"/>
    <x v="7"/>
    <x v="674"/>
    <x v="751"/>
    <x v="2"/>
  </r>
  <r>
    <x v="262"/>
    <d v="2014-06-19T00:00:00"/>
    <x v="5"/>
    <s v="Standard Class"/>
    <s v="GK-14620"/>
    <x v="95"/>
    <s v="California"/>
    <x v="2"/>
    <x v="14"/>
    <x v="429"/>
    <x v="752"/>
    <x v="0"/>
  </r>
  <r>
    <x v="263"/>
    <d v="2014-06-23T00:00:00"/>
    <x v="1"/>
    <s v="Standard Class"/>
    <s v="SN-20560"/>
    <x v="336"/>
    <s v="Arizona"/>
    <x v="0"/>
    <x v="0"/>
    <x v="675"/>
    <x v="753"/>
    <x v="0"/>
  </r>
  <r>
    <x v="263"/>
    <d v="2014-06-23T00:00:00"/>
    <x v="1"/>
    <s v="Standard Class"/>
    <s v="SN-20560"/>
    <x v="336"/>
    <s v="Arizona"/>
    <x v="0"/>
    <x v="5"/>
    <x v="468"/>
    <x v="754"/>
    <x v="8"/>
  </r>
  <r>
    <x v="263"/>
    <d v="2014-06-23T00:00:00"/>
    <x v="1"/>
    <s v="Standard Class"/>
    <s v="SN-20560"/>
    <x v="336"/>
    <s v="Arizona"/>
    <x v="0"/>
    <x v="5"/>
    <x v="671"/>
    <x v="755"/>
    <x v="4"/>
  </r>
  <r>
    <x v="263"/>
    <d v="2014-06-23T00:00:00"/>
    <x v="1"/>
    <s v="Standard Class"/>
    <s v="SN-20560"/>
    <x v="336"/>
    <s v="Arizona"/>
    <x v="1"/>
    <x v="7"/>
    <x v="615"/>
    <x v="756"/>
    <x v="1"/>
  </r>
  <r>
    <x v="263"/>
    <d v="2014-06-22T00:00:00"/>
    <x v="5"/>
    <s v="Standard Class"/>
    <s v="BG-11740"/>
    <x v="337"/>
    <s v="California"/>
    <x v="0"/>
    <x v="3"/>
    <x v="41"/>
    <x v="757"/>
    <x v="4"/>
  </r>
  <r>
    <x v="264"/>
    <d v="2014-06-23T00:00:00"/>
    <x v="5"/>
    <s v="Standard Class"/>
    <s v="LH-17155"/>
    <x v="247"/>
    <s v="California"/>
    <x v="1"/>
    <x v="7"/>
    <x v="676"/>
    <x v="758"/>
    <x v="4"/>
  </r>
  <r>
    <x v="264"/>
    <d v="2014-06-23T00:00:00"/>
    <x v="5"/>
    <s v="Standard Class"/>
    <s v="LH-17155"/>
    <x v="247"/>
    <s v="California"/>
    <x v="0"/>
    <x v="0"/>
    <x v="677"/>
    <x v="231"/>
    <x v="6"/>
  </r>
  <r>
    <x v="264"/>
    <d v="2014-06-23T00:00:00"/>
    <x v="5"/>
    <s v="Standard Class"/>
    <s v="LH-17155"/>
    <x v="247"/>
    <s v="California"/>
    <x v="0"/>
    <x v="6"/>
    <x v="678"/>
    <x v="759"/>
    <x v="0"/>
  </r>
  <r>
    <x v="265"/>
    <d v="2014-06-25T00:00:00"/>
    <x v="1"/>
    <s v="Second Class"/>
    <s v="SC-20770"/>
    <x v="338"/>
    <s v="California"/>
    <x v="1"/>
    <x v="7"/>
    <x v="679"/>
    <x v="760"/>
    <x v="5"/>
  </r>
  <r>
    <x v="265"/>
    <d v="2014-06-25T00:00:00"/>
    <x v="1"/>
    <s v="Second Class"/>
    <s v="SC-20770"/>
    <x v="338"/>
    <s v="California"/>
    <x v="2"/>
    <x v="14"/>
    <x v="138"/>
    <x v="761"/>
    <x v="0"/>
  </r>
  <r>
    <x v="265"/>
    <d v="2014-06-23T00:00:00"/>
    <x v="2"/>
    <s v="First Class"/>
    <s v="JM-16195"/>
    <x v="277"/>
    <s v="Colorado"/>
    <x v="2"/>
    <x v="14"/>
    <x v="680"/>
    <x v="762"/>
    <x v="8"/>
  </r>
  <r>
    <x v="266"/>
    <d v="2014-06-26T00:00:00"/>
    <x v="5"/>
    <s v="Second Class"/>
    <s v="KL-16645"/>
    <x v="114"/>
    <s v="Utah"/>
    <x v="0"/>
    <x v="9"/>
    <x v="681"/>
    <x v="763"/>
    <x v="2"/>
  </r>
  <r>
    <x v="267"/>
    <d v="2014-06-25T00:00:00"/>
    <x v="0"/>
    <s v="Second Class"/>
    <s v="RD-19480"/>
    <x v="339"/>
    <s v="Washington"/>
    <x v="2"/>
    <x v="14"/>
    <x v="682"/>
    <x v="764"/>
    <x v="2"/>
  </r>
  <r>
    <x v="267"/>
    <d v="2014-06-28T00:00:00"/>
    <x v="1"/>
    <s v="Standard Class"/>
    <s v="CS-12355"/>
    <x v="340"/>
    <s v="California"/>
    <x v="2"/>
    <x v="14"/>
    <x v="683"/>
    <x v="765"/>
    <x v="4"/>
  </r>
  <r>
    <x v="267"/>
    <d v="2014-06-28T00:00:00"/>
    <x v="1"/>
    <s v="Standard Class"/>
    <s v="CS-12355"/>
    <x v="340"/>
    <s v="California"/>
    <x v="0"/>
    <x v="9"/>
    <x v="684"/>
    <x v="766"/>
    <x v="0"/>
  </r>
  <r>
    <x v="267"/>
    <d v="2014-06-28T00:00:00"/>
    <x v="1"/>
    <s v="Standard Class"/>
    <s v="CS-12355"/>
    <x v="340"/>
    <s v="California"/>
    <x v="2"/>
    <x v="14"/>
    <x v="685"/>
    <x v="767"/>
    <x v="0"/>
  </r>
  <r>
    <x v="268"/>
    <d v="2014-06-30T00:00:00"/>
    <x v="1"/>
    <s v="Standard Class"/>
    <s v="JF-15565"/>
    <x v="341"/>
    <s v="California"/>
    <x v="1"/>
    <x v="7"/>
    <x v="251"/>
    <x v="768"/>
    <x v="1"/>
  </r>
  <r>
    <x v="268"/>
    <d v="2014-07-01T00:00:00"/>
    <x v="4"/>
    <s v="Standard Class"/>
    <s v="AB-10165"/>
    <x v="296"/>
    <s v="California"/>
    <x v="0"/>
    <x v="3"/>
    <x v="162"/>
    <x v="769"/>
    <x v="4"/>
  </r>
  <r>
    <x v="268"/>
    <d v="2014-07-01T00:00:00"/>
    <x v="4"/>
    <s v="Standard Class"/>
    <s v="AB-10165"/>
    <x v="296"/>
    <s v="California"/>
    <x v="0"/>
    <x v="5"/>
    <x v="686"/>
    <x v="703"/>
    <x v="0"/>
  </r>
  <r>
    <x v="268"/>
    <d v="2014-07-01T00:00:00"/>
    <x v="4"/>
    <s v="Standard Class"/>
    <s v="AB-10165"/>
    <x v="296"/>
    <s v="California"/>
    <x v="0"/>
    <x v="1"/>
    <x v="401"/>
    <x v="770"/>
    <x v="0"/>
  </r>
  <r>
    <x v="269"/>
    <d v="2014-07-02T00:00:00"/>
    <x v="5"/>
    <s v="Standard Class"/>
    <s v="CY-12745"/>
    <x v="342"/>
    <s v="Arizona"/>
    <x v="0"/>
    <x v="15"/>
    <x v="664"/>
    <x v="771"/>
    <x v="4"/>
  </r>
  <r>
    <x v="269"/>
    <d v="2014-07-02T00:00:00"/>
    <x v="5"/>
    <s v="Standard Class"/>
    <s v="CY-12745"/>
    <x v="342"/>
    <s v="Arizona"/>
    <x v="1"/>
    <x v="7"/>
    <x v="687"/>
    <x v="772"/>
    <x v="2"/>
  </r>
  <r>
    <x v="270"/>
    <d v="2014-07-08T00:00:00"/>
    <x v="5"/>
    <s v="Second Class"/>
    <s v="JP-16135"/>
    <x v="343"/>
    <s v="California"/>
    <x v="0"/>
    <x v="5"/>
    <x v="390"/>
    <x v="773"/>
    <x v="4"/>
  </r>
  <r>
    <x v="271"/>
    <d v="2014-07-11T00:00:00"/>
    <x v="1"/>
    <s v="Standard Class"/>
    <s v="SJ-20215"/>
    <x v="276"/>
    <s v="California"/>
    <x v="1"/>
    <x v="10"/>
    <x v="688"/>
    <x v="220"/>
    <x v="0"/>
  </r>
  <r>
    <x v="272"/>
    <d v="2014-07-10T00:00:00"/>
    <x v="7"/>
    <s v="Same Day"/>
    <s v="EH-13945"/>
    <x v="344"/>
    <s v="Arizona"/>
    <x v="0"/>
    <x v="5"/>
    <x v="383"/>
    <x v="774"/>
    <x v="0"/>
  </r>
  <r>
    <x v="272"/>
    <d v="2014-07-14T00:00:00"/>
    <x v="5"/>
    <s v="Standard Class"/>
    <s v="MV-18190"/>
    <x v="345"/>
    <s v="California"/>
    <x v="0"/>
    <x v="5"/>
    <x v="689"/>
    <x v="775"/>
    <x v="4"/>
  </r>
  <r>
    <x v="273"/>
    <d v="2014-07-13T00:00:00"/>
    <x v="0"/>
    <s v="Second Class"/>
    <s v="SC-20380"/>
    <x v="346"/>
    <s v="Washington"/>
    <x v="0"/>
    <x v="0"/>
    <x v="690"/>
    <x v="776"/>
    <x v="0"/>
  </r>
  <r>
    <x v="273"/>
    <d v="2014-07-13T00:00:00"/>
    <x v="0"/>
    <s v="Second Class"/>
    <s v="SC-20380"/>
    <x v="346"/>
    <s v="Washington"/>
    <x v="0"/>
    <x v="5"/>
    <x v="181"/>
    <x v="777"/>
    <x v="0"/>
  </r>
  <r>
    <x v="274"/>
    <d v="2014-07-19T00:00:00"/>
    <x v="1"/>
    <s v="Second Class"/>
    <s v="TG-21310"/>
    <x v="347"/>
    <s v="Arizona"/>
    <x v="0"/>
    <x v="1"/>
    <x v="424"/>
    <x v="778"/>
    <x v="0"/>
  </r>
  <r>
    <x v="274"/>
    <d v="2014-07-19T00:00:00"/>
    <x v="1"/>
    <s v="Second Class"/>
    <s v="TG-21310"/>
    <x v="347"/>
    <s v="Arizona"/>
    <x v="0"/>
    <x v="0"/>
    <x v="691"/>
    <x v="779"/>
    <x v="2"/>
  </r>
  <r>
    <x v="274"/>
    <d v="2014-07-19T00:00:00"/>
    <x v="1"/>
    <s v="Second Class"/>
    <s v="TG-21310"/>
    <x v="347"/>
    <s v="Arizona"/>
    <x v="1"/>
    <x v="10"/>
    <x v="532"/>
    <x v="780"/>
    <x v="4"/>
  </r>
  <r>
    <x v="274"/>
    <d v="2014-07-19T00:00:00"/>
    <x v="1"/>
    <s v="Second Class"/>
    <s v="TG-21310"/>
    <x v="347"/>
    <s v="Arizona"/>
    <x v="1"/>
    <x v="2"/>
    <x v="692"/>
    <x v="781"/>
    <x v="5"/>
  </r>
  <r>
    <x v="275"/>
    <d v="2014-07-16T00:00:00"/>
    <x v="7"/>
    <s v="Same Day"/>
    <s v="EM-13810"/>
    <x v="332"/>
    <s v="California"/>
    <x v="1"/>
    <x v="10"/>
    <x v="225"/>
    <x v="782"/>
    <x v="5"/>
  </r>
  <r>
    <x v="275"/>
    <d v="2014-07-16T00:00:00"/>
    <x v="7"/>
    <s v="Same Day"/>
    <s v="EM-13810"/>
    <x v="332"/>
    <s v="California"/>
    <x v="1"/>
    <x v="10"/>
    <x v="693"/>
    <x v="783"/>
    <x v="0"/>
  </r>
  <r>
    <x v="276"/>
    <d v="2014-07-19T00:00:00"/>
    <x v="0"/>
    <s v="Second Class"/>
    <s v="JM-15535"/>
    <x v="348"/>
    <s v="California"/>
    <x v="1"/>
    <x v="2"/>
    <x v="694"/>
    <x v="784"/>
    <x v="4"/>
  </r>
  <r>
    <x v="277"/>
    <d v="2014-07-22T00:00:00"/>
    <x v="5"/>
    <s v="Standard Class"/>
    <s v="RF-19735"/>
    <x v="349"/>
    <s v="California"/>
    <x v="2"/>
    <x v="11"/>
    <x v="695"/>
    <x v="785"/>
    <x v="2"/>
  </r>
  <r>
    <x v="278"/>
    <d v="2014-07-20T00:00:00"/>
    <x v="3"/>
    <s v="First Class"/>
    <s v="TS-21085"/>
    <x v="350"/>
    <s v="Arizona"/>
    <x v="0"/>
    <x v="5"/>
    <x v="696"/>
    <x v="786"/>
    <x v="6"/>
  </r>
  <r>
    <x v="279"/>
    <d v="2014-07-27T00:00:00"/>
    <x v="0"/>
    <s v="Second Class"/>
    <s v="MH-18025"/>
    <x v="351"/>
    <s v="Washington"/>
    <x v="0"/>
    <x v="9"/>
    <x v="697"/>
    <x v="787"/>
    <x v="4"/>
  </r>
  <r>
    <x v="279"/>
    <d v="2014-07-27T00:00:00"/>
    <x v="0"/>
    <s v="Second Class"/>
    <s v="MH-18025"/>
    <x v="351"/>
    <s v="Washington"/>
    <x v="0"/>
    <x v="0"/>
    <x v="698"/>
    <x v="28"/>
    <x v="4"/>
  </r>
  <r>
    <x v="279"/>
    <d v="2014-07-27T00:00:00"/>
    <x v="0"/>
    <s v="Second Class"/>
    <s v="MH-18025"/>
    <x v="351"/>
    <s v="Washington"/>
    <x v="1"/>
    <x v="2"/>
    <x v="699"/>
    <x v="788"/>
    <x v="1"/>
  </r>
  <r>
    <x v="279"/>
    <d v="2014-07-27T00:00:00"/>
    <x v="0"/>
    <s v="Second Class"/>
    <s v="MH-18025"/>
    <x v="351"/>
    <s v="Washington"/>
    <x v="1"/>
    <x v="10"/>
    <x v="521"/>
    <x v="789"/>
    <x v="4"/>
  </r>
  <r>
    <x v="279"/>
    <d v="2014-07-30T00:00:00"/>
    <x v="1"/>
    <s v="Standard Class"/>
    <s v="RD-19930"/>
    <x v="352"/>
    <s v="California"/>
    <x v="2"/>
    <x v="14"/>
    <x v="700"/>
    <x v="790"/>
    <x v="1"/>
  </r>
  <r>
    <x v="280"/>
    <d v="2014-07-28T00:00:00"/>
    <x v="0"/>
    <s v="First Class"/>
    <s v="CA-12775"/>
    <x v="353"/>
    <s v="Arizona"/>
    <x v="1"/>
    <x v="8"/>
    <x v="444"/>
    <x v="791"/>
    <x v="0"/>
  </r>
  <r>
    <x v="280"/>
    <d v="2014-08-02T00:00:00"/>
    <x v="6"/>
    <s v="Standard Class"/>
    <s v="HA-14920"/>
    <x v="180"/>
    <s v="California"/>
    <x v="0"/>
    <x v="6"/>
    <x v="701"/>
    <x v="792"/>
    <x v="4"/>
  </r>
  <r>
    <x v="280"/>
    <d v="2014-07-31T00:00:00"/>
    <x v="1"/>
    <s v="Standard Class"/>
    <s v="BP-11095"/>
    <x v="253"/>
    <s v="California"/>
    <x v="0"/>
    <x v="5"/>
    <x v="702"/>
    <x v="793"/>
    <x v="0"/>
  </r>
  <r>
    <x v="280"/>
    <d v="2014-07-31T00:00:00"/>
    <x v="1"/>
    <s v="Standard Class"/>
    <s v="BP-11095"/>
    <x v="253"/>
    <s v="California"/>
    <x v="0"/>
    <x v="5"/>
    <x v="187"/>
    <x v="794"/>
    <x v="5"/>
  </r>
  <r>
    <x v="280"/>
    <d v="2014-07-31T00:00:00"/>
    <x v="1"/>
    <s v="Standard Class"/>
    <s v="BP-11095"/>
    <x v="253"/>
    <s v="California"/>
    <x v="0"/>
    <x v="3"/>
    <x v="206"/>
    <x v="214"/>
    <x v="1"/>
  </r>
  <r>
    <x v="280"/>
    <d v="2014-07-31T00:00:00"/>
    <x v="1"/>
    <s v="Standard Class"/>
    <s v="CK-12760"/>
    <x v="243"/>
    <s v="Arizona"/>
    <x v="1"/>
    <x v="10"/>
    <x v="703"/>
    <x v="795"/>
    <x v="0"/>
  </r>
  <r>
    <x v="281"/>
    <d v="2014-07-31T00:00:00"/>
    <x v="3"/>
    <s v="First Class"/>
    <s v="HA-14920"/>
    <x v="180"/>
    <s v="California"/>
    <x v="2"/>
    <x v="11"/>
    <x v="529"/>
    <x v="796"/>
    <x v="8"/>
  </r>
  <r>
    <x v="281"/>
    <d v="2014-07-31T00:00:00"/>
    <x v="3"/>
    <s v="First Class"/>
    <s v="HA-14920"/>
    <x v="180"/>
    <s v="California"/>
    <x v="1"/>
    <x v="7"/>
    <x v="277"/>
    <x v="626"/>
    <x v="0"/>
  </r>
  <r>
    <x v="281"/>
    <d v="2014-07-31T00:00:00"/>
    <x v="3"/>
    <s v="First Class"/>
    <s v="HA-14920"/>
    <x v="180"/>
    <s v="California"/>
    <x v="0"/>
    <x v="5"/>
    <x v="704"/>
    <x v="797"/>
    <x v="0"/>
  </r>
  <r>
    <x v="282"/>
    <d v="2014-08-07T00:00:00"/>
    <x v="4"/>
    <s v="Standard Class"/>
    <s v="PC-19000"/>
    <x v="49"/>
    <s v="California"/>
    <x v="0"/>
    <x v="3"/>
    <x v="413"/>
    <x v="435"/>
    <x v="2"/>
  </r>
  <r>
    <x v="282"/>
    <d v="2014-08-07T00:00:00"/>
    <x v="4"/>
    <s v="Standard Class"/>
    <s v="PC-19000"/>
    <x v="49"/>
    <s v="California"/>
    <x v="1"/>
    <x v="8"/>
    <x v="180"/>
    <x v="798"/>
    <x v="5"/>
  </r>
  <r>
    <x v="283"/>
    <d v="2014-08-06T00:00:00"/>
    <x v="5"/>
    <s v="Standard Class"/>
    <s v="Co-12640"/>
    <x v="354"/>
    <s v="Washington"/>
    <x v="0"/>
    <x v="5"/>
    <x v="705"/>
    <x v="799"/>
    <x v="4"/>
  </r>
  <r>
    <x v="283"/>
    <d v="2014-08-06T00:00:00"/>
    <x v="5"/>
    <s v="Standard Class"/>
    <s v="Co-12640"/>
    <x v="354"/>
    <s v="Washington"/>
    <x v="2"/>
    <x v="13"/>
    <x v="706"/>
    <x v="800"/>
    <x v="4"/>
  </r>
  <r>
    <x v="283"/>
    <d v="2014-08-06T00:00:00"/>
    <x v="5"/>
    <s v="Standard Class"/>
    <s v="DK-12985"/>
    <x v="355"/>
    <s v="Oregon"/>
    <x v="1"/>
    <x v="8"/>
    <x v="13"/>
    <x v="801"/>
    <x v="2"/>
  </r>
  <r>
    <x v="284"/>
    <d v="2014-08-11T00:00:00"/>
    <x v="5"/>
    <s v="Standard Class"/>
    <s v="NS-18640"/>
    <x v="94"/>
    <s v="Idaho"/>
    <x v="0"/>
    <x v="5"/>
    <x v="707"/>
    <x v="802"/>
    <x v="6"/>
  </r>
  <r>
    <x v="284"/>
    <d v="2014-08-12T00:00:00"/>
    <x v="1"/>
    <s v="Standard Class"/>
    <s v="PN-18775"/>
    <x v="356"/>
    <s v="California"/>
    <x v="0"/>
    <x v="5"/>
    <x v="708"/>
    <x v="803"/>
    <x v="0"/>
  </r>
  <r>
    <x v="285"/>
    <d v="2014-08-08T00:00:00"/>
    <x v="7"/>
    <s v="Same Day"/>
    <s v="TT-21220"/>
    <x v="357"/>
    <s v="California"/>
    <x v="0"/>
    <x v="5"/>
    <x v="707"/>
    <x v="804"/>
    <x v="4"/>
  </r>
  <r>
    <x v="285"/>
    <d v="2014-08-08T00:00:00"/>
    <x v="7"/>
    <s v="Same Day"/>
    <s v="TT-21220"/>
    <x v="357"/>
    <s v="California"/>
    <x v="0"/>
    <x v="5"/>
    <x v="704"/>
    <x v="157"/>
    <x v="4"/>
  </r>
  <r>
    <x v="285"/>
    <d v="2014-08-08T00:00:00"/>
    <x v="7"/>
    <s v="Same Day"/>
    <s v="TT-21220"/>
    <x v="357"/>
    <s v="California"/>
    <x v="1"/>
    <x v="10"/>
    <x v="709"/>
    <x v="805"/>
    <x v="6"/>
  </r>
  <r>
    <x v="286"/>
    <d v="2014-08-16T00:00:00"/>
    <x v="4"/>
    <s v="Standard Class"/>
    <s v="WB-21850"/>
    <x v="202"/>
    <s v="Oregon"/>
    <x v="2"/>
    <x v="14"/>
    <x v="97"/>
    <x v="99"/>
    <x v="2"/>
  </r>
  <r>
    <x v="286"/>
    <d v="2014-08-16T00:00:00"/>
    <x v="4"/>
    <s v="Standard Class"/>
    <s v="WB-21850"/>
    <x v="202"/>
    <s v="Oregon"/>
    <x v="2"/>
    <x v="14"/>
    <x v="449"/>
    <x v="806"/>
    <x v="8"/>
  </r>
  <r>
    <x v="286"/>
    <d v="2014-08-16T00:00:00"/>
    <x v="4"/>
    <s v="Standard Class"/>
    <s v="WB-21850"/>
    <x v="202"/>
    <s v="Oregon"/>
    <x v="0"/>
    <x v="4"/>
    <x v="490"/>
    <x v="807"/>
    <x v="2"/>
  </r>
  <r>
    <x v="287"/>
    <d v="2014-08-20T00:00:00"/>
    <x v="6"/>
    <s v="Standard Class"/>
    <s v="ON-18715"/>
    <x v="147"/>
    <s v="California"/>
    <x v="0"/>
    <x v="3"/>
    <x v="437"/>
    <x v="808"/>
    <x v="1"/>
  </r>
  <r>
    <x v="287"/>
    <d v="2014-08-13T00:00:00"/>
    <x v="7"/>
    <s v="Same Day"/>
    <s v="SF-20065"/>
    <x v="358"/>
    <s v="California"/>
    <x v="1"/>
    <x v="7"/>
    <x v="710"/>
    <x v="809"/>
    <x v="0"/>
  </r>
  <r>
    <x v="288"/>
    <d v="2014-08-19T00:00:00"/>
    <x v="5"/>
    <s v="Standard Class"/>
    <s v="TT-21265"/>
    <x v="359"/>
    <s v="California"/>
    <x v="0"/>
    <x v="1"/>
    <x v="353"/>
    <x v="739"/>
    <x v="4"/>
  </r>
  <r>
    <x v="288"/>
    <d v="2014-08-19T00:00:00"/>
    <x v="5"/>
    <s v="Standard Class"/>
    <s v="RE-19450"/>
    <x v="360"/>
    <s v="California"/>
    <x v="1"/>
    <x v="7"/>
    <x v="226"/>
    <x v="810"/>
    <x v="8"/>
  </r>
  <r>
    <x v="288"/>
    <d v="2014-08-19T00:00:00"/>
    <x v="5"/>
    <s v="Standard Class"/>
    <s v="RE-19450"/>
    <x v="360"/>
    <s v="California"/>
    <x v="0"/>
    <x v="1"/>
    <x v="711"/>
    <x v="811"/>
    <x v="0"/>
  </r>
  <r>
    <x v="289"/>
    <d v="2014-08-22T00:00:00"/>
    <x v="4"/>
    <s v="Standard Class"/>
    <s v="JM-15865"/>
    <x v="361"/>
    <s v="Arizona"/>
    <x v="0"/>
    <x v="3"/>
    <x v="712"/>
    <x v="812"/>
    <x v="6"/>
  </r>
  <r>
    <x v="289"/>
    <d v="2014-08-22T00:00:00"/>
    <x v="4"/>
    <s v="Standard Class"/>
    <s v="JM-15865"/>
    <x v="361"/>
    <s v="Arizona"/>
    <x v="2"/>
    <x v="14"/>
    <x v="713"/>
    <x v="813"/>
    <x v="1"/>
  </r>
  <r>
    <x v="289"/>
    <d v="2014-08-22T00:00:00"/>
    <x v="4"/>
    <s v="Standard Class"/>
    <s v="JM-15865"/>
    <x v="361"/>
    <s v="Arizona"/>
    <x v="0"/>
    <x v="0"/>
    <x v="109"/>
    <x v="814"/>
    <x v="9"/>
  </r>
  <r>
    <x v="289"/>
    <d v="2014-08-22T00:00:00"/>
    <x v="4"/>
    <s v="Standard Class"/>
    <s v="JM-15865"/>
    <x v="361"/>
    <s v="Arizona"/>
    <x v="0"/>
    <x v="15"/>
    <x v="714"/>
    <x v="815"/>
    <x v="4"/>
  </r>
  <r>
    <x v="290"/>
    <d v="2014-08-23T00:00:00"/>
    <x v="4"/>
    <s v="Standard Class"/>
    <s v="SC-20725"/>
    <x v="82"/>
    <s v="Arizona"/>
    <x v="2"/>
    <x v="11"/>
    <x v="134"/>
    <x v="816"/>
    <x v="4"/>
  </r>
  <r>
    <x v="290"/>
    <d v="2014-08-23T00:00:00"/>
    <x v="4"/>
    <s v="Standard Class"/>
    <s v="SC-20725"/>
    <x v="82"/>
    <s v="Arizona"/>
    <x v="0"/>
    <x v="0"/>
    <x v="715"/>
    <x v="817"/>
    <x v="8"/>
  </r>
  <r>
    <x v="290"/>
    <d v="2014-08-23T00:00:00"/>
    <x v="4"/>
    <s v="Standard Class"/>
    <s v="SC-20725"/>
    <x v="82"/>
    <s v="Arizona"/>
    <x v="0"/>
    <x v="3"/>
    <x v="716"/>
    <x v="818"/>
    <x v="0"/>
  </r>
  <r>
    <x v="290"/>
    <d v="2014-08-23T00:00:00"/>
    <x v="4"/>
    <s v="Standard Class"/>
    <s v="SC-20725"/>
    <x v="82"/>
    <s v="Arizona"/>
    <x v="2"/>
    <x v="11"/>
    <x v="519"/>
    <x v="819"/>
    <x v="2"/>
  </r>
  <r>
    <x v="291"/>
    <d v="2014-08-23T00:00:00"/>
    <x v="0"/>
    <s v="First Class"/>
    <s v="NZ-18565"/>
    <x v="362"/>
    <s v="California"/>
    <x v="1"/>
    <x v="10"/>
    <x v="473"/>
    <x v="820"/>
    <x v="0"/>
  </r>
  <r>
    <x v="291"/>
    <d v="2014-08-23T00:00:00"/>
    <x v="0"/>
    <s v="First Class"/>
    <s v="NZ-18565"/>
    <x v="362"/>
    <s v="California"/>
    <x v="0"/>
    <x v="0"/>
    <x v="717"/>
    <x v="821"/>
    <x v="0"/>
  </r>
  <r>
    <x v="291"/>
    <d v="2014-08-23T00:00:00"/>
    <x v="0"/>
    <s v="First Class"/>
    <s v="NZ-18565"/>
    <x v="362"/>
    <s v="California"/>
    <x v="0"/>
    <x v="0"/>
    <x v="443"/>
    <x v="192"/>
    <x v="2"/>
  </r>
  <r>
    <x v="291"/>
    <d v="2014-08-23T00:00:00"/>
    <x v="0"/>
    <s v="First Class"/>
    <s v="NZ-18565"/>
    <x v="362"/>
    <s v="California"/>
    <x v="0"/>
    <x v="0"/>
    <x v="544"/>
    <x v="822"/>
    <x v="6"/>
  </r>
  <r>
    <x v="291"/>
    <d v="2014-08-26T00:00:00"/>
    <x v="1"/>
    <s v="Standard Class"/>
    <s v="DS-13180"/>
    <x v="363"/>
    <s v="California"/>
    <x v="1"/>
    <x v="2"/>
    <x v="718"/>
    <x v="823"/>
    <x v="5"/>
  </r>
  <r>
    <x v="291"/>
    <d v="2014-08-26T00:00:00"/>
    <x v="1"/>
    <s v="Standard Class"/>
    <s v="DS-13180"/>
    <x v="363"/>
    <s v="California"/>
    <x v="0"/>
    <x v="1"/>
    <x v="46"/>
    <x v="47"/>
    <x v="6"/>
  </r>
  <r>
    <x v="292"/>
    <d v="2014-08-26T00:00:00"/>
    <x v="0"/>
    <s v="First Class"/>
    <s v="DO-13435"/>
    <x v="297"/>
    <s v="Oregon"/>
    <x v="0"/>
    <x v="3"/>
    <x v="375"/>
    <x v="824"/>
    <x v="0"/>
  </r>
  <r>
    <x v="293"/>
    <d v="2014-08-30T00:00:00"/>
    <x v="1"/>
    <s v="Standard Class"/>
    <s v="NL-18310"/>
    <x v="194"/>
    <s v="California"/>
    <x v="1"/>
    <x v="10"/>
    <x v="361"/>
    <x v="825"/>
    <x v="6"/>
  </r>
  <r>
    <x v="293"/>
    <d v="2014-08-30T00:00:00"/>
    <x v="1"/>
    <s v="Standard Class"/>
    <s v="NL-18310"/>
    <x v="194"/>
    <s v="California"/>
    <x v="0"/>
    <x v="4"/>
    <x v="72"/>
    <x v="826"/>
    <x v="2"/>
  </r>
  <r>
    <x v="294"/>
    <d v="2014-08-31T00:00:00"/>
    <x v="5"/>
    <s v="Standard Class"/>
    <s v="RA-19945"/>
    <x v="364"/>
    <s v="California"/>
    <x v="0"/>
    <x v="1"/>
    <x v="353"/>
    <x v="827"/>
    <x v="0"/>
  </r>
  <r>
    <x v="294"/>
    <d v="2014-09-01T00:00:00"/>
    <x v="1"/>
    <s v="Standard Class"/>
    <s v="PF-19165"/>
    <x v="365"/>
    <s v="California"/>
    <x v="0"/>
    <x v="12"/>
    <x v="719"/>
    <x v="828"/>
    <x v="0"/>
  </r>
  <r>
    <x v="294"/>
    <d v="2014-09-01T00:00:00"/>
    <x v="1"/>
    <s v="Standard Class"/>
    <s v="PF-19165"/>
    <x v="365"/>
    <s v="California"/>
    <x v="0"/>
    <x v="0"/>
    <x v="614"/>
    <x v="829"/>
    <x v="1"/>
  </r>
  <r>
    <x v="294"/>
    <d v="2014-09-01T00:00:00"/>
    <x v="1"/>
    <s v="Standard Class"/>
    <s v="PF-19165"/>
    <x v="365"/>
    <s v="California"/>
    <x v="0"/>
    <x v="15"/>
    <x v="720"/>
    <x v="830"/>
    <x v="6"/>
  </r>
  <r>
    <x v="294"/>
    <d v="2014-08-31T00:00:00"/>
    <x v="5"/>
    <s v="Standard Class"/>
    <s v="CC-12100"/>
    <x v="251"/>
    <s v="California"/>
    <x v="0"/>
    <x v="5"/>
    <x v="721"/>
    <x v="831"/>
    <x v="6"/>
  </r>
  <r>
    <x v="295"/>
    <d v="2014-09-04T00:00:00"/>
    <x v="6"/>
    <s v="Standard Class"/>
    <s v="CB-12025"/>
    <x v="366"/>
    <s v="California"/>
    <x v="0"/>
    <x v="1"/>
    <x v="205"/>
    <x v="832"/>
    <x v="1"/>
  </r>
  <r>
    <x v="295"/>
    <d v="2014-09-04T00:00:00"/>
    <x v="6"/>
    <s v="Standard Class"/>
    <s v="CB-12025"/>
    <x v="366"/>
    <s v="California"/>
    <x v="1"/>
    <x v="2"/>
    <x v="722"/>
    <x v="833"/>
    <x v="4"/>
  </r>
  <r>
    <x v="295"/>
    <d v="2014-09-04T00:00:00"/>
    <x v="6"/>
    <s v="Standard Class"/>
    <s v="CB-12025"/>
    <x v="366"/>
    <s v="California"/>
    <x v="0"/>
    <x v="1"/>
    <x v="46"/>
    <x v="834"/>
    <x v="11"/>
  </r>
  <r>
    <x v="295"/>
    <d v="2014-09-04T00:00:00"/>
    <x v="6"/>
    <s v="Standard Class"/>
    <s v="CB-12025"/>
    <x v="366"/>
    <s v="California"/>
    <x v="0"/>
    <x v="5"/>
    <x v="45"/>
    <x v="835"/>
    <x v="1"/>
  </r>
  <r>
    <x v="295"/>
    <d v="2014-09-04T00:00:00"/>
    <x v="6"/>
    <s v="Standard Class"/>
    <s v="CB-12025"/>
    <x v="366"/>
    <s v="California"/>
    <x v="2"/>
    <x v="14"/>
    <x v="723"/>
    <x v="370"/>
    <x v="0"/>
  </r>
  <r>
    <x v="295"/>
    <d v="2014-09-04T00:00:00"/>
    <x v="6"/>
    <s v="Standard Class"/>
    <s v="CB-12025"/>
    <x v="366"/>
    <s v="California"/>
    <x v="1"/>
    <x v="7"/>
    <x v="163"/>
    <x v="836"/>
    <x v="4"/>
  </r>
  <r>
    <x v="296"/>
    <d v="2014-09-05T00:00:00"/>
    <x v="1"/>
    <s v="Standard Class"/>
    <s v="AR-10510"/>
    <x v="367"/>
    <s v="California"/>
    <x v="0"/>
    <x v="0"/>
    <x v="724"/>
    <x v="837"/>
    <x v="11"/>
  </r>
  <r>
    <x v="296"/>
    <d v="2014-09-02T00:00:00"/>
    <x v="0"/>
    <s v="First Class"/>
    <s v="SC-20260"/>
    <x v="45"/>
    <s v="California"/>
    <x v="1"/>
    <x v="2"/>
    <x v="725"/>
    <x v="838"/>
    <x v="8"/>
  </r>
  <r>
    <x v="296"/>
    <d v="2014-09-02T00:00:00"/>
    <x v="0"/>
    <s v="First Class"/>
    <s v="SC-20260"/>
    <x v="45"/>
    <s v="California"/>
    <x v="0"/>
    <x v="5"/>
    <x v="315"/>
    <x v="331"/>
    <x v="1"/>
  </r>
  <r>
    <x v="296"/>
    <d v="2014-09-02T00:00:00"/>
    <x v="0"/>
    <s v="First Class"/>
    <s v="SC-20260"/>
    <x v="45"/>
    <s v="California"/>
    <x v="2"/>
    <x v="11"/>
    <x v="726"/>
    <x v="839"/>
    <x v="6"/>
  </r>
  <r>
    <x v="296"/>
    <d v="2014-09-02T00:00:00"/>
    <x v="0"/>
    <s v="First Class"/>
    <s v="SC-20260"/>
    <x v="45"/>
    <s v="California"/>
    <x v="2"/>
    <x v="13"/>
    <x v="727"/>
    <x v="840"/>
    <x v="0"/>
  </r>
  <r>
    <x v="296"/>
    <d v="2014-09-04T00:00:00"/>
    <x v="5"/>
    <s v="Standard Class"/>
    <s v="RH-19510"/>
    <x v="368"/>
    <s v="California"/>
    <x v="2"/>
    <x v="14"/>
    <x v="423"/>
    <x v="841"/>
    <x v="1"/>
  </r>
  <r>
    <x v="297"/>
    <d v="2014-09-04T00:00:00"/>
    <x v="2"/>
    <s v="Second Class"/>
    <s v="DB-13615"/>
    <x v="169"/>
    <s v="California"/>
    <x v="0"/>
    <x v="5"/>
    <x v="728"/>
    <x v="842"/>
    <x v="6"/>
  </r>
  <r>
    <x v="297"/>
    <d v="2014-09-04T00:00:00"/>
    <x v="2"/>
    <s v="Second Class"/>
    <s v="DB-13615"/>
    <x v="169"/>
    <s v="California"/>
    <x v="2"/>
    <x v="16"/>
    <x v="729"/>
    <x v="843"/>
    <x v="4"/>
  </r>
  <r>
    <x v="297"/>
    <d v="2014-09-04T00:00:00"/>
    <x v="2"/>
    <s v="Second Class"/>
    <s v="DB-13615"/>
    <x v="169"/>
    <s v="California"/>
    <x v="0"/>
    <x v="5"/>
    <x v="77"/>
    <x v="844"/>
    <x v="2"/>
  </r>
  <r>
    <x v="298"/>
    <d v="2014-09-09T00:00:00"/>
    <x v="4"/>
    <s v="Standard Class"/>
    <s v="DB-13120"/>
    <x v="369"/>
    <s v="California"/>
    <x v="0"/>
    <x v="1"/>
    <x v="730"/>
    <x v="845"/>
    <x v="0"/>
  </r>
  <r>
    <x v="298"/>
    <d v="2014-09-09T00:00:00"/>
    <x v="4"/>
    <s v="Standard Class"/>
    <s v="DB-13120"/>
    <x v="369"/>
    <s v="California"/>
    <x v="2"/>
    <x v="11"/>
    <x v="359"/>
    <x v="170"/>
    <x v="4"/>
  </r>
  <r>
    <x v="298"/>
    <d v="2014-09-09T00:00:00"/>
    <x v="4"/>
    <s v="Standard Class"/>
    <s v="DB-13120"/>
    <x v="369"/>
    <s v="California"/>
    <x v="2"/>
    <x v="11"/>
    <x v="731"/>
    <x v="846"/>
    <x v="1"/>
  </r>
  <r>
    <x v="298"/>
    <d v="2014-09-08T00:00:00"/>
    <x v="1"/>
    <s v="Standard Class"/>
    <s v="AS-10630"/>
    <x v="238"/>
    <s v="California"/>
    <x v="1"/>
    <x v="10"/>
    <x v="194"/>
    <x v="23"/>
    <x v="4"/>
  </r>
  <r>
    <x v="298"/>
    <d v="2014-09-08T00:00:00"/>
    <x v="1"/>
    <s v="Standard Class"/>
    <s v="AS-10630"/>
    <x v="238"/>
    <s v="California"/>
    <x v="0"/>
    <x v="5"/>
    <x v="732"/>
    <x v="799"/>
    <x v="4"/>
  </r>
  <r>
    <x v="298"/>
    <d v="2014-09-08T00:00:00"/>
    <x v="1"/>
    <s v="Standard Class"/>
    <s v="CP-12085"/>
    <x v="294"/>
    <s v="Arizona"/>
    <x v="1"/>
    <x v="7"/>
    <x v="733"/>
    <x v="847"/>
    <x v="0"/>
  </r>
  <r>
    <x v="299"/>
    <d v="2014-09-09T00:00:00"/>
    <x v="1"/>
    <s v="Standard Class"/>
    <s v="KB-16585"/>
    <x v="316"/>
    <s v="Oregon"/>
    <x v="0"/>
    <x v="5"/>
    <x v="734"/>
    <x v="848"/>
    <x v="4"/>
  </r>
  <r>
    <x v="300"/>
    <d v="2014-09-09T00:00:00"/>
    <x v="5"/>
    <s v="Standard Class"/>
    <s v="AG-10900"/>
    <x v="112"/>
    <s v="California"/>
    <x v="1"/>
    <x v="2"/>
    <x v="480"/>
    <x v="509"/>
    <x v="2"/>
  </r>
  <r>
    <x v="300"/>
    <d v="2014-09-09T00:00:00"/>
    <x v="5"/>
    <s v="Standard Class"/>
    <s v="AG-10900"/>
    <x v="112"/>
    <s v="California"/>
    <x v="0"/>
    <x v="5"/>
    <x v="735"/>
    <x v="849"/>
    <x v="5"/>
  </r>
  <r>
    <x v="300"/>
    <d v="2014-09-09T00:00:00"/>
    <x v="5"/>
    <s v="Standard Class"/>
    <s v="AG-10900"/>
    <x v="112"/>
    <s v="California"/>
    <x v="1"/>
    <x v="2"/>
    <x v="694"/>
    <x v="850"/>
    <x v="0"/>
  </r>
  <r>
    <x v="301"/>
    <d v="2014-09-12T00:00:00"/>
    <x v="4"/>
    <s v="Standard Class"/>
    <s v="BT-11305"/>
    <x v="59"/>
    <s v="Washington"/>
    <x v="0"/>
    <x v="5"/>
    <x v="736"/>
    <x v="205"/>
    <x v="4"/>
  </r>
  <r>
    <x v="301"/>
    <d v="2014-09-12T00:00:00"/>
    <x v="4"/>
    <s v="Standard Class"/>
    <s v="BT-11305"/>
    <x v="59"/>
    <s v="Washington"/>
    <x v="1"/>
    <x v="7"/>
    <x v="737"/>
    <x v="851"/>
    <x v="0"/>
  </r>
  <r>
    <x v="301"/>
    <d v="2014-09-08T00:00:00"/>
    <x v="0"/>
    <s v="First Class"/>
    <s v="LO-17170"/>
    <x v="370"/>
    <s v="California"/>
    <x v="2"/>
    <x v="11"/>
    <x v="738"/>
    <x v="852"/>
    <x v="2"/>
  </r>
  <r>
    <x v="302"/>
    <d v="2014-09-12T00:00:00"/>
    <x v="1"/>
    <s v="Standard Class"/>
    <s v="HA-14920"/>
    <x v="180"/>
    <s v="California"/>
    <x v="0"/>
    <x v="1"/>
    <x v="739"/>
    <x v="853"/>
    <x v="8"/>
  </r>
  <r>
    <x v="303"/>
    <d v="2014-09-11T00:00:00"/>
    <x v="2"/>
    <s v="First Class"/>
    <s v="NM-18520"/>
    <x v="371"/>
    <s v="California"/>
    <x v="0"/>
    <x v="0"/>
    <x v="740"/>
    <x v="854"/>
    <x v="1"/>
  </r>
  <r>
    <x v="303"/>
    <d v="2014-09-11T00:00:00"/>
    <x v="2"/>
    <s v="First Class"/>
    <s v="NM-18520"/>
    <x v="371"/>
    <s v="California"/>
    <x v="0"/>
    <x v="1"/>
    <x v="741"/>
    <x v="303"/>
    <x v="5"/>
  </r>
  <r>
    <x v="304"/>
    <d v="2014-09-14T00:00:00"/>
    <x v="5"/>
    <s v="Standard Class"/>
    <s v="CC-12145"/>
    <x v="108"/>
    <s v="California"/>
    <x v="0"/>
    <x v="12"/>
    <x v="612"/>
    <x v="855"/>
    <x v="2"/>
  </r>
  <r>
    <x v="304"/>
    <d v="2014-09-12T00:00:00"/>
    <x v="0"/>
    <s v="Second Class"/>
    <s v="MC-17575"/>
    <x v="372"/>
    <s v="Washington"/>
    <x v="0"/>
    <x v="1"/>
    <x v="742"/>
    <x v="856"/>
    <x v="5"/>
  </r>
  <r>
    <x v="304"/>
    <d v="2014-09-16T00:00:00"/>
    <x v="4"/>
    <s v="Standard Class"/>
    <s v="FA-14230"/>
    <x v="152"/>
    <s v="California"/>
    <x v="1"/>
    <x v="7"/>
    <x v="743"/>
    <x v="857"/>
    <x v="5"/>
  </r>
  <r>
    <x v="305"/>
    <d v="2014-09-15T00:00:00"/>
    <x v="5"/>
    <s v="Standard Class"/>
    <s v="SC-20725"/>
    <x v="82"/>
    <s v="California"/>
    <x v="0"/>
    <x v="3"/>
    <x v="744"/>
    <x v="858"/>
    <x v="11"/>
  </r>
  <r>
    <x v="305"/>
    <d v="2014-09-15T00:00:00"/>
    <x v="5"/>
    <s v="Standard Class"/>
    <s v="SC-20725"/>
    <x v="82"/>
    <s v="California"/>
    <x v="0"/>
    <x v="15"/>
    <x v="745"/>
    <x v="526"/>
    <x v="0"/>
  </r>
  <r>
    <x v="305"/>
    <d v="2014-09-16T00:00:00"/>
    <x v="1"/>
    <s v="Standard Class"/>
    <s v="SB-20290"/>
    <x v="373"/>
    <s v="California"/>
    <x v="0"/>
    <x v="3"/>
    <x v="303"/>
    <x v="859"/>
    <x v="8"/>
  </r>
  <r>
    <x v="305"/>
    <d v="2014-09-12T00:00:00"/>
    <x v="3"/>
    <s v="First Class"/>
    <s v="GB-14530"/>
    <x v="374"/>
    <s v="Colorado"/>
    <x v="1"/>
    <x v="7"/>
    <x v="746"/>
    <x v="860"/>
    <x v="2"/>
  </r>
  <r>
    <x v="306"/>
    <d v="2014-09-17T00:00:00"/>
    <x v="1"/>
    <s v="Second Class"/>
    <s v="CC-12670"/>
    <x v="375"/>
    <s v="Washington"/>
    <x v="2"/>
    <x v="11"/>
    <x v="430"/>
    <x v="480"/>
    <x v="4"/>
  </r>
  <r>
    <x v="307"/>
    <d v="2014-09-15T00:00:00"/>
    <x v="0"/>
    <s v="First Class"/>
    <s v="KD-16615"/>
    <x v="376"/>
    <s v="California"/>
    <x v="1"/>
    <x v="7"/>
    <x v="615"/>
    <x v="861"/>
    <x v="8"/>
  </r>
  <r>
    <x v="307"/>
    <d v="2014-09-15T00:00:00"/>
    <x v="0"/>
    <s v="First Class"/>
    <s v="KD-16615"/>
    <x v="376"/>
    <s v="California"/>
    <x v="0"/>
    <x v="5"/>
    <x v="571"/>
    <x v="862"/>
    <x v="0"/>
  </r>
  <r>
    <x v="307"/>
    <d v="2014-09-15T00:00:00"/>
    <x v="0"/>
    <s v="First Class"/>
    <s v="KD-16615"/>
    <x v="376"/>
    <s v="California"/>
    <x v="1"/>
    <x v="10"/>
    <x v="179"/>
    <x v="218"/>
    <x v="0"/>
  </r>
  <r>
    <x v="307"/>
    <d v="2014-09-15T00:00:00"/>
    <x v="0"/>
    <s v="First Class"/>
    <s v="KD-16615"/>
    <x v="376"/>
    <s v="California"/>
    <x v="1"/>
    <x v="7"/>
    <x v="747"/>
    <x v="863"/>
    <x v="1"/>
  </r>
  <r>
    <x v="307"/>
    <d v="2014-09-15T00:00:00"/>
    <x v="0"/>
    <s v="First Class"/>
    <s v="KD-16615"/>
    <x v="376"/>
    <s v="California"/>
    <x v="1"/>
    <x v="7"/>
    <x v="226"/>
    <x v="864"/>
    <x v="0"/>
  </r>
  <r>
    <x v="307"/>
    <d v="2014-09-15T00:00:00"/>
    <x v="0"/>
    <s v="First Class"/>
    <s v="KD-16615"/>
    <x v="376"/>
    <s v="California"/>
    <x v="0"/>
    <x v="0"/>
    <x v="748"/>
    <x v="649"/>
    <x v="4"/>
  </r>
  <r>
    <x v="308"/>
    <d v="2014-09-19T00:00:00"/>
    <x v="1"/>
    <s v="Standard Class"/>
    <s v="CA-12265"/>
    <x v="33"/>
    <s v="Utah"/>
    <x v="1"/>
    <x v="8"/>
    <x v="459"/>
    <x v="865"/>
    <x v="1"/>
  </r>
  <r>
    <x v="308"/>
    <d v="2014-09-18T00:00:00"/>
    <x v="5"/>
    <s v="Standard Class"/>
    <s v="SP-20620"/>
    <x v="269"/>
    <s v="California"/>
    <x v="1"/>
    <x v="8"/>
    <x v="140"/>
    <x v="866"/>
    <x v="0"/>
  </r>
  <r>
    <x v="309"/>
    <d v="2014-09-19T00:00:00"/>
    <x v="0"/>
    <s v="Second Class"/>
    <s v="MO-17800"/>
    <x v="377"/>
    <s v="California"/>
    <x v="0"/>
    <x v="0"/>
    <x v="749"/>
    <x v="182"/>
    <x v="1"/>
  </r>
  <r>
    <x v="309"/>
    <d v="2014-09-20T00:00:00"/>
    <x v="2"/>
    <s v="First Class"/>
    <s v="CS-11845"/>
    <x v="378"/>
    <s v="Washington"/>
    <x v="0"/>
    <x v="5"/>
    <x v="571"/>
    <x v="862"/>
    <x v="0"/>
  </r>
  <r>
    <x v="310"/>
    <d v="2014-09-22T00:00:00"/>
    <x v="5"/>
    <s v="Second Class"/>
    <s v="TG-21640"/>
    <x v="333"/>
    <s v="California"/>
    <x v="0"/>
    <x v="0"/>
    <x v="750"/>
    <x v="867"/>
    <x v="10"/>
  </r>
  <r>
    <x v="310"/>
    <d v="2014-09-22T00:00:00"/>
    <x v="5"/>
    <s v="Second Class"/>
    <s v="TG-21640"/>
    <x v="333"/>
    <s v="California"/>
    <x v="0"/>
    <x v="0"/>
    <x v="751"/>
    <x v="183"/>
    <x v="2"/>
  </r>
  <r>
    <x v="310"/>
    <d v="2014-09-22T00:00:00"/>
    <x v="5"/>
    <s v="Second Class"/>
    <s v="TG-21640"/>
    <x v="333"/>
    <s v="California"/>
    <x v="0"/>
    <x v="12"/>
    <x v="309"/>
    <x v="322"/>
    <x v="4"/>
  </r>
  <r>
    <x v="310"/>
    <d v="2014-09-23T00:00:00"/>
    <x v="1"/>
    <s v="Standard Class"/>
    <s v="GB-14530"/>
    <x v="374"/>
    <s v="California"/>
    <x v="0"/>
    <x v="3"/>
    <x v="752"/>
    <x v="868"/>
    <x v="4"/>
  </r>
  <r>
    <x v="310"/>
    <d v="2014-09-23T00:00:00"/>
    <x v="1"/>
    <s v="Standard Class"/>
    <s v="GB-14530"/>
    <x v="374"/>
    <s v="California"/>
    <x v="0"/>
    <x v="12"/>
    <x v="753"/>
    <x v="869"/>
    <x v="4"/>
  </r>
  <r>
    <x v="310"/>
    <d v="2014-09-23T00:00:00"/>
    <x v="1"/>
    <s v="Standard Class"/>
    <s v="GB-14530"/>
    <x v="374"/>
    <s v="California"/>
    <x v="1"/>
    <x v="7"/>
    <x v="754"/>
    <x v="870"/>
    <x v="4"/>
  </r>
  <r>
    <x v="310"/>
    <d v="2014-09-24T00:00:00"/>
    <x v="4"/>
    <s v="Standard Class"/>
    <s v="AB-10060"/>
    <x v="379"/>
    <s v="Washington"/>
    <x v="0"/>
    <x v="0"/>
    <x v="755"/>
    <x v="871"/>
    <x v="4"/>
  </r>
  <r>
    <x v="310"/>
    <d v="2014-09-21T00:00:00"/>
    <x v="2"/>
    <s v="First Class"/>
    <s v="CM-12190"/>
    <x v="380"/>
    <s v="California"/>
    <x v="0"/>
    <x v="1"/>
    <x v="756"/>
    <x v="430"/>
    <x v="2"/>
  </r>
  <r>
    <x v="311"/>
    <d v="2014-09-22T00:00:00"/>
    <x v="2"/>
    <s v="Second Class"/>
    <s v="RW-19540"/>
    <x v="273"/>
    <s v="California"/>
    <x v="0"/>
    <x v="0"/>
    <x v="750"/>
    <x v="272"/>
    <x v="4"/>
  </r>
  <r>
    <x v="311"/>
    <d v="2014-09-24T00:00:00"/>
    <x v="1"/>
    <s v="Standard Class"/>
    <s v="MH-17290"/>
    <x v="61"/>
    <s v="New Mexico"/>
    <x v="0"/>
    <x v="3"/>
    <x v="757"/>
    <x v="872"/>
    <x v="1"/>
  </r>
  <r>
    <x v="311"/>
    <d v="2014-09-23T00:00:00"/>
    <x v="5"/>
    <s v="Standard Class"/>
    <s v="FC-14245"/>
    <x v="381"/>
    <s v="California"/>
    <x v="1"/>
    <x v="7"/>
    <x v="758"/>
    <x v="873"/>
    <x v="0"/>
  </r>
  <r>
    <x v="312"/>
    <d v="2014-09-26T00:00:00"/>
    <x v="4"/>
    <s v="Standard Class"/>
    <s v="AM-10705"/>
    <x v="382"/>
    <s v="Nevada"/>
    <x v="0"/>
    <x v="5"/>
    <x v="759"/>
    <x v="874"/>
    <x v="12"/>
  </r>
  <r>
    <x v="313"/>
    <d v="2014-09-27T00:00:00"/>
    <x v="4"/>
    <s v="Standard Class"/>
    <s v="CS-12130"/>
    <x v="123"/>
    <s v="Washington"/>
    <x v="0"/>
    <x v="1"/>
    <x v="554"/>
    <x v="875"/>
    <x v="5"/>
  </r>
  <r>
    <x v="313"/>
    <d v="2014-09-23T00:00:00"/>
    <x v="0"/>
    <s v="First Class"/>
    <s v="CD-12790"/>
    <x v="8"/>
    <s v="California"/>
    <x v="1"/>
    <x v="10"/>
    <x v="760"/>
    <x v="451"/>
    <x v="2"/>
  </r>
  <r>
    <x v="313"/>
    <d v="2014-09-23T00:00:00"/>
    <x v="0"/>
    <s v="First Class"/>
    <s v="CD-12790"/>
    <x v="8"/>
    <s v="California"/>
    <x v="0"/>
    <x v="9"/>
    <x v="761"/>
    <x v="876"/>
    <x v="4"/>
  </r>
  <r>
    <x v="314"/>
    <d v="2014-09-22T00:00:00"/>
    <x v="7"/>
    <s v="Same Day"/>
    <s v="DL-12925"/>
    <x v="383"/>
    <s v="California"/>
    <x v="1"/>
    <x v="7"/>
    <x v="346"/>
    <x v="362"/>
    <x v="4"/>
  </r>
  <r>
    <x v="314"/>
    <d v="2014-09-26T00:00:00"/>
    <x v="5"/>
    <s v="Second Class"/>
    <s v="MM-18280"/>
    <x v="384"/>
    <s v="California"/>
    <x v="0"/>
    <x v="4"/>
    <x v="762"/>
    <x v="877"/>
    <x v="0"/>
  </r>
  <r>
    <x v="315"/>
    <d v="2014-09-26T00:00:00"/>
    <x v="0"/>
    <s v="Second Class"/>
    <s v="ME-17725"/>
    <x v="385"/>
    <s v="Washington"/>
    <x v="0"/>
    <x v="3"/>
    <x v="293"/>
    <x v="878"/>
    <x v="4"/>
  </r>
  <r>
    <x v="315"/>
    <d v="2014-09-26T00:00:00"/>
    <x v="0"/>
    <s v="Second Class"/>
    <s v="ME-17725"/>
    <x v="385"/>
    <s v="Washington"/>
    <x v="0"/>
    <x v="5"/>
    <x v="261"/>
    <x v="879"/>
    <x v="0"/>
  </r>
  <r>
    <x v="315"/>
    <d v="2014-09-28T00:00:00"/>
    <x v="5"/>
    <s v="Standard Class"/>
    <s v="SC-20440"/>
    <x v="386"/>
    <s v="California"/>
    <x v="1"/>
    <x v="7"/>
    <x v="763"/>
    <x v="880"/>
    <x v="0"/>
  </r>
  <r>
    <x v="315"/>
    <d v="2014-09-28T00:00:00"/>
    <x v="5"/>
    <s v="Standard Class"/>
    <s v="SC-20440"/>
    <x v="386"/>
    <s v="California"/>
    <x v="0"/>
    <x v="4"/>
    <x v="624"/>
    <x v="881"/>
    <x v="2"/>
  </r>
  <r>
    <x v="315"/>
    <d v="2014-09-26T00:00:00"/>
    <x v="0"/>
    <s v="Second Class"/>
    <s v="CM-11935"/>
    <x v="387"/>
    <s v="Arizona"/>
    <x v="2"/>
    <x v="14"/>
    <x v="496"/>
    <x v="882"/>
    <x v="4"/>
  </r>
  <r>
    <x v="315"/>
    <d v="2014-09-29T00:00:00"/>
    <x v="1"/>
    <s v="Second Class"/>
    <s v="KM-16720"/>
    <x v="41"/>
    <s v="Arizona"/>
    <x v="0"/>
    <x v="3"/>
    <x v="14"/>
    <x v="357"/>
    <x v="4"/>
  </r>
  <r>
    <x v="315"/>
    <d v="2014-09-29T00:00:00"/>
    <x v="1"/>
    <s v="Second Class"/>
    <s v="KM-16720"/>
    <x v="41"/>
    <s v="Arizona"/>
    <x v="2"/>
    <x v="11"/>
    <x v="764"/>
    <x v="883"/>
    <x v="4"/>
  </r>
  <r>
    <x v="315"/>
    <d v="2014-09-29T00:00:00"/>
    <x v="1"/>
    <s v="Second Class"/>
    <s v="KM-16720"/>
    <x v="41"/>
    <s v="Arizona"/>
    <x v="0"/>
    <x v="3"/>
    <x v="642"/>
    <x v="884"/>
    <x v="8"/>
  </r>
  <r>
    <x v="316"/>
    <d v="2014-09-30T00:00:00"/>
    <x v="1"/>
    <s v="Standard Class"/>
    <s v="EB-13870"/>
    <x v="207"/>
    <s v="Utah"/>
    <x v="1"/>
    <x v="8"/>
    <x v="765"/>
    <x v="885"/>
    <x v="0"/>
  </r>
  <r>
    <x v="316"/>
    <d v="2014-10-01T00:00:00"/>
    <x v="4"/>
    <s v="Standard Class"/>
    <s v="AM-10705"/>
    <x v="382"/>
    <s v="California"/>
    <x v="0"/>
    <x v="6"/>
    <x v="766"/>
    <x v="886"/>
    <x v="4"/>
  </r>
  <r>
    <x v="316"/>
    <d v="2014-09-30T00:00:00"/>
    <x v="1"/>
    <s v="Standard Class"/>
    <s v="SH-19975"/>
    <x v="245"/>
    <s v="Washington"/>
    <x v="1"/>
    <x v="10"/>
    <x v="767"/>
    <x v="887"/>
    <x v="2"/>
  </r>
  <r>
    <x v="316"/>
    <d v="2014-09-30T00:00:00"/>
    <x v="1"/>
    <s v="Standard Class"/>
    <s v="SH-19975"/>
    <x v="245"/>
    <s v="Washington"/>
    <x v="0"/>
    <x v="15"/>
    <x v="768"/>
    <x v="119"/>
    <x v="4"/>
  </r>
  <r>
    <x v="316"/>
    <d v="2014-09-30T00:00:00"/>
    <x v="1"/>
    <s v="Standard Class"/>
    <s v="SH-19975"/>
    <x v="245"/>
    <s v="Washington"/>
    <x v="2"/>
    <x v="11"/>
    <x v="769"/>
    <x v="78"/>
    <x v="4"/>
  </r>
  <r>
    <x v="317"/>
    <d v="2014-10-02T00:00:00"/>
    <x v="4"/>
    <s v="Standard Class"/>
    <s v="TB-21520"/>
    <x v="388"/>
    <s v="Oregon"/>
    <x v="0"/>
    <x v="0"/>
    <x v="409"/>
    <x v="888"/>
    <x v="1"/>
  </r>
  <r>
    <x v="317"/>
    <d v="2014-10-02T00:00:00"/>
    <x v="4"/>
    <s v="Standard Class"/>
    <s v="TB-21520"/>
    <x v="388"/>
    <s v="Oregon"/>
    <x v="2"/>
    <x v="11"/>
    <x v="770"/>
    <x v="889"/>
    <x v="1"/>
  </r>
  <r>
    <x v="317"/>
    <d v="2014-10-02T00:00:00"/>
    <x v="4"/>
    <s v="Standard Class"/>
    <s v="TB-21520"/>
    <x v="388"/>
    <s v="Oregon"/>
    <x v="0"/>
    <x v="0"/>
    <x v="749"/>
    <x v="287"/>
    <x v="5"/>
  </r>
  <r>
    <x v="317"/>
    <d v="2014-09-30T00:00:00"/>
    <x v="5"/>
    <s v="Standard Class"/>
    <s v="RW-19540"/>
    <x v="273"/>
    <s v="Arizona"/>
    <x v="0"/>
    <x v="0"/>
    <x v="771"/>
    <x v="890"/>
    <x v="2"/>
  </r>
  <r>
    <x v="317"/>
    <d v="2014-09-30T00:00:00"/>
    <x v="5"/>
    <s v="Standard Class"/>
    <s v="RW-19540"/>
    <x v="273"/>
    <s v="Arizona"/>
    <x v="0"/>
    <x v="5"/>
    <x v="772"/>
    <x v="891"/>
    <x v="4"/>
  </r>
  <r>
    <x v="317"/>
    <d v="2014-09-30T00:00:00"/>
    <x v="5"/>
    <s v="Standard Class"/>
    <s v="RW-19540"/>
    <x v="273"/>
    <s v="Arizona"/>
    <x v="0"/>
    <x v="4"/>
    <x v="617"/>
    <x v="892"/>
    <x v="4"/>
  </r>
  <r>
    <x v="317"/>
    <d v="2014-09-30T00:00:00"/>
    <x v="5"/>
    <s v="Standard Class"/>
    <s v="RW-19540"/>
    <x v="273"/>
    <s v="Arizona"/>
    <x v="0"/>
    <x v="5"/>
    <x v="773"/>
    <x v="893"/>
    <x v="11"/>
  </r>
  <r>
    <x v="317"/>
    <d v="2014-09-30T00:00:00"/>
    <x v="5"/>
    <s v="Standard Class"/>
    <s v="RW-19540"/>
    <x v="273"/>
    <s v="Arizona"/>
    <x v="0"/>
    <x v="1"/>
    <x v="774"/>
    <x v="894"/>
    <x v="5"/>
  </r>
  <r>
    <x v="317"/>
    <d v="2014-09-30T00:00:00"/>
    <x v="5"/>
    <s v="Standard Class"/>
    <s v="RW-19540"/>
    <x v="273"/>
    <s v="Arizona"/>
    <x v="2"/>
    <x v="14"/>
    <x v="412"/>
    <x v="179"/>
    <x v="1"/>
  </r>
  <r>
    <x v="317"/>
    <d v="2014-09-30T00:00:00"/>
    <x v="5"/>
    <s v="Standard Class"/>
    <s v="RW-19540"/>
    <x v="273"/>
    <s v="Arizona"/>
    <x v="0"/>
    <x v="1"/>
    <x v="424"/>
    <x v="895"/>
    <x v="2"/>
  </r>
  <r>
    <x v="317"/>
    <d v="2014-10-01T00:00:00"/>
    <x v="1"/>
    <s v="Standard Class"/>
    <s v="BS-11800"/>
    <x v="389"/>
    <s v="California"/>
    <x v="0"/>
    <x v="1"/>
    <x v="376"/>
    <x v="896"/>
    <x v="0"/>
  </r>
  <r>
    <x v="317"/>
    <d v="2014-10-01T00:00:00"/>
    <x v="1"/>
    <s v="Standard Class"/>
    <s v="BS-11800"/>
    <x v="389"/>
    <s v="California"/>
    <x v="0"/>
    <x v="6"/>
    <x v="678"/>
    <x v="897"/>
    <x v="4"/>
  </r>
  <r>
    <x v="318"/>
    <d v="2014-09-29T00:00:00"/>
    <x v="0"/>
    <s v="Second Class"/>
    <s v="RH-19510"/>
    <x v="368"/>
    <s v="California"/>
    <x v="0"/>
    <x v="1"/>
    <x v="775"/>
    <x v="898"/>
    <x v="6"/>
  </r>
  <r>
    <x v="318"/>
    <d v="2014-09-29T00:00:00"/>
    <x v="0"/>
    <s v="Second Class"/>
    <s v="RH-19510"/>
    <x v="368"/>
    <s v="California"/>
    <x v="0"/>
    <x v="0"/>
    <x v="776"/>
    <x v="899"/>
    <x v="0"/>
  </r>
  <r>
    <x v="318"/>
    <d v="2014-09-29T00:00:00"/>
    <x v="0"/>
    <s v="Second Class"/>
    <s v="RH-19510"/>
    <x v="368"/>
    <s v="California"/>
    <x v="0"/>
    <x v="0"/>
    <x v="724"/>
    <x v="28"/>
    <x v="4"/>
  </r>
  <r>
    <x v="318"/>
    <d v="2014-09-29T00:00:00"/>
    <x v="0"/>
    <s v="Second Class"/>
    <s v="SS-20140"/>
    <x v="390"/>
    <s v="Washington"/>
    <x v="0"/>
    <x v="3"/>
    <x v="206"/>
    <x v="214"/>
    <x v="1"/>
  </r>
  <r>
    <x v="319"/>
    <d v="2014-10-01T00:00:00"/>
    <x v="2"/>
    <s v="First Class"/>
    <s v="HG-14965"/>
    <x v="158"/>
    <s v="California"/>
    <x v="0"/>
    <x v="4"/>
    <x v="119"/>
    <x v="900"/>
    <x v="0"/>
  </r>
  <r>
    <x v="319"/>
    <d v="2014-10-01T00:00:00"/>
    <x v="2"/>
    <s v="First Class"/>
    <s v="HG-14965"/>
    <x v="158"/>
    <s v="California"/>
    <x v="0"/>
    <x v="4"/>
    <x v="777"/>
    <x v="901"/>
    <x v="4"/>
  </r>
  <r>
    <x v="319"/>
    <d v="2014-10-04T00:00:00"/>
    <x v="4"/>
    <s v="Standard Class"/>
    <s v="ZC-21910"/>
    <x v="183"/>
    <s v="Colorado"/>
    <x v="0"/>
    <x v="6"/>
    <x v="333"/>
    <x v="902"/>
    <x v="6"/>
  </r>
  <r>
    <x v="319"/>
    <d v="2014-10-04T00:00:00"/>
    <x v="4"/>
    <s v="Standard Class"/>
    <s v="ZC-21910"/>
    <x v="183"/>
    <s v="Colorado"/>
    <x v="0"/>
    <x v="5"/>
    <x v="477"/>
    <x v="903"/>
    <x v="4"/>
  </r>
  <r>
    <x v="319"/>
    <d v="2014-10-04T00:00:00"/>
    <x v="4"/>
    <s v="Standard Class"/>
    <s v="ZC-21910"/>
    <x v="183"/>
    <s v="Colorado"/>
    <x v="0"/>
    <x v="9"/>
    <x v="16"/>
    <x v="904"/>
    <x v="0"/>
  </r>
  <r>
    <x v="319"/>
    <d v="2014-10-05T00:00:00"/>
    <x v="6"/>
    <s v="Standard Class"/>
    <s v="RP-19855"/>
    <x v="391"/>
    <s v="California"/>
    <x v="0"/>
    <x v="4"/>
    <x v="778"/>
    <x v="905"/>
    <x v="0"/>
  </r>
  <r>
    <x v="319"/>
    <d v="2014-10-05T00:00:00"/>
    <x v="6"/>
    <s v="Standard Class"/>
    <s v="RP-19855"/>
    <x v="391"/>
    <s v="California"/>
    <x v="0"/>
    <x v="5"/>
    <x v="779"/>
    <x v="906"/>
    <x v="5"/>
  </r>
  <r>
    <x v="319"/>
    <d v="2014-10-05T00:00:00"/>
    <x v="6"/>
    <s v="Standard Class"/>
    <s v="RP-19855"/>
    <x v="391"/>
    <s v="California"/>
    <x v="0"/>
    <x v="12"/>
    <x v="780"/>
    <x v="907"/>
    <x v="0"/>
  </r>
  <r>
    <x v="319"/>
    <d v="2014-10-05T00:00:00"/>
    <x v="6"/>
    <s v="Standard Class"/>
    <s v="RP-19855"/>
    <x v="391"/>
    <s v="California"/>
    <x v="2"/>
    <x v="14"/>
    <x v="781"/>
    <x v="908"/>
    <x v="4"/>
  </r>
  <r>
    <x v="320"/>
    <d v="2014-10-06T00:00:00"/>
    <x v="1"/>
    <s v="Standard Class"/>
    <s v="SC-20440"/>
    <x v="386"/>
    <s v="Colorado"/>
    <x v="0"/>
    <x v="1"/>
    <x v="782"/>
    <x v="909"/>
    <x v="2"/>
  </r>
  <r>
    <x v="320"/>
    <d v="2014-10-04T00:00:00"/>
    <x v="2"/>
    <s v="First Class"/>
    <s v="EM-13960"/>
    <x v="392"/>
    <s v="Oregon"/>
    <x v="2"/>
    <x v="14"/>
    <x v="127"/>
    <x v="910"/>
    <x v="4"/>
  </r>
  <r>
    <x v="321"/>
    <d v="2014-10-08T00:00:00"/>
    <x v="4"/>
    <s v="Standard Class"/>
    <s v="EB-13705"/>
    <x v="99"/>
    <s v="California"/>
    <x v="0"/>
    <x v="5"/>
    <x v="92"/>
    <x v="911"/>
    <x v="5"/>
  </r>
  <r>
    <x v="321"/>
    <d v="2014-10-07T00:00:00"/>
    <x v="1"/>
    <s v="Second Class"/>
    <s v="CS-12400"/>
    <x v="164"/>
    <s v="California"/>
    <x v="0"/>
    <x v="1"/>
    <x v="313"/>
    <x v="912"/>
    <x v="10"/>
  </r>
  <r>
    <x v="321"/>
    <d v="2014-10-03T00:00:00"/>
    <x v="3"/>
    <s v="First Class"/>
    <s v="HM-14980"/>
    <x v="393"/>
    <s v="California"/>
    <x v="0"/>
    <x v="5"/>
    <x v="783"/>
    <x v="913"/>
    <x v="0"/>
  </r>
  <r>
    <x v="321"/>
    <d v="2014-10-03T00:00:00"/>
    <x v="3"/>
    <s v="First Class"/>
    <s v="HM-14980"/>
    <x v="393"/>
    <s v="California"/>
    <x v="0"/>
    <x v="5"/>
    <x v="784"/>
    <x v="914"/>
    <x v="2"/>
  </r>
  <r>
    <x v="321"/>
    <d v="2014-10-03T00:00:00"/>
    <x v="3"/>
    <s v="First Class"/>
    <s v="HM-14980"/>
    <x v="393"/>
    <s v="California"/>
    <x v="2"/>
    <x v="14"/>
    <x v="785"/>
    <x v="915"/>
    <x v="1"/>
  </r>
  <r>
    <x v="321"/>
    <d v="2014-10-07T00:00:00"/>
    <x v="1"/>
    <s v="Standard Class"/>
    <s v="RP-19390"/>
    <x v="148"/>
    <s v="Colorado"/>
    <x v="0"/>
    <x v="12"/>
    <x v="295"/>
    <x v="916"/>
    <x v="4"/>
  </r>
  <r>
    <x v="321"/>
    <d v="2014-10-04T00:00:00"/>
    <x v="0"/>
    <s v="First Class"/>
    <s v="CK-12205"/>
    <x v="394"/>
    <s v="Oregon"/>
    <x v="1"/>
    <x v="7"/>
    <x v="786"/>
    <x v="917"/>
    <x v="6"/>
  </r>
  <r>
    <x v="321"/>
    <d v="2014-10-04T00:00:00"/>
    <x v="0"/>
    <s v="First Class"/>
    <s v="CK-12205"/>
    <x v="394"/>
    <s v="Oregon"/>
    <x v="2"/>
    <x v="11"/>
    <x v="62"/>
    <x v="918"/>
    <x v="0"/>
  </r>
  <r>
    <x v="322"/>
    <d v="2014-10-08T00:00:00"/>
    <x v="1"/>
    <s v="Standard Class"/>
    <s v="BS-11755"/>
    <x v="121"/>
    <s v="California"/>
    <x v="1"/>
    <x v="2"/>
    <x v="584"/>
    <x v="919"/>
    <x v="4"/>
  </r>
  <r>
    <x v="323"/>
    <d v="2014-10-07T00:00:00"/>
    <x v="2"/>
    <s v="First Class"/>
    <s v="AA-10315"/>
    <x v="40"/>
    <s v="California"/>
    <x v="0"/>
    <x v="1"/>
    <x v="661"/>
    <x v="920"/>
    <x v="4"/>
  </r>
  <r>
    <x v="324"/>
    <d v="2014-10-09T00:00:00"/>
    <x v="5"/>
    <s v="Standard Class"/>
    <s v="JF-15490"/>
    <x v="186"/>
    <s v="Oregon"/>
    <x v="1"/>
    <x v="2"/>
    <x v="787"/>
    <x v="921"/>
    <x v="6"/>
  </r>
  <r>
    <x v="324"/>
    <d v="2014-10-09T00:00:00"/>
    <x v="5"/>
    <s v="Standard Class"/>
    <s v="JF-15490"/>
    <x v="186"/>
    <s v="Oregon"/>
    <x v="1"/>
    <x v="10"/>
    <x v="788"/>
    <x v="922"/>
    <x v="2"/>
  </r>
  <r>
    <x v="325"/>
    <d v="2014-10-12T00:00:00"/>
    <x v="5"/>
    <s v="Standard Class"/>
    <s v="MB-17305"/>
    <x v="126"/>
    <s v="California"/>
    <x v="1"/>
    <x v="7"/>
    <x v="789"/>
    <x v="923"/>
    <x v="1"/>
  </r>
  <r>
    <x v="326"/>
    <d v="2014-10-11T00:00:00"/>
    <x v="3"/>
    <s v="First Class"/>
    <s v="DJ-13420"/>
    <x v="242"/>
    <s v="California"/>
    <x v="0"/>
    <x v="0"/>
    <x v="658"/>
    <x v="924"/>
    <x v="8"/>
  </r>
  <r>
    <x v="326"/>
    <d v="2014-10-12T00:00:00"/>
    <x v="0"/>
    <s v="First Class"/>
    <s v="KN-16390"/>
    <x v="395"/>
    <s v="California"/>
    <x v="1"/>
    <x v="10"/>
    <x v="470"/>
    <x v="925"/>
    <x v="0"/>
  </r>
  <r>
    <x v="326"/>
    <d v="2014-10-12T00:00:00"/>
    <x v="0"/>
    <s v="First Class"/>
    <s v="KN-16390"/>
    <x v="395"/>
    <s v="California"/>
    <x v="0"/>
    <x v="15"/>
    <x v="790"/>
    <x v="560"/>
    <x v="0"/>
  </r>
  <r>
    <x v="327"/>
    <d v="2014-10-17T00:00:00"/>
    <x v="1"/>
    <s v="Standard Class"/>
    <s v="KA-16525"/>
    <x v="396"/>
    <s v="Washington"/>
    <x v="2"/>
    <x v="11"/>
    <x v="359"/>
    <x v="170"/>
    <x v="4"/>
  </r>
  <r>
    <x v="327"/>
    <d v="2014-10-17T00:00:00"/>
    <x v="1"/>
    <s v="Standard Class"/>
    <s v="KA-16525"/>
    <x v="396"/>
    <s v="Washington"/>
    <x v="0"/>
    <x v="1"/>
    <x v="38"/>
    <x v="25"/>
    <x v="4"/>
  </r>
  <r>
    <x v="328"/>
    <d v="2014-10-17T00:00:00"/>
    <x v="7"/>
    <s v="Same Day"/>
    <s v="CM-12190"/>
    <x v="380"/>
    <s v="California"/>
    <x v="0"/>
    <x v="1"/>
    <x v="791"/>
    <x v="926"/>
    <x v="4"/>
  </r>
  <r>
    <x v="329"/>
    <d v="2014-10-22T00:00:00"/>
    <x v="5"/>
    <s v="Standard Class"/>
    <s v="JC-15775"/>
    <x v="397"/>
    <s v="Washington"/>
    <x v="2"/>
    <x v="14"/>
    <x v="700"/>
    <x v="927"/>
    <x v="4"/>
  </r>
  <r>
    <x v="329"/>
    <d v="2014-10-22T00:00:00"/>
    <x v="5"/>
    <s v="Standard Class"/>
    <s v="JC-15775"/>
    <x v="397"/>
    <s v="Washington"/>
    <x v="0"/>
    <x v="0"/>
    <x v="625"/>
    <x v="34"/>
    <x v="0"/>
  </r>
  <r>
    <x v="329"/>
    <d v="2014-10-22T00:00:00"/>
    <x v="5"/>
    <s v="Standard Class"/>
    <s v="JC-15775"/>
    <x v="397"/>
    <s v="Washington"/>
    <x v="1"/>
    <x v="7"/>
    <x v="445"/>
    <x v="468"/>
    <x v="0"/>
  </r>
  <r>
    <x v="330"/>
    <d v="2014-10-24T00:00:00"/>
    <x v="1"/>
    <s v="Standard Class"/>
    <s v="RM-19675"/>
    <x v="398"/>
    <s v="California"/>
    <x v="0"/>
    <x v="4"/>
    <x v="792"/>
    <x v="928"/>
    <x v="1"/>
  </r>
  <r>
    <x v="330"/>
    <d v="2014-10-24T00:00:00"/>
    <x v="1"/>
    <s v="Standard Class"/>
    <s v="RM-19675"/>
    <x v="398"/>
    <s v="California"/>
    <x v="2"/>
    <x v="11"/>
    <x v="793"/>
    <x v="929"/>
    <x v="0"/>
  </r>
  <r>
    <x v="331"/>
    <d v="2014-10-24T00:00:00"/>
    <x v="5"/>
    <s v="Standard Class"/>
    <s v="NS-18640"/>
    <x v="94"/>
    <s v="California"/>
    <x v="2"/>
    <x v="11"/>
    <x v="769"/>
    <x v="24"/>
    <x v="0"/>
  </r>
  <r>
    <x v="331"/>
    <d v="2014-10-24T00:00:00"/>
    <x v="5"/>
    <s v="Standard Class"/>
    <s v="NS-18640"/>
    <x v="94"/>
    <s v="California"/>
    <x v="1"/>
    <x v="7"/>
    <x v="171"/>
    <x v="930"/>
    <x v="5"/>
  </r>
  <r>
    <x v="331"/>
    <d v="2014-10-24T00:00:00"/>
    <x v="5"/>
    <s v="Standard Class"/>
    <s v="SV-20785"/>
    <x v="90"/>
    <s v="California"/>
    <x v="1"/>
    <x v="7"/>
    <x v="794"/>
    <x v="931"/>
    <x v="8"/>
  </r>
  <r>
    <x v="331"/>
    <d v="2014-10-24T00:00:00"/>
    <x v="5"/>
    <s v="Standard Class"/>
    <s v="SV-20785"/>
    <x v="90"/>
    <s v="California"/>
    <x v="1"/>
    <x v="8"/>
    <x v="795"/>
    <x v="932"/>
    <x v="0"/>
  </r>
  <r>
    <x v="332"/>
    <d v="2014-10-27T00:00:00"/>
    <x v="5"/>
    <s v="Second Class"/>
    <s v="JF-15355"/>
    <x v="399"/>
    <s v="California"/>
    <x v="2"/>
    <x v="11"/>
    <x v="796"/>
    <x v="933"/>
    <x v="11"/>
  </r>
  <r>
    <x v="332"/>
    <d v="2014-10-27T00:00:00"/>
    <x v="5"/>
    <s v="Second Class"/>
    <s v="JF-15355"/>
    <x v="399"/>
    <s v="California"/>
    <x v="1"/>
    <x v="10"/>
    <x v="40"/>
    <x v="934"/>
    <x v="6"/>
  </r>
  <r>
    <x v="332"/>
    <d v="2014-10-27T00:00:00"/>
    <x v="5"/>
    <s v="Second Class"/>
    <s v="JF-15355"/>
    <x v="399"/>
    <s v="California"/>
    <x v="1"/>
    <x v="10"/>
    <x v="647"/>
    <x v="713"/>
    <x v="8"/>
  </r>
  <r>
    <x v="332"/>
    <d v="2014-10-27T00:00:00"/>
    <x v="5"/>
    <s v="Second Class"/>
    <s v="JF-15355"/>
    <x v="399"/>
    <s v="California"/>
    <x v="0"/>
    <x v="0"/>
    <x v="797"/>
    <x v="590"/>
    <x v="4"/>
  </r>
  <r>
    <x v="332"/>
    <d v="2014-10-27T00:00:00"/>
    <x v="5"/>
    <s v="Second Class"/>
    <s v="JF-15355"/>
    <x v="399"/>
    <s v="California"/>
    <x v="0"/>
    <x v="6"/>
    <x v="798"/>
    <x v="935"/>
    <x v="2"/>
  </r>
  <r>
    <x v="332"/>
    <d v="2014-10-27T00:00:00"/>
    <x v="5"/>
    <s v="Second Class"/>
    <s v="JF-15355"/>
    <x v="399"/>
    <s v="California"/>
    <x v="1"/>
    <x v="10"/>
    <x v="521"/>
    <x v="936"/>
    <x v="0"/>
  </r>
  <r>
    <x v="332"/>
    <d v="2014-10-28T00:00:00"/>
    <x v="1"/>
    <s v="Standard Class"/>
    <s v="AG-10495"/>
    <x v="400"/>
    <s v="Washington"/>
    <x v="0"/>
    <x v="5"/>
    <x v="77"/>
    <x v="937"/>
    <x v="6"/>
  </r>
  <r>
    <x v="333"/>
    <d v="2014-10-27T00:00:00"/>
    <x v="2"/>
    <s v="First Class"/>
    <s v="RD-19660"/>
    <x v="303"/>
    <s v="California"/>
    <x v="1"/>
    <x v="10"/>
    <x v="799"/>
    <x v="938"/>
    <x v="9"/>
  </r>
  <r>
    <x v="334"/>
    <d v="2014-10-30T00:00:00"/>
    <x v="1"/>
    <s v="Standard Class"/>
    <s v="TB-21625"/>
    <x v="401"/>
    <s v="California"/>
    <x v="0"/>
    <x v="3"/>
    <x v="744"/>
    <x v="939"/>
    <x v="0"/>
  </r>
  <r>
    <x v="334"/>
    <d v="2014-10-30T00:00:00"/>
    <x v="1"/>
    <s v="Standard Class"/>
    <s v="TB-21625"/>
    <x v="401"/>
    <s v="California"/>
    <x v="1"/>
    <x v="8"/>
    <x v="800"/>
    <x v="940"/>
    <x v="0"/>
  </r>
  <r>
    <x v="334"/>
    <d v="2014-10-27T00:00:00"/>
    <x v="0"/>
    <s v="Second Class"/>
    <s v="JF-15415"/>
    <x v="300"/>
    <s v="Nevada"/>
    <x v="0"/>
    <x v="3"/>
    <x v="801"/>
    <x v="941"/>
    <x v="2"/>
  </r>
  <r>
    <x v="334"/>
    <d v="2014-10-25T00:00:00"/>
    <x v="7"/>
    <s v="Same Day"/>
    <s v="DG-13300"/>
    <x v="402"/>
    <s v="Colorado"/>
    <x v="1"/>
    <x v="10"/>
    <x v="788"/>
    <x v="942"/>
    <x v="9"/>
  </r>
  <r>
    <x v="335"/>
    <d v="2014-10-30T00:00:00"/>
    <x v="5"/>
    <s v="Standard Class"/>
    <s v="MY-17380"/>
    <x v="403"/>
    <s v="California"/>
    <x v="0"/>
    <x v="15"/>
    <x v="802"/>
    <x v="943"/>
    <x v="4"/>
  </r>
  <r>
    <x v="335"/>
    <d v="2014-10-30T00:00:00"/>
    <x v="5"/>
    <s v="Second Class"/>
    <s v="AG-10495"/>
    <x v="400"/>
    <s v="Arizona"/>
    <x v="2"/>
    <x v="14"/>
    <x v="803"/>
    <x v="96"/>
    <x v="4"/>
  </r>
  <r>
    <x v="335"/>
    <d v="2014-10-30T00:00:00"/>
    <x v="5"/>
    <s v="Second Class"/>
    <s v="AG-10495"/>
    <x v="400"/>
    <s v="Arizona"/>
    <x v="2"/>
    <x v="14"/>
    <x v="804"/>
    <x v="944"/>
    <x v="4"/>
  </r>
  <r>
    <x v="335"/>
    <d v="2014-11-01T00:00:00"/>
    <x v="4"/>
    <s v="Standard Class"/>
    <s v="KH-16690"/>
    <x v="404"/>
    <s v="Oregon"/>
    <x v="0"/>
    <x v="15"/>
    <x v="551"/>
    <x v="945"/>
    <x v="5"/>
  </r>
  <r>
    <x v="335"/>
    <d v="2014-11-01T00:00:00"/>
    <x v="4"/>
    <s v="Standard Class"/>
    <s v="KH-16690"/>
    <x v="404"/>
    <s v="Oregon"/>
    <x v="0"/>
    <x v="0"/>
    <x v="805"/>
    <x v="946"/>
    <x v="0"/>
  </r>
  <r>
    <x v="335"/>
    <d v="2014-11-01T00:00:00"/>
    <x v="4"/>
    <s v="Standard Class"/>
    <s v="KH-16690"/>
    <x v="404"/>
    <s v="Oregon"/>
    <x v="0"/>
    <x v="4"/>
    <x v="267"/>
    <x v="947"/>
    <x v="1"/>
  </r>
  <r>
    <x v="335"/>
    <d v="2014-11-01T00:00:00"/>
    <x v="4"/>
    <s v="Standard Class"/>
    <s v="KH-16690"/>
    <x v="404"/>
    <s v="Oregon"/>
    <x v="0"/>
    <x v="5"/>
    <x v="806"/>
    <x v="948"/>
    <x v="8"/>
  </r>
  <r>
    <x v="335"/>
    <d v="2014-11-01T00:00:00"/>
    <x v="4"/>
    <s v="Standard Class"/>
    <s v="KH-16690"/>
    <x v="404"/>
    <s v="Oregon"/>
    <x v="0"/>
    <x v="1"/>
    <x v="141"/>
    <x v="949"/>
    <x v="3"/>
  </r>
  <r>
    <x v="336"/>
    <d v="2014-11-02T00:00:00"/>
    <x v="5"/>
    <s v="Standard Class"/>
    <s v="NB-18655"/>
    <x v="405"/>
    <s v="California"/>
    <x v="0"/>
    <x v="0"/>
    <x v="807"/>
    <x v="662"/>
    <x v="1"/>
  </r>
  <r>
    <x v="336"/>
    <d v="2014-11-02T00:00:00"/>
    <x v="5"/>
    <s v="Standard Class"/>
    <s v="NB-18655"/>
    <x v="405"/>
    <s v="California"/>
    <x v="0"/>
    <x v="6"/>
    <x v="124"/>
    <x v="950"/>
    <x v="2"/>
  </r>
  <r>
    <x v="337"/>
    <d v="2014-11-02T00:00:00"/>
    <x v="2"/>
    <s v="Second Class"/>
    <s v="FA-14230"/>
    <x v="152"/>
    <s v="Colorado"/>
    <x v="2"/>
    <x v="13"/>
    <x v="727"/>
    <x v="951"/>
    <x v="4"/>
  </r>
  <r>
    <x v="337"/>
    <d v="2014-11-02T00:00:00"/>
    <x v="2"/>
    <s v="Second Class"/>
    <s v="FA-14230"/>
    <x v="152"/>
    <s v="Colorado"/>
    <x v="2"/>
    <x v="16"/>
    <x v="808"/>
    <x v="952"/>
    <x v="6"/>
  </r>
  <r>
    <x v="337"/>
    <d v="2014-11-02T00:00:00"/>
    <x v="2"/>
    <s v="Second Class"/>
    <s v="FA-14230"/>
    <x v="152"/>
    <s v="Colorado"/>
    <x v="2"/>
    <x v="14"/>
    <x v="809"/>
    <x v="953"/>
    <x v="1"/>
  </r>
  <r>
    <x v="337"/>
    <d v="2014-11-02T00:00:00"/>
    <x v="2"/>
    <s v="Second Class"/>
    <s v="FA-14230"/>
    <x v="152"/>
    <s v="Colorado"/>
    <x v="1"/>
    <x v="7"/>
    <x v="810"/>
    <x v="954"/>
    <x v="2"/>
  </r>
  <r>
    <x v="338"/>
    <d v="2014-11-06T00:00:00"/>
    <x v="4"/>
    <s v="Standard Class"/>
    <s v="MZ-17515"/>
    <x v="44"/>
    <s v="California"/>
    <x v="0"/>
    <x v="6"/>
    <x v="811"/>
    <x v="955"/>
    <x v="8"/>
  </r>
  <r>
    <x v="338"/>
    <d v="2014-11-04T00:00:00"/>
    <x v="5"/>
    <s v="Second Class"/>
    <s v="DK-12835"/>
    <x v="35"/>
    <s v="California"/>
    <x v="0"/>
    <x v="5"/>
    <x v="650"/>
    <x v="956"/>
    <x v="4"/>
  </r>
  <r>
    <x v="338"/>
    <d v="2014-11-04T00:00:00"/>
    <x v="5"/>
    <s v="Second Class"/>
    <s v="DK-12835"/>
    <x v="35"/>
    <s v="California"/>
    <x v="0"/>
    <x v="6"/>
    <x v="798"/>
    <x v="957"/>
    <x v="1"/>
  </r>
  <r>
    <x v="338"/>
    <d v="2014-11-04T00:00:00"/>
    <x v="5"/>
    <s v="Second Class"/>
    <s v="DK-12835"/>
    <x v="35"/>
    <s v="California"/>
    <x v="0"/>
    <x v="5"/>
    <x v="812"/>
    <x v="958"/>
    <x v="1"/>
  </r>
  <r>
    <x v="338"/>
    <d v="2014-11-04T00:00:00"/>
    <x v="5"/>
    <s v="Second Class"/>
    <s v="DK-12835"/>
    <x v="35"/>
    <s v="California"/>
    <x v="0"/>
    <x v="15"/>
    <x v="577"/>
    <x v="959"/>
    <x v="10"/>
  </r>
  <r>
    <x v="338"/>
    <d v="2014-10-31T00:00:00"/>
    <x v="7"/>
    <s v="Same Day"/>
    <s v="SG-20080"/>
    <x v="406"/>
    <s v="California"/>
    <x v="0"/>
    <x v="0"/>
    <x v="717"/>
    <x v="960"/>
    <x v="6"/>
  </r>
  <r>
    <x v="338"/>
    <d v="2014-10-31T00:00:00"/>
    <x v="7"/>
    <s v="Same Day"/>
    <s v="SG-20080"/>
    <x v="406"/>
    <s v="California"/>
    <x v="0"/>
    <x v="5"/>
    <x v="813"/>
    <x v="961"/>
    <x v="0"/>
  </r>
  <r>
    <x v="338"/>
    <d v="2014-10-31T00:00:00"/>
    <x v="7"/>
    <s v="Same Day"/>
    <s v="SG-20080"/>
    <x v="406"/>
    <s v="California"/>
    <x v="0"/>
    <x v="3"/>
    <x v="63"/>
    <x v="815"/>
    <x v="0"/>
  </r>
  <r>
    <x v="338"/>
    <d v="2014-10-31T00:00:00"/>
    <x v="7"/>
    <s v="Same Day"/>
    <s v="SG-20080"/>
    <x v="406"/>
    <s v="California"/>
    <x v="0"/>
    <x v="9"/>
    <x v="814"/>
    <x v="962"/>
    <x v="1"/>
  </r>
  <r>
    <x v="338"/>
    <d v="2014-10-31T00:00:00"/>
    <x v="7"/>
    <s v="Same Day"/>
    <s v="SG-20080"/>
    <x v="406"/>
    <s v="California"/>
    <x v="1"/>
    <x v="10"/>
    <x v="815"/>
    <x v="963"/>
    <x v="2"/>
  </r>
  <r>
    <x v="338"/>
    <d v="2014-10-31T00:00:00"/>
    <x v="7"/>
    <s v="Same Day"/>
    <s v="SG-20080"/>
    <x v="406"/>
    <s v="California"/>
    <x v="0"/>
    <x v="12"/>
    <x v="816"/>
    <x v="964"/>
    <x v="0"/>
  </r>
  <r>
    <x v="338"/>
    <d v="2014-10-31T00:00:00"/>
    <x v="7"/>
    <s v="Same Day"/>
    <s v="SG-20080"/>
    <x v="406"/>
    <s v="California"/>
    <x v="2"/>
    <x v="14"/>
    <x v="817"/>
    <x v="965"/>
    <x v="2"/>
  </r>
  <r>
    <x v="338"/>
    <d v="2014-10-31T00:00:00"/>
    <x v="7"/>
    <s v="Same Day"/>
    <s v="SG-20080"/>
    <x v="406"/>
    <s v="California"/>
    <x v="0"/>
    <x v="1"/>
    <x v="711"/>
    <x v="966"/>
    <x v="4"/>
  </r>
  <r>
    <x v="338"/>
    <d v="2014-10-31T00:00:00"/>
    <x v="7"/>
    <s v="Same Day"/>
    <s v="SG-20080"/>
    <x v="406"/>
    <s v="California"/>
    <x v="1"/>
    <x v="2"/>
    <x v="818"/>
    <x v="967"/>
    <x v="6"/>
  </r>
  <r>
    <x v="339"/>
    <d v="2014-11-04T00:00:00"/>
    <x v="2"/>
    <s v="First Class"/>
    <s v="GA-14725"/>
    <x v="39"/>
    <s v="Oregon"/>
    <x v="0"/>
    <x v="3"/>
    <x v="819"/>
    <x v="968"/>
    <x v="6"/>
  </r>
  <r>
    <x v="340"/>
    <d v="2014-11-06T00:00:00"/>
    <x v="5"/>
    <s v="Standard Class"/>
    <s v="JO-15280"/>
    <x v="250"/>
    <s v="California"/>
    <x v="1"/>
    <x v="8"/>
    <x v="377"/>
    <x v="969"/>
    <x v="1"/>
  </r>
  <r>
    <x v="340"/>
    <d v="2014-11-02T00:00:00"/>
    <x v="7"/>
    <s v="Same Day"/>
    <s v="KC-16540"/>
    <x v="407"/>
    <s v="Washington"/>
    <x v="2"/>
    <x v="11"/>
    <x v="820"/>
    <x v="970"/>
    <x v="11"/>
  </r>
  <r>
    <x v="340"/>
    <d v="2014-11-06T00:00:00"/>
    <x v="5"/>
    <s v="Standard Class"/>
    <s v="LT-17110"/>
    <x v="408"/>
    <s v="California"/>
    <x v="1"/>
    <x v="7"/>
    <x v="821"/>
    <x v="971"/>
    <x v="5"/>
  </r>
  <r>
    <x v="340"/>
    <d v="2014-11-06T00:00:00"/>
    <x v="5"/>
    <s v="Standard Class"/>
    <s v="LT-17110"/>
    <x v="408"/>
    <s v="California"/>
    <x v="0"/>
    <x v="5"/>
    <x v="635"/>
    <x v="972"/>
    <x v="8"/>
  </r>
  <r>
    <x v="340"/>
    <d v="2014-11-06T00:00:00"/>
    <x v="5"/>
    <s v="Standard Class"/>
    <s v="LT-17110"/>
    <x v="408"/>
    <s v="California"/>
    <x v="0"/>
    <x v="5"/>
    <x v="177"/>
    <x v="753"/>
    <x v="0"/>
  </r>
  <r>
    <x v="340"/>
    <d v="2014-11-06T00:00:00"/>
    <x v="5"/>
    <s v="Standard Class"/>
    <s v="LT-17110"/>
    <x v="408"/>
    <s v="California"/>
    <x v="1"/>
    <x v="2"/>
    <x v="662"/>
    <x v="973"/>
    <x v="0"/>
  </r>
  <r>
    <x v="341"/>
    <d v="2014-11-07T00:00:00"/>
    <x v="5"/>
    <s v="Standard Class"/>
    <s v="CM-12655"/>
    <x v="409"/>
    <s v="California"/>
    <x v="2"/>
    <x v="14"/>
    <x v="822"/>
    <x v="974"/>
    <x v="8"/>
  </r>
  <r>
    <x v="341"/>
    <d v="2014-11-07T00:00:00"/>
    <x v="5"/>
    <s v="Standard Class"/>
    <s v="CM-12655"/>
    <x v="409"/>
    <s v="California"/>
    <x v="2"/>
    <x v="11"/>
    <x v="823"/>
    <x v="975"/>
    <x v="0"/>
  </r>
  <r>
    <x v="341"/>
    <d v="2014-11-07T00:00:00"/>
    <x v="5"/>
    <s v="Standard Class"/>
    <s v="CM-12655"/>
    <x v="409"/>
    <s v="California"/>
    <x v="1"/>
    <x v="7"/>
    <x v="824"/>
    <x v="976"/>
    <x v="0"/>
  </r>
  <r>
    <x v="342"/>
    <d v="2014-11-05T00:00:00"/>
    <x v="7"/>
    <s v="Same Day"/>
    <s v="JM-16195"/>
    <x v="277"/>
    <s v="California"/>
    <x v="0"/>
    <x v="1"/>
    <x v="825"/>
    <x v="977"/>
    <x v="2"/>
  </r>
  <r>
    <x v="342"/>
    <d v="2014-11-05T00:00:00"/>
    <x v="7"/>
    <s v="Same Day"/>
    <s v="KL-16645"/>
    <x v="114"/>
    <s v="Washington"/>
    <x v="0"/>
    <x v="5"/>
    <x v="85"/>
    <x v="777"/>
    <x v="0"/>
  </r>
  <r>
    <x v="343"/>
    <d v="2014-11-09T00:00:00"/>
    <x v="2"/>
    <s v="First Class"/>
    <s v="MT-17815"/>
    <x v="410"/>
    <s v="Arizona"/>
    <x v="0"/>
    <x v="6"/>
    <x v="798"/>
    <x v="978"/>
    <x v="0"/>
  </r>
  <r>
    <x v="343"/>
    <d v="2014-11-09T00:00:00"/>
    <x v="2"/>
    <s v="First Class"/>
    <s v="MT-17815"/>
    <x v="410"/>
    <s v="Arizona"/>
    <x v="0"/>
    <x v="5"/>
    <x v="826"/>
    <x v="979"/>
    <x v="0"/>
  </r>
  <r>
    <x v="344"/>
    <d v="2014-11-09T00:00:00"/>
    <x v="0"/>
    <s v="Second Class"/>
    <s v="KB-16240"/>
    <x v="411"/>
    <s v="California"/>
    <x v="1"/>
    <x v="10"/>
    <x v="467"/>
    <x v="980"/>
    <x v="6"/>
  </r>
  <r>
    <x v="345"/>
    <d v="2014-11-10T00:00:00"/>
    <x v="0"/>
    <s v="Second Class"/>
    <s v="MZ-17335"/>
    <x v="412"/>
    <s v="California"/>
    <x v="0"/>
    <x v="9"/>
    <x v="489"/>
    <x v="981"/>
    <x v="6"/>
  </r>
  <r>
    <x v="345"/>
    <d v="2014-11-10T00:00:00"/>
    <x v="0"/>
    <s v="Second Class"/>
    <s v="MZ-17335"/>
    <x v="412"/>
    <s v="California"/>
    <x v="2"/>
    <x v="11"/>
    <x v="827"/>
    <x v="982"/>
    <x v="0"/>
  </r>
  <r>
    <x v="345"/>
    <d v="2014-11-14T00:00:00"/>
    <x v="4"/>
    <s v="Standard Class"/>
    <s v="SC-20095"/>
    <x v="13"/>
    <s v="Utah"/>
    <x v="0"/>
    <x v="9"/>
    <x v="828"/>
    <x v="815"/>
    <x v="0"/>
  </r>
  <r>
    <x v="345"/>
    <d v="2014-11-14T00:00:00"/>
    <x v="4"/>
    <s v="Standard Class"/>
    <s v="SC-20095"/>
    <x v="13"/>
    <s v="Utah"/>
    <x v="0"/>
    <x v="0"/>
    <x v="280"/>
    <x v="276"/>
    <x v="0"/>
  </r>
  <r>
    <x v="345"/>
    <d v="2014-11-14T00:00:00"/>
    <x v="4"/>
    <s v="Standard Class"/>
    <s v="SC-20095"/>
    <x v="13"/>
    <s v="Utah"/>
    <x v="1"/>
    <x v="7"/>
    <x v="518"/>
    <x v="983"/>
    <x v="0"/>
  </r>
  <r>
    <x v="345"/>
    <d v="2014-11-14T00:00:00"/>
    <x v="4"/>
    <s v="Standard Class"/>
    <s v="SC-20095"/>
    <x v="13"/>
    <s v="Utah"/>
    <x v="0"/>
    <x v="5"/>
    <x v="829"/>
    <x v="984"/>
    <x v="1"/>
  </r>
  <r>
    <x v="345"/>
    <d v="2014-11-12T00:00:00"/>
    <x v="5"/>
    <s v="Standard Class"/>
    <s v="SW-20455"/>
    <x v="413"/>
    <s v="California"/>
    <x v="2"/>
    <x v="11"/>
    <x v="770"/>
    <x v="985"/>
    <x v="4"/>
  </r>
  <r>
    <x v="346"/>
    <d v="2014-11-13T00:00:00"/>
    <x v="5"/>
    <s v="Standard Class"/>
    <s v="JO-15550"/>
    <x v="289"/>
    <s v="California"/>
    <x v="0"/>
    <x v="9"/>
    <x v="681"/>
    <x v="986"/>
    <x v="4"/>
  </r>
  <r>
    <x v="347"/>
    <d v="2014-11-15T00:00:00"/>
    <x v="1"/>
    <s v="Standard Class"/>
    <s v="AH-10210"/>
    <x v="230"/>
    <s v="California"/>
    <x v="2"/>
    <x v="11"/>
    <x v="830"/>
    <x v="987"/>
    <x v="4"/>
  </r>
  <r>
    <x v="348"/>
    <d v="2014-11-14T00:00:00"/>
    <x v="0"/>
    <s v="First Class"/>
    <s v="YC-21895"/>
    <x v="414"/>
    <s v="California"/>
    <x v="0"/>
    <x v="0"/>
    <x v="457"/>
    <x v="988"/>
    <x v="1"/>
  </r>
  <r>
    <x v="349"/>
    <d v="2014-11-17T00:00:00"/>
    <x v="5"/>
    <s v="Standard Class"/>
    <s v="LC-16870"/>
    <x v="320"/>
    <s v="Colorado"/>
    <x v="2"/>
    <x v="11"/>
    <x v="820"/>
    <x v="989"/>
    <x v="5"/>
  </r>
  <r>
    <x v="349"/>
    <d v="2014-11-17T00:00:00"/>
    <x v="5"/>
    <s v="Standard Class"/>
    <s v="LC-16870"/>
    <x v="320"/>
    <s v="Colorado"/>
    <x v="1"/>
    <x v="7"/>
    <x v="306"/>
    <x v="990"/>
    <x v="0"/>
  </r>
  <r>
    <x v="349"/>
    <d v="2014-11-17T00:00:00"/>
    <x v="5"/>
    <s v="Standard Class"/>
    <s v="LC-16870"/>
    <x v="320"/>
    <s v="Colorado"/>
    <x v="0"/>
    <x v="5"/>
    <x v="85"/>
    <x v="991"/>
    <x v="0"/>
  </r>
  <r>
    <x v="349"/>
    <d v="2014-11-17T00:00:00"/>
    <x v="5"/>
    <s v="Standard Class"/>
    <s v="AW-10930"/>
    <x v="415"/>
    <s v="Montana"/>
    <x v="2"/>
    <x v="14"/>
    <x v="557"/>
    <x v="992"/>
    <x v="1"/>
  </r>
  <r>
    <x v="349"/>
    <d v="2014-11-17T00:00:00"/>
    <x v="5"/>
    <s v="Standard Class"/>
    <s v="AW-10930"/>
    <x v="415"/>
    <s v="Montana"/>
    <x v="1"/>
    <x v="7"/>
    <x v="831"/>
    <x v="993"/>
    <x v="8"/>
  </r>
  <r>
    <x v="349"/>
    <d v="2014-11-17T00:00:00"/>
    <x v="5"/>
    <s v="Standard Class"/>
    <s v="KH-16510"/>
    <x v="175"/>
    <s v="California"/>
    <x v="0"/>
    <x v="5"/>
    <x v="832"/>
    <x v="994"/>
    <x v="4"/>
  </r>
  <r>
    <x v="349"/>
    <d v="2014-11-17T00:00:00"/>
    <x v="5"/>
    <s v="Standard Class"/>
    <s v="KH-16510"/>
    <x v="175"/>
    <s v="California"/>
    <x v="1"/>
    <x v="2"/>
    <x v="662"/>
    <x v="995"/>
    <x v="2"/>
  </r>
  <r>
    <x v="349"/>
    <d v="2014-11-17T00:00:00"/>
    <x v="5"/>
    <s v="Standard Class"/>
    <s v="KH-16510"/>
    <x v="175"/>
    <s v="California"/>
    <x v="0"/>
    <x v="0"/>
    <x v="330"/>
    <x v="996"/>
    <x v="8"/>
  </r>
  <r>
    <x v="350"/>
    <d v="2014-11-17T00:00:00"/>
    <x v="2"/>
    <s v="First Class"/>
    <s v="KB-16585"/>
    <x v="316"/>
    <s v="Oregon"/>
    <x v="0"/>
    <x v="9"/>
    <x v="833"/>
    <x v="363"/>
    <x v="1"/>
  </r>
  <r>
    <x v="350"/>
    <d v="2014-11-17T00:00:00"/>
    <x v="2"/>
    <s v="First Class"/>
    <s v="KB-16585"/>
    <x v="316"/>
    <s v="Oregon"/>
    <x v="2"/>
    <x v="11"/>
    <x v="834"/>
    <x v="997"/>
    <x v="0"/>
  </r>
  <r>
    <x v="350"/>
    <d v="2014-11-17T00:00:00"/>
    <x v="2"/>
    <s v="First Class"/>
    <s v="KB-16585"/>
    <x v="316"/>
    <s v="Oregon"/>
    <x v="2"/>
    <x v="11"/>
    <x v="131"/>
    <x v="998"/>
    <x v="2"/>
  </r>
  <r>
    <x v="350"/>
    <d v="2014-11-19T00:00:00"/>
    <x v="1"/>
    <s v="Standard Class"/>
    <s v="GZ-14470"/>
    <x v="144"/>
    <s v="New Mexico"/>
    <x v="1"/>
    <x v="10"/>
    <x v="532"/>
    <x v="999"/>
    <x v="2"/>
  </r>
  <r>
    <x v="350"/>
    <d v="2014-11-19T00:00:00"/>
    <x v="1"/>
    <s v="Standard Class"/>
    <s v="GZ-14470"/>
    <x v="144"/>
    <s v="New Mexico"/>
    <x v="1"/>
    <x v="10"/>
    <x v="541"/>
    <x v="584"/>
    <x v="0"/>
  </r>
  <r>
    <x v="351"/>
    <d v="2014-11-20T00:00:00"/>
    <x v="5"/>
    <s v="Standard Class"/>
    <s v="HK-14890"/>
    <x v="416"/>
    <s v="Idaho"/>
    <x v="1"/>
    <x v="8"/>
    <x v="765"/>
    <x v="1000"/>
    <x v="4"/>
  </r>
  <r>
    <x v="351"/>
    <d v="2014-11-20T00:00:00"/>
    <x v="5"/>
    <s v="Standard Class"/>
    <s v="HK-14890"/>
    <x v="416"/>
    <s v="Idaho"/>
    <x v="2"/>
    <x v="14"/>
    <x v="835"/>
    <x v="1001"/>
    <x v="0"/>
  </r>
  <r>
    <x v="351"/>
    <d v="2014-11-18T00:00:00"/>
    <x v="0"/>
    <s v="First Class"/>
    <s v="JG-15805"/>
    <x v="216"/>
    <s v="California"/>
    <x v="0"/>
    <x v="15"/>
    <x v="836"/>
    <x v="79"/>
    <x v="0"/>
  </r>
  <r>
    <x v="352"/>
    <d v="2014-11-21T00:00:00"/>
    <x v="5"/>
    <s v="Standard Class"/>
    <s v="BS-11665"/>
    <x v="417"/>
    <s v="California"/>
    <x v="2"/>
    <x v="14"/>
    <x v="634"/>
    <x v="1002"/>
    <x v="2"/>
  </r>
  <r>
    <x v="352"/>
    <d v="2014-11-21T00:00:00"/>
    <x v="5"/>
    <s v="Standard Class"/>
    <s v="BS-11665"/>
    <x v="417"/>
    <s v="California"/>
    <x v="0"/>
    <x v="1"/>
    <x v="837"/>
    <x v="1003"/>
    <x v="1"/>
  </r>
  <r>
    <x v="352"/>
    <d v="2014-11-21T00:00:00"/>
    <x v="5"/>
    <s v="Standard Class"/>
    <s v="BS-11665"/>
    <x v="417"/>
    <s v="California"/>
    <x v="1"/>
    <x v="7"/>
    <x v="57"/>
    <x v="1004"/>
    <x v="2"/>
  </r>
  <r>
    <x v="352"/>
    <d v="2014-11-21T00:00:00"/>
    <x v="5"/>
    <s v="Standard Class"/>
    <s v="BS-11665"/>
    <x v="417"/>
    <s v="California"/>
    <x v="0"/>
    <x v="1"/>
    <x v="838"/>
    <x v="1005"/>
    <x v="8"/>
  </r>
  <r>
    <x v="352"/>
    <d v="2014-11-21T00:00:00"/>
    <x v="5"/>
    <s v="Standard Class"/>
    <s v="BS-11665"/>
    <x v="417"/>
    <s v="California"/>
    <x v="0"/>
    <x v="0"/>
    <x v="839"/>
    <x v="182"/>
    <x v="1"/>
  </r>
  <r>
    <x v="352"/>
    <d v="2014-11-21T00:00:00"/>
    <x v="5"/>
    <s v="Standard Class"/>
    <s v="BS-11665"/>
    <x v="417"/>
    <s v="California"/>
    <x v="1"/>
    <x v="10"/>
    <x v="506"/>
    <x v="1006"/>
    <x v="4"/>
  </r>
  <r>
    <x v="352"/>
    <d v="2014-11-21T00:00:00"/>
    <x v="5"/>
    <s v="Standard Class"/>
    <s v="BS-11665"/>
    <x v="417"/>
    <s v="California"/>
    <x v="1"/>
    <x v="7"/>
    <x v="754"/>
    <x v="1007"/>
    <x v="0"/>
  </r>
  <r>
    <x v="353"/>
    <d v="2014-11-21T00:00:00"/>
    <x v="0"/>
    <s v="Second Class"/>
    <s v="TC-21475"/>
    <x v="315"/>
    <s v="Washington"/>
    <x v="1"/>
    <x v="7"/>
    <x v="840"/>
    <x v="641"/>
    <x v="4"/>
  </r>
  <r>
    <x v="353"/>
    <d v="2014-11-26T00:00:00"/>
    <x v="6"/>
    <s v="Standard Class"/>
    <s v="AG-10300"/>
    <x v="60"/>
    <s v="Nevada"/>
    <x v="0"/>
    <x v="4"/>
    <x v="841"/>
    <x v="1008"/>
    <x v="2"/>
  </r>
  <r>
    <x v="354"/>
    <d v="2014-11-26T00:00:00"/>
    <x v="4"/>
    <s v="Standard Class"/>
    <s v="SN-20560"/>
    <x v="336"/>
    <s v="California"/>
    <x v="0"/>
    <x v="3"/>
    <x v="842"/>
    <x v="1009"/>
    <x v="8"/>
  </r>
  <r>
    <x v="354"/>
    <d v="2014-11-24T00:00:00"/>
    <x v="5"/>
    <s v="Standard Class"/>
    <s v="LC-16885"/>
    <x v="78"/>
    <s v="California"/>
    <x v="2"/>
    <x v="14"/>
    <x v="843"/>
    <x v="1010"/>
    <x v="8"/>
  </r>
  <r>
    <x v="354"/>
    <d v="2014-11-24T00:00:00"/>
    <x v="5"/>
    <s v="Standard Class"/>
    <s v="LC-16885"/>
    <x v="78"/>
    <s v="California"/>
    <x v="1"/>
    <x v="10"/>
    <x v="467"/>
    <x v="572"/>
    <x v="0"/>
  </r>
  <r>
    <x v="354"/>
    <d v="2014-11-24T00:00:00"/>
    <x v="5"/>
    <s v="Standard Class"/>
    <s v="PB-18805"/>
    <x v="418"/>
    <s v="California"/>
    <x v="0"/>
    <x v="5"/>
    <x v="844"/>
    <x v="1011"/>
    <x v="11"/>
  </r>
  <r>
    <x v="354"/>
    <d v="2014-11-25T00:00:00"/>
    <x v="1"/>
    <s v="Standard Class"/>
    <s v="KB-16405"/>
    <x v="419"/>
    <s v="Washington"/>
    <x v="0"/>
    <x v="3"/>
    <x v="206"/>
    <x v="1012"/>
    <x v="5"/>
  </r>
  <r>
    <x v="354"/>
    <d v="2014-11-25T00:00:00"/>
    <x v="1"/>
    <s v="Standard Class"/>
    <s v="KB-16405"/>
    <x v="419"/>
    <s v="Washington"/>
    <x v="1"/>
    <x v="7"/>
    <x v="845"/>
    <x v="1013"/>
    <x v="0"/>
  </r>
  <r>
    <x v="354"/>
    <d v="2014-11-25T00:00:00"/>
    <x v="1"/>
    <s v="Standard Class"/>
    <s v="KB-16405"/>
    <x v="419"/>
    <s v="Washington"/>
    <x v="2"/>
    <x v="11"/>
    <x v="846"/>
    <x v="1014"/>
    <x v="4"/>
  </r>
  <r>
    <x v="354"/>
    <d v="2014-11-23T00:00:00"/>
    <x v="2"/>
    <s v="Second Class"/>
    <s v="MM-18055"/>
    <x v="51"/>
    <s v="Colorado"/>
    <x v="0"/>
    <x v="5"/>
    <x v="197"/>
    <x v="1015"/>
    <x v="0"/>
  </r>
  <r>
    <x v="354"/>
    <d v="2014-11-23T00:00:00"/>
    <x v="2"/>
    <s v="Second Class"/>
    <s v="MM-18055"/>
    <x v="51"/>
    <s v="Colorado"/>
    <x v="1"/>
    <x v="2"/>
    <x v="847"/>
    <x v="1016"/>
    <x v="5"/>
  </r>
  <r>
    <x v="354"/>
    <d v="2014-11-23T00:00:00"/>
    <x v="2"/>
    <s v="Second Class"/>
    <s v="MM-18055"/>
    <x v="51"/>
    <s v="Colorado"/>
    <x v="0"/>
    <x v="5"/>
    <x v="848"/>
    <x v="1017"/>
    <x v="5"/>
  </r>
  <r>
    <x v="354"/>
    <d v="2014-11-21T00:00:00"/>
    <x v="3"/>
    <s v="First Class"/>
    <s v="CS-12250"/>
    <x v="420"/>
    <s v="California"/>
    <x v="0"/>
    <x v="5"/>
    <x v="849"/>
    <x v="1018"/>
    <x v="2"/>
  </r>
  <r>
    <x v="354"/>
    <d v="2014-11-21T00:00:00"/>
    <x v="3"/>
    <s v="First Class"/>
    <s v="CS-12250"/>
    <x v="420"/>
    <s v="California"/>
    <x v="0"/>
    <x v="15"/>
    <x v="575"/>
    <x v="1019"/>
    <x v="2"/>
  </r>
  <r>
    <x v="354"/>
    <d v="2014-11-24T00:00:00"/>
    <x v="5"/>
    <s v="Standard Class"/>
    <s v="KW-16570"/>
    <x v="421"/>
    <s v="California"/>
    <x v="1"/>
    <x v="7"/>
    <x v="850"/>
    <x v="1020"/>
    <x v="0"/>
  </r>
  <r>
    <x v="355"/>
    <d v="2014-11-25T00:00:00"/>
    <x v="5"/>
    <s v="Standard Class"/>
    <s v="NW-18400"/>
    <x v="225"/>
    <s v="Nevada"/>
    <x v="1"/>
    <x v="2"/>
    <x v="851"/>
    <x v="641"/>
    <x v="4"/>
  </r>
  <r>
    <x v="355"/>
    <d v="2014-11-25T00:00:00"/>
    <x v="5"/>
    <s v="Standard Class"/>
    <s v="NW-18400"/>
    <x v="225"/>
    <s v="Nevada"/>
    <x v="0"/>
    <x v="5"/>
    <x v="852"/>
    <x v="1021"/>
    <x v="2"/>
  </r>
  <r>
    <x v="355"/>
    <d v="2014-11-23T00:00:00"/>
    <x v="0"/>
    <s v="Second Class"/>
    <s v="EM-14095"/>
    <x v="422"/>
    <s v="Arizona"/>
    <x v="0"/>
    <x v="4"/>
    <x v="853"/>
    <x v="1022"/>
    <x v="5"/>
  </r>
  <r>
    <x v="355"/>
    <d v="2014-11-23T00:00:00"/>
    <x v="0"/>
    <s v="Second Class"/>
    <s v="EM-14095"/>
    <x v="422"/>
    <s v="Arizona"/>
    <x v="2"/>
    <x v="11"/>
    <x v="441"/>
    <x v="1023"/>
    <x v="4"/>
  </r>
  <r>
    <x v="355"/>
    <d v="2014-11-23T00:00:00"/>
    <x v="0"/>
    <s v="Second Class"/>
    <s v="EM-14095"/>
    <x v="422"/>
    <s v="Arizona"/>
    <x v="0"/>
    <x v="15"/>
    <x v="854"/>
    <x v="111"/>
    <x v="1"/>
  </r>
  <r>
    <x v="356"/>
    <d v="2014-11-25T00:00:00"/>
    <x v="2"/>
    <s v="Second Class"/>
    <s v="NG-18430"/>
    <x v="423"/>
    <s v="California"/>
    <x v="0"/>
    <x v="0"/>
    <x v="855"/>
    <x v="1024"/>
    <x v="4"/>
  </r>
  <r>
    <x v="356"/>
    <d v="2014-11-25T00:00:00"/>
    <x v="2"/>
    <s v="Second Class"/>
    <s v="NG-18430"/>
    <x v="423"/>
    <s v="California"/>
    <x v="0"/>
    <x v="0"/>
    <x v="335"/>
    <x v="1025"/>
    <x v="3"/>
  </r>
  <r>
    <x v="356"/>
    <d v="2014-11-25T00:00:00"/>
    <x v="2"/>
    <s v="Second Class"/>
    <s v="NG-18430"/>
    <x v="423"/>
    <s v="California"/>
    <x v="0"/>
    <x v="1"/>
    <x v="856"/>
    <x v="1026"/>
    <x v="0"/>
  </r>
  <r>
    <x v="357"/>
    <d v="2014-11-30T00:00:00"/>
    <x v="4"/>
    <s v="Standard Class"/>
    <s v="KM-16720"/>
    <x v="41"/>
    <s v="California"/>
    <x v="2"/>
    <x v="11"/>
    <x v="322"/>
    <x v="1014"/>
    <x v="4"/>
  </r>
  <r>
    <x v="357"/>
    <d v="2014-11-30T00:00:00"/>
    <x v="4"/>
    <s v="Standard Class"/>
    <s v="KM-16720"/>
    <x v="41"/>
    <s v="California"/>
    <x v="0"/>
    <x v="5"/>
    <x v="857"/>
    <x v="1027"/>
    <x v="5"/>
  </r>
  <r>
    <x v="357"/>
    <d v="2014-11-30T00:00:00"/>
    <x v="4"/>
    <s v="Standard Class"/>
    <s v="KM-16720"/>
    <x v="41"/>
    <s v="California"/>
    <x v="0"/>
    <x v="0"/>
    <x v="858"/>
    <x v="407"/>
    <x v="0"/>
  </r>
  <r>
    <x v="357"/>
    <d v="2014-11-30T00:00:00"/>
    <x v="4"/>
    <s v="Standard Class"/>
    <s v="KM-16720"/>
    <x v="41"/>
    <s v="California"/>
    <x v="1"/>
    <x v="7"/>
    <x v="431"/>
    <x v="1028"/>
    <x v="2"/>
  </r>
  <r>
    <x v="357"/>
    <d v="2014-11-28T00:00:00"/>
    <x v="5"/>
    <s v="Standard Class"/>
    <s v="DP-13000"/>
    <x v="424"/>
    <s v="California"/>
    <x v="0"/>
    <x v="0"/>
    <x v="345"/>
    <x v="1029"/>
    <x v="11"/>
  </r>
  <r>
    <x v="357"/>
    <d v="2014-11-28T00:00:00"/>
    <x v="5"/>
    <s v="Standard Class"/>
    <s v="DP-13000"/>
    <x v="424"/>
    <s v="California"/>
    <x v="0"/>
    <x v="3"/>
    <x v="301"/>
    <x v="1030"/>
    <x v="1"/>
  </r>
  <r>
    <x v="357"/>
    <d v="2014-11-29T00:00:00"/>
    <x v="1"/>
    <s v="Standard Class"/>
    <s v="TS-21340"/>
    <x v="3"/>
    <s v="California"/>
    <x v="0"/>
    <x v="5"/>
    <x v="859"/>
    <x v="1031"/>
    <x v="4"/>
  </r>
  <r>
    <x v="357"/>
    <d v="2014-11-29T00:00:00"/>
    <x v="1"/>
    <s v="Standard Class"/>
    <s v="TS-21340"/>
    <x v="3"/>
    <s v="California"/>
    <x v="0"/>
    <x v="0"/>
    <x v="0"/>
    <x v="0"/>
    <x v="0"/>
  </r>
  <r>
    <x v="357"/>
    <d v="2014-11-29T00:00:00"/>
    <x v="1"/>
    <s v="Standard Class"/>
    <s v="TS-21340"/>
    <x v="3"/>
    <s v="California"/>
    <x v="0"/>
    <x v="1"/>
    <x v="860"/>
    <x v="1032"/>
    <x v="8"/>
  </r>
  <r>
    <x v="357"/>
    <d v="2014-11-29T00:00:00"/>
    <x v="1"/>
    <s v="Standard Class"/>
    <s v="TS-21340"/>
    <x v="3"/>
    <s v="California"/>
    <x v="0"/>
    <x v="5"/>
    <x v="390"/>
    <x v="1033"/>
    <x v="9"/>
  </r>
  <r>
    <x v="358"/>
    <d v="2014-12-03T00:00:00"/>
    <x v="4"/>
    <s v="Standard Class"/>
    <s v="CD-11920"/>
    <x v="425"/>
    <s v="California"/>
    <x v="1"/>
    <x v="10"/>
    <x v="861"/>
    <x v="1034"/>
    <x v="1"/>
  </r>
  <r>
    <x v="358"/>
    <d v="2014-12-01T00:00:00"/>
    <x v="5"/>
    <s v="Standard Class"/>
    <s v="SN-20710"/>
    <x v="65"/>
    <s v="California"/>
    <x v="2"/>
    <x v="11"/>
    <x v="862"/>
    <x v="1035"/>
    <x v="0"/>
  </r>
  <r>
    <x v="358"/>
    <d v="2014-12-01T00:00:00"/>
    <x v="5"/>
    <s v="Standard Class"/>
    <s v="SN-20710"/>
    <x v="65"/>
    <s v="California"/>
    <x v="0"/>
    <x v="0"/>
    <x v="863"/>
    <x v="1036"/>
    <x v="0"/>
  </r>
  <r>
    <x v="359"/>
    <d v="2014-12-03T00:00:00"/>
    <x v="1"/>
    <s v="Standard Class"/>
    <s v="MA-17995"/>
    <x v="157"/>
    <s v="New Mexico"/>
    <x v="0"/>
    <x v="3"/>
    <x v="864"/>
    <x v="1037"/>
    <x v="4"/>
  </r>
  <r>
    <x v="359"/>
    <d v="2014-11-30T00:00:00"/>
    <x v="0"/>
    <s v="First Class"/>
    <s v="AJ-10945"/>
    <x v="426"/>
    <s v="California"/>
    <x v="0"/>
    <x v="4"/>
    <x v="865"/>
    <x v="1038"/>
    <x v="2"/>
  </r>
  <r>
    <x v="360"/>
    <d v="2014-11-30T00:00:00"/>
    <x v="3"/>
    <s v="Same Day"/>
    <s v="PO-19195"/>
    <x v="427"/>
    <s v="California"/>
    <x v="0"/>
    <x v="5"/>
    <x v="857"/>
    <x v="1039"/>
    <x v="6"/>
  </r>
  <r>
    <x v="360"/>
    <d v="2014-11-30T00:00:00"/>
    <x v="3"/>
    <s v="First Class"/>
    <s v="EK-13795"/>
    <x v="28"/>
    <s v="California"/>
    <x v="0"/>
    <x v="3"/>
    <x v="866"/>
    <x v="1040"/>
    <x v="4"/>
  </r>
  <r>
    <x v="361"/>
    <d v="2014-12-02T00:00:00"/>
    <x v="0"/>
    <s v="Second Class"/>
    <s v="JM-15865"/>
    <x v="361"/>
    <s v="Nevada"/>
    <x v="1"/>
    <x v="7"/>
    <x v="57"/>
    <x v="1004"/>
    <x v="2"/>
  </r>
  <r>
    <x v="361"/>
    <d v="2014-12-02T00:00:00"/>
    <x v="0"/>
    <s v="Second Class"/>
    <s v="JM-15865"/>
    <x v="361"/>
    <s v="Nevada"/>
    <x v="0"/>
    <x v="0"/>
    <x v="867"/>
    <x v="292"/>
    <x v="2"/>
  </r>
  <r>
    <x v="362"/>
    <d v="2014-12-08T00:00:00"/>
    <x v="6"/>
    <s v="Standard Class"/>
    <s v="LC-17140"/>
    <x v="428"/>
    <s v="Washington"/>
    <x v="0"/>
    <x v="5"/>
    <x v="868"/>
    <x v="1041"/>
    <x v="4"/>
  </r>
  <r>
    <x v="362"/>
    <d v="2014-12-06T00:00:00"/>
    <x v="1"/>
    <s v="Standard Class"/>
    <s v="BT-11305"/>
    <x v="59"/>
    <s v="Washington"/>
    <x v="0"/>
    <x v="3"/>
    <x v="185"/>
    <x v="1042"/>
    <x v="1"/>
  </r>
  <r>
    <x v="362"/>
    <d v="2014-12-05T00:00:00"/>
    <x v="5"/>
    <s v="Second Class"/>
    <s v="TW-21025"/>
    <x v="429"/>
    <s v="Washington"/>
    <x v="1"/>
    <x v="10"/>
    <x v="207"/>
    <x v="1043"/>
    <x v="1"/>
  </r>
  <r>
    <x v="362"/>
    <d v="2014-12-05T00:00:00"/>
    <x v="5"/>
    <s v="Second Class"/>
    <s v="TW-21025"/>
    <x v="429"/>
    <s v="Washington"/>
    <x v="0"/>
    <x v="0"/>
    <x v="869"/>
    <x v="182"/>
    <x v="1"/>
  </r>
  <r>
    <x v="362"/>
    <d v="2014-12-05T00:00:00"/>
    <x v="5"/>
    <s v="Second Class"/>
    <s v="TW-21025"/>
    <x v="429"/>
    <s v="Washington"/>
    <x v="1"/>
    <x v="8"/>
    <x v="870"/>
    <x v="1044"/>
    <x v="11"/>
  </r>
  <r>
    <x v="362"/>
    <d v="2014-12-05T00:00:00"/>
    <x v="5"/>
    <s v="Second Class"/>
    <s v="TW-21025"/>
    <x v="429"/>
    <s v="Washington"/>
    <x v="0"/>
    <x v="1"/>
    <x v="871"/>
    <x v="407"/>
    <x v="0"/>
  </r>
  <r>
    <x v="362"/>
    <d v="2014-12-05T00:00:00"/>
    <x v="5"/>
    <s v="Second Class"/>
    <s v="TW-21025"/>
    <x v="429"/>
    <s v="Washington"/>
    <x v="0"/>
    <x v="0"/>
    <x v="507"/>
    <x v="829"/>
    <x v="1"/>
  </r>
  <r>
    <x v="362"/>
    <d v="2014-12-06T00:00:00"/>
    <x v="1"/>
    <s v="Standard Class"/>
    <s v="LC-16960"/>
    <x v="430"/>
    <s v="California"/>
    <x v="1"/>
    <x v="10"/>
    <x v="112"/>
    <x v="1045"/>
    <x v="11"/>
  </r>
  <r>
    <x v="363"/>
    <d v="2014-12-07T00:00:00"/>
    <x v="5"/>
    <s v="Standard Class"/>
    <s v="PW-19240"/>
    <x v="215"/>
    <s v="California"/>
    <x v="1"/>
    <x v="2"/>
    <x v="699"/>
    <x v="1046"/>
    <x v="0"/>
  </r>
  <r>
    <x v="364"/>
    <d v="2014-12-09T00:00:00"/>
    <x v="1"/>
    <s v="Second Class"/>
    <s v="HM-14860"/>
    <x v="431"/>
    <s v="California"/>
    <x v="0"/>
    <x v="6"/>
    <x v="872"/>
    <x v="1047"/>
    <x v="0"/>
  </r>
  <r>
    <x v="364"/>
    <d v="2014-12-09T00:00:00"/>
    <x v="1"/>
    <s v="Second Class"/>
    <s v="HM-14860"/>
    <x v="431"/>
    <s v="California"/>
    <x v="2"/>
    <x v="14"/>
    <x v="873"/>
    <x v="1048"/>
    <x v="0"/>
  </r>
  <r>
    <x v="364"/>
    <d v="2014-12-09T00:00:00"/>
    <x v="1"/>
    <s v="Second Class"/>
    <s v="HM-14860"/>
    <x v="431"/>
    <s v="California"/>
    <x v="1"/>
    <x v="7"/>
    <x v="21"/>
    <x v="1049"/>
    <x v="1"/>
  </r>
  <r>
    <x v="364"/>
    <d v="2014-12-09T00:00:00"/>
    <x v="1"/>
    <s v="Standard Class"/>
    <s v="TZ-21580"/>
    <x v="210"/>
    <s v="California"/>
    <x v="0"/>
    <x v="3"/>
    <x v="44"/>
    <x v="869"/>
    <x v="1"/>
  </r>
  <r>
    <x v="364"/>
    <d v="2014-12-09T00:00:00"/>
    <x v="1"/>
    <s v="Standard Class"/>
    <s v="TZ-21580"/>
    <x v="210"/>
    <s v="California"/>
    <x v="1"/>
    <x v="7"/>
    <x v="512"/>
    <x v="1050"/>
    <x v="5"/>
  </r>
  <r>
    <x v="365"/>
    <d v="2014-12-09T00:00:00"/>
    <x v="5"/>
    <s v="Standard Class"/>
    <s v="MH-17620"/>
    <x v="432"/>
    <s v="California"/>
    <x v="1"/>
    <x v="7"/>
    <x v="518"/>
    <x v="551"/>
    <x v="4"/>
  </r>
  <r>
    <x v="365"/>
    <d v="2014-12-10T00:00:00"/>
    <x v="1"/>
    <s v="Standard Class"/>
    <s v="GB-14530"/>
    <x v="374"/>
    <s v="California"/>
    <x v="2"/>
    <x v="11"/>
    <x v="874"/>
    <x v="1051"/>
    <x v="0"/>
  </r>
  <r>
    <x v="365"/>
    <d v="2014-12-10T00:00:00"/>
    <x v="1"/>
    <s v="Standard Class"/>
    <s v="GB-14530"/>
    <x v="374"/>
    <s v="California"/>
    <x v="0"/>
    <x v="15"/>
    <x v="714"/>
    <x v="119"/>
    <x v="2"/>
  </r>
  <r>
    <x v="366"/>
    <d v="2014-12-13T00:00:00"/>
    <x v="6"/>
    <s v="Standard Class"/>
    <s v="NP-18325"/>
    <x v="69"/>
    <s v="California"/>
    <x v="0"/>
    <x v="3"/>
    <x v="875"/>
    <x v="1052"/>
    <x v="11"/>
  </r>
  <r>
    <x v="366"/>
    <d v="2014-12-13T00:00:00"/>
    <x v="6"/>
    <s v="Standard Class"/>
    <s v="NP-18325"/>
    <x v="69"/>
    <s v="California"/>
    <x v="2"/>
    <x v="14"/>
    <x v="97"/>
    <x v="1053"/>
    <x v="4"/>
  </r>
  <r>
    <x v="366"/>
    <d v="2014-12-11T00:00:00"/>
    <x v="1"/>
    <s v="Standard Class"/>
    <s v="GH-14425"/>
    <x v="88"/>
    <s v="Arizona"/>
    <x v="1"/>
    <x v="7"/>
    <x v="679"/>
    <x v="1054"/>
    <x v="5"/>
  </r>
  <r>
    <x v="366"/>
    <d v="2014-12-11T00:00:00"/>
    <x v="1"/>
    <s v="Standard Class"/>
    <s v="GH-14425"/>
    <x v="88"/>
    <s v="Arizona"/>
    <x v="0"/>
    <x v="0"/>
    <x v="478"/>
    <x v="183"/>
    <x v="1"/>
  </r>
  <r>
    <x v="366"/>
    <d v="2014-12-11T00:00:00"/>
    <x v="1"/>
    <s v="Standard Class"/>
    <s v="GH-14425"/>
    <x v="88"/>
    <s v="Arizona"/>
    <x v="0"/>
    <x v="0"/>
    <x v="321"/>
    <x v="1055"/>
    <x v="9"/>
  </r>
  <r>
    <x v="366"/>
    <d v="2014-12-11T00:00:00"/>
    <x v="1"/>
    <s v="Standard Class"/>
    <s v="GH-14425"/>
    <x v="88"/>
    <s v="Arizona"/>
    <x v="0"/>
    <x v="1"/>
    <x v="672"/>
    <x v="1056"/>
    <x v="5"/>
  </r>
  <r>
    <x v="366"/>
    <d v="2014-12-11T00:00:00"/>
    <x v="1"/>
    <s v="Standard Class"/>
    <s v="GH-14425"/>
    <x v="88"/>
    <s v="Arizona"/>
    <x v="0"/>
    <x v="3"/>
    <x v="293"/>
    <x v="1057"/>
    <x v="5"/>
  </r>
  <r>
    <x v="366"/>
    <d v="2014-12-11T00:00:00"/>
    <x v="1"/>
    <s v="Standard Class"/>
    <s v="KM-16375"/>
    <x v="433"/>
    <s v="California"/>
    <x v="0"/>
    <x v="0"/>
    <x v="876"/>
    <x v="1058"/>
    <x v="1"/>
  </r>
  <r>
    <x v="366"/>
    <d v="2014-12-10T00:00:00"/>
    <x v="5"/>
    <s v="Standard Class"/>
    <s v="IL-15100"/>
    <x v="120"/>
    <s v="Nevada"/>
    <x v="0"/>
    <x v="0"/>
    <x v="877"/>
    <x v="231"/>
    <x v="6"/>
  </r>
  <r>
    <x v="366"/>
    <d v="2014-12-10T00:00:00"/>
    <x v="5"/>
    <s v="Standard Class"/>
    <s v="IL-15100"/>
    <x v="120"/>
    <s v="Nevada"/>
    <x v="0"/>
    <x v="1"/>
    <x v="1"/>
    <x v="1"/>
    <x v="1"/>
  </r>
  <r>
    <x v="366"/>
    <d v="2014-12-10T00:00:00"/>
    <x v="5"/>
    <s v="Standard Class"/>
    <s v="IL-15100"/>
    <x v="120"/>
    <s v="Nevada"/>
    <x v="0"/>
    <x v="15"/>
    <x v="878"/>
    <x v="505"/>
    <x v="0"/>
  </r>
  <r>
    <x v="366"/>
    <d v="2014-12-11T00:00:00"/>
    <x v="1"/>
    <s v="Standard Class"/>
    <s v="AF-10870"/>
    <x v="434"/>
    <s v="California"/>
    <x v="0"/>
    <x v="4"/>
    <x v="439"/>
    <x v="462"/>
    <x v="4"/>
  </r>
  <r>
    <x v="366"/>
    <d v="2014-12-11T00:00:00"/>
    <x v="1"/>
    <s v="Second Class"/>
    <s v="DB-13120"/>
    <x v="369"/>
    <s v="California"/>
    <x v="0"/>
    <x v="0"/>
    <x v="382"/>
    <x v="1059"/>
    <x v="4"/>
  </r>
  <r>
    <x v="367"/>
    <d v="2014-12-09T00:00:00"/>
    <x v="0"/>
    <s v="First Class"/>
    <s v="JF-15490"/>
    <x v="186"/>
    <s v="Washington"/>
    <x v="0"/>
    <x v="9"/>
    <x v="879"/>
    <x v="1060"/>
    <x v="4"/>
  </r>
  <r>
    <x v="367"/>
    <d v="2014-12-09T00:00:00"/>
    <x v="0"/>
    <s v="First Class"/>
    <s v="JF-15490"/>
    <x v="186"/>
    <s v="Washington"/>
    <x v="0"/>
    <x v="15"/>
    <x v="880"/>
    <x v="1061"/>
    <x v="6"/>
  </r>
  <r>
    <x v="367"/>
    <d v="2014-12-12T00:00:00"/>
    <x v="1"/>
    <s v="Standard Class"/>
    <s v="MS-17830"/>
    <x v="435"/>
    <s v="California"/>
    <x v="1"/>
    <x v="7"/>
    <x v="881"/>
    <x v="1062"/>
    <x v="2"/>
  </r>
  <r>
    <x v="367"/>
    <d v="2014-12-07T00:00:00"/>
    <x v="7"/>
    <s v="Same Day"/>
    <s v="KH-16690"/>
    <x v="404"/>
    <s v="California"/>
    <x v="0"/>
    <x v="0"/>
    <x v="882"/>
    <x v="28"/>
    <x v="4"/>
  </r>
  <r>
    <x v="368"/>
    <d v="2014-12-12T00:00:00"/>
    <x v="5"/>
    <s v="Standard Class"/>
    <s v="YS-21880"/>
    <x v="436"/>
    <s v="California"/>
    <x v="0"/>
    <x v="1"/>
    <x v="756"/>
    <x v="1063"/>
    <x v="4"/>
  </r>
  <r>
    <x v="368"/>
    <d v="2014-12-12T00:00:00"/>
    <x v="5"/>
    <s v="Standard Class"/>
    <s v="YS-21880"/>
    <x v="436"/>
    <s v="California"/>
    <x v="2"/>
    <x v="11"/>
    <x v="310"/>
    <x v="1064"/>
    <x v="2"/>
  </r>
  <r>
    <x v="368"/>
    <d v="2014-12-12T00:00:00"/>
    <x v="5"/>
    <s v="Standard Class"/>
    <s v="HG-14965"/>
    <x v="158"/>
    <s v="Colorado"/>
    <x v="0"/>
    <x v="0"/>
    <x v="883"/>
    <x v="1065"/>
    <x v="0"/>
  </r>
  <r>
    <x v="369"/>
    <d v="2014-12-15T00:00:00"/>
    <x v="1"/>
    <s v="Standard Class"/>
    <s v="FC-14245"/>
    <x v="381"/>
    <s v="California"/>
    <x v="0"/>
    <x v="3"/>
    <x v="866"/>
    <x v="1040"/>
    <x v="4"/>
  </r>
  <r>
    <x v="369"/>
    <d v="2014-12-14T00:00:00"/>
    <x v="5"/>
    <s v="Standard Class"/>
    <s v="MT-17815"/>
    <x v="410"/>
    <s v="California"/>
    <x v="0"/>
    <x v="15"/>
    <x v="884"/>
    <x v="943"/>
    <x v="4"/>
  </r>
  <r>
    <x v="370"/>
    <d v="2014-12-16T00:00:00"/>
    <x v="1"/>
    <s v="Standard Class"/>
    <s v="IM-15070"/>
    <x v="437"/>
    <s v="Colorado"/>
    <x v="0"/>
    <x v="3"/>
    <x v="317"/>
    <x v="1066"/>
    <x v="1"/>
  </r>
  <r>
    <x v="370"/>
    <d v="2014-12-16T00:00:00"/>
    <x v="1"/>
    <s v="Standard Class"/>
    <s v="IM-15070"/>
    <x v="437"/>
    <s v="Colorado"/>
    <x v="1"/>
    <x v="2"/>
    <x v="885"/>
    <x v="1067"/>
    <x v="2"/>
  </r>
  <r>
    <x v="370"/>
    <d v="2014-12-16T00:00:00"/>
    <x v="1"/>
    <s v="Standard Class"/>
    <s v="IM-15070"/>
    <x v="437"/>
    <s v="Colorado"/>
    <x v="0"/>
    <x v="3"/>
    <x v="886"/>
    <x v="285"/>
    <x v="0"/>
  </r>
  <r>
    <x v="370"/>
    <d v="2014-12-16T00:00:00"/>
    <x v="1"/>
    <s v="Standard Class"/>
    <s v="IM-15070"/>
    <x v="437"/>
    <s v="Colorado"/>
    <x v="2"/>
    <x v="11"/>
    <x v="887"/>
    <x v="1068"/>
    <x v="2"/>
  </r>
  <r>
    <x v="370"/>
    <d v="2014-12-16T00:00:00"/>
    <x v="1"/>
    <s v="Standard Class"/>
    <s v="IM-15070"/>
    <x v="437"/>
    <s v="Colorado"/>
    <x v="1"/>
    <x v="7"/>
    <x v="888"/>
    <x v="1069"/>
    <x v="11"/>
  </r>
  <r>
    <x v="370"/>
    <d v="2014-12-16T00:00:00"/>
    <x v="1"/>
    <s v="Standard Class"/>
    <s v="IM-15070"/>
    <x v="437"/>
    <s v="Colorado"/>
    <x v="1"/>
    <x v="7"/>
    <x v="889"/>
    <x v="1070"/>
    <x v="1"/>
  </r>
  <r>
    <x v="370"/>
    <d v="2014-12-16T00:00:00"/>
    <x v="1"/>
    <s v="Standard Class"/>
    <s v="IM-15070"/>
    <x v="437"/>
    <s v="Colorado"/>
    <x v="1"/>
    <x v="8"/>
    <x v="455"/>
    <x v="1071"/>
    <x v="1"/>
  </r>
  <r>
    <x v="370"/>
    <d v="2014-12-16T00:00:00"/>
    <x v="1"/>
    <s v="Standard Class"/>
    <s v="IM-15070"/>
    <x v="437"/>
    <s v="Colorado"/>
    <x v="0"/>
    <x v="0"/>
    <x v="890"/>
    <x v="1072"/>
    <x v="0"/>
  </r>
  <r>
    <x v="370"/>
    <d v="2014-12-16T00:00:00"/>
    <x v="1"/>
    <s v="Standard Class"/>
    <s v="IM-15070"/>
    <x v="437"/>
    <s v="Colorado"/>
    <x v="0"/>
    <x v="0"/>
    <x v="891"/>
    <x v="1073"/>
    <x v="0"/>
  </r>
  <r>
    <x v="370"/>
    <d v="2014-12-17T00:00:00"/>
    <x v="4"/>
    <s v="Standard Class"/>
    <s v="JK-15640"/>
    <x v="154"/>
    <s v="California"/>
    <x v="0"/>
    <x v="5"/>
    <x v="19"/>
    <x v="1074"/>
    <x v="2"/>
  </r>
  <r>
    <x v="371"/>
    <d v="2014-12-16T00:00:00"/>
    <x v="5"/>
    <s v="Standard Class"/>
    <s v="LT-17110"/>
    <x v="408"/>
    <s v="California"/>
    <x v="1"/>
    <x v="10"/>
    <x v="892"/>
    <x v="1075"/>
    <x v="4"/>
  </r>
  <r>
    <x v="371"/>
    <d v="2014-12-15T00:00:00"/>
    <x v="2"/>
    <s v="First Class"/>
    <s v="DK-13375"/>
    <x v="438"/>
    <s v="California"/>
    <x v="0"/>
    <x v="9"/>
    <x v="16"/>
    <x v="593"/>
    <x v="4"/>
  </r>
  <r>
    <x v="371"/>
    <d v="2014-12-15T00:00:00"/>
    <x v="2"/>
    <s v="First Class"/>
    <s v="DK-13375"/>
    <x v="438"/>
    <s v="California"/>
    <x v="0"/>
    <x v="5"/>
    <x v="893"/>
    <x v="1076"/>
    <x v="4"/>
  </r>
  <r>
    <x v="371"/>
    <d v="2014-12-16T00:00:00"/>
    <x v="5"/>
    <s v="Second Class"/>
    <s v="XP-21865"/>
    <x v="176"/>
    <s v="California"/>
    <x v="0"/>
    <x v="3"/>
    <x v="657"/>
    <x v="1077"/>
    <x v="6"/>
  </r>
  <r>
    <x v="371"/>
    <d v="2014-12-16T00:00:00"/>
    <x v="5"/>
    <s v="Second Class"/>
    <s v="XP-21865"/>
    <x v="176"/>
    <s v="California"/>
    <x v="0"/>
    <x v="6"/>
    <x v="305"/>
    <x v="232"/>
    <x v="2"/>
  </r>
  <r>
    <x v="371"/>
    <d v="2014-12-16T00:00:00"/>
    <x v="5"/>
    <s v="Second Class"/>
    <s v="XP-21865"/>
    <x v="176"/>
    <s v="California"/>
    <x v="0"/>
    <x v="0"/>
    <x v="894"/>
    <x v="14"/>
    <x v="2"/>
  </r>
  <r>
    <x v="371"/>
    <d v="2014-12-16T00:00:00"/>
    <x v="5"/>
    <s v="Standard Class"/>
    <s v="HA-14905"/>
    <x v="439"/>
    <s v="California"/>
    <x v="1"/>
    <x v="7"/>
    <x v="51"/>
    <x v="1078"/>
    <x v="0"/>
  </r>
  <r>
    <x v="371"/>
    <d v="2014-12-16T00:00:00"/>
    <x v="5"/>
    <s v="Standard Class"/>
    <s v="HA-14905"/>
    <x v="439"/>
    <s v="California"/>
    <x v="0"/>
    <x v="1"/>
    <x v="493"/>
    <x v="1079"/>
    <x v="4"/>
  </r>
  <r>
    <x v="371"/>
    <d v="2014-12-15T00:00:00"/>
    <x v="2"/>
    <s v="Second Class"/>
    <s v="JD-15895"/>
    <x v="34"/>
    <s v="Nevada"/>
    <x v="0"/>
    <x v="0"/>
    <x v="895"/>
    <x v="182"/>
    <x v="1"/>
  </r>
  <r>
    <x v="371"/>
    <d v="2014-12-15T00:00:00"/>
    <x v="2"/>
    <s v="Second Class"/>
    <s v="JD-15895"/>
    <x v="34"/>
    <s v="Nevada"/>
    <x v="0"/>
    <x v="0"/>
    <x v="776"/>
    <x v="1080"/>
    <x v="4"/>
  </r>
  <r>
    <x v="371"/>
    <d v="2014-12-15T00:00:00"/>
    <x v="2"/>
    <s v="First Class"/>
    <s v="KD-16270"/>
    <x v="440"/>
    <s v="California"/>
    <x v="2"/>
    <x v="11"/>
    <x v="896"/>
    <x v="1081"/>
    <x v="5"/>
  </r>
  <r>
    <x v="371"/>
    <d v="2014-12-15T00:00:00"/>
    <x v="2"/>
    <s v="First Class"/>
    <s v="KD-16270"/>
    <x v="440"/>
    <s v="California"/>
    <x v="0"/>
    <x v="12"/>
    <x v="157"/>
    <x v="1082"/>
    <x v="8"/>
  </r>
  <r>
    <x v="372"/>
    <d v="2014-12-17T00:00:00"/>
    <x v="5"/>
    <s v="Standard Class"/>
    <s v="RP-19270"/>
    <x v="187"/>
    <s v="California"/>
    <x v="0"/>
    <x v="0"/>
    <x v="897"/>
    <x v="28"/>
    <x v="4"/>
  </r>
  <r>
    <x v="372"/>
    <d v="2014-12-17T00:00:00"/>
    <x v="5"/>
    <s v="Standard Class"/>
    <s v="RP-19270"/>
    <x v="187"/>
    <s v="California"/>
    <x v="0"/>
    <x v="4"/>
    <x v="898"/>
    <x v="1083"/>
    <x v="2"/>
  </r>
  <r>
    <x v="372"/>
    <d v="2014-12-15T00:00:00"/>
    <x v="0"/>
    <s v="Second Class"/>
    <s v="MC-17575"/>
    <x v="372"/>
    <s v="California"/>
    <x v="0"/>
    <x v="15"/>
    <x v="899"/>
    <x v="341"/>
    <x v="4"/>
  </r>
  <r>
    <x v="372"/>
    <d v="2014-12-15T00:00:00"/>
    <x v="0"/>
    <s v="First Class"/>
    <s v="RD-19585"/>
    <x v="278"/>
    <s v="California"/>
    <x v="2"/>
    <x v="14"/>
    <x v="900"/>
    <x v="1084"/>
    <x v="0"/>
  </r>
  <r>
    <x v="372"/>
    <d v="2014-12-15T00:00:00"/>
    <x v="0"/>
    <s v="First Class"/>
    <s v="RD-19585"/>
    <x v="278"/>
    <s v="California"/>
    <x v="0"/>
    <x v="5"/>
    <x v="901"/>
    <x v="1085"/>
    <x v="1"/>
  </r>
  <r>
    <x v="372"/>
    <d v="2014-12-15T00:00:00"/>
    <x v="0"/>
    <s v="First Class"/>
    <s v="RD-19585"/>
    <x v="278"/>
    <s v="California"/>
    <x v="2"/>
    <x v="11"/>
    <x v="820"/>
    <x v="1086"/>
    <x v="1"/>
  </r>
  <r>
    <x v="372"/>
    <d v="2014-12-15T00:00:00"/>
    <x v="0"/>
    <s v="First Class"/>
    <s v="RD-19585"/>
    <x v="278"/>
    <s v="California"/>
    <x v="2"/>
    <x v="11"/>
    <x v="95"/>
    <x v="1087"/>
    <x v="6"/>
  </r>
  <r>
    <x v="373"/>
    <d v="2014-12-16T00:00:00"/>
    <x v="0"/>
    <s v="Second Class"/>
    <s v="DJ-13630"/>
    <x v="441"/>
    <s v="Oregon"/>
    <x v="2"/>
    <x v="14"/>
    <x v="556"/>
    <x v="608"/>
    <x v="2"/>
  </r>
  <r>
    <x v="373"/>
    <d v="2014-12-19T00:00:00"/>
    <x v="1"/>
    <s v="Standard Class"/>
    <s v="RD-19480"/>
    <x v="339"/>
    <s v="California"/>
    <x v="0"/>
    <x v="5"/>
    <x v="568"/>
    <x v="1088"/>
    <x v="4"/>
  </r>
  <r>
    <x v="373"/>
    <d v="2014-12-18T00:00:00"/>
    <x v="5"/>
    <s v="Standard Class"/>
    <s v="PP-18955"/>
    <x v="167"/>
    <s v="California"/>
    <x v="1"/>
    <x v="7"/>
    <x v="902"/>
    <x v="1089"/>
    <x v="0"/>
  </r>
  <r>
    <x v="373"/>
    <d v="2014-12-18T00:00:00"/>
    <x v="5"/>
    <s v="Standard Class"/>
    <s v="EH-13945"/>
    <x v="344"/>
    <s v="California"/>
    <x v="1"/>
    <x v="7"/>
    <x v="221"/>
    <x v="1090"/>
    <x v="0"/>
  </r>
  <r>
    <x v="373"/>
    <d v="2014-12-19T00:00:00"/>
    <x v="1"/>
    <s v="Second Class"/>
    <s v="AJ-10945"/>
    <x v="426"/>
    <s v="California"/>
    <x v="2"/>
    <x v="11"/>
    <x v="903"/>
    <x v="1091"/>
    <x v="4"/>
  </r>
  <r>
    <x v="373"/>
    <d v="2014-12-16T00:00:00"/>
    <x v="0"/>
    <s v="Second Class"/>
    <s v="DB-12970"/>
    <x v="442"/>
    <s v="California"/>
    <x v="0"/>
    <x v="5"/>
    <x v="904"/>
    <x v="1092"/>
    <x v="4"/>
  </r>
  <r>
    <x v="373"/>
    <d v="2014-12-16T00:00:00"/>
    <x v="0"/>
    <s v="Second Class"/>
    <s v="DB-12970"/>
    <x v="442"/>
    <s v="California"/>
    <x v="0"/>
    <x v="0"/>
    <x v="284"/>
    <x v="231"/>
    <x v="6"/>
  </r>
  <r>
    <x v="373"/>
    <d v="2014-12-16T00:00:00"/>
    <x v="0"/>
    <s v="Second Class"/>
    <s v="DB-12970"/>
    <x v="442"/>
    <s v="California"/>
    <x v="0"/>
    <x v="5"/>
    <x v="905"/>
    <x v="1093"/>
    <x v="0"/>
  </r>
  <r>
    <x v="373"/>
    <d v="2014-12-16T00:00:00"/>
    <x v="0"/>
    <s v="Second Class"/>
    <s v="DB-12970"/>
    <x v="442"/>
    <s v="California"/>
    <x v="1"/>
    <x v="8"/>
    <x v="906"/>
    <x v="1094"/>
    <x v="4"/>
  </r>
  <r>
    <x v="374"/>
    <d v="2014-12-22T00:00:00"/>
    <x v="6"/>
    <s v="Standard Class"/>
    <s v="JH-15985"/>
    <x v="130"/>
    <s v="Washington"/>
    <x v="0"/>
    <x v="4"/>
    <x v="907"/>
    <x v="1095"/>
    <x v="2"/>
  </r>
  <r>
    <x v="374"/>
    <d v="2014-12-22T00:00:00"/>
    <x v="6"/>
    <s v="Standard Class"/>
    <s v="JH-15985"/>
    <x v="130"/>
    <s v="Washington"/>
    <x v="2"/>
    <x v="11"/>
    <x v="908"/>
    <x v="1096"/>
    <x v="11"/>
  </r>
  <r>
    <x v="374"/>
    <d v="2014-12-22T00:00:00"/>
    <x v="6"/>
    <s v="Standard Class"/>
    <s v="JH-15985"/>
    <x v="130"/>
    <s v="Washington"/>
    <x v="0"/>
    <x v="5"/>
    <x v="909"/>
    <x v="1097"/>
    <x v="0"/>
  </r>
  <r>
    <x v="375"/>
    <d v="2014-12-19T00:00:00"/>
    <x v="2"/>
    <s v="First Class"/>
    <s v="SG-20080"/>
    <x v="406"/>
    <s v="Washington"/>
    <x v="0"/>
    <x v="0"/>
    <x v="910"/>
    <x v="1098"/>
    <x v="6"/>
  </r>
  <r>
    <x v="376"/>
    <d v="2014-12-19T00:00:00"/>
    <x v="0"/>
    <s v="Second Class"/>
    <s v="PG-18895"/>
    <x v="443"/>
    <s v="California"/>
    <x v="0"/>
    <x v="3"/>
    <x v="263"/>
    <x v="768"/>
    <x v="1"/>
  </r>
  <r>
    <x v="376"/>
    <d v="2014-12-19T00:00:00"/>
    <x v="0"/>
    <s v="Second Class"/>
    <s v="PG-18895"/>
    <x v="443"/>
    <s v="California"/>
    <x v="2"/>
    <x v="14"/>
    <x v="557"/>
    <x v="1099"/>
    <x v="4"/>
  </r>
  <r>
    <x v="376"/>
    <d v="2014-12-19T00:00:00"/>
    <x v="0"/>
    <s v="Second Class"/>
    <s v="PG-18895"/>
    <x v="443"/>
    <s v="California"/>
    <x v="0"/>
    <x v="3"/>
    <x v="911"/>
    <x v="246"/>
    <x v="1"/>
  </r>
  <r>
    <x v="376"/>
    <d v="2014-12-19T00:00:00"/>
    <x v="0"/>
    <s v="Second Class"/>
    <s v="PG-18895"/>
    <x v="443"/>
    <s v="California"/>
    <x v="0"/>
    <x v="5"/>
    <x v="912"/>
    <x v="1100"/>
    <x v="4"/>
  </r>
  <r>
    <x v="377"/>
    <d v="2014-12-22T00:00:00"/>
    <x v="5"/>
    <s v="Standard Class"/>
    <s v="MK-17905"/>
    <x v="444"/>
    <s v="Colorado"/>
    <x v="0"/>
    <x v="3"/>
    <x v="913"/>
    <x v="1101"/>
    <x v="4"/>
  </r>
  <r>
    <x v="378"/>
    <d v="2014-12-24T00:00:00"/>
    <x v="1"/>
    <s v="Standard Class"/>
    <s v="JG-15160"/>
    <x v="445"/>
    <s v="California"/>
    <x v="2"/>
    <x v="14"/>
    <x v="914"/>
    <x v="1102"/>
    <x v="1"/>
  </r>
  <r>
    <x v="378"/>
    <d v="2014-12-24T00:00:00"/>
    <x v="1"/>
    <s v="Standard Class"/>
    <s v="JG-15160"/>
    <x v="445"/>
    <s v="California"/>
    <x v="2"/>
    <x v="11"/>
    <x v="915"/>
    <x v="1103"/>
    <x v="0"/>
  </r>
  <r>
    <x v="379"/>
    <d v="2014-12-24T00:00:00"/>
    <x v="5"/>
    <s v="Standard Class"/>
    <s v="GZ-14470"/>
    <x v="144"/>
    <s v="Arizona"/>
    <x v="0"/>
    <x v="6"/>
    <x v="916"/>
    <x v="1104"/>
    <x v="6"/>
  </r>
  <r>
    <x v="379"/>
    <d v="2014-12-24T00:00:00"/>
    <x v="5"/>
    <s v="Standard Class"/>
    <s v="GZ-14470"/>
    <x v="144"/>
    <s v="Arizona"/>
    <x v="1"/>
    <x v="7"/>
    <x v="917"/>
    <x v="844"/>
    <x v="4"/>
  </r>
  <r>
    <x v="379"/>
    <d v="2014-12-25T00:00:00"/>
    <x v="1"/>
    <s v="Second Class"/>
    <s v="AI-10855"/>
    <x v="62"/>
    <s v="California"/>
    <x v="0"/>
    <x v="0"/>
    <x v="409"/>
    <x v="1105"/>
    <x v="2"/>
  </r>
  <r>
    <x v="380"/>
    <d v="2014-12-24T00:00:00"/>
    <x v="2"/>
    <s v="Second Class"/>
    <s v="JS-15880"/>
    <x v="446"/>
    <s v="Washington"/>
    <x v="1"/>
    <x v="8"/>
    <x v="90"/>
    <x v="1106"/>
    <x v="13"/>
  </r>
  <r>
    <x v="380"/>
    <d v="2014-12-24T00:00:00"/>
    <x v="2"/>
    <s v="Second Class"/>
    <s v="JS-15880"/>
    <x v="446"/>
    <s v="Washington"/>
    <x v="2"/>
    <x v="11"/>
    <x v="918"/>
    <x v="1107"/>
    <x v="6"/>
  </r>
  <r>
    <x v="380"/>
    <d v="2014-12-25T00:00:00"/>
    <x v="5"/>
    <s v="Standard Class"/>
    <s v="ER-13855"/>
    <x v="447"/>
    <s v="Colorado"/>
    <x v="0"/>
    <x v="4"/>
    <x v="636"/>
    <x v="1108"/>
    <x v="8"/>
  </r>
  <r>
    <x v="381"/>
    <d v="2014-12-28T00:00:00"/>
    <x v="5"/>
    <s v="Standard Class"/>
    <s v="JR-15670"/>
    <x v="448"/>
    <s v="Colorado"/>
    <x v="1"/>
    <x v="2"/>
    <x v="919"/>
    <x v="1109"/>
    <x v="8"/>
  </r>
  <r>
    <x v="381"/>
    <d v="2014-12-28T00:00:00"/>
    <x v="5"/>
    <s v="Standard Class"/>
    <s v="JR-15670"/>
    <x v="448"/>
    <s v="Colorado"/>
    <x v="0"/>
    <x v="3"/>
    <x v="920"/>
    <x v="1110"/>
    <x v="0"/>
  </r>
  <r>
    <x v="381"/>
    <d v="2014-12-29T00:00:00"/>
    <x v="1"/>
    <s v="Standard Class"/>
    <s v="MS-17365"/>
    <x v="449"/>
    <s v="Arizona"/>
    <x v="0"/>
    <x v="0"/>
    <x v="921"/>
    <x v="1111"/>
    <x v="8"/>
  </r>
  <r>
    <x v="381"/>
    <d v="2014-12-29T00:00:00"/>
    <x v="1"/>
    <s v="Standard Class"/>
    <s v="MS-17365"/>
    <x v="449"/>
    <s v="Arizona"/>
    <x v="2"/>
    <x v="14"/>
    <x v="922"/>
    <x v="1112"/>
    <x v="4"/>
  </r>
  <r>
    <x v="381"/>
    <d v="2014-12-29T00:00:00"/>
    <x v="1"/>
    <s v="Standard Class"/>
    <s v="MS-17365"/>
    <x v="449"/>
    <s v="Arizona"/>
    <x v="1"/>
    <x v="7"/>
    <x v="923"/>
    <x v="196"/>
    <x v="4"/>
  </r>
  <r>
    <x v="381"/>
    <d v="2014-12-28T00:00:00"/>
    <x v="5"/>
    <s v="Standard Class"/>
    <s v="HR-14830"/>
    <x v="223"/>
    <s v="Arizona"/>
    <x v="1"/>
    <x v="10"/>
    <x v="532"/>
    <x v="999"/>
    <x v="2"/>
  </r>
  <r>
    <x v="381"/>
    <d v="2014-12-29T00:00:00"/>
    <x v="1"/>
    <s v="Standard Class"/>
    <s v="KT-16465"/>
    <x v="163"/>
    <s v="California"/>
    <x v="0"/>
    <x v="5"/>
    <x v="261"/>
    <x v="1113"/>
    <x v="2"/>
  </r>
  <r>
    <x v="381"/>
    <d v="2014-12-29T00:00:00"/>
    <x v="1"/>
    <s v="Standard Class"/>
    <s v="KT-16465"/>
    <x v="163"/>
    <s v="California"/>
    <x v="0"/>
    <x v="9"/>
    <x v="264"/>
    <x v="1114"/>
    <x v="2"/>
  </r>
  <r>
    <x v="382"/>
    <d v="2014-12-30T00:00:00"/>
    <x v="1"/>
    <s v="Second Class"/>
    <s v="RA-19285"/>
    <x v="450"/>
    <s v="California"/>
    <x v="2"/>
    <x v="16"/>
    <x v="924"/>
    <x v="1115"/>
    <x v="1"/>
  </r>
  <r>
    <x v="382"/>
    <d v="2014-12-30T00:00:00"/>
    <x v="1"/>
    <s v="Second Class"/>
    <s v="RA-19285"/>
    <x v="450"/>
    <s v="California"/>
    <x v="0"/>
    <x v="0"/>
    <x v="925"/>
    <x v="1116"/>
    <x v="0"/>
  </r>
  <r>
    <x v="382"/>
    <d v="2014-12-30T00:00:00"/>
    <x v="1"/>
    <s v="Second Class"/>
    <s v="RA-19285"/>
    <x v="450"/>
    <s v="California"/>
    <x v="0"/>
    <x v="0"/>
    <x v="259"/>
    <x v="34"/>
    <x v="0"/>
  </r>
  <r>
    <x v="382"/>
    <d v="2014-12-29T00:00:00"/>
    <x v="5"/>
    <s v="Standard Class"/>
    <s v="SM-20320"/>
    <x v="451"/>
    <s v="California"/>
    <x v="0"/>
    <x v="0"/>
    <x v="926"/>
    <x v="341"/>
    <x v="4"/>
  </r>
  <r>
    <x v="383"/>
    <d v="2014-12-31T00:00:00"/>
    <x v="5"/>
    <s v="Standard Class"/>
    <s v="AG-10900"/>
    <x v="112"/>
    <s v="California"/>
    <x v="0"/>
    <x v="4"/>
    <x v="100"/>
    <x v="103"/>
    <x v="4"/>
  </r>
  <r>
    <x v="383"/>
    <d v="2014-12-31T00:00:00"/>
    <x v="5"/>
    <s v="Standard Class"/>
    <s v="AG-10900"/>
    <x v="112"/>
    <s v="California"/>
    <x v="0"/>
    <x v="15"/>
    <x v="927"/>
    <x v="1117"/>
    <x v="8"/>
  </r>
  <r>
    <x v="383"/>
    <d v="2014-12-29T00:00:00"/>
    <x v="0"/>
    <s v="Second Class"/>
    <s v="KN-16450"/>
    <x v="52"/>
    <s v="California"/>
    <x v="2"/>
    <x v="11"/>
    <x v="928"/>
    <x v="1118"/>
    <x v="9"/>
  </r>
  <r>
    <x v="383"/>
    <d v="2014-12-31T00:00:00"/>
    <x v="5"/>
    <s v="Standard Class"/>
    <s v="AH-10030"/>
    <x v="70"/>
    <s v="California"/>
    <x v="0"/>
    <x v="1"/>
    <x v="353"/>
    <x v="739"/>
    <x v="4"/>
  </r>
  <r>
    <x v="383"/>
    <d v="2014-12-31T00:00:00"/>
    <x v="5"/>
    <s v="Standard Class"/>
    <s v="AH-10030"/>
    <x v="70"/>
    <s v="California"/>
    <x v="2"/>
    <x v="14"/>
    <x v="929"/>
    <x v="1119"/>
    <x v="11"/>
  </r>
  <r>
    <x v="384"/>
    <d v="2015-01-03T00:00:00"/>
    <x v="5"/>
    <s v="Standard Class"/>
    <s v="CL-12565"/>
    <x v="104"/>
    <s v="California"/>
    <x v="0"/>
    <x v="0"/>
    <x v="930"/>
    <x v="1120"/>
    <x v="0"/>
  </r>
  <r>
    <x v="384"/>
    <d v="2015-01-03T00:00:00"/>
    <x v="5"/>
    <s v="Standard Class"/>
    <s v="CL-12565"/>
    <x v="104"/>
    <s v="California"/>
    <x v="0"/>
    <x v="1"/>
    <x v="774"/>
    <x v="1121"/>
    <x v="0"/>
  </r>
  <r>
    <x v="384"/>
    <d v="2015-01-03T00:00:00"/>
    <x v="5"/>
    <s v="Standard Class"/>
    <s v="CL-12565"/>
    <x v="104"/>
    <s v="California"/>
    <x v="2"/>
    <x v="13"/>
    <x v="653"/>
    <x v="1122"/>
    <x v="5"/>
  </r>
  <r>
    <x v="384"/>
    <d v="2015-01-03T00:00:00"/>
    <x v="5"/>
    <s v="Standard Class"/>
    <s v="CL-12565"/>
    <x v="104"/>
    <s v="California"/>
    <x v="0"/>
    <x v="6"/>
    <x v="872"/>
    <x v="1047"/>
    <x v="0"/>
  </r>
  <r>
    <x v="384"/>
    <d v="2015-01-03T00:00:00"/>
    <x v="5"/>
    <s v="Standard Class"/>
    <s v="CL-12565"/>
    <x v="104"/>
    <s v="California"/>
    <x v="2"/>
    <x v="14"/>
    <x v="931"/>
    <x v="1123"/>
    <x v="0"/>
  </r>
  <r>
    <x v="385"/>
    <d v="2015-01-04T00:00:00"/>
    <x v="5"/>
    <s v="Standard Class"/>
    <s v="JO-15280"/>
    <x v="250"/>
    <s v="Montana"/>
    <x v="0"/>
    <x v="5"/>
    <x v="525"/>
    <x v="561"/>
    <x v="4"/>
  </r>
  <r>
    <x v="386"/>
    <d v="2015-01-05T00:00:00"/>
    <x v="0"/>
    <s v="First Class"/>
    <s v="LR-16915"/>
    <x v="125"/>
    <s v="California"/>
    <x v="0"/>
    <x v="1"/>
    <x v="12"/>
    <x v="1124"/>
    <x v="4"/>
  </r>
  <r>
    <x v="387"/>
    <d v="2015-01-12T00:00:00"/>
    <x v="1"/>
    <s v="Standard Class"/>
    <s v="DW-13480"/>
    <x v="452"/>
    <s v="California"/>
    <x v="0"/>
    <x v="3"/>
    <x v="932"/>
    <x v="1125"/>
    <x v="6"/>
  </r>
  <r>
    <x v="388"/>
    <d v="2015-01-15T00:00:00"/>
    <x v="4"/>
    <s v="Standard Class"/>
    <s v="LA-16780"/>
    <x v="453"/>
    <s v="California"/>
    <x v="2"/>
    <x v="11"/>
    <x v="933"/>
    <x v="1126"/>
    <x v="1"/>
  </r>
  <r>
    <x v="388"/>
    <d v="2015-01-15T00:00:00"/>
    <x v="4"/>
    <s v="Standard Class"/>
    <s v="LA-16780"/>
    <x v="453"/>
    <s v="California"/>
    <x v="2"/>
    <x v="14"/>
    <x v="138"/>
    <x v="1127"/>
    <x v="11"/>
  </r>
  <r>
    <x v="389"/>
    <d v="2015-01-17T00:00:00"/>
    <x v="6"/>
    <s v="Standard Class"/>
    <s v="KB-16585"/>
    <x v="316"/>
    <s v="Washington"/>
    <x v="1"/>
    <x v="7"/>
    <x v="934"/>
    <x v="1062"/>
    <x v="2"/>
  </r>
  <r>
    <x v="389"/>
    <d v="2015-01-17T00:00:00"/>
    <x v="6"/>
    <s v="Standard Class"/>
    <s v="KB-16585"/>
    <x v="316"/>
    <s v="Washington"/>
    <x v="2"/>
    <x v="11"/>
    <x v="935"/>
    <x v="1128"/>
    <x v="4"/>
  </r>
  <r>
    <x v="389"/>
    <d v="2015-01-13T00:00:00"/>
    <x v="2"/>
    <s v="Second Class"/>
    <s v="JB-16000"/>
    <x v="454"/>
    <s v="Washington"/>
    <x v="1"/>
    <x v="7"/>
    <x v="763"/>
    <x v="1129"/>
    <x v="1"/>
  </r>
  <r>
    <x v="390"/>
    <d v="2015-01-20T00:00:00"/>
    <x v="5"/>
    <s v="Second Class"/>
    <s v="EH-13945"/>
    <x v="344"/>
    <s v="California"/>
    <x v="0"/>
    <x v="5"/>
    <x v="936"/>
    <x v="1130"/>
    <x v="4"/>
  </r>
  <r>
    <x v="390"/>
    <d v="2015-01-20T00:00:00"/>
    <x v="5"/>
    <s v="Second Class"/>
    <s v="EH-13945"/>
    <x v="344"/>
    <s v="California"/>
    <x v="2"/>
    <x v="11"/>
    <x v="937"/>
    <x v="1131"/>
    <x v="0"/>
  </r>
  <r>
    <x v="391"/>
    <d v="2015-01-23T00:00:00"/>
    <x v="0"/>
    <s v="Second Class"/>
    <s v="TD-20995"/>
    <x v="455"/>
    <s v="California"/>
    <x v="1"/>
    <x v="10"/>
    <x v="767"/>
    <x v="1132"/>
    <x v="4"/>
  </r>
  <r>
    <x v="391"/>
    <d v="2015-01-23T00:00:00"/>
    <x v="0"/>
    <s v="Second Class"/>
    <s v="TD-20995"/>
    <x v="455"/>
    <s v="California"/>
    <x v="1"/>
    <x v="10"/>
    <x v="709"/>
    <x v="1133"/>
    <x v="8"/>
  </r>
  <r>
    <x v="392"/>
    <d v="2015-01-28T00:00:00"/>
    <x v="4"/>
    <s v="Standard Class"/>
    <s v="AJ-10795"/>
    <x v="265"/>
    <s v="Washington"/>
    <x v="1"/>
    <x v="7"/>
    <x v="938"/>
    <x v="1134"/>
    <x v="1"/>
  </r>
  <r>
    <x v="392"/>
    <d v="2015-01-27T00:00:00"/>
    <x v="1"/>
    <s v="Standard Class"/>
    <s v="MC-17275"/>
    <x v="145"/>
    <s v="Washington"/>
    <x v="0"/>
    <x v="0"/>
    <x v="882"/>
    <x v="28"/>
    <x v="4"/>
  </r>
  <r>
    <x v="392"/>
    <d v="2015-01-28T00:00:00"/>
    <x v="4"/>
    <s v="Standard Class"/>
    <s v="FP-14320"/>
    <x v="237"/>
    <s v="California"/>
    <x v="0"/>
    <x v="15"/>
    <x v="408"/>
    <x v="70"/>
    <x v="0"/>
  </r>
  <r>
    <x v="392"/>
    <d v="2015-01-28T00:00:00"/>
    <x v="4"/>
    <s v="Standard Class"/>
    <s v="FP-14320"/>
    <x v="237"/>
    <s v="California"/>
    <x v="0"/>
    <x v="15"/>
    <x v="652"/>
    <x v="37"/>
    <x v="1"/>
  </r>
  <r>
    <x v="393"/>
    <d v="2015-01-29T00:00:00"/>
    <x v="4"/>
    <s v="Standard Class"/>
    <s v="CB-12415"/>
    <x v="456"/>
    <s v="California"/>
    <x v="1"/>
    <x v="7"/>
    <x v="939"/>
    <x v="1135"/>
    <x v="8"/>
  </r>
  <r>
    <x v="394"/>
    <d v="2015-02-01T00:00:00"/>
    <x v="5"/>
    <s v="Second Class"/>
    <s v="HG-14965"/>
    <x v="158"/>
    <s v="California"/>
    <x v="0"/>
    <x v="3"/>
    <x v="633"/>
    <x v="102"/>
    <x v="4"/>
  </r>
  <r>
    <x v="395"/>
    <d v="2015-02-03T00:00:00"/>
    <x v="5"/>
    <s v="Standard Class"/>
    <s v="JF-15490"/>
    <x v="186"/>
    <s v="California"/>
    <x v="0"/>
    <x v="5"/>
    <x v="940"/>
    <x v="1136"/>
    <x v="4"/>
  </r>
  <r>
    <x v="395"/>
    <d v="2015-01-31T00:00:00"/>
    <x v="3"/>
    <s v="First Class"/>
    <s v="SC-20725"/>
    <x v="82"/>
    <s v="California"/>
    <x v="0"/>
    <x v="1"/>
    <x v="338"/>
    <x v="1137"/>
    <x v="11"/>
  </r>
  <r>
    <x v="395"/>
    <d v="2015-01-31T00:00:00"/>
    <x v="3"/>
    <s v="First Class"/>
    <s v="SC-20725"/>
    <x v="82"/>
    <s v="California"/>
    <x v="0"/>
    <x v="5"/>
    <x v="941"/>
    <x v="1138"/>
    <x v="4"/>
  </r>
  <r>
    <x v="395"/>
    <d v="2015-01-31T00:00:00"/>
    <x v="3"/>
    <s v="First Class"/>
    <s v="SC-20725"/>
    <x v="82"/>
    <s v="California"/>
    <x v="0"/>
    <x v="15"/>
    <x v="362"/>
    <x v="1139"/>
    <x v="11"/>
  </r>
  <r>
    <x v="395"/>
    <d v="2015-02-01T00:00:00"/>
    <x v="0"/>
    <s v="Second Class"/>
    <s v="TB-21250"/>
    <x v="240"/>
    <s v="Washington"/>
    <x v="1"/>
    <x v="10"/>
    <x v="942"/>
    <x v="1140"/>
    <x v="2"/>
  </r>
  <r>
    <x v="395"/>
    <d v="2015-02-01T00:00:00"/>
    <x v="0"/>
    <s v="Second Class"/>
    <s v="TB-21250"/>
    <x v="240"/>
    <s v="Washington"/>
    <x v="1"/>
    <x v="2"/>
    <x v="943"/>
    <x v="1141"/>
    <x v="6"/>
  </r>
  <r>
    <x v="396"/>
    <d v="2015-02-04T00:00:00"/>
    <x v="5"/>
    <s v="Standard Class"/>
    <s v="SC-20050"/>
    <x v="29"/>
    <s v="California"/>
    <x v="2"/>
    <x v="14"/>
    <x v="944"/>
    <x v="1142"/>
    <x v="6"/>
  </r>
  <r>
    <x v="396"/>
    <d v="2015-02-04T00:00:00"/>
    <x v="5"/>
    <s v="Standard Class"/>
    <s v="SC-20050"/>
    <x v="29"/>
    <s v="California"/>
    <x v="0"/>
    <x v="0"/>
    <x v="409"/>
    <x v="1143"/>
    <x v="1"/>
  </r>
  <r>
    <x v="397"/>
    <d v="2015-02-07T00:00:00"/>
    <x v="4"/>
    <s v="Standard Class"/>
    <s v="SM-20950"/>
    <x v="457"/>
    <s v="California"/>
    <x v="0"/>
    <x v="0"/>
    <x v="660"/>
    <x v="655"/>
    <x v="2"/>
  </r>
  <r>
    <x v="398"/>
    <d v="2015-02-08T00:00:00"/>
    <x v="5"/>
    <s v="Standard Class"/>
    <s v="TB-21520"/>
    <x v="388"/>
    <s v="Arizona"/>
    <x v="1"/>
    <x v="7"/>
    <x v="917"/>
    <x v="844"/>
    <x v="4"/>
  </r>
  <r>
    <x v="398"/>
    <d v="2015-02-09T00:00:00"/>
    <x v="1"/>
    <s v="Standard Class"/>
    <s v="JB-15400"/>
    <x v="317"/>
    <s v="California"/>
    <x v="0"/>
    <x v="1"/>
    <x v="945"/>
    <x v="1144"/>
    <x v="4"/>
  </r>
  <r>
    <x v="399"/>
    <d v="2015-02-10T00:00:00"/>
    <x v="1"/>
    <s v="Standard Class"/>
    <s v="AZ-10750"/>
    <x v="311"/>
    <s v="California"/>
    <x v="0"/>
    <x v="15"/>
    <x v="946"/>
    <x v="730"/>
    <x v="0"/>
  </r>
  <r>
    <x v="399"/>
    <d v="2015-02-10T00:00:00"/>
    <x v="1"/>
    <s v="Standard Class"/>
    <s v="AZ-10750"/>
    <x v="311"/>
    <s v="California"/>
    <x v="0"/>
    <x v="1"/>
    <x v="350"/>
    <x v="1145"/>
    <x v="0"/>
  </r>
  <r>
    <x v="399"/>
    <d v="2015-02-10T00:00:00"/>
    <x v="1"/>
    <s v="Standard Class"/>
    <s v="AZ-10750"/>
    <x v="311"/>
    <s v="California"/>
    <x v="1"/>
    <x v="8"/>
    <x v="947"/>
    <x v="1146"/>
    <x v="2"/>
  </r>
  <r>
    <x v="399"/>
    <d v="2015-02-10T00:00:00"/>
    <x v="1"/>
    <s v="Standard Class"/>
    <s v="AZ-10750"/>
    <x v="311"/>
    <s v="California"/>
    <x v="2"/>
    <x v="14"/>
    <x v="948"/>
    <x v="998"/>
    <x v="2"/>
  </r>
  <r>
    <x v="400"/>
    <d v="2015-02-10T00:00:00"/>
    <x v="2"/>
    <s v="Second Class"/>
    <s v="EB-13975"/>
    <x v="458"/>
    <s v="California"/>
    <x v="2"/>
    <x v="14"/>
    <x v="700"/>
    <x v="790"/>
    <x v="1"/>
  </r>
  <r>
    <x v="401"/>
    <d v="2015-02-13T00:00:00"/>
    <x v="5"/>
    <s v="Standard Class"/>
    <s v="JR-16210"/>
    <x v="459"/>
    <s v="California"/>
    <x v="2"/>
    <x v="11"/>
    <x v="529"/>
    <x v="975"/>
    <x v="0"/>
  </r>
  <r>
    <x v="401"/>
    <d v="2015-02-13T00:00:00"/>
    <x v="5"/>
    <s v="Standard Class"/>
    <s v="JR-16210"/>
    <x v="459"/>
    <s v="California"/>
    <x v="2"/>
    <x v="11"/>
    <x v="949"/>
    <x v="1147"/>
    <x v="4"/>
  </r>
  <r>
    <x v="402"/>
    <d v="2015-02-18T00:00:00"/>
    <x v="1"/>
    <s v="Standard Class"/>
    <s v="RD-19810"/>
    <x v="460"/>
    <s v="California"/>
    <x v="0"/>
    <x v="0"/>
    <x v="950"/>
    <x v="899"/>
    <x v="0"/>
  </r>
  <r>
    <x v="403"/>
    <d v="2015-02-22T00:00:00"/>
    <x v="2"/>
    <s v="Second Class"/>
    <s v="GT-14710"/>
    <x v="461"/>
    <s v="California"/>
    <x v="0"/>
    <x v="0"/>
    <x v="602"/>
    <x v="1148"/>
    <x v="4"/>
  </r>
  <r>
    <x v="404"/>
    <d v="2015-02-26T00:00:00"/>
    <x v="1"/>
    <s v="Second Class"/>
    <s v="MC-17635"/>
    <x v="462"/>
    <s v="California"/>
    <x v="2"/>
    <x v="11"/>
    <x v="498"/>
    <x v="1149"/>
    <x v="6"/>
  </r>
  <r>
    <x v="404"/>
    <d v="2015-02-26T00:00:00"/>
    <x v="1"/>
    <s v="Second Class"/>
    <s v="MC-17635"/>
    <x v="462"/>
    <s v="California"/>
    <x v="0"/>
    <x v="5"/>
    <x v="951"/>
    <x v="1150"/>
    <x v="2"/>
  </r>
  <r>
    <x v="404"/>
    <d v="2015-02-26T00:00:00"/>
    <x v="1"/>
    <s v="Second Class"/>
    <s v="MC-17635"/>
    <x v="462"/>
    <s v="California"/>
    <x v="0"/>
    <x v="1"/>
    <x v="141"/>
    <x v="1151"/>
    <x v="1"/>
  </r>
  <r>
    <x v="404"/>
    <d v="2015-02-26T00:00:00"/>
    <x v="1"/>
    <s v="Second Class"/>
    <s v="MC-17635"/>
    <x v="462"/>
    <s v="California"/>
    <x v="0"/>
    <x v="5"/>
    <x v="269"/>
    <x v="1152"/>
    <x v="8"/>
  </r>
  <r>
    <x v="405"/>
    <d v="2015-02-26T00:00:00"/>
    <x v="5"/>
    <s v="Standard Class"/>
    <s v="TZ-21580"/>
    <x v="210"/>
    <s v="California"/>
    <x v="2"/>
    <x v="14"/>
    <x v="250"/>
    <x v="258"/>
    <x v="1"/>
  </r>
  <r>
    <x v="405"/>
    <d v="2015-02-26T00:00:00"/>
    <x v="5"/>
    <s v="Standard Class"/>
    <s v="TZ-21580"/>
    <x v="210"/>
    <s v="California"/>
    <x v="2"/>
    <x v="11"/>
    <x v="95"/>
    <x v="1087"/>
    <x v="6"/>
  </r>
  <r>
    <x v="405"/>
    <d v="2015-02-26T00:00:00"/>
    <x v="5"/>
    <s v="Standard Class"/>
    <s v="TZ-21580"/>
    <x v="210"/>
    <s v="California"/>
    <x v="0"/>
    <x v="9"/>
    <x v="952"/>
    <x v="1153"/>
    <x v="0"/>
  </r>
  <r>
    <x v="406"/>
    <d v="2015-03-09T00:00:00"/>
    <x v="6"/>
    <s v="Standard Class"/>
    <s v="ON-18715"/>
    <x v="147"/>
    <s v="Colorado"/>
    <x v="2"/>
    <x v="14"/>
    <x v="953"/>
    <x v="1154"/>
    <x v="4"/>
  </r>
  <r>
    <x v="407"/>
    <d v="2015-03-04T00:00:00"/>
    <x v="7"/>
    <s v="Same Day"/>
    <s v="TS-21160"/>
    <x v="463"/>
    <s v="California"/>
    <x v="0"/>
    <x v="12"/>
    <x v="753"/>
    <x v="1155"/>
    <x v="0"/>
  </r>
  <r>
    <x v="407"/>
    <d v="2015-03-04T00:00:00"/>
    <x v="7"/>
    <s v="Same Day"/>
    <s v="TS-21160"/>
    <x v="463"/>
    <s v="California"/>
    <x v="1"/>
    <x v="7"/>
    <x v="552"/>
    <x v="1156"/>
    <x v="0"/>
  </r>
  <r>
    <x v="408"/>
    <d v="2015-03-11T00:00:00"/>
    <x v="4"/>
    <s v="Standard Class"/>
    <s v="MG-17890"/>
    <x v="464"/>
    <s v="California"/>
    <x v="0"/>
    <x v="3"/>
    <x v="954"/>
    <x v="1157"/>
    <x v="6"/>
  </r>
  <r>
    <x v="409"/>
    <d v="2015-03-09T00:00:00"/>
    <x v="7"/>
    <s v="Same Day"/>
    <s v="PG-18820"/>
    <x v="66"/>
    <s v="Arizona"/>
    <x v="0"/>
    <x v="5"/>
    <x v="5"/>
    <x v="1158"/>
    <x v="0"/>
  </r>
  <r>
    <x v="410"/>
    <d v="2015-03-12T00:00:00"/>
    <x v="3"/>
    <s v="First Class"/>
    <s v="KF-16285"/>
    <x v="165"/>
    <s v="California"/>
    <x v="0"/>
    <x v="0"/>
    <x v="955"/>
    <x v="395"/>
    <x v="1"/>
  </r>
  <r>
    <x v="410"/>
    <d v="2015-03-12T00:00:00"/>
    <x v="3"/>
    <s v="First Class"/>
    <s v="KF-16285"/>
    <x v="165"/>
    <s v="California"/>
    <x v="2"/>
    <x v="14"/>
    <x v="956"/>
    <x v="1159"/>
    <x v="9"/>
  </r>
  <r>
    <x v="410"/>
    <d v="2015-03-14T00:00:00"/>
    <x v="2"/>
    <s v="First Class"/>
    <s v="RH-19510"/>
    <x v="368"/>
    <s v="California"/>
    <x v="2"/>
    <x v="11"/>
    <x v="359"/>
    <x v="1160"/>
    <x v="0"/>
  </r>
  <r>
    <x v="410"/>
    <d v="2015-03-14T00:00:00"/>
    <x v="2"/>
    <s v="First Class"/>
    <s v="RH-19510"/>
    <x v="368"/>
    <s v="California"/>
    <x v="2"/>
    <x v="13"/>
    <x v="957"/>
    <x v="1161"/>
    <x v="0"/>
  </r>
  <r>
    <x v="410"/>
    <d v="2015-03-15T00:00:00"/>
    <x v="5"/>
    <s v="Second Class"/>
    <s v="MH-17785"/>
    <x v="77"/>
    <s v="Arizona"/>
    <x v="0"/>
    <x v="1"/>
    <x v="958"/>
    <x v="1162"/>
    <x v="6"/>
  </r>
  <r>
    <x v="411"/>
    <d v="2015-03-16T00:00:00"/>
    <x v="2"/>
    <s v="Second Class"/>
    <s v="DK-13225"/>
    <x v="26"/>
    <s v="California"/>
    <x v="0"/>
    <x v="1"/>
    <x v="626"/>
    <x v="1163"/>
    <x v="1"/>
  </r>
  <r>
    <x v="411"/>
    <d v="2015-03-16T00:00:00"/>
    <x v="2"/>
    <s v="Second Class"/>
    <s v="DK-13225"/>
    <x v="26"/>
    <s v="California"/>
    <x v="0"/>
    <x v="4"/>
    <x v="959"/>
    <x v="1164"/>
    <x v="1"/>
  </r>
  <r>
    <x v="411"/>
    <d v="2015-03-16T00:00:00"/>
    <x v="2"/>
    <s v="Second Class"/>
    <s v="DK-13225"/>
    <x v="26"/>
    <s v="California"/>
    <x v="0"/>
    <x v="6"/>
    <x v="960"/>
    <x v="1165"/>
    <x v="2"/>
  </r>
  <r>
    <x v="411"/>
    <d v="2015-03-16T00:00:00"/>
    <x v="2"/>
    <s v="Second Class"/>
    <s v="DK-13225"/>
    <x v="26"/>
    <s v="California"/>
    <x v="1"/>
    <x v="10"/>
    <x v="961"/>
    <x v="1166"/>
    <x v="0"/>
  </r>
  <r>
    <x v="411"/>
    <d v="2015-03-17T00:00:00"/>
    <x v="5"/>
    <s v="Standard Class"/>
    <s v="SW-20245"/>
    <x v="465"/>
    <s v="California"/>
    <x v="0"/>
    <x v="0"/>
    <x v="962"/>
    <x v="960"/>
    <x v="4"/>
  </r>
  <r>
    <x v="412"/>
    <d v="2015-03-17T00:00:00"/>
    <x v="2"/>
    <s v="First Class"/>
    <s v="TW-21025"/>
    <x v="429"/>
    <s v="Arizona"/>
    <x v="0"/>
    <x v="4"/>
    <x v="963"/>
    <x v="1167"/>
    <x v="1"/>
  </r>
  <r>
    <x v="412"/>
    <d v="2015-03-17T00:00:00"/>
    <x v="2"/>
    <s v="First Class"/>
    <s v="TW-21025"/>
    <x v="429"/>
    <s v="Arizona"/>
    <x v="2"/>
    <x v="14"/>
    <x v="835"/>
    <x v="1168"/>
    <x v="4"/>
  </r>
  <r>
    <x v="412"/>
    <d v="2015-03-16T00:00:00"/>
    <x v="0"/>
    <s v="Second Class"/>
    <s v="EH-13765"/>
    <x v="53"/>
    <s v="California"/>
    <x v="1"/>
    <x v="7"/>
    <x v="964"/>
    <x v="1169"/>
    <x v="4"/>
  </r>
  <r>
    <x v="412"/>
    <d v="2015-03-16T00:00:00"/>
    <x v="0"/>
    <s v="Second Class"/>
    <s v="EH-13765"/>
    <x v="53"/>
    <s v="California"/>
    <x v="0"/>
    <x v="12"/>
    <x v="220"/>
    <x v="1170"/>
    <x v="0"/>
  </r>
  <r>
    <x v="412"/>
    <d v="2015-03-19T00:00:00"/>
    <x v="1"/>
    <s v="Standard Class"/>
    <s v="DB-13360"/>
    <x v="217"/>
    <s v="California"/>
    <x v="0"/>
    <x v="5"/>
    <x v="416"/>
    <x v="1171"/>
    <x v="8"/>
  </r>
  <r>
    <x v="413"/>
    <d v="2015-03-17T00:00:00"/>
    <x v="0"/>
    <s v="First Class"/>
    <s v="MM-18280"/>
    <x v="384"/>
    <s v="Washington"/>
    <x v="1"/>
    <x v="10"/>
    <x v="965"/>
    <x v="1172"/>
    <x v="4"/>
  </r>
  <r>
    <x v="413"/>
    <d v="2015-03-21T00:00:00"/>
    <x v="4"/>
    <s v="Standard Class"/>
    <s v="SP-20650"/>
    <x v="328"/>
    <s v="California"/>
    <x v="0"/>
    <x v="5"/>
    <x v="64"/>
    <x v="191"/>
    <x v="5"/>
  </r>
  <r>
    <x v="414"/>
    <d v="2015-03-17T00:00:00"/>
    <x v="3"/>
    <s v="First Class"/>
    <s v="FC-14335"/>
    <x v="179"/>
    <s v="California"/>
    <x v="0"/>
    <x v="5"/>
    <x v="966"/>
    <x v="1173"/>
    <x v="4"/>
  </r>
  <r>
    <x v="414"/>
    <d v="2015-03-17T00:00:00"/>
    <x v="3"/>
    <s v="First Class"/>
    <s v="FC-14335"/>
    <x v="179"/>
    <s v="California"/>
    <x v="1"/>
    <x v="10"/>
    <x v="967"/>
    <x v="1174"/>
    <x v="2"/>
  </r>
  <r>
    <x v="415"/>
    <d v="2015-03-20T00:00:00"/>
    <x v="0"/>
    <s v="Second Class"/>
    <s v="AC-10660"/>
    <x v="466"/>
    <s v="California"/>
    <x v="2"/>
    <x v="14"/>
    <x v="968"/>
    <x v="1175"/>
    <x v="4"/>
  </r>
  <r>
    <x v="416"/>
    <d v="2015-03-22T00:00:00"/>
    <x v="0"/>
    <s v="Second Class"/>
    <s v="BT-11440"/>
    <x v="467"/>
    <s v="Colorado"/>
    <x v="1"/>
    <x v="2"/>
    <x v="969"/>
    <x v="1176"/>
    <x v="6"/>
  </r>
  <r>
    <x v="417"/>
    <d v="2015-03-25T00:00:00"/>
    <x v="5"/>
    <s v="Standard Class"/>
    <s v="ZC-21910"/>
    <x v="183"/>
    <s v="Oregon"/>
    <x v="2"/>
    <x v="14"/>
    <x v="968"/>
    <x v="1175"/>
    <x v="4"/>
  </r>
  <r>
    <x v="417"/>
    <d v="2015-03-25T00:00:00"/>
    <x v="5"/>
    <s v="Standard Class"/>
    <s v="ZC-21910"/>
    <x v="183"/>
    <s v="Oregon"/>
    <x v="0"/>
    <x v="0"/>
    <x v="0"/>
    <x v="1177"/>
    <x v="2"/>
  </r>
  <r>
    <x v="417"/>
    <d v="2015-03-25T00:00:00"/>
    <x v="5"/>
    <s v="Standard Class"/>
    <s v="ZC-21910"/>
    <x v="183"/>
    <s v="Oregon"/>
    <x v="0"/>
    <x v="5"/>
    <x v="200"/>
    <x v="1178"/>
    <x v="0"/>
  </r>
  <r>
    <x v="417"/>
    <d v="2015-03-25T00:00:00"/>
    <x v="5"/>
    <s v="Standard Class"/>
    <s v="ZC-21910"/>
    <x v="183"/>
    <s v="Oregon"/>
    <x v="0"/>
    <x v="0"/>
    <x v="658"/>
    <x v="534"/>
    <x v="4"/>
  </r>
  <r>
    <x v="418"/>
    <d v="2015-03-26T00:00:00"/>
    <x v="2"/>
    <s v="First Class"/>
    <s v="RB-19645"/>
    <x v="133"/>
    <s v="Nevada"/>
    <x v="2"/>
    <x v="11"/>
    <x v="970"/>
    <x v="1179"/>
    <x v="4"/>
  </r>
  <r>
    <x v="418"/>
    <d v="2015-03-23T00:00:00"/>
    <x v="7"/>
    <s v="Same Day"/>
    <s v="MC-17275"/>
    <x v="145"/>
    <s v="Washington"/>
    <x v="1"/>
    <x v="10"/>
    <x v="971"/>
    <x v="1180"/>
    <x v="8"/>
  </r>
  <r>
    <x v="419"/>
    <d v="2015-03-29T00:00:00"/>
    <x v="5"/>
    <s v="Standard Class"/>
    <s v="DR-12880"/>
    <x v="468"/>
    <s v="Oregon"/>
    <x v="2"/>
    <x v="14"/>
    <x v="265"/>
    <x v="1181"/>
    <x v="2"/>
  </r>
  <r>
    <x v="420"/>
    <d v="2015-03-29T00:00:00"/>
    <x v="0"/>
    <s v="Second Class"/>
    <s v="MV-17485"/>
    <x v="4"/>
    <s v="Idaho"/>
    <x v="0"/>
    <x v="0"/>
    <x v="355"/>
    <x v="1182"/>
    <x v="0"/>
  </r>
  <r>
    <x v="420"/>
    <d v="2015-03-29T00:00:00"/>
    <x v="0"/>
    <s v="Second Class"/>
    <s v="MV-17485"/>
    <x v="4"/>
    <s v="Idaho"/>
    <x v="0"/>
    <x v="5"/>
    <x v="289"/>
    <x v="1183"/>
    <x v="0"/>
  </r>
  <r>
    <x v="421"/>
    <d v="2015-04-01T00:00:00"/>
    <x v="2"/>
    <s v="Second Class"/>
    <s v="CC-12220"/>
    <x v="469"/>
    <s v="California"/>
    <x v="0"/>
    <x v="1"/>
    <x v="972"/>
    <x v="1184"/>
    <x v="2"/>
  </r>
  <r>
    <x v="421"/>
    <d v="2015-04-01T00:00:00"/>
    <x v="2"/>
    <s v="Second Class"/>
    <s v="CC-12220"/>
    <x v="469"/>
    <s v="California"/>
    <x v="0"/>
    <x v="0"/>
    <x v="973"/>
    <x v="267"/>
    <x v="6"/>
  </r>
  <r>
    <x v="422"/>
    <d v="2015-04-09T00:00:00"/>
    <x v="6"/>
    <s v="Standard Class"/>
    <s v="BB-10990"/>
    <x v="118"/>
    <s v="Arizona"/>
    <x v="0"/>
    <x v="9"/>
    <x v="16"/>
    <x v="1185"/>
    <x v="1"/>
  </r>
  <r>
    <x v="422"/>
    <d v="2015-04-09T00:00:00"/>
    <x v="6"/>
    <s v="Standard Class"/>
    <s v="BB-10990"/>
    <x v="118"/>
    <s v="Arizona"/>
    <x v="0"/>
    <x v="4"/>
    <x v="974"/>
    <x v="1186"/>
    <x v="4"/>
  </r>
  <r>
    <x v="423"/>
    <d v="2015-04-10T00:00:00"/>
    <x v="0"/>
    <s v="First Class"/>
    <s v="YC-21895"/>
    <x v="414"/>
    <s v="California"/>
    <x v="2"/>
    <x v="16"/>
    <x v="975"/>
    <x v="257"/>
    <x v="0"/>
  </r>
  <r>
    <x v="424"/>
    <d v="2015-04-13T00:00:00"/>
    <x v="5"/>
    <s v="Standard Class"/>
    <s v="LC-17140"/>
    <x v="428"/>
    <s v="California"/>
    <x v="0"/>
    <x v="0"/>
    <x v="976"/>
    <x v="441"/>
    <x v="0"/>
  </r>
  <r>
    <x v="424"/>
    <d v="2015-04-13T00:00:00"/>
    <x v="5"/>
    <s v="Standard Class"/>
    <s v="LC-17140"/>
    <x v="428"/>
    <s v="California"/>
    <x v="0"/>
    <x v="1"/>
    <x v="977"/>
    <x v="1187"/>
    <x v="4"/>
  </r>
  <r>
    <x v="424"/>
    <d v="2015-04-13T00:00:00"/>
    <x v="5"/>
    <s v="Standard Class"/>
    <s v="LC-17140"/>
    <x v="428"/>
    <s v="California"/>
    <x v="0"/>
    <x v="0"/>
    <x v="279"/>
    <x v="28"/>
    <x v="4"/>
  </r>
  <r>
    <x v="424"/>
    <d v="2015-04-15T00:00:00"/>
    <x v="4"/>
    <s v="Standard Class"/>
    <s v="CK-12595"/>
    <x v="262"/>
    <s v="California"/>
    <x v="1"/>
    <x v="7"/>
    <x v="978"/>
    <x v="1188"/>
    <x v="1"/>
  </r>
  <r>
    <x v="425"/>
    <d v="2015-04-14T00:00:00"/>
    <x v="5"/>
    <s v="Standard Class"/>
    <s v="EB-13750"/>
    <x v="470"/>
    <s v="Washington"/>
    <x v="0"/>
    <x v="5"/>
    <x v="979"/>
    <x v="1189"/>
    <x v="11"/>
  </r>
  <r>
    <x v="425"/>
    <d v="2015-04-15T00:00:00"/>
    <x v="1"/>
    <s v="Standard Class"/>
    <s v="HF-14995"/>
    <x v="75"/>
    <s v="California"/>
    <x v="1"/>
    <x v="2"/>
    <x v="980"/>
    <x v="1190"/>
    <x v="1"/>
  </r>
  <r>
    <x v="426"/>
    <d v="2015-04-17T00:00:00"/>
    <x v="4"/>
    <s v="Standard Class"/>
    <s v="FM-14215"/>
    <x v="87"/>
    <s v="California"/>
    <x v="0"/>
    <x v="0"/>
    <x v="981"/>
    <x v="28"/>
    <x v="4"/>
  </r>
  <r>
    <x v="426"/>
    <d v="2015-04-17T00:00:00"/>
    <x v="4"/>
    <s v="Standard Class"/>
    <s v="FM-14215"/>
    <x v="87"/>
    <s v="California"/>
    <x v="0"/>
    <x v="5"/>
    <x v="951"/>
    <x v="1191"/>
    <x v="1"/>
  </r>
  <r>
    <x v="426"/>
    <d v="2015-04-18T00:00:00"/>
    <x v="6"/>
    <s v="Standard Class"/>
    <s v="BT-11680"/>
    <x v="471"/>
    <s v="California"/>
    <x v="0"/>
    <x v="4"/>
    <x v="617"/>
    <x v="1192"/>
    <x v="0"/>
  </r>
  <r>
    <x v="426"/>
    <d v="2015-04-18T00:00:00"/>
    <x v="6"/>
    <s v="Standard Class"/>
    <s v="BT-11680"/>
    <x v="471"/>
    <s v="California"/>
    <x v="0"/>
    <x v="1"/>
    <x v="982"/>
    <x v="1193"/>
    <x v="0"/>
  </r>
  <r>
    <x v="426"/>
    <d v="2015-04-18T00:00:00"/>
    <x v="6"/>
    <s v="Standard Class"/>
    <s v="BT-11680"/>
    <x v="471"/>
    <s v="California"/>
    <x v="0"/>
    <x v="1"/>
    <x v="598"/>
    <x v="1194"/>
    <x v="11"/>
  </r>
  <r>
    <x v="426"/>
    <d v="2015-04-18T00:00:00"/>
    <x v="6"/>
    <s v="Standard Class"/>
    <s v="BT-11680"/>
    <x v="471"/>
    <s v="California"/>
    <x v="0"/>
    <x v="5"/>
    <x v="983"/>
    <x v="1195"/>
    <x v="2"/>
  </r>
  <r>
    <x v="427"/>
    <d v="2015-04-17T00:00:00"/>
    <x v="5"/>
    <s v="Standard Class"/>
    <s v="BP-11290"/>
    <x v="472"/>
    <s v="California"/>
    <x v="1"/>
    <x v="10"/>
    <x v="984"/>
    <x v="1196"/>
    <x v="8"/>
  </r>
  <r>
    <x v="427"/>
    <d v="2015-04-17T00:00:00"/>
    <x v="5"/>
    <s v="Standard Class"/>
    <s v="BP-11290"/>
    <x v="472"/>
    <s v="California"/>
    <x v="0"/>
    <x v="5"/>
    <x v="985"/>
    <x v="1197"/>
    <x v="6"/>
  </r>
  <r>
    <x v="427"/>
    <d v="2015-04-15T00:00:00"/>
    <x v="0"/>
    <s v="First Class"/>
    <s v="JF-15295"/>
    <x v="27"/>
    <s v="California"/>
    <x v="0"/>
    <x v="0"/>
    <x v="986"/>
    <x v="0"/>
    <x v="0"/>
  </r>
  <r>
    <x v="427"/>
    <d v="2015-04-15T00:00:00"/>
    <x v="0"/>
    <s v="First Class"/>
    <s v="JF-15295"/>
    <x v="27"/>
    <s v="California"/>
    <x v="1"/>
    <x v="10"/>
    <x v="22"/>
    <x v="1198"/>
    <x v="0"/>
  </r>
  <r>
    <x v="427"/>
    <d v="2015-04-15T00:00:00"/>
    <x v="0"/>
    <s v="First Class"/>
    <s v="JF-15295"/>
    <x v="27"/>
    <s v="California"/>
    <x v="0"/>
    <x v="5"/>
    <x v="671"/>
    <x v="747"/>
    <x v="0"/>
  </r>
  <r>
    <x v="428"/>
    <d v="2015-04-16T00:00:00"/>
    <x v="0"/>
    <s v="First Class"/>
    <s v="SP-20920"/>
    <x v="220"/>
    <s v="California"/>
    <x v="0"/>
    <x v="6"/>
    <x v="811"/>
    <x v="1199"/>
    <x v="0"/>
  </r>
  <r>
    <x v="429"/>
    <d v="2015-04-19T00:00:00"/>
    <x v="5"/>
    <s v="Standard Class"/>
    <s v="PB-19150"/>
    <x v="105"/>
    <s v="California"/>
    <x v="1"/>
    <x v="10"/>
    <x v="113"/>
    <x v="1200"/>
    <x v="1"/>
  </r>
  <r>
    <x v="429"/>
    <d v="2015-04-15T00:00:00"/>
    <x v="7"/>
    <s v="Same Day"/>
    <s v="KT-16465"/>
    <x v="163"/>
    <s v="Arizona"/>
    <x v="1"/>
    <x v="10"/>
    <x v="693"/>
    <x v="1201"/>
    <x v="2"/>
  </r>
  <r>
    <x v="429"/>
    <d v="2015-04-15T00:00:00"/>
    <x v="7"/>
    <s v="Same Day"/>
    <s v="KT-16465"/>
    <x v="163"/>
    <s v="Arizona"/>
    <x v="0"/>
    <x v="1"/>
    <x v="219"/>
    <x v="1202"/>
    <x v="2"/>
  </r>
  <r>
    <x v="430"/>
    <d v="2015-04-18T00:00:00"/>
    <x v="0"/>
    <s v="Second Class"/>
    <s v="BD-11320"/>
    <x v="473"/>
    <s v="California"/>
    <x v="1"/>
    <x v="10"/>
    <x v="565"/>
    <x v="1203"/>
    <x v="4"/>
  </r>
  <r>
    <x v="430"/>
    <d v="2015-04-18T00:00:00"/>
    <x v="0"/>
    <s v="Second Class"/>
    <s v="JK-16120"/>
    <x v="474"/>
    <s v="California"/>
    <x v="0"/>
    <x v="0"/>
    <x v="987"/>
    <x v="1204"/>
    <x v="0"/>
  </r>
  <r>
    <x v="431"/>
    <d v="2015-04-19T00:00:00"/>
    <x v="0"/>
    <s v="Second Class"/>
    <s v="BM-11785"/>
    <x v="292"/>
    <s v="Washington"/>
    <x v="0"/>
    <x v="12"/>
    <x v="358"/>
    <x v="1205"/>
    <x v="0"/>
  </r>
  <r>
    <x v="432"/>
    <d v="2015-04-22T00:00:00"/>
    <x v="5"/>
    <s v="Standard Class"/>
    <s v="JM-15535"/>
    <x v="348"/>
    <s v="California"/>
    <x v="1"/>
    <x v="2"/>
    <x v="988"/>
    <x v="1206"/>
    <x v="0"/>
  </r>
  <r>
    <x v="433"/>
    <d v="2015-04-25T00:00:00"/>
    <x v="1"/>
    <s v="Second Class"/>
    <s v="JO-15280"/>
    <x v="250"/>
    <s v="California"/>
    <x v="2"/>
    <x v="14"/>
    <x v="989"/>
    <x v="1207"/>
    <x v="1"/>
  </r>
  <r>
    <x v="433"/>
    <d v="2015-04-25T00:00:00"/>
    <x v="1"/>
    <s v="Second Class"/>
    <s v="JO-15280"/>
    <x v="250"/>
    <s v="California"/>
    <x v="0"/>
    <x v="3"/>
    <x v="990"/>
    <x v="1208"/>
    <x v="0"/>
  </r>
  <r>
    <x v="433"/>
    <d v="2015-04-25T00:00:00"/>
    <x v="1"/>
    <s v="Second Class"/>
    <s v="JO-15280"/>
    <x v="250"/>
    <s v="California"/>
    <x v="0"/>
    <x v="3"/>
    <x v="991"/>
    <x v="1209"/>
    <x v="1"/>
  </r>
  <r>
    <x v="433"/>
    <d v="2015-04-25T00:00:00"/>
    <x v="1"/>
    <s v="Second Class"/>
    <s v="JO-15280"/>
    <x v="250"/>
    <s v="California"/>
    <x v="0"/>
    <x v="5"/>
    <x v="901"/>
    <x v="700"/>
    <x v="6"/>
  </r>
  <r>
    <x v="433"/>
    <d v="2015-04-25T00:00:00"/>
    <x v="1"/>
    <s v="Second Class"/>
    <s v="JO-15280"/>
    <x v="250"/>
    <s v="California"/>
    <x v="0"/>
    <x v="0"/>
    <x v="992"/>
    <x v="298"/>
    <x v="2"/>
  </r>
  <r>
    <x v="433"/>
    <d v="2015-04-25T00:00:00"/>
    <x v="1"/>
    <s v="Second Class"/>
    <s v="JO-15280"/>
    <x v="250"/>
    <s v="California"/>
    <x v="0"/>
    <x v="5"/>
    <x v="993"/>
    <x v="1210"/>
    <x v="0"/>
  </r>
  <r>
    <x v="434"/>
    <d v="2015-04-25T00:00:00"/>
    <x v="2"/>
    <s v="First Class"/>
    <s v="DN-13690"/>
    <x v="182"/>
    <s v="Washington"/>
    <x v="0"/>
    <x v="5"/>
    <x v="994"/>
    <x v="1211"/>
    <x v="1"/>
  </r>
  <r>
    <x v="435"/>
    <d v="2015-04-30T00:00:00"/>
    <x v="6"/>
    <s v="Standard Class"/>
    <s v="TN-21040"/>
    <x v="177"/>
    <s v="Arizona"/>
    <x v="1"/>
    <x v="7"/>
    <x v="163"/>
    <x v="1212"/>
    <x v="1"/>
  </r>
  <r>
    <x v="435"/>
    <d v="2015-04-30T00:00:00"/>
    <x v="6"/>
    <s v="Standard Class"/>
    <s v="TN-21040"/>
    <x v="177"/>
    <s v="Arizona"/>
    <x v="1"/>
    <x v="8"/>
    <x v="597"/>
    <x v="1213"/>
    <x v="5"/>
  </r>
  <r>
    <x v="435"/>
    <d v="2015-04-30T00:00:00"/>
    <x v="6"/>
    <s v="Standard Class"/>
    <s v="TN-21040"/>
    <x v="177"/>
    <s v="Arizona"/>
    <x v="0"/>
    <x v="5"/>
    <x v="995"/>
    <x v="1214"/>
    <x v="1"/>
  </r>
  <r>
    <x v="435"/>
    <d v="2015-04-30T00:00:00"/>
    <x v="6"/>
    <s v="Standard Class"/>
    <s v="TN-21040"/>
    <x v="177"/>
    <s v="Arizona"/>
    <x v="0"/>
    <x v="12"/>
    <x v="996"/>
    <x v="1215"/>
    <x v="4"/>
  </r>
  <r>
    <x v="435"/>
    <d v="2015-04-30T00:00:00"/>
    <x v="6"/>
    <s v="Standard Class"/>
    <s v="TN-21040"/>
    <x v="177"/>
    <s v="Arizona"/>
    <x v="0"/>
    <x v="4"/>
    <x v="997"/>
    <x v="1216"/>
    <x v="4"/>
  </r>
  <r>
    <x v="435"/>
    <d v="2015-04-27T00:00:00"/>
    <x v="5"/>
    <s v="Second Class"/>
    <s v="PG-18895"/>
    <x v="443"/>
    <s v="California"/>
    <x v="1"/>
    <x v="7"/>
    <x v="710"/>
    <x v="809"/>
    <x v="0"/>
  </r>
  <r>
    <x v="436"/>
    <d v="2015-04-28T00:00:00"/>
    <x v="5"/>
    <s v="Standard Class"/>
    <s v="GK-14620"/>
    <x v="95"/>
    <s v="California"/>
    <x v="0"/>
    <x v="5"/>
    <x v="17"/>
    <x v="1217"/>
    <x v="5"/>
  </r>
  <r>
    <x v="436"/>
    <d v="2015-04-28T00:00:00"/>
    <x v="5"/>
    <s v="Standard Class"/>
    <s v="GK-14620"/>
    <x v="95"/>
    <s v="California"/>
    <x v="2"/>
    <x v="11"/>
    <x v="91"/>
    <x v="148"/>
    <x v="6"/>
  </r>
  <r>
    <x v="436"/>
    <d v="2015-04-28T00:00:00"/>
    <x v="5"/>
    <s v="Standard Class"/>
    <s v="AF-10870"/>
    <x v="434"/>
    <s v="California"/>
    <x v="0"/>
    <x v="5"/>
    <x v="98"/>
    <x v="100"/>
    <x v="8"/>
  </r>
  <r>
    <x v="436"/>
    <d v="2015-04-28T00:00:00"/>
    <x v="5"/>
    <s v="Standard Class"/>
    <s v="AF-10870"/>
    <x v="434"/>
    <s v="California"/>
    <x v="0"/>
    <x v="6"/>
    <x v="998"/>
    <x v="1218"/>
    <x v="0"/>
  </r>
  <r>
    <x v="437"/>
    <d v="2015-04-28T00:00:00"/>
    <x v="2"/>
    <s v="First Class"/>
    <s v="JL-15130"/>
    <x v="475"/>
    <s v="California"/>
    <x v="0"/>
    <x v="5"/>
    <x v="177"/>
    <x v="1219"/>
    <x v="6"/>
  </r>
  <r>
    <x v="437"/>
    <d v="2015-04-29T00:00:00"/>
    <x v="5"/>
    <s v="Standard Class"/>
    <s v="CL-12700"/>
    <x v="476"/>
    <s v="Colorado"/>
    <x v="0"/>
    <x v="0"/>
    <x v="724"/>
    <x v="283"/>
    <x v="0"/>
  </r>
  <r>
    <x v="437"/>
    <d v="2015-04-29T00:00:00"/>
    <x v="5"/>
    <s v="Standard Class"/>
    <s v="CL-12700"/>
    <x v="476"/>
    <s v="Colorado"/>
    <x v="1"/>
    <x v="10"/>
    <x v="532"/>
    <x v="571"/>
    <x v="5"/>
  </r>
  <r>
    <x v="437"/>
    <d v="2015-04-29T00:00:00"/>
    <x v="5"/>
    <s v="Standard Class"/>
    <s v="CL-12700"/>
    <x v="476"/>
    <s v="Colorado"/>
    <x v="0"/>
    <x v="5"/>
    <x v="759"/>
    <x v="1220"/>
    <x v="4"/>
  </r>
  <r>
    <x v="438"/>
    <d v="2015-05-03T00:00:00"/>
    <x v="5"/>
    <s v="Standard Class"/>
    <s v="EH-14005"/>
    <x v="239"/>
    <s v="Colorado"/>
    <x v="0"/>
    <x v="0"/>
    <x v="574"/>
    <x v="1221"/>
    <x v="0"/>
  </r>
  <r>
    <x v="438"/>
    <d v="2015-05-06T00:00:00"/>
    <x v="6"/>
    <s v="Standard Class"/>
    <s v="BO-11350"/>
    <x v="477"/>
    <s v="California"/>
    <x v="1"/>
    <x v="10"/>
    <x v="999"/>
    <x v="1222"/>
    <x v="4"/>
  </r>
  <r>
    <x v="439"/>
    <d v="2015-05-05T00:00:00"/>
    <x v="5"/>
    <s v="Standard Class"/>
    <s v="KD-16615"/>
    <x v="376"/>
    <s v="Arizona"/>
    <x v="1"/>
    <x v="7"/>
    <x v="881"/>
    <x v="1223"/>
    <x v="8"/>
  </r>
  <r>
    <x v="440"/>
    <d v="2015-05-10T00:00:00"/>
    <x v="5"/>
    <s v="Standard Class"/>
    <s v="BF-11005"/>
    <x v="162"/>
    <s v="California"/>
    <x v="0"/>
    <x v="1"/>
    <x v="183"/>
    <x v="267"/>
    <x v="6"/>
  </r>
  <r>
    <x v="440"/>
    <d v="2015-05-10T00:00:00"/>
    <x v="5"/>
    <s v="Standard Class"/>
    <s v="BF-11005"/>
    <x v="162"/>
    <s v="California"/>
    <x v="2"/>
    <x v="14"/>
    <x v="1000"/>
    <x v="1224"/>
    <x v="0"/>
  </r>
  <r>
    <x v="440"/>
    <d v="2015-05-09T00:00:00"/>
    <x v="2"/>
    <s v="First Class"/>
    <s v="DM-13015"/>
    <x v="478"/>
    <s v="California"/>
    <x v="0"/>
    <x v="5"/>
    <x v="381"/>
    <x v="1225"/>
    <x v="1"/>
  </r>
  <r>
    <x v="440"/>
    <d v="2015-05-09T00:00:00"/>
    <x v="2"/>
    <s v="First Class"/>
    <s v="DM-13015"/>
    <x v="478"/>
    <s v="California"/>
    <x v="1"/>
    <x v="8"/>
    <x v="90"/>
    <x v="1226"/>
    <x v="0"/>
  </r>
  <r>
    <x v="440"/>
    <d v="2015-05-08T00:00:00"/>
    <x v="0"/>
    <s v="Second Class"/>
    <s v="AH-10465"/>
    <x v="479"/>
    <s v="California"/>
    <x v="1"/>
    <x v="8"/>
    <x v="578"/>
    <x v="1227"/>
    <x v="4"/>
  </r>
  <r>
    <x v="440"/>
    <d v="2015-05-07T00:00:00"/>
    <x v="3"/>
    <s v="First Class"/>
    <s v="LW-16990"/>
    <x v="480"/>
    <s v="Nevada"/>
    <x v="1"/>
    <x v="8"/>
    <x v="1001"/>
    <x v="1228"/>
    <x v="5"/>
  </r>
  <r>
    <x v="440"/>
    <d v="2015-05-07T00:00:00"/>
    <x v="3"/>
    <s v="First Class"/>
    <s v="LW-16990"/>
    <x v="480"/>
    <s v="Nevada"/>
    <x v="0"/>
    <x v="5"/>
    <x v="1002"/>
    <x v="1229"/>
    <x v="4"/>
  </r>
  <r>
    <x v="441"/>
    <d v="2015-05-11T00:00:00"/>
    <x v="5"/>
    <s v="Standard Class"/>
    <s v="GM-14500"/>
    <x v="131"/>
    <s v="California"/>
    <x v="1"/>
    <x v="7"/>
    <x v="1003"/>
    <x v="1230"/>
    <x v="2"/>
  </r>
  <r>
    <x v="442"/>
    <d v="2015-05-11T00:00:00"/>
    <x v="0"/>
    <s v="First Class"/>
    <s v="TB-21625"/>
    <x v="401"/>
    <s v="California"/>
    <x v="0"/>
    <x v="0"/>
    <x v="1004"/>
    <x v="34"/>
    <x v="0"/>
  </r>
  <r>
    <x v="443"/>
    <d v="2015-05-15T00:00:00"/>
    <x v="1"/>
    <s v="Standard Class"/>
    <s v="SS-20590"/>
    <x v="124"/>
    <s v="Washington"/>
    <x v="2"/>
    <x v="11"/>
    <x v="1005"/>
    <x v="1231"/>
    <x v="4"/>
  </r>
  <r>
    <x v="443"/>
    <d v="2015-05-15T00:00:00"/>
    <x v="1"/>
    <s v="Standard Class"/>
    <s v="RS-19420"/>
    <x v="481"/>
    <s v="California"/>
    <x v="0"/>
    <x v="0"/>
    <x v="1006"/>
    <x v="1020"/>
    <x v="2"/>
  </r>
  <r>
    <x v="444"/>
    <d v="2015-05-17T00:00:00"/>
    <x v="4"/>
    <s v="Standard Class"/>
    <s v="RD-19720"/>
    <x v="109"/>
    <s v="Washington"/>
    <x v="0"/>
    <x v="0"/>
    <x v="203"/>
    <x v="212"/>
    <x v="4"/>
  </r>
  <r>
    <x v="445"/>
    <d v="2015-05-13T00:00:00"/>
    <x v="3"/>
    <s v="First Class"/>
    <s v="TT-21070"/>
    <x v="482"/>
    <s v="California"/>
    <x v="0"/>
    <x v="0"/>
    <x v="1004"/>
    <x v="267"/>
    <x v="6"/>
  </r>
  <r>
    <x v="446"/>
    <d v="2015-05-18T00:00:00"/>
    <x v="1"/>
    <s v="Standard Class"/>
    <s v="JM-15580"/>
    <x v="483"/>
    <s v="Washington"/>
    <x v="0"/>
    <x v="6"/>
    <x v="1007"/>
    <x v="1232"/>
    <x v="1"/>
  </r>
  <r>
    <x v="446"/>
    <d v="2015-05-17T00:00:00"/>
    <x v="5"/>
    <s v="Standard Class"/>
    <s v="VM-21835"/>
    <x v="484"/>
    <s v="California"/>
    <x v="2"/>
    <x v="11"/>
    <x v="1008"/>
    <x v="1233"/>
    <x v="5"/>
  </r>
  <r>
    <x v="446"/>
    <d v="2015-05-17T00:00:00"/>
    <x v="5"/>
    <s v="Standard Class"/>
    <s v="VM-21835"/>
    <x v="484"/>
    <s v="California"/>
    <x v="0"/>
    <x v="4"/>
    <x v="328"/>
    <x v="1234"/>
    <x v="6"/>
  </r>
  <r>
    <x v="447"/>
    <d v="2015-05-15T00:00:00"/>
    <x v="7"/>
    <s v="Same Day"/>
    <s v="TH-21235"/>
    <x v="203"/>
    <s v="Arizona"/>
    <x v="2"/>
    <x v="11"/>
    <x v="1009"/>
    <x v="1235"/>
    <x v="8"/>
  </r>
  <r>
    <x v="448"/>
    <d v="2015-05-22T00:00:00"/>
    <x v="1"/>
    <s v="Second Class"/>
    <s v="DO-13435"/>
    <x v="297"/>
    <s v="California"/>
    <x v="0"/>
    <x v="0"/>
    <x v="797"/>
    <x v="1236"/>
    <x v="0"/>
  </r>
  <r>
    <x v="448"/>
    <d v="2015-05-20T00:00:00"/>
    <x v="2"/>
    <s v="Second Class"/>
    <s v="SC-20095"/>
    <x v="13"/>
    <s v="California"/>
    <x v="1"/>
    <x v="7"/>
    <x v="1010"/>
    <x v="1237"/>
    <x v="2"/>
  </r>
  <r>
    <x v="448"/>
    <d v="2015-05-20T00:00:00"/>
    <x v="2"/>
    <s v="Second Class"/>
    <s v="SC-20095"/>
    <x v="13"/>
    <s v="California"/>
    <x v="0"/>
    <x v="15"/>
    <x v="1011"/>
    <x v="1238"/>
    <x v="11"/>
  </r>
  <r>
    <x v="449"/>
    <d v="2015-05-25T00:00:00"/>
    <x v="4"/>
    <s v="Standard Class"/>
    <s v="EB-13930"/>
    <x v="485"/>
    <s v="California"/>
    <x v="0"/>
    <x v="1"/>
    <x v="1012"/>
    <x v="1239"/>
    <x v="0"/>
  </r>
  <r>
    <x v="449"/>
    <d v="2015-05-25T00:00:00"/>
    <x v="4"/>
    <s v="Standard Class"/>
    <s v="EB-13930"/>
    <x v="485"/>
    <s v="California"/>
    <x v="0"/>
    <x v="0"/>
    <x v="1013"/>
    <x v="34"/>
    <x v="0"/>
  </r>
  <r>
    <x v="450"/>
    <d v="2015-05-25T00:00:00"/>
    <x v="1"/>
    <s v="Standard Class"/>
    <s v="BT-11395"/>
    <x v="306"/>
    <s v="California"/>
    <x v="0"/>
    <x v="5"/>
    <x v="92"/>
    <x v="94"/>
    <x v="6"/>
  </r>
  <r>
    <x v="450"/>
    <d v="2015-05-24T00:00:00"/>
    <x v="5"/>
    <s v="Standard Class"/>
    <s v="AH-10690"/>
    <x v="486"/>
    <s v="California"/>
    <x v="0"/>
    <x v="4"/>
    <x v="328"/>
    <x v="1240"/>
    <x v="9"/>
  </r>
  <r>
    <x v="451"/>
    <d v="2015-05-26T00:00:00"/>
    <x v="1"/>
    <s v="Standard Class"/>
    <s v="RB-19465"/>
    <x v="487"/>
    <s v="California"/>
    <x v="1"/>
    <x v="7"/>
    <x v="1014"/>
    <x v="1241"/>
    <x v="1"/>
  </r>
  <r>
    <x v="451"/>
    <d v="2015-05-26T00:00:00"/>
    <x v="1"/>
    <s v="Standard Class"/>
    <s v="RB-19465"/>
    <x v="487"/>
    <s v="California"/>
    <x v="0"/>
    <x v="5"/>
    <x v="1015"/>
    <x v="1242"/>
    <x v="2"/>
  </r>
  <r>
    <x v="451"/>
    <d v="2015-05-24T00:00:00"/>
    <x v="2"/>
    <s v="First Class"/>
    <s v="EH-14125"/>
    <x v="188"/>
    <s v="Colorado"/>
    <x v="0"/>
    <x v="5"/>
    <x v="270"/>
    <x v="1243"/>
    <x v="8"/>
  </r>
  <r>
    <x v="452"/>
    <d v="2015-05-24T00:00:00"/>
    <x v="0"/>
    <s v="First Class"/>
    <s v="LH-17155"/>
    <x v="247"/>
    <s v="California"/>
    <x v="2"/>
    <x v="14"/>
    <x v="781"/>
    <x v="1244"/>
    <x v="0"/>
  </r>
  <r>
    <x v="452"/>
    <d v="2015-05-24T00:00:00"/>
    <x v="0"/>
    <s v="First Class"/>
    <s v="LH-17155"/>
    <x v="247"/>
    <s v="California"/>
    <x v="2"/>
    <x v="11"/>
    <x v="1009"/>
    <x v="1245"/>
    <x v="4"/>
  </r>
  <r>
    <x v="452"/>
    <d v="2015-05-29T00:00:00"/>
    <x v="6"/>
    <s v="Standard Class"/>
    <s v="LC-16930"/>
    <x v="488"/>
    <s v="Nevada"/>
    <x v="2"/>
    <x v="13"/>
    <x v="1016"/>
    <x v="1246"/>
    <x v="3"/>
  </r>
  <r>
    <x v="453"/>
    <d v="2015-05-30T00:00:00"/>
    <x v="6"/>
    <s v="Standard Class"/>
    <s v="JE-15610"/>
    <x v="489"/>
    <s v="California"/>
    <x v="2"/>
    <x v="14"/>
    <x v="1017"/>
    <x v="1247"/>
    <x v="4"/>
  </r>
  <r>
    <x v="454"/>
    <d v="2015-05-28T00:00:00"/>
    <x v="5"/>
    <s v="Standard Class"/>
    <s v="LD-17005"/>
    <x v="490"/>
    <s v="California"/>
    <x v="1"/>
    <x v="7"/>
    <x v="262"/>
    <x v="1248"/>
    <x v="0"/>
  </r>
  <r>
    <x v="455"/>
    <d v="2015-06-01T00:00:00"/>
    <x v="1"/>
    <s v="Standard Class"/>
    <s v="SV-20785"/>
    <x v="90"/>
    <s v="California"/>
    <x v="0"/>
    <x v="9"/>
    <x v="879"/>
    <x v="1249"/>
    <x v="0"/>
  </r>
  <r>
    <x v="455"/>
    <d v="2015-06-01T00:00:00"/>
    <x v="1"/>
    <s v="Standard Class"/>
    <s v="SV-20785"/>
    <x v="90"/>
    <s v="California"/>
    <x v="0"/>
    <x v="0"/>
    <x v="1018"/>
    <x v="924"/>
    <x v="8"/>
  </r>
  <r>
    <x v="455"/>
    <d v="2015-06-01T00:00:00"/>
    <x v="1"/>
    <s v="Standard Class"/>
    <s v="SV-20785"/>
    <x v="90"/>
    <s v="California"/>
    <x v="2"/>
    <x v="14"/>
    <x v="1019"/>
    <x v="559"/>
    <x v="2"/>
  </r>
  <r>
    <x v="455"/>
    <d v="2015-06-01T00:00:00"/>
    <x v="1"/>
    <s v="Standard Class"/>
    <s v="SV-20785"/>
    <x v="90"/>
    <s v="California"/>
    <x v="1"/>
    <x v="10"/>
    <x v="530"/>
    <x v="1250"/>
    <x v="5"/>
  </r>
  <r>
    <x v="455"/>
    <d v="2015-06-01T00:00:00"/>
    <x v="1"/>
    <s v="Standard Class"/>
    <s v="SV-20785"/>
    <x v="90"/>
    <s v="California"/>
    <x v="2"/>
    <x v="13"/>
    <x v="1020"/>
    <x v="1251"/>
    <x v="0"/>
  </r>
  <r>
    <x v="456"/>
    <d v="2015-06-03T00:00:00"/>
    <x v="4"/>
    <s v="Standard Class"/>
    <s v="LS-17245"/>
    <x v="184"/>
    <s v="California"/>
    <x v="0"/>
    <x v="0"/>
    <x v="471"/>
    <x v="1252"/>
    <x v="4"/>
  </r>
  <r>
    <x v="457"/>
    <d v="2015-06-04T00:00:00"/>
    <x v="4"/>
    <s v="Standard Class"/>
    <s v="CL-12565"/>
    <x v="104"/>
    <s v="California"/>
    <x v="0"/>
    <x v="4"/>
    <x v="1021"/>
    <x v="1253"/>
    <x v="4"/>
  </r>
  <r>
    <x v="457"/>
    <d v="2015-06-04T00:00:00"/>
    <x v="4"/>
    <s v="Standard Class"/>
    <s v="CL-12565"/>
    <x v="104"/>
    <s v="California"/>
    <x v="0"/>
    <x v="0"/>
    <x v="564"/>
    <x v="620"/>
    <x v="9"/>
  </r>
  <r>
    <x v="457"/>
    <d v="2015-06-04T00:00:00"/>
    <x v="4"/>
    <s v="Standard Class"/>
    <s v="CL-12565"/>
    <x v="104"/>
    <s v="California"/>
    <x v="2"/>
    <x v="11"/>
    <x v="134"/>
    <x v="1254"/>
    <x v="8"/>
  </r>
  <r>
    <x v="457"/>
    <d v="2015-06-04T00:00:00"/>
    <x v="4"/>
    <s v="Standard Class"/>
    <s v="CL-12565"/>
    <x v="104"/>
    <s v="California"/>
    <x v="0"/>
    <x v="5"/>
    <x v="289"/>
    <x v="298"/>
    <x v="2"/>
  </r>
  <r>
    <x v="457"/>
    <d v="2015-06-04T00:00:00"/>
    <x v="4"/>
    <s v="Standard Class"/>
    <s v="CL-12565"/>
    <x v="104"/>
    <s v="California"/>
    <x v="2"/>
    <x v="13"/>
    <x v="706"/>
    <x v="800"/>
    <x v="4"/>
  </r>
  <r>
    <x v="458"/>
    <d v="2015-06-05T00:00:00"/>
    <x v="1"/>
    <s v="Standard Class"/>
    <s v="MY-17380"/>
    <x v="403"/>
    <s v="Colorado"/>
    <x v="0"/>
    <x v="5"/>
    <x v="178"/>
    <x v="1255"/>
    <x v="4"/>
  </r>
  <r>
    <x v="458"/>
    <d v="2015-06-05T00:00:00"/>
    <x v="1"/>
    <s v="Standard Class"/>
    <s v="MY-17380"/>
    <x v="403"/>
    <s v="Colorado"/>
    <x v="0"/>
    <x v="5"/>
    <x v="146"/>
    <x v="1256"/>
    <x v="4"/>
  </r>
  <r>
    <x v="458"/>
    <d v="2015-06-05T00:00:00"/>
    <x v="1"/>
    <s v="Standard Class"/>
    <s v="MY-17380"/>
    <x v="403"/>
    <s v="Colorado"/>
    <x v="1"/>
    <x v="10"/>
    <x v="207"/>
    <x v="215"/>
    <x v="4"/>
  </r>
  <r>
    <x v="458"/>
    <d v="2015-06-05T00:00:00"/>
    <x v="1"/>
    <s v="Standard Class"/>
    <s v="MY-17380"/>
    <x v="403"/>
    <s v="Colorado"/>
    <x v="0"/>
    <x v="5"/>
    <x v="1022"/>
    <x v="1257"/>
    <x v="0"/>
  </r>
  <r>
    <x v="458"/>
    <d v="2015-06-05T00:00:00"/>
    <x v="1"/>
    <s v="Standard Class"/>
    <s v="MY-17380"/>
    <x v="403"/>
    <s v="Colorado"/>
    <x v="0"/>
    <x v="0"/>
    <x v="1023"/>
    <x v="1258"/>
    <x v="6"/>
  </r>
  <r>
    <x v="458"/>
    <d v="2015-06-04T00:00:00"/>
    <x v="5"/>
    <s v="Standard Class"/>
    <s v="NL-18310"/>
    <x v="194"/>
    <s v="California"/>
    <x v="0"/>
    <x v="0"/>
    <x v="698"/>
    <x v="1259"/>
    <x v="5"/>
  </r>
  <r>
    <x v="458"/>
    <d v="2015-06-07T00:00:00"/>
    <x v="6"/>
    <s v="Standard Class"/>
    <s v="JG-15310"/>
    <x v="491"/>
    <s v="California"/>
    <x v="1"/>
    <x v="7"/>
    <x v="1024"/>
    <x v="1260"/>
    <x v="9"/>
  </r>
  <r>
    <x v="459"/>
    <d v="2015-06-07T00:00:00"/>
    <x v="5"/>
    <s v="Standard Class"/>
    <s v="EH-13765"/>
    <x v="53"/>
    <s v="Washington"/>
    <x v="0"/>
    <x v="0"/>
    <x v="319"/>
    <x v="1261"/>
    <x v="0"/>
  </r>
  <r>
    <x v="459"/>
    <d v="2015-06-07T00:00:00"/>
    <x v="5"/>
    <s v="Standard Class"/>
    <s v="EH-13765"/>
    <x v="53"/>
    <s v="Washington"/>
    <x v="0"/>
    <x v="5"/>
    <x v="857"/>
    <x v="1262"/>
    <x v="7"/>
  </r>
  <r>
    <x v="459"/>
    <d v="2015-06-07T00:00:00"/>
    <x v="5"/>
    <s v="Standard Class"/>
    <s v="EH-13765"/>
    <x v="53"/>
    <s v="Washington"/>
    <x v="0"/>
    <x v="5"/>
    <x v="1025"/>
    <x v="1263"/>
    <x v="0"/>
  </r>
  <r>
    <x v="460"/>
    <d v="2015-06-07T00:00:00"/>
    <x v="2"/>
    <s v="Second Class"/>
    <s v="CP-12340"/>
    <x v="492"/>
    <s v="California"/>
    <x v="1"/>
    <x v="8"/>
    <x v="578"/>
    <x v="1227"/>
    <x v="4"/>
  </r>
  <r>
    <x v="461"/>
    <d v="2015-06-08T00:00:00"/>
    <x v="0"/>
    <s v="First Class"/>
    <s v="CK-12205"/>
    <x v="394"/>
    <s v="California"/>
    <x v="0"/>
    <x v="5"/>
    <x v="77"/>
    <x v="1264"/>
    <x v="5"/>
  </r>
  <r>
    <x v="461"/>
    <d v="2015-06-08T00:00:00"/>
    <x v="0"/>
    <s v="First Class"/>
    <s v="CK-12205"/>
    <x v="394"/>
    <s v="California"/>
    <x v="0"/>
    <x v="4"/>
    <x v="481"/>
    <x v="1265"/>
    <x v="2"/>
  </r>
  <r>
    <x v="461"/>
    <d v="2015-06-10T00:00:00"/>
    <x v="5"/>
    <s v="Standard Class"/>
    <s v="KB-16600"/>
    <x v="493"/>
    <s v="Washington"/>
    <x v="0"/>
    <x v="12"/>
    <x v="447"/>
    <x v="1266"/>
    <x v="5"/>
  </r>
  <r>
    <x v="462"/>
    <d v="2015-06-13T00:00:00"/>
    <x v="4"/>
    <s v="Standard Class"/>
    <s v="RB-19795"/>
    <x v="494"/>
    <s v="California"/>
    <x v="0"/>
    <x v="15"/>
    <x v="714"/>
    <x v="1267"/>
    <x v="8"/>
  </r>
  <r>
    <x v="462"/>
    <d v="2015-06-13T00:00:00"/>
    <x v="4"/>
    <s v="Standard Class"/>
    <s v="RB-19795"/>
    <x v="494"/>
    <s v="California"/>
    <x v="0"/>
    <x v="0"/>
    <x v="1026"/>
    <x v="1268"/>
    <x v="1"/>
  </r>
  <r>
    <x v="462"/>
    <d v="2015-06-12T00:00:00"/>
    <x v="1"/>
    <s v="Standard Class"/>
    <s v="ME-17320"/>
    <x v="495"/>
    <s v="California"/>
    <x v="2"/>
    <x v="14"/>
    <x v="117"/>
    <x v="1269"/>
    <x v="11"/>
  </r>
  <r>
    <x v="462"/>
    <d v="2015-06-12T00:00:00"/>
    <x v="1"/>
    <s v="Standard Class"/>
    <s v="ME-17320"/>
    <x v="495"/>
    <s v="California"/>
    <x v="2"/>
    <x v="11"/>
    <x v="1027"/>
    <x v="920"/>
    <x v="4"/>
  </r>
  <r>
    <x v="462"/>
    <d v="2015-06-12T00:00:00"/>
    <x v="1"/>
    <s v="Standard Class"/>
    <s v="ME-17320"/>
    <x v="495"/>
    <s v="California"/>
    <x v="2"/>
    <x v="14"/>
    <x v="356"/>
    <x v="1270"/>
    <x v="0"/>
  </r>
  <r>
    <x v="463"/>
    <d v="2015-06-12T00:00:00"/>
    <x v="5"/>
    <s v="Standard Class"/>
    <s v="FM-14290"/>
    <x v="137"/>
    <s v="California"/>
    <x v="0"/>
    <x v="5"/>
    <x v="550"/>
    <x v="1271"/>
    <x v="6"/>
  </r>
  <r>
    <x v="463"/>
    <d v="2015-06-12T00:00:00"/>
    <x v="5"/>
    <s v="Standard Class"/>
    <s v="FM-14290"/>
    <x v="137"/>
    <s v="California"/>
    <x v="0"/>
    <x v="0"/>
    <x v="1028"/>
    <x v="1272"/>
    <x v="6"/>
  </r>
  <r>
    <x v="464"/>
    <d v="2015-06-16T00:00:00"/>
    <x v="4"/>
    <s v="Standard Class"/>
    <s v="GM-14680"/>
    <x v="67"/>
    <s v="California"/>
    <x v="2"/>
    <x v="14"/>
    <x v="1029"/>
    <x v="1273"/>
    <x v="0"/>
  </r>
  <r>
    <x v="464"/>
    <d v="2015-06-15T00:00:00"/>
    <x v="1"/>
    <s v="Standard Class"/>
    <s v="DB-13210"/>
    <x v="496"/>
    <s v="California"/>
    <x v="1"/>
    <x v="10"/>
    <x v="361"/>
    <x v="379"/>
    <x v="0"/>
  </r>
  <r>
    <x v="465"/>
    <d v="2015-06-16T00:00:00"/>
    <x v="1"/>
    <s v="Standard Class"/>
    <s v="OT-18730"/>
    <x v="497"/>
    <s v="California"/>
    <x v="0"/>
    <x v="15"/>
    <x v="1030"/>
    <x v="1274"/>
    <x v="4"/>
  </r>
  <r>
    <x v="465"/>
    <d v="2015-06-16T00:00:00"/>
    <x v="1"/>
    <s v="Standard Class"/>
    <s v="OT-18730"/>
    <x v="497"/>
    <s v="California"/>
    <x v="1"/>
    <x v="8"/>
    <x v="1031"/>
    <x v="1275"/>
    <x v="2"/>
  </r>
  <r>
    <x v="465"/>
    <d v="2015-06-16T00:00:00"/>
    <x v="1"/>
    <s v="Standard Class"/>
    <s v="OT-18730"/>
    <x v="497"/>
    <s v="California"/>
    <x v="0"/>
    <x v="0"/>
    <x v="724"/>
    <x v="182"/>
    <x v="1"/>
  </r>
  <r>
    <x v="466"/>
    <d v="2015-06-16T00:00:00"/>
    <x v="5"/>
    <s v="Standard Class"/>
    <s v="SE-20110"/>
    <x v="50"/>
    <s v="Washington"/>
    <x v="0"/>
    <x v="15"/>
    <x v="1032"/>
    <x v="556"/>
    <x v="4"/>
  </r>
  <r>
    <x v="466"/>
    <d v="2015-06-16T00:00:00"/>
    <x v="5"/>
    <s v="Standard Class"/>
    <s v="SE-20110"/>
    <x v="50"/>
    <s v="Washington"/>
    <x v="0"/>
    <x v="5"/>
    <x v="1015"/>
    <x v="1276"/>
    <x v="10"/>
  </r>
  <r>
    <x v="466"/>
    <d v="2015-06-16T00:00:00"/>
    <x v="5"/>
    <s v="Standard Class"/>
    <s v="SE-20110"/>
    <x v="50"/>
    <s v="Washington"/>
    <x v="2"/>
    <x v="11"/>
    <x v="695"/>
    <x v="1277"/>
    <x v="0"/>
  </r>
  <r>
    <x v="466"/>
    <d v="2015-06-17T00:00:00"/>
    <x v="1"/>
    <s v="Standard Class"/>
    <s v="SV-20365"/>
    <x v="498"/>
    <s v="California"/>
    <x v="1"/>
    <x v="8"/>
    <x v="509"/>
    <x v="1278"/>
    <x v="0"/>
  </r>
  <r>
    <x v="467"/>
    <d v="2015-06-17T00:00:00"/>
    <x v="5"/>
    <s v="Second Class"/>
    <s v="DV-13045"/>
    <x v="499"/>
    <s v="California"/>
    <x v="0"/>
    <x v="15"/>
    <x v="592"/>
    <x v="556"/>
    <x v="4"/>
  </r>
  <r>
    <x v="467"/>
    <d v="2015-06-17T00:00:00"/>
    <x v="5"/>
    <s v="Standard Class"/>
    <s v="EA-14035"/>
    <x v="500"/>
    <s v="California"/>
    <x v="0"/>
    <x v="0"/>
    <x v="1033"/>
    <x v="1279"/>
    <x v="5"/>
  </r>
  <r>
    <x v="467"/>
    <d v="2015-06-17T00:00:00"/>
    <x v="5"/>
    <s v="Standard Class"/>
    <s v="EA-14035"/>
    <x v="500"/>
    <s v="California"/>
    <x v="0"/>
    <x v="0"/>
    <x v="698"/>
    <x v="28"/>
    <x v="4"/>
  </r>
  <r>
    <x v="468"/>
    <d v="2015-06-18T00:00:00"/>
    <x v="2"/>
    <s v="First Class"/>
    <s v="PV-18985"/>
    <x v="501"/>
    <s v="California"/>
    <x v="0"/>
    <x v="3"/>
    <x v="886"/>
    <x v="1280"/>
    <x v="2"/>
  </r>
  <r>
    <x v="468"/>
    <d v="2015-06-18T00:00:00"/>
    <x v="2"/>
    <s v="First Class"/>
    <s v="PV-18985"/>
    <x v="501"/>
    <s v="California"/>
    <x v="1"/>
    <x v="7"/>
    <x v="1034"/>
    <x v="1281"/>
    <x v="0"/>
  </r>
  <r>
    <x v="468"/>
    <d v="2015-06-18T00:00:00"/>
    <x v="2"/>
    <s v="First Class"/>
    <s v="PV-18985"/>
    <x v="501"/>
    <s v="California"/>
    <x v="2"/>
    <x v="11"/>
    <x v="970"/>
    <x v="1282"/>
    <x v="6"/>
  </r>
  <r>
    <x v="468"/>
    <d v="2015-06-18T00:00:00"/>
    <x v="2"/>
    <s v="First Class"/>
    <s v="PV-18985"/>
    <x v="501"/>
    <s v="California"/>
    <x v="0"/>
    <x v="3"/>
    <x v="712"/>
    <x v="526"/>
    <x v="0"/>
  </r>
  <r>
    <x v="468"/>
    <d v="2015-06-15T00:00:00"/>
    <x v="7"/>
    <s v="Same Day"/>
    <s v="MH-17290"/>
    <x v="61"/>
    <s v="California"/>
    <x v="1"/>
    <x v="2"/>
    <x v="50"/>
    <x v="1283"/>
    <x v="1"/>
  </r>
  <r>
    <x v="468"/>
    <d v="2015-06-15T00:00:00"/>
    <x v="7"/>
    <s v="Same Day"/>
    <s v="EB-13705"/>
    <x v="99"/>
    <s v="California"/>
    <x v="1"/>
    <x v="8"/>
    <x v="1035"/>
    <x v="1284"/>
    <x v="8"/>
  </r>
  <r>
    <x v="468"/>
    <d v="2015-06-19T00:00:00"/>
    <x v="5"/>
    <s v="Standard Class"/>
    <s v="AR-10825"/>
    <x v="96"/>
    <s v="Washington"/>
    <x v="1"/>
    <x v="8"/>
    <x v="508"/>
    <x v="1285"/>
    <x v="8"/>
  </r>
  <r>
    <x v="469"/>
    <d v="2015-06-19T00:00:00"/>
    <x v="0"/>
    <s v="Second Class"/>
    <s v="BD-11320"/>
    <x v="473"/>
    <s v="California"/>
    <x v="0"/>
    <x v="0"/>
    <x v="755"/>
    <x v="1286"/>
    <x v="1"/>
  </r>
  <r>
    <x v="470"/>
    <d v="2015-06-23T00:00:00"/>
    <x v="1"/>
    <s v="Standard Class"/>
    <s v="IG-15085"/>
    <x v="185"/>
    <s v="California"/>
    <x v="0"/>
    <x v="0"/>
    <x v="237"/>
    <x v="1287"/>
    <x v="4"/>
  </r>
  <r>
    <x v="470"/>
    <d v="2015-06-20T00:00:00"/>
    <x v="0"/>
    <s v="First Class"/>
    <s v="MV-18190"/>
    <x v="345"/>
    <s v="California"/>
    <x v="1"/>
    <x v="2"/>
    <x v="50"/>
    <x v="1288"/>
    <x v="4"/>
  </r>
  <r>
    <x v="470"/>
    <d v="2015-06-20T00:00:00"/>
    <x v="0"/>
    <s v="First Class"/>
    <s v="MV-18190"/>
    <x v="345"/>
    <s v="California"/>
    <x v="0"/>
    <x v="15"/>
    <x v="1036"/>
    <x v="1289"/>
    <x v="5"/>
  </r>
  <r>
    <x v="470"/>
    <d v="2015-06-20T00:00:00"/>
    <x v="0"/>
    <s v="First Class"/>
    <s v="MV-18190"/>
    <x v="345"/>
    <s v="California"/>
    <x v="0"/>
    <x v="0"/>
    <x v="805"/>
    <x v="1290"/>
    <x v="2"/>
  </r>
  <r>
    <x v="470"/>
    <d v="2015-06-20T00:00:00"/>
    <x v="0"/>
    <s v="First Class"/>
    <s v="LC-16885"/>
    <x v="78"/>
    <s v="Colorado"/>
    <x v="1"/>
    <x v="7"/>
    <x v="641"/>
    <x v="795"/>
    <x v="0"/>
  </r>
  <r>
    <x v="470"/>
    <d v="2015-06-20T00:00:00"/>
    <x v="0"/>
    <s v="First Class"/>
    <s v="LC-16885"/>
    <x v="78"/>
    <s v="Colorado"/>
    <x v="1"/>
    <x v="10"/>
    <x v="1037"/>
    <x v="1291"/>
    <x v="2"/>
  </r>
  <r>
    <x v="471"/>
    <d v="2015-06-21T00:00:00"/>
    <x v="3"/>
    <s v="First Class"/>
    <s v="KC-16255"/>
    <x v="502"/>
    <s v="California"/>
    <x v="0"/>
    <x v="0"/>
    <x v="20"/>
    <x v="1105"/>
    <x v="4"/>
  </r>
  <r>
    <x v="472"/>
    <d v="2015-06-26T00:00:00"/>
    <x v="1"/>
    <s v="Second Class"/>
    <s v="DP-13105"/>
    <x v="503"/>
    <s v="California"/>
    <x v="0"/>
    <x v="3"/>
    <x v="159"/>
    <x v="1292"/>
    <x v="4"/>
  </r>
  <r>
    <x v="472"/>
    <d v="2015-06-26T00:00:00"/>
    <x v="1"/>
    <s v="Second Class"/>
    <s v="DP-13105"/>
    <x v="503"/>
    <s v="California"/>
    <x v="0"/>
    <x v="0"/>
    <x v="1038"/>
    <x v="1259"/>
    <x v="5"/>
  </r>
  <r>
    <x v="472"/>
    <d v="2015-06-22T00:00:00"/>
    <x v="3"/>
    <s v="First Class"/>
    <s v="RC-19825"/>
    <x v="504"/>
    <s v="California"/>
    <x v="0"/>
    <x v="0"/>
    <x v="807"/>
    <x v="1293"/>
    <x v="8"/>
  </r>
  <r>
    <x v="472"/>
    <d v="2015-06-22T00:00:00"/>
    <x v="3"/>
    <s v="First Class"/>
    <s v="RC-19825"/>
    <x v="504"/>
    <s v="California"/>
    <x v="0"/>
    <x v="5"/>
    <x v="1039"/>
    <x v="1294"/>
    <x v="0"/>
  </r>
  <r>
    <x v="472"/>
    <d v="2015-06-22T00:00:00"/>
    <x v="3"/>
    <s v="First Class"/>
    <s v="RC-19825"/>
    <x v="504"/>
    <s v="California"/>
    <x v="0"/>
    <x v="4"/>
    <x v="636"/>
    <x v="1295"/>
    <x v="4"/>
  </r>
  <r>
    <x v="472"/>
    <d v="2015-06-22T00:00:00"/>
    <x v="3"/>
    <s v="First Class"/>
    <s v="RC-19825"/>
    <x v="504"/>
    <s v="California"/>
    <x v="0"/>
    <x v="1"/>
    <x v="1040"/>
    <x v="1296"/>
    <x v="0"/>
  </r>
  <r>
    <x v="472"/>
    <d v="2015-06-22T00:00:00"/>
    <x v="3"/>
    <s v="First Class"/>
    <s v="RC-19825"/>
    <x v="504"/>
    <s v="California"/>
    <x v="1"/>
    <x v="10"/>
    <x v="1041"/>
    <x v="1297"/>
    <x v="4"/>
  </r>
  <r>
    <x v="473"/>
    <d v="2015-06-26T00:00:00"/>
    <x v="0"/>
    <s v="Second Class"/>
    <s v="RD-19900"/>
    <x v="209"/>
    <s v="California"/>
    <x v="0"/>
    <x v="1"/>
    <x v="711"/>
    <x v="1298"/>
    <x v="2"/>
  </r>
  <r>
    <x v="473"/>
    <d v="2015-06-26T00:00:00"/>
    <x v="0"/>
    <s v="Second Class"/>
    <s v="RD-19900"/>
    <x v="209"/>
    <s v="California"/>
    <x v="0"/>
    <x v="15"/>
    <x v="294"/>
    <x v="1299"/>
    <x v="0"/>
  </r>
  <r>
    <x v="473"/>
    <d v="2015-06-26T00:00:00"/>
    <x v="0"/>
    <s v="Second Class"/>
    <s v="RD-19900"/>
    <x v="209"/>
    <s v="California"/>
    <x v="2"/>
    <x v="14"/>
    <x v="331"/>
    <x v="1300"/>
    <x v="8"/>
  </r>
  <r>
    <x v="473"/>
    <d v="2015-06-26T00:00:00"/>
    <x v="0"/>
    <s v="Second Class"/>
    <s v="RD-19900"/>
    <x v="209"/>
    <s v="California"/>
    <x v="0"/>
    <x v="0"/>
    <x v="1042"/>
    <x v="960"/>
    <x v="6"/>
  </r>
  <r>
    <x v="474"/>
    <d v="2015-06-30T00:00:00"/>
    <x v="1"/>
    <s v="Standard Class"/>
    <s v="BD-11320"/>
    <x v="473"/>
    <s v="California"/>
    <x v="2"/>
    <x v="14"/>
    <x v="1043"/>
    <x v="1301"/>
    <x v="2"/>
  </r>
  <r>
    <x v="474"/>
    <d v="2015-06-27T00:00:00"/>
    <x v="0"/>
    <s v="Second Class"/>
    <s v="MJ-17740"/>
    <x v="505"/>
    <s v="California"/>
    <x v="2"/>
    <x v="13"/>
    <x v="957"/>
    <x v="1302"/>
    <x v="2"/>
  </r>
  <r>
    <x v="474"/>
    <d v="2015-06-27T00:00:00"/>
    <x v="0"/>
    <s v="Second Class"/>
    <s v="MJ-17740"/>
    <x v="505"/>
    <s v="California"/>
    <x v="0"/>
    <x v="0"/>
    <x v="196"/>
    <x v="206"/>
    <x v="6"/>
  </r>
  <r>
    <x v="474"/>
    <d v="2015-06-27T00:00:00"/>
    <x v="0"/>
    <s v="Second Class"/>
    <s v="MJ-17740"/>
    <x v="505"/>
    <s v="California"/>
    <x v="0"/>
    <x v="4"/>
    <x v="454"/>
    <x v="477"/>
    <x v="0"/>
  </r>
  <r>
    <x v="475"/>
    <d v="2015-06-30T00:00:00"/>
    <x v="5"/>
    <s v="Standard Class"/>
    <s v="AS-10240"/>
    <x v="181"/>
    <s v="California"/>
    <x v="0"/>
    <x v="4"/>
    <x v="4"/>
    <x v="1303"/>
    <x v="0"/>
  </r>
  <r>
    <x v="476"/>
    <d v="2015-07-04T00:00:00"/>
    <x v="6"/>
    <s v="Standard Class"/>
    <s v="DN-13690"/>
    <x v="182"/>
    <s v="California"/>
    <x v="1"/>
    <x v="7"/>
    <x v="845"/>
    <x v="1013"/>
    <x v="0"/>
  </r>
  <r>
    <x v="476"/>
    <d v="2015-06-27T00:00:00"/>
    <x v="7"/>
    <s v="Same Day"/>
    <s v="AH-10075"/>
    <x v="213"/>
    <s v="California"/>
    <x v="0"/>
    <x v="12"/>
    <x v="996"/>
    <x v="1304"/>
    <x v="4"/>
  </r>
  <r>
    <x v="476"/>
    <d v="2015-06-27T00:00:00"/>
    <x v="7"/>
    <s v="Same Day"/>
    <s v="AH-10075"/>
    <x v="213"/>
    <s v="California"/>
    <x v="0"/>
    <x v="9"/>
    <x v="164"/>
    <x v="170"/>
    <x v="1"/>
  </r>
  <r>
    <x v="476"/>
    <d v="2015-06-27T00:00:00"/>
    <x v="7"/>
    <s v="Same Day"/>
    <s v="AH-10075"/>
    <x v="213"/>
    <s v="California"/>
    <x v="0"/>
    <x v="0"/>
    <x v="1044"/>
    <x v="1305"/>
    <x v="4"/>
  </r>
  <r>
    <x v="477"/>
    <d v="2015-06-30T00:00:00"/>
    <x v="0"/>
    <s v="Second Class"/>
    <s v="AC-10660"/>
    <x v="466"/>
    <s v="California"/>
    <x v="2"/>
    <x v="14"/>
    <x v="56"/>
    <x v="141"/>
    <x v="4"/>
  </r>
  <r>
    <x v="478"/>
    <d v="2015-06-29T00:00:00"/>
    <x v="7"/>
    <s v="Same Day"/>
    <s v="CS-12250"/>
    <x v="420"/>
    <s v="California"/>
    <x v="0"/>
    <x v="5"/>
    <x v="98"/>
    <x v="1306"/>
    <x v="0"/>
  </r>
  <r>
    <x v="478"/>
    <d v="2015-06-29T00:00:00"/>
    <x v="7"/>
    <s v="Same Day"/>
    <s v="CS-12250"/>
    <x v="420"/>
    <s v="California"/>
    <x v="0"/>
    <x v="5"/>
    <x v="635"/>
    <x v="1307"/>
    <x v="4"/>
  </r>
  <r>
    <x v="479"/>
    <d v="2015-07-04T00:00:00"/>
    <x v="0"/>
    <s v="First Class"/>
    <s v="EM-14140"/>
    <x v="107"/>
    <s v="Utah"/>
    <x v="2"/>
    <x v="16"/>
    <x v="1045"/>
    <x v="1308"/>
    <x v="1"/>
  </r>
  <r>
    <x v="479"/>
    <d v="2015-07-03T00:00:00"/>
    <x v="3"/>
    <s v="First Class"/>
    <s v="NZ-18565"/>
    <x v="362"/>
    <s v="Washington"/>
    <x v="0"/>
    <x v="5"/>
    <x v="1046"/>
    <x v="1309"/>
    <x v="6"/>
  </r>
  <r>
    <x v="480"/>
    <d v="2015-07-08T00:00:00"/>
    <x v="1"/>
    <s v="Second Class"/>
    <s v="GB-14530"/>
    <x v="374"/>
    <s v="California"/>
    <x v="1"/>
    <x v="10"/>
    <x v="1047"/>
    <x v="1310"/>
    <x v="6"/>
  </r>
  <r>
    <x v="481"/>
    <d v="2015-07-07T00:00:00"/>
    <x v="2"/>
    <s v="First Class"/>
    <s v="GT-14755"/>
    <x v="280"/>
    <s v="California"/>
    <x v="0"/>
    <x v="0"/>
    <x v="1048"/>
    <x v="28"/>
    <x v="4"/>
  </r>
  <r>
    <x v="481"/>
    <d v="2015-07-07T00:00:00"/>
    <x v="2"/>
    <s v="First Class"/>
    <s v="GT-14755"/>
    <x v="280"/>
    <s v="California"/>
    <x v="0"/>
    <x v="9"/>
    <x v="1049"/>
    <x v="1060"/>
    <x v="4"/>
  </r>
  <r>
    <x v="482"/>
    <d v="2015-07-07T00:00:00"/>
    <x v="0"/>
    <s v="First Class"/>
    <s v="AA-10645"/>
    <x v="506"/>
    <s v="California"/>
    <x v="1"/>
    <x v="7"/>
    <x v="1050"/>
    <x v="1311"/>
    <x v="1"/>
  </r>
  <r>
    <x v="482"/>
    <d v="2015-07-07T00:00:00"/>
    <x v="0"/>
    <s v="First Class"/>
    <s v="AA-10645"/>
    <x v="506"/>
    <s v="California"/>
    <x v="0"/>
    <x v="6"/>
    <x v="1051"/>
    <x v="1312"/>
    <x v="4"/>
  </r>
  <r>
    <x v="482"/>
    <d v="2015-07-07T00:00:00"/>
    <x v="0"/>
    <s v="First Class"/>
    <s v="AA-10645"/>
    <x v="506"/>
    <s v="California"/>
    <x v="1"/>
    <x v="2"/>
    <x v="1052"/>
    <x v="1313"/>
    <x v="1"/>
  </r>
  <r>
    <x v="482"/>
    <d v="2015-07-07T00:00:00"/>
    <x v="0"/>
    <s v="First Class"/>
    <s v="AA-10645"/>
    <x v="506"/>
    <s v="California"/>
    <x v="0"/>
    <x v="1"/>
    <x v="741"/>
    <x v="1314"/>
    <x v="2"/>
  </r>
  <r>
    <x v="482"/>
    <d v="2015-07-05T00:00:00"/>
    <x v="7"/>
    <s v="Same Day"/>
    <s v="RB-19465"/>
    <x v="487"/>
    <s v="Washington"/>
    <x v="1"/>
    <x v="7"/>
    <x v="1050"/>
    <x v="1311"/>
    <x v="1"/>
  </r>
  <r>
    <x v="482"/>
    <d v="2015-07-05T00:00:00"/>
    <x v="7"/>
    <s v="Same Day"/>
    <s v="RB-19465"/>
    <x v="487"/>
    <s v="Washington"/>
    <x v="2"/>
    <x v="14"/>
    <x v="1029"/>
    <x v="1273"/>
    <x v="0"/>
  </r>
  <r>
    <x v="482"/>
    <d v="2015-07-05T00:00:00"/>
    <x v="7"/>
    <s v="Same Day"/>
    <s v="RB-19465"/>
    <x v="487"/>
    <s v="Washington"/>
    <x v="2"/>
    <x v="14"/>
    <x v="1053"/>
    <x v="567"/>
    <x v="0"/>
  </r>
  <r>
    <x v="483"/>
    <d v="2015-07-12T00:00:00"/>
    <x v="5"/>
    <s v="Standard Class"/>
    <s v="RM-19375"/>
    <x v="507"/>
    <s v="California"/>
    <x v="1"/>
    <x v="7"/>
    <x v="1054"/>
    <x v="1315"/>
    <x v="1"/>
  </r>
  <r>
    <x v="483"/>
    <d v="2015-07-10T00:00:00"/>
    <x v="0"/>
    <s v="Second Class"/>
    <s v="CC-12370"/>
    <x v="508"/>
    <s v="California"/>
    <x v="1"/>
    <x v="10"/>
    <x v="1055"/>
    <x v="105"/>
    <x v="2"/>
  </r>
  <r>
    <x v="483"/>
    <d v="2015-07-10T00:00:00"/>
    <x v="0"/>
    <s v="Second Class"/>
    <s v="CC-12370"/>
    <x v="508"/>
    <s v="California"/>
    <x v="2"/>
    <x v="16"/>
    <x v="582"/>
    <x v="1316"/>
    <x v="1"/>
  </r>
  <r>
    <x v="483"/>
    <d v="2015-07-10T00:00:00"/>
    <x v="0"/>
    <s v="Second Class"/>
    <s v="CC-12370"/>
    <x v="508"/>
    <s v="California"/>
    <x v="0"/>
    <x v="0"/>
    <x v="311"/>
    <x v="326"/>
    <x v="6"/>
  </r>
  <r>
    <x v="483"/>
    <d v="2015-07-14T00:00:00"/>
    <x v="4"/>
    <s v="Standard Class"/>
    <s v="MJ-17740"/>
    <x v="505"/>
    <s v="Utah"/>
    <x v="0"/>
    <x v="0"/>
    <x v="724"/>
    <x v="28"/>
    <x v="4"/>
  </r>
  <r>
    <x v="483"/>
    <d v="2015-07-14T00:00:00"/>
    <x v="4"/>
    <s v="Standard Class"/>
    <s v="MJ-17740"/>
    <x v="505"/>
    <s v="Utah"/>
    <x v="0"/>
    <x v="3"/>
    <x v="247"/>
    <x v="255"/>
    <x v="4"/>
  </r>
  <r>
    <x v="484"/>
    <d v="2015-07-13T00:00:00"/>
    <x v="5"/>
    <s v="Standard Class"/>
    <s v="JE-15715"/>
    <x v="281"/>
    <s v="Colorado"/>
    <x v="0"/>
    <x v="5"/>
    <x v="1056"/>
    <x v="1317"/>
    <x v="4"/>
  </r>
  <r>
    <x v="484"/>
    <d v="2015-07-13T00:00:00"/>
    <x v="5"/>
    <s v="Standard Class"/>
    <s v="JE-15715"/>
    <x v="281"/>
    <s v="Colorado"/>
    <x v="0"/>
    <x v="1"/>
    <x v="183"/>
    <x v="1318"/>
    <x v="8"/>
  </r>
  <r>
    <x v="484"/>
    <d v="2015-07-13T00:00:00"/>
    <x v="5"/>
    <s v="Standard Class"/>
    <s v="JE-15715"/>
    <x v="281"/>
    <s v="Colorado"/>
    <x v="0"/>
    <x v="5"/>
    <x v="936"/>
    <x v="1319"/>
    <x v="2"/>
  </r>
  <r>
    <x v="484"/>
    <d v="2015-07-13T00:00:00"/>
    <x v="5"/>
    <s v="Standard Class"/>
    <s v="JE-15715"/>
    <x v="281"/>
    <s v="Colorado"/>
    <x v="1"/>
    <x v="10"/>
    <x v="532"/>
    <x v="1320"/>
    <x v="0"/>
  </r>
  <r>
    <x v="484"/>
    <d v="2015-07-15T00:00:00"/>
    <x v="4"/>
    <s v="Standard Class"/>
    <s v="CC-12220"/>
    <x v="469"/>
    <s v="Washington"/>
    <x v="2"/>
    <x v="14"/>
    <x v="472"/>
    <x v="1321"/>
    <x v="6"/>
  </r>
  <r>
    <x v="484"/>
    <d v="2015-07-15T00:00:00"/>
    <x v="4"/>
    <s v="Standard Class"/>
    <s v="CC-12220"/>
    <x v="469"/>
    <s v="Washington"/>
    <x v="0"/>
    <x v="5"/>
    <x v="400"/>
    <x v="422"/>
    <x v="0"/>
  </r>
  <r>
    <x v="485"/>
    <d v="2015-07-17T00:00:00"/>
    <x v="4"/>
    <s v="Standard Class"/>
    <s v="AA-10375"/>
    <x v="58"/>
    <s v="Arizona"/>
    <x v="0"/>
    <x v="1"/>
    <x v="730"/>
    <x v="1322"/>
    <x v="4"/>
  </r>
  <r>
    <x v="485"/>
    <d v="2015-07-12T00:00:00"/>
    <x v="3"/>
    <s v="Same Day"/>
    <s v="NZ-18565"/>
    <x v="362"/>
    <s v="Arizona"/>
    <x v="0"/>
    <x v="5"/>
    <x v="146"/>
    <x v="1323"/>
    <x v="5"/>
  </r>
  <r>
    <x v="486"/>
    <d v="2015-07-20T00:00:00"/>
    <x v="6"/>
    <s v="Standard Class"/>
    <s v="KH-16690"/>
    <x v="404"/>
    <s v="California"/>
    <x v="2"/>
    <x v="14"/>
    <x v="278"/>
    <x v="1324"/>
    <x v="5"/>
  </r>
  <r>
    <x v="487"/>
    <d v="2015-07-18T00:00:00"/>
    <x v="2"/>
    <s v="First Class"/>
    <s v="ES-14080"/>
    <x v="171"/>
    <s v="Arizona"/>
    <x v="2"/>
    <x v="14"/>
    <x v="1057"/>
    <x v="1325"/>
    <x v="9"/>
  </r>
  <r>
    <x v="487"/>
    <d v="2015-07-19T00:00:00"/>
    <x v="5"/>
    <s v="Standard Class"/>
    <s v="RB-19360"/>
    <x v="509"/>
    <s v="California"/>
    <x v="2"/>
    <x v="14"/>
    <x v="1058"/>
    <x v="1326"/>
    <x v="0"/>
  </r>
  <r>
    <x v="487"/>
    <d v="2015-07-19T00:00:00"/>
    <x v="5"/>
    <s v="Standard Class"/>
    <s v="RB-19360"/>
    <x v="509"/>
    <s v="California"/>
    <x v="0"/>
    <x v="4"/>
    <x v="1059"/>
    <x v="1327"/>
    <x v="8"/>
  </r>
  <r>
    <x v="487"/>
    <d v="2015-07-19T00:00:00"/>
    <x v="5"/>
    <s v="Standard Class"/>
    <s v="RB-19360"/>
    <x v="509"/>
    <s v="California"/>
    <x v="1"/>
    <x v="7"/>
    <x v="746"/>
    <x v="1328"/>
    <x v="2"/>
  </r>
  <r>
    <x v="488"/>
    <d v="2015-07-22T00:00:00"/>
    <x v="4"/>
    <s v="Standard Class"/>
    <s v="RH-19510"/>
    <x v="368"/>
    <s v="Utah"/>
    <x v="0"/>
    <x v="12"/>
    <x v="1060"/>
    <x v="70"/>
    <x v="1"/>
  </r>
  <r>
    <x v="488"/>
    <d v="2015-07-21T00:00:00"/>
    <x v="1"/>
    <s v="Standard Class"/>
    <s v="MC-17425"/>
    <x v="510"/>
    <s v="Oregon"/>
    <x v="1"/>
    <x v="10"/>
    <x v="113"/>
    <x v="116"/>
    <x v="0"/>
  </r>
  <r>
    <x v="488"/>
    <d v="2015-07-21T00:00:00"/>
    <x v="1"/>
    <s v="Standard Class"/>
    <s v="MC-17425"/>
    <x v="510"/>
    <s v="Oregon"/>
    <x v="0"/>
    <x v="0"/>
    <x v="160"/>
    <x v="655"/>
    <x v="1"/>
  </r>
  <r>
    <x v="489"/>
    <d v="2015-07-23T00:00:00"/>
    <x v="1"/>
    <s v="Standard Class"/>
    <s v="RA-19885"/>
    <x v="511"/>
    <s v="California"/>
    <x v="0"/>
    <x v="1"/>
    <x v="791"/>
    <x v="926"/>
    <x v="4"/>
  </r>
  <r>
    <x v="489"/>
    <d v="2015-07-23T00:00:00"/>
    <x v="1"/>
    <s v="Second Class"/>
    <s v="DK-13375"/>
    <x v="438"/>
    <s v="Washington"/>
    <x v="1"/>
    <x v="7"/>
    <x v="1061"/>
    <x v="1329"/>
    <x v="0"/>
  </r>
  <r>
    <x v="489"/>
    <d v="2015-07-23T00:00:00"/>
    <x v="1"/>
    <s v="Second Class"/>
    <s v="DK-13375"/>
    <x v="438"/>
    <s v="Washington"/>
    <x v="2"/>
    <x v="11"/>
    <x v="1062"/>
    <x v="1330"/>
    <x v="0"/>
  </r>
  <r>
    <x v="489"/>
    <d v="2015-07-23T00:00:00"/>
    <x v="1"/>
    <s v="Second Class"/>
    <s v="DK-13375"/>
    <x v="438"/>
    <s v="Washington"/>
    <x v="1"/>
    <x v="7"/>
    <x v="1063"/>
    <x v="1331"/>
    <x v="1"/>
  </r>
  <r>
    <x v="489"/>
    <d v="2015-07-23T00:00:00"/>
    <x v="1"/>
    <s v="Second Class"/>
    <s v="DK-13375"/>
    <x v="438"/>
    <s v="Washington"/>
    <x v="0"/>
    <x v="15"/>
    <x v="1064"/>
    <x v="631"/>
    <x v="8"/>
  </r>
  <r>
    <x v="489"/>
    <d v="2015-07-23T00:00:00"/>
    <x v="1"/>
    <s v="Second Class"/>
    <s v="DK-13375"/>
    <x v="438"/>
    <s v="Washington"/>
    <x v="0"/>
    <x v="1"/>
    <x v="1012"/>
    <x v="1332"/>
    <x v="4"/>
  </r>
  <r>
    <x v="489"/>
    <d v="2015-07-23T00:00:00"/>
    <x v="1"/>
    <s v="Second Class"/>
    <s v="DK-13375"/>
    <x v="438"/>
    <s v="Washington"/>
    <x v="2"/>
    <x v="14"/>
    <x v="1065"/>
    <x v="1333"/>
    <x v="4"/>
  </r>
  <r>
    <x v="489"/>
    <d v="2015-07-23T00:00:00"/>
    <x v="1"/>
    <s v="Second Class"/>
    <s v="DK-13375"/>
    <x v="438"/>
    <s v="Washington"/>
    <x v="0"/>
    <x v="5"/>
    <x v="73"/>
    <x v="1334"/>
    <x v="0"/>
  </r>
  <r>
    <x v="490"/>
    <d v="2015-07-25T00:00:00"/>
    <x v="4"/>
    <s v="Standard Class"/>
    <s v="LS-16945"/>
    <x v="313"/>
    <s v="Colorado"/>
    <x v="1"/>
    <x v="10"/>
    <x v="473"/>
    <x v="820"/>
    <x v="0"/>
  </r>
  <r>
    <x v="490"/>
    <d v="2015-07-25T00:00:00"/>
    <x v="4"/>
    <s v="Standard Class"/>
    <s v="LS-16945"/>
    <x v="313"/>
    <s v="Colorado"/>
    <x v="0"/>
    <x v="5"/>
    <x v="994"/>
    <x v="1335"/>
    <x v="0"/>
  </r>
  <r>
    <x v="490"/>
    <d v="2015-07-25T00:00:00"/>
    <x v="4"/>
    <s v="Standard Class"/>
    <s v="LS-16945"/>
    <x v="313"/>
    <s v="Colorado"/>
    <x v="1"/>
    <x v="10"/>
    <x v="1066"/>
    <x v="1336"/>
    <x v="0"/>
  </r>
  <r>
    <x v="490"/>
    <d v="2015-07-25T00:00:00"/>
    <x v="4"/>
    <s v="Standard Class"/>
    <s v="LS-16945"/>
    <x v="313"/>
    <s v="Colorado"/>
    <x v="0"/>
    <x v="1"/>
    <x v="1067"/>
    <x v="1337"/>
    <x v="4"/>
  </r>
  <r>
    <x v="490"/>
    <d v="2015-07-25T00:00:00"/>
    <x v="4"/>
    <s v="Standard Class"/>
    <s v="LS-16945"/>
    <x v="313"/>
    <s v="Colorado"/>
    <x v="0"/>
    <x v="1"/>
    <x v="1068"/>
    <x v="1338"/>
    <x v="0"/>
  </r>
  <r>
    <x v="490"/>
    <d v="2015-07-24T00:00:00"/>
    <x v="1"/>
    <s v="Standard Class"/>
    <s v="JP-15460"/>
    <x v="512"/>
    <s v="Arizona"/>
    <x v="0"/>
    <x v="12"/>
    <x v="753"/>
    <x v="1339"/>
    <x v="1"/>
  </r>
  <r>
    <x v="490"/>
    <d v="2015-07-23T00:00:00"/>
    <x v="5"/>
    <s v="Standard Class"/>
    <s v="NP-18670"/>
    <x v="282"/>
    <s v="Arizona"/>
    <x v="2"/>
    <x v="14"/>
    <x v="1069"/>
    <x v="1340"/>
    <x v="6"/>
  </r>
  <r>
    <x v="491"/>
    <d v="2015-07-22T00:00:00"/>
    <x v="0"/>
    <s v="First Class"/>
    <s v="TC-21535"/>
    <x v="200"/>
    <s v="California"/>
    <x v="2"/>
    <x v="14"/>
    <x v="680"/>
    <x v="1341"/>
    <x v="4"/>
  </r>
  <r>
    <x v="491"/>
    <d v="2015-07-22T00:00:00"/>
    <x v="0"/>
    <s v="First Class"/>
    <s v="TC-21535"/>
    <x v="200"/>
    <s v="California"/>
    <x v="2"/>
    <x v="11"/>
    <x v="695"/>
    <x v="1277"/>
    <x v="0"/>
  </r>
  <r>
    <x v="492"/>
    <d v="2015-07-27T00:00:00"/>
    <x v="1"/>
    <s v="Standard Class"/>
    <s v="DK-12835"/>
    <x v="35"/>
    <s v="California"/>
    <x v="0"/>
    <x v="6"/>
    <x v="1070"/>
    <x v="1342"/>
    <x v="1"/>
  </r>
  <r>
    <x v="492"/>
    <d v="2015-07-27T00:00:00"/>
    <x v="1"/>
    <s v="Standard Class"/>
    <s v="DK-12835"/>
    <x v="35"/>
    <s v="California"/>
    <x v="0"/>
    <x v="15"/>
    <x v="663"/>
    <x v="1343"/>
    <x v="6"/>
  </r>
  <r>
    <x v="493"/>
    <d v="2015-07-25T00:00:00"/>
    <x v="0"/>
    <s v="Second Class"/>
    <s v="DL-13495"/>
    <x v="513"/>
    <s v="California"/>
    <x v="0"/>
    <x v="15"/>
    <x v="663"/>
    <x v="1344"/>
    <x v="4"/>
  </r>
  <r>
    <x v="493"/>
    <d v="2015-07-30T00:00:00"/>
    <x v="6"/>
    <s v="Standard Class"/>
    <s v="KN-16705"/>
    <x v="514"/>
    <s v="Nevada"/>
    <x v="0"/>
    <x v="12"/>
    <x v="1071"/>
    <x v="1345"/>
    <x v="1"/>
  </r>
  <r>
    <x v="494"/>
    <d v="2015-08-01T00:00:00"/>
    <x v="4"/>
    <s v="Standard Class"/>
    <s v="SC-20095"/>
    <x v="13"/>
    <s v="California"/>
    <x v="0"/>
    <x v="5"/>
    <x v="200"/>
    <x v="1346"/>
    <x v="9"/>
  </r>
  <r>
    <x v="494"/>
    <d v="2015-08-01T00:00:00"/>
    <x v="4"/>
    <s v="Standard Class"/>
    <s v="SC-20095"/>
    <x v="13"/>
    <s v="California"/>
    <x v="1"/>
    <x v="7"/>
    <x v="1072"/>
    <x v="1347"/>
    <x v="2"/>
  </r>
  <r>
    <x v="494"/>
    <d v="2015-08-01T00:00:00"/>
    <x v="4"/>
    <s v="Standard Class"/>
    <s v="SC-20095"/>
    <x v="13"/>
    <s v="California"/>
    <x v="1"/>
    <x v="10"/>
    <x v="344"/>
    <x v="552"/>
    <x v="4"/>
  </r>
  <r>
    <x v="494"/>
    <d v="2015-08-01T00:00:00"/>
    <x v="4"/>
    <s v="Standard Class"/>
    <s v="SC-20095"/>
    <x v="13"/>
    <s v="California"/>
    <x v="1"/>
    <x v="7"/>
    <x v="746"/>
    <x v="1348"/>
    <x v="11"/>
  </r>
  <r>
    <x v="494"/>
    <d v="2015-07-28T00:00:00"/>
    <x v="0"/>
    <s v="Second Class"/>
    <s v="LB-16735"/>
    <x v="515"/>
    <s v="California"/>
    <x v="0"/>
    <x v="9"/>
    <x v="164"/>
    <x v="1349"/>
    <x v="5"/>
  </r>
  <r>
    <x v="494"/>
    <d v="2015-07-26T00:00:00"/>
    <x v="7"/>
    <s v="Same Day"/>
    <s v="BC-11125"/>
    <x v="98"/>
    <s v="California"/>
    <x v="0"/>
    <x v="3"/>
    <x v="403"/>
    <x v="1350"/>
    <x v="11"/>
  </r>
  <r>
    <x v="495"/>
    <d v="2015-08-04T00:00:00"/>
    <x v="4"/>
    <s v="Standard Class"/>
    <s v="KM-16660"/>
    <x v="258"/>
    <s v="California"/>
    <x v="0"/>
    <x v="15"/>
    <x v="116"/>
    <x v="79"/>
    <x v="0"/>
  </r>
  <r>
    <x v="496"/>
    <d v="2015-08-03T00:00:00"/>
    <x v="2"/>
    <s v="First Class"/>
    <s v="RW-19630"/>
    <x v="516"/>
    <s v="California"/>
    <x v="0"/>
    <x v="4"/>
    <x v="1073"/>
    <x v="1351"/>
    <x v="4"/>
  </r>
  <r>
    <x v="497"/>
    <d v="2015-08-06T00:00:00"/>
    <x v="1"/>
    <s v="Standard Class"/>
    <s v="AH-10690"/>
    <x v="486"/>
    <s v="California"/>
    <x v="1"/>
    <x v="8"/>
    <x v="607"/>
    <x v="1352"/>
    <x v="8"/>
  </r>
  <r>
    <x v="498"/>
    <d v="2015-08-02T00:00:00"/>
    <x v="7"/>
    <s v="Same Day"/>
    <s v="TS-21205"/>
    <x v="86"/>
    <s v="California"/>
    <x v="2"/>
    <x v="14"/>
    <x v="956"/>
    <x v="1353"/>
    <x v="4"/>
  </r>
  <r>
    <x v="498"/>
    <d v="2015-08-02T00:00:00"/>
    <x v="7"/>
    <s v="Same Day"/>
    <s v="TS-21205"/>
    <x v="86"/>
    <s v="California"/>
    <x v="0"/>
    <x v="4"/>
    <x v="154"/>
    <x v="1354"/>
    <x v="4"/>
  </r>
  <r>
    <x v="499"/>
    <d v="2015-08-05T00:00:00"/>
    <x v="0"/>
    <s v="Second Class"/>
    <s v="BF-11020"/>
    <x v="15"/>
    <s v="California"/>
    <x v="1"/>
    <x v="8"/>
    <x v="1074"/>
    <x v="1355"/>
    <x v="4"/>
  </r>
  <r>
    <x v="499"/>
    <d v="2015-08-05T00:00:00"/>
    <x v="0"/>
    <s v="Second Class"/>
    <s v="BF-11020"/>
    <x v="15"/>
    <s v="California"/>
    <x v="2"/>
    <x v="14"/>
    <x v="1017"/>
    <x v="445"/>
    <x v="0"/>
  </r>
  <r>
    <x v="499"/>
    <d v="2015-08-05T00:00:00"/>
    <x v="0"/>
    <s v="Second Class"/>
    <s v="BF-11020"/>
    <x v="15"/>
    <s v="California"/>
    <x v="0"/>
    <x v="5"/>
    <x v="1075"/>
    <x v="1356"/>
    <x v="4"/>
  </r>
  <r>
    <x v="500"/>
    <d v="2015-08-07T00:00:00"/>
    <x v="0"/>
    <s v="Second Class"/>
    <s v="LC-16930"/>
    <x v="488"/>
    <s v="California"/>
    <x v="2"/>
    <x v="14"/>
    <x v="152"/>
    <x v="1357"/>
    <x v="4"/>
  </r>
  <r>
    <x v="500"/>
    <d v="2015-08-07T00:00:00"/>
    <x v="0"/>
    <s v="Second Class"/>
    <s v="LC-16930"/>
    <x v="488"/>
    <s v="California"/>
    <x v="0"/>
    <x v="5"/>
    <x v="64"/>
    <x v="1358"/>
    <x v="0"/>
  </r>
  <r>
    <x v="500"/>
    <d v="2015-08-07T00:00:00"/>
    <x v="0"/>
    <s v="Second Class"/>
    <s v="LC-16930"/>
    <x v="488"/>
    <s v="California"/>
    <x v="0"/>
    <x v="5"/>
    <x v="1076"/>
    <x v="1359"/>
    <x v="0"/>
  </r>
  <r>
    <x v="501"/>
    <d v="2015-08-14T00:00:00"/>
    <x v="6"/>
    <s v="Standard Class"/>
    <s v="VG-21790"/>
    <x v="222"/>
    <s v="California"/>
    <x v="2"/>
    <x v="14"/>
    <x v="803"/>
    <x v="559"/>
    <x v="2"/>
  </r>
  <r>
    <x v="502"/>
    <d v="2015-08-12T00:00:00"/>
    <x v="5"/>
    <s v="Standard Class"/>
    <s v="DW-13585"/>
    <x v="517"/>
    <s v="Washington"/>
    <x v="2"/>
    <x v="11"/>
    <x v="380"/>
    <x v="401"/>
    <x v="0"/>
  </r>
  <r>
    <x v="503"/>
    <d v="2015-08-16T00:00:00"/>
    <x v="6"/>
    <s v="Standard Class"/>
    <s v="CA-12055"/>
    <x v="518"/>
    <s v="California"/>
    <x v="1"/>
    <x v="8"/>
    <x v="1077"/>
    <x v="1360"/>
    <x v="4"/>
  </r>
  <r>
    <x v="503"/>
    <d v="2015-08-16T00:00:00"/>
    <x v="6"/>
    <s v="Standard Class"/>
    <s v="CA-12055"/>
    <x v="518"/>
    <s v="California"/>
    <x v="0"/>
    <x v="4"/>
    <x v="654"/>
    <x v="1361"/>
    <x v="5"/>
  </r>
  <r>
    <x v="503"/>
    <d v="2015-08-16T00:00:00"/>
    <x v="6"/>
    <s v="Standard Class"/>
    <s v="CA-12055"/>
    <x v="518"/>
    <s v="California"/>
    <x v="0"/>
    <x v="5"/>
    <x v="736"/>
    <x v="1089"/>
    <x v="1"/>
  </r>
  <r>
    <x v="504"/>
    <d v="2015-08-19T00:00:00"/>
    <x v="5"/>
    <s v="Standard Class"/>
    <s v="JM-15580"/>
    <x v="483"/>
    <s v="California"/>
    <x v="0"/>
    <x v="0"/>
    <x v="1078"/>
    <x v="1362"/>
    <x v="0"/>
  </r>
  <r>
    <x v="504"/>
    <d v="2015-08-19T00:00:00"/>
    <x v="5"/>
    <s v="Standard Class"/>
    <s v="JM-15580"/>
    <x v="483"/>
    <s v="California"/>
    <x v="2"/>
    <x v="13"/>
    <x v="1079"/>
    <x v="1363"/>
    <x v="5"/>
  </r>
  <r>
    <x v="505"/>
    <d v="2015-08-22T00:00:00"/>
    <x v="4"/>
    <s v="Standard Class"/>
    <s v="ME-17725"/>
    <x v="385"/>
    <s v="Colorado"/>
    <x v="0"/>
    <x v="5"/>
    <x v="1080"/>
    <x v="1364"/>
    <x v="0"/>
  </r>
  <r>
    <x v="505"/>
    <d v="2015-08-22T00:00:00"/>
    <x v="4"/>
    <s v="Standard Class"/>
    <s v="ME-17725"/>
    <x v="385"/>
    <s v="Colorado"/>
    <x v="0"/>
    <x v="4"/>
    <x v="267"/>
    <x v="1365"/>
    <x v="0"/>
  </r>
  <r>
    <x v="505"/>
    <d v="2015-08-21T00:00:00"/>
    <x v="1"/>
    <s v="Second Class"/>
    <s v="CY-12745"/>
    <x v="342"/>
    <s v="California"/>
    <x v="2"/>
    <x v="14"/>
    <x v="1081"/>
    <x v="567"/>
    <x v="0"/>
  </r>
  <r>
    <x v="505"/>
    <d v="2015-08-21T00:00:00"/>
    <x v="1"/>
    <s v="Second Class"/>
    <s v="CY-12745"/>
    <x v="342"/>
    <s v="California"/>
    <x v="0"/>
    <x v="15"/>
    <x v="714"/>
    <x v="1343"/>
    <x v="6"/>
  </r>
  <r>
    <x v="505"/>
    <d v="2015-08-23T00:00:00"/>
    <x v="6"/>
    <s v="Standard Class"/>
    <s v="BD-11320"/>
    <x v="473"/>
    <s v="California"/>
    <x v="1"/>
    <x v="7"/>
    <x v="1082"/>
    <x v="1366"/>
    <x v="0"/>
  </r>
  <r>
    <x v="505"/>
    <d v="2015-08-23T00:00:00"/>
    <x v="6"/>
    <s v="Standard Class"/>
    <s v="BD-11320"/>
    <x v="473"/>
    <s v="California"/>
    <x v="0"/>
    <x v="1"/>
    <x v="183"/>
    <x v="34"/>
    <x v="0"/>
  </r>
  <r>
    <x v="505"/>
    <d v="2015-08-23T00:00:00"/>
    <x v="6"/>
    <s v="Standard Class"/>
    <s v="BD-11320"/>
    <x v="473"/>
    <s v="California"/>
    <x v="2"/>
    <x v="14"/>
    <x v="1083"/>
    <x v="1367"/>
    <x v="0"/>
  </r>
  <r>
    <x v="505"/>
    <d v="2015-08-23T00:00:00"/>
    <x v="6"/>
    <s v="Standard Class"/>
    <s v="BD-11320"/>
    <x v="473"/>
    <s v="California"/>
    <x v="0"/>
    <x v="0"/>
    <x v="1084"/>
    <x v="1368"/>
    <x v="2"/>
  </r>
  <r>
    <x v="506"/>
    <d v="2015-08-21T00:00:00"/>
    <x v="5"/>
    <s v="Standard Class"/>
    <s v="PK-19075"/>
    <x v="519"/>
    <s v="California"/>
    <x v="0"/>
    <x v="6"/>
    <x v="1085"/>
    <x v="721"/>
    <x v="0"/>
  </r>
  <r>
    <x v="506"/>
    <d v="2015-08-20T00:00:00"/>
    <x v="2"/>
    <s v="First Class"/>
    <s v="AO-10810"/>
    <x v="520"/>
    <s v="California"/>
    <x v="1"/>
    <x v="8"/>
    <x v="1086"/>
    <x v="1369"/>
    <x v="4"/>
  </r>
  <r>
    <x v="506"/>
    <d v="2015-08-23T00:00:00"/>
    <x v="4"/>
    <s v="Standard Class"/>
    <s v="JP-15520"/>
    <x v="208"/>
    <s v="California"/>
    <x v="0"/>
    <x v="0"/>
    <x v="279"/>
    <x v="182"/>
    <x v="1"/>
  </r>
  <r>
    <x v="507"/>
    <d v="2015-08-22T00:00:00"/>
    <x v="5"/>
    <s v="Standard Class"/>
    <s v="NM-18520"/>
    <x v="371"/>
    <s v="Washington"/>
    <x v="0"/>
    <x v="5"/>
    <x v="979"/>
    <x v="1370"/>
    <x v="2"/>
  </r>
  <r>
    <x v="508"/>
    <d v="2015-08-29T00:00:00"/>
    <x v="6"/>
    <s v="Standard Class"/>
    <s v="SC-20230"/>
    <x v="521"/>
    <s v="California"/>
    <x v="0"/>
    <x v="5"/>
    <x v="1087"/>
    <x v="1371"/>
    <x v="4"/>
  </r>
  <r>
    <x v="508"/>
    <d v="2015-08-29T00:00:00"/>
    <x v="6"/>
    <s v="Standard Class"/>
    <s v="SC-20230"/>
    <x v="521"/>
    <s v="California"/>
    <x v="2"/>
    <x v="14"/>
    <x v="781"/>
    <x v="83"/>
    <x v="1"/>
  </r>
  <r>
    <x v="508"/>
    <d v="2015-08-29T00:00:00"/>
    <x v="6"/>
    <s v="Standard Class"/>
    <s v="SC-20230"/>
    <x v="521"/>
    <s v="California"/>
    <x v="2"/>
    <x v="11"/>
    <x v="644"/>
    <x v="1372"/>
    <x v="0"/>
  </r>
  <r>
    <x v="508"/>
    <d v="2015-08-29T00:00:00"/>
    <x v="6"/>
    <s v="Standard Class"/>
    <s v="SC-20230"/>
    <x v="521"/>
    <s v="California"/>
    <x v="2"/>
    <x v="14"/>
    <x v="1088"/>
    <x v="1373"/>
    <x v="4"/>
  </r>
  <r>
    <x v="508"/>
    <d v="2015-08-29T00:00:00"/>
    <x v="6"/>
    <s v="Standard Class"/>
    <s v="SC-20230"/>
    <x v="521"/>
    <s v="California"/>
    <x v="1"/>
    <x v="8"/>
    <x v="1089"/>
    <x v="1374"/>
    <x v="11"/>
  </r>
  <r>
    <x v="508"/>
    <d v="2015-08-29T00:00:00"/>
    <x v="6"/>
    <s v="Standard Class"/>
    <s v="SC-20230"/>
    <x v="521"/>
    <s v="California"/>
    <x v="0"/>
    <x v="0"/>
    <x v="867"/>
    <x v="28"/>
    <x v="4"/>
  </r>
  <r>
    <x v="508"/>
    <d v="2015-08-29T00:00:00"/>
    <x v="6"/>
    <s v="Standard Class"/>
    <s v="SC-20230"/>
    <x v="521"/>
    <s v="California"/>
    <x v="0"/>
    <x v="0"/>
    <x v="740"/>
    <x v="1375"/>
    <x v="11"/>
  </r>
  <r>
    <x v="508"/>
    <d v="2015-08-25T00:00:00"/>
    <x v="2"/>
    <s v="Second Class"/>
    <s v="RP-19270"/>
    <x v="187"/>
    <s v="Washington"/>
    <x v="0"/>
    <x v="5"/>
    <x v="384"/>
    <x v="1376"/>
    <x v="3"/>
  </r>
  <r>
    <x v="509"/>
    <d v="2015-08-28T00:00:00"/>
    <x v="1"/>
    <s v="Standard Class"/>
    <s v="SG-20470"/>
    <x v="229"/>
    <s v="Oregon"/>
    <x v="0"/>
    <x v="5"/>
    <x v="591"/>
    <x v="1377"/>
    <x v="9"/>
  </r>
  <r>
    <x v="509"/>
    <d v="2015-08-27T00:00:00"/>
    <x v="5"/>
    <s v="Standard Class"/>
    <s v="DG-13300"/>
    <x v="402"/>
    <s v="Washington"/>
    <x v="0"/>
    <x v="0"/>
    <x v="1038"/>
    <x v="0"/>
    <x v="0"/>
  </r>
  <r>
    <x v="509"/>
    <d v="2015-08-24T00:00:00"/>
    <x v="3"/>
    <s v="First Class"/>
    <s v="TC-21475"/>
    <x v="315"/>
    <s v="Colorado"/>
    <x v="1"/>
    <x v="7"/>
    <x v="251"/>
    <x v="1378"/>
    <x v="0"/>
  </r>
  <r>
    <x v="509"/>
    <d v="2015-08-30T00:00:00"/>
    <x v="6"/>
    <s v="Standard Class"/>
    <s v="PW-19030"/>
    <x v="71"/>
    <s v="California"/>
    <x v="0"/>
    <x v="3"/>
    <x v="712"/>
    <x v="943"/>
    <x v="4"/>
  </r>
  <r>
    <x v="510"/>
    <d v="2015-08-31T00:00:00"/>
    <x v="6"/>
    <s v="Standard Class"/>
    <s v="MS-17770"/>
    <x v="522"/>
    <s v="Washington"/>
    <x v="2"/>
    <x v="13"/>
    <x v="706"/>
    <x v="1379"/>
    <x v="0"/>
  </r>
  <r>
    <x v="510"/>
    <d v="2015-08-31T00:00:00"/>
    <x v="6"/>
    <s v="Standard Class"/>
    <s v="MS-17770"/>
    <x v="522"/>
    <s v="Washington"/>
    <x v="0"/>
    <x v="6"/>
    <x v="7"/>
    <x v="1380"/>
    <x v="1"/>
  </r>
  <r>
    <x v="510"/>
    <d v="2015-08-31T00:00:00"/>
    <x v="6"/>
    <s v="Standard Class"/>
    <s v="MS-17770"/>
    <x v="522"/>
    <s v="Washington"/>
    <x v="0"/>
    <x v="0"/>
    <x v="1090"/>
    <x v="538"/>
    <x v="5"/>
  </r>
  <r>
    <x v="510"/>
    <d v="2015-08-31T00:00:00"/>
    <x v="6"/>
    <s v="Standard Class"/>
    <s v="MS-17770"/>
    <x v="522"/>
    <s v="Washington"/>
    <x v="1"/>
    <x v="10"/>
    <x v="1091"/>
    <x v="1381"/>
    <x v="5"/>
  </r>
  <r>
    <x v="510"/>
    <d v="2015-08-31T00:00:00"/>
    <x v="6"/>
    <s v="Standard Class"/>
    <s v="MS-17770"/>
    <x v="522"/>
    <s v="Washington"/>
    <x v="0"/>
    <x v="4"/>
    <x v="1092"/>
    <x v="1382"/>
    <x v="1"/>
  </r>
  <r>
    <x v="510"/>
    <d v="2015-08-31T00:00:00"/>
    <x v="6"/>
    <s v="Standard Class"/>
    <s v="MS-17770"/>
    <x v="522"/>
    <s v="Washington"/>
    <x v="0"/>
    <x v="12"/>
    <x v="543"/>
    <x v="1383"/>
    <x v="2"/>
  </r>
  <r>
    <x v="511"/>
    <d v="2015-08-28T00:00:00"/>
    <x v="3"/>
    <s v="First Class"/>
    <s v="RF-19735"/>
    <x v="349"/>
    <s v="California"/>
    <x v="0"/>
    <x v="9"/>
    <x v="1093"/>
    <x v="1384"/>
    <x v="0"/>
  </r>
  <r>
    <x v="511"/>
    <d v="2015-08-28T00:00:00"/>
    <x v="3"/>
    <s v="First Class"/>
    <s v="RF-19735"/>
    <x v="349"/>
    <s v="California"/>
    <x v="0"/>
    <x v="0"/>
    <x v="440"/>
    <x v="1164"/>
    <x v="1"/>
  </r>
  <r>
    <x v="511"/>
    <d v="2015-08-30T00:00:00"/>
    <x v="2"/>
    <s v="Second Class"/>
    <s v="CC-12145"/>
    <x v="108"/>
    <s v="Washington"/>
    <x v="0"/>
    <x v="0"/>
    <x v="279"/>
    <x v="231"/>
    <x v="6"/>
  </r>
  <r>
    <x v="511"/>
    <d v="2015-08-30T00:00:00"/>
    <x v="2"/>
    <s v="First Class"/>
    <s v="DJ-13510"/>
    <x v="523"/>
    <s v="California"/>
    <x v="1"/>
    <x v="10"/>
    <x v="207"/>
    <x v="1385"/>
    <x v="2"/>
  </r>
  <r>
    <x v="511"/>
    <d v="2015-08-29T00:00:00"/>
    <x v="0"/>
    <s v="Second Class"/>
    <s v="TS-21430"/>
    <x v="119"/>
    <s v="California"/>
    <x v="0"/>
    <x v="3"/>
    <x v="37"/>
    <x v="723"/>
    <x v="4"/>
  </r>
  <r>
    <x v="512"/>
    <d v="2015-09-03T00:00:00"/>
    <x v="1"/>
    <s v="Standard Class"/>
    <s v="CS-12130"/>
    <x v="123"/>
    <s v="Colorado"/>
    <x v="0"/>
    <x v="0"/>
    <x v="337"/>
    <x v="1386"/>
    <x v="0"/>
  </r>
  <r>
    <x v="512"/>
    <d v="2015-09-03T00:00:00"/>
    <x v="1"/>
    <s v="Standard Class"/>
    <s v="CS-12130"/>
    <x v="123"/>
    <s v="Colorado"/>
    <x v="2"/>
    <x v="14"/>
    <x v="1094"/>
    <x v="1387"/>
    <x v="0"/>
  </r>
  <r>
    <x v="513"/>
    <d v="2015-09-07T00:00:00"/>
    <x v="6"/>
    <s v="Standard Class"/>
    <s v="BG-11740"/>
    <x v="337"/>
    <s v="California"/>
    <x v="1"/>
    <x v="7"/>
    <x v="552"/>
    <x v="1388"/>
    <x v="2"/>
  </r>
  <r>
    <x v="513"/>
    <d v="2015-09-07T00:00:00"/>
    <x v="6"/>
    <s v="Standard Class"/>
    <s v="BG-11740"/>
    <x v="337"/>
    <s v="California"/>
    <x v="2"/>
    <x v="14"/>
    <x v="557"/>
    <x v="992"/>
    <x v="1"/>
  </r>
  <r>
    <x v="514"/>
    <d v="2015-09-05T00:00:00"/>
    <x v="2"/>
    <s v="First Class"/>
    <s v="CV-12805"/>
    <x v="524"/>
    <s v="California"/>
    <x v="0"/>
    <x v="6"/>
    <x v="1095"/>
    <x v="1389"/>
    <x v="4"/>
  </r>
  <r>
    <x v="514"/>
    <d v="2015-09-04T00:00:00"/>
    <x v="0"/>
    <s v="Second Class"/>
    <s v="LB-16795"/>
    <x v="525"/>
    <s v="California"/>
    <x v="0"/>
    <x v="6"/>
    <x v="1096"/>
    <x v="1390"/>
    <x v="6"/>
  </r>
  <r>
    <x v="515"/>
    <d v="2015-09-05T00:00:00"/>
    <x v="0"/>
    <s v="First Class"/>
    <s v="SZ-20035"/>
    <x v="526"/>
    <s v="California"/>
    <x v="0"/>
    <x v="1"/>
    <x v="1097"/>
    <x v="1391"/>
    <x v="0"/>
  </r>
  <r>
    <x v="515"/>
    <d v="2015-09-09T00:00:00"/>
    <x v="4"/>
    <s v="Standard Class"/>
    <s v="TG-21310"/>
    <x v="347"/>
    <s v="Washington"/>
    <x v="2"/>
    <x v="16"/>
    <x v="975"/>
    <x v="1392"/>
    <x v="4"/>
  </r>
  <r>
    <x v="515"/>
    <d v="2015-09-06T00:00:00"/>
    <x v="2"/>
    <s v="Second Class"/>
    <s v="BM-11140"/>
    <x v="527"/>
    <s v="Washington"/>
    <x v="1"/>
    <x v="10"/>
    <x v="1055"/>
    <x v="1393"/>
    <x v="0"/>
  </r>
  <r>
    <x v="515"/>
    <d v="2015-09-06T00:00:00"/>
    <x v="2"/>
    <s v="Second Class"/>
    <s v="BM-11140"/>
    <x v="527"/>
    <s v="Washington"/>
    <x v="0"/>
    <x v="6"/>
    <x v="1051"/>
    <x v="1394"/>
    <x v="0"/>
  </r>
  <r>
    <x v="515"/>
    <d v="2015-09-07T00:00:00"/>
    <x v="5"/>
    <s v="Standard Class"/>
    <s v="LR-16915"/>
    <x v="125"/>
    <s v="California"/>
    <x v="1"/>
    <x v="7"/>
    <x v="710"/>
    <x v="1395"/>
    <x v="11"/>
  </r>
  <r>
    <x v="515"/>
    <d v="2015-09-07T00:00:00"/>
    <x v="5"/>
    <s v="Standard Class"/>
    <s v="LR-16915"/>
    <x v="125"/>
    <s v="California"/>
    <x v="0"/>
    <x v="1"/>
    <x v="246"/>
    <x v="1396"/>
    <x v="0"/>
  </r>
  <r>
    <x v="515"/>
    <d v="2015-09-07T00:00:00"/>
    <x v="5"/>
    <s v="Standard Class"/>
    <s v="LR-16915"/>
    <x v="125"/>
    <s v="California"/>
    <x v="2"/>
    <x v="14"/>
    <x v="256"/>
    <x v="264"/>
    <x v="2"/>
  </r>
  <r>
    <x v="515"/>
    <d v="2015-09-07T00:00:00"/>
    <x v="5"/>
    <s v="Standard Class"/>
    <s v="LR-16915"/>
    <x v="125"/>
    <s v="California"/>
    <x v="0"/>
    <x v="3"/>
    <x v="1098"/>
    <x v="1397"/>
    <x v="8"/>
  </r>
  <r>
    <x v="515"/>
    <d v="2015-09-07T00:00:00"/>
    <x v="5"/>
    <s v="Standard Class"/>
    <s v="LR-16915"/>
    <x v="125"/>
    <s v="California"/>
    <x v="1"/>
    <x v="8"/>
    <x v="155"/>
    <x v="1398"/>
    <x v="0"/>
  </r>
  <r>
    <x v="515"/>
    <d v="2015-09-07T00:00:00"/>
    <x v="5"/>
    <s v="Standard Class"/>
    <s v="LR-16915"/>
    <x v="125"/>
    <s v="California"/>
    <x v="0"/>
    <x v="5"/>
    <x v="170"/>
    <x v="507"/>
    <x v="6"/>
  </r>
  <r>
    <x v="516"/>
    <d v="2015-09-05T00:00:00"/>
    <x v="7"/>
    <s v="Same Day"/>
    <s v="IM-15055"/>
    <x v="5"/>
    <s v="California"/>
    <x v="1"/>
    <x v="7"/>
    <x v="1099"/>
    <x v="1399"/>
    <x v="0"/>
  </r>
  <r>
    <x v="516"/>
    <d v="2015-09-05T00:00:00"/>
    <x v="7"/>
    <s v="Same Day"/>
    <s v="IM-15055"/>
    <x v="5"/>
    <s v="California"/>
    <x v="2"/>
    <x v="16"/>
    <x v="582"/>
    <x v="1316"/>
    <x v="1"/>
  </r>
  <r>
    <x v="517"/>
    <d v="2015-09-11T00:00:00"/>
    <x v="1"/>
    <s v="Standard Class"/>
    <s v="ML-17395"/>
    <x v="14"/>
    <s v="California"/>
    <x v="2"/>
    <x v="11"/>
    <x v="764"/>
    <x v="1400"/>
    <x v="9"/>
  </r>
  <r>
    <x v="517"/>
    <d v="2015-09-07T00:00:00"/>
    <x v="3"/>
    <s v="First Class"/>
    <s v="JH-15985"/>
    <x v="130"/>
    <s v="California"/>
    <x v="0"/>
    <x v="0"/>
    <x v="1100"/>
    <x v="1401"/>
    <x v="4"/>
  </r>
  <r>
    <x v="517"/>
    <d v="2015-09-07T00:00:00"/>
    <x v="3"/>
    <s v="First Class"/>
    <s v="JH-15985"/>
    <x v="130"/>
    <s v="California"/>
    <x v="0"/>
    <x v="5"/>
    <x v="901"/>
    <x v="868"/>
    <x v="4"/>
  </r>
  <r>
    <x v="517"/>
    <d v="2015-09-07T00:00:00"/>
    <x v="3"/>
    <s v="First Class"/>
    <s v="JH-15985"/>
    <x v="130"/>
    <s v="California"/>
    <x v="0"/>
    <x v="9"/>
    <x v="833"/>
    <x v="1402"/>
    <x v="4"/>
  </r>
  <r>
    <x v="518"/>
    <d v="2015-09-11T00:00:00"/>
    <x v="0"/>
    <s v="Second Class"/>
    <s v="VM-21685"/>
    <x v="528"/>
    <s v="California"/>
    <x v="0"/>
    <x v="5"/>
    <x v="852"/>
    <x v="1403"/>
    <x v="4"/>
  </r>
  <r>
    <x v="518"/>
    <d v="2015-09-11T00:00:00"/>
    <x v="0"/>
    <s v="Second Class"/>
    <s v="VM-21685"/>
    <x v="528"/>
    <s v="California"/>
    <x v="0"/>
    <x v="5"/>
    <x v="1080"/>
    <x v="1404"/>
    <x v="2"/>
  </r>
  <r>
    <x v="518"/>
    <d v="2015-09-09T00:00:00"/>
    <x v="7"/>
    <s v="Same Day"/>
    <s v="PJ-19015"/>
    <x v="529"/>
    <s v="California"/>
    <x v="1"/>
    <x v="8"/>
    <x v="459"/>
    <x v="1405"/>
    <x v="6"/>
  </r>
  <r>
    <x v="518"/>
    <d v="2015-09-14T00:00:00"/>
    <x v="1"/>
    <s v="Standard Class"/>
    <s v="TR-21325"/>
    <x v="231"/>
    <s v="Washington"/>
    <x v="1"/>
    <x v="7"/>
    <x v="1054"/>
    <x v="645"/>
    <x v="6"/>
  </r>
  <r>
    <x v="518"/>
    <d v="2015-09-14T00:00:00"/>
    <x v="1"/>
    <s v="Standard Class"/>
    <s v="TR-21325"/>
    <x v="231"/>
    <s v="Washington"/>
    <x v="0"/>
    <x v="0"/>
    <x v="1101"/>
    <x v="1406"/>
    <x v="8"/>
  </r>
  <r>
    <x v="518"/>
    <d v="2015-09-16T00:00:00"/>
    <x v="6"/>
    <s v="Standard Class"/>
    <s v="LP-17095"/>
    <x v="530"/>
    <s v="California"/>
    <x v="0"/>
    <x v="3"/>
    <x v="59"/>
    <x v="60"/>
    <x v="4"/>
  </r>
  <r>
    <x v="518"/>
    <d v="2015-09-16T00:00:00"/>
    <x v="6"/>
    <s v="Standard Class"/>
    <s v="LP-17095"/>
    <x v="530"/>
    <s v="California"/>
    <x v="0"/>
    <x v="0"/>
    <x v="330"/>
    <x v="20"/>
    <x v="9"/>
  </r>
  <r>
    <x v="518"/>
    <d v="2015-09-16T00:00:00"/>
    <x v="6"/>
    <s v="Standard Class"/>
    <s v="LP-17095"/>
    <x v="530"/>
    <s v="California"/>
    <x v="0"/>
    <x v="1"/>
    <x v="958"/>
    <x v="1407"/>
    <x v="4"/>
  </r>
  <r>
    <x v="519"/>
    <d v="2015-09-14T00:00:00"/>
    <x v="5"/>
    <s v="Second Class"/>
    <s v="AT-10735"/>
    <x v="531"/>
    <s v="California"/>
    <x v="0"/>
    <x v="5"/>
    <x v="1102"/>
    <x v="1408"/>
    <x v="2"/>
  </r>
  <r>
    <x v="520"/>
    <d v="2015-09-15T00:00:00"/>
    <x v="5"/>
    <s v="Standard Class"/>
    <s v="BD-11770"/>
    <x v="532"/>
    <s v="Washington"/>
    <x v="0"/>
    <x v="15"/>
    <x v="1103"/>
    <x v="740"/>
    <x v="4"/>
  </r>
  <r>
    <x v="520"/>
    <d v="2015-09-15T00:00:00"/>
    <x v="5"/>
    <s v="Standard Class"/>
    <s v="BD-11770"/>
    <x v="532"/>
    <s v="Washington"/>
    <x v="0"/>
    <x v="5"/>
    <x v="728"/>
    <x v="1409"/>
    <x v="0"/>
  </r>
  <r>
    <x v="520"/>
    <d v="2015-09-15T00:00:00"/>
    <x v="5"/>
    <s v="Standard Class"/>
    <s v="BD-11770"/>
    <x v="532"/>
    <s v="Washington"/>
    <x v="0"/>
    <x v="0"/>
    <x v="1104"/>
    <x v="361"/>
    <x v="4"/>
  </r>
  <r>
    <x v="520"/>
    <d v="2015-09-15T00:00:00"/>
    <x v="5"/>
    <s v="Standard Class"/>
    <s v="BD-11770"/>
    <x v="532"/>
    <s v="Washington"/>
    <x v="0"/>
    <x v="5"/>
    <x v="985"/>
    <x v="1410"/>
    <x v="0"/>
  </r>
  <r>
    <x v="520"/>
    <d v="2015-09-13T00:00:00"/>
    <x v="0"/>
    <s v="Second Class"/>
    <s v="DV-13465"/>
    <x v="533"/>
    <s v="California"/>
    <x v="0"/>
    <x v="5"/>
    <x v="1105"/>
    <x v="1411"/>
    <x v="4"/>
  </r>
  <r>
    <x v="521"/>
    <d v="2015-09-18T00:00:00"/>
    <x v="4"/>
    <s v="Standard Class"/>
    <s v="KC-16540"/>
    <x v="407"/>
    <s v="California"/>
    <x v="0"/>
    <x v="0"/>
    <x v="201"/>
    <x v="1412"/>
    <x v="6"/>
  </r>
  <r>
    <x v="521"/>
    <d v="2015-09-18T00:00:00"/>
    <x v="4"/>
    <s v="Standard Class"/>
    <s v="KC-16540"/>
    <x v="407"/>
    <s v="California"/>
    <x v="2"/>
    <x v="11"/>
    <x v="446"/>
    <x v="1413"/>
    <x v="13"/>
  </r>
  <r>
    <x v="521"/>
    <d v="2015-09-18T00:00:00"/>
    <x v="4"/>
    <s v="Standard Class"/>
    <s v="EB-14110"/>
    <x v="307"/>
    <s v="California"/>
    <x v="0"/>
    <x v="1"/>
    <x v="756"/>
    <x v="1414"/>
    <x v="0"/>
  </r>
  <r>
    <x v="521"/>
    <d v="2015-09-18T00:00:00"/>
    <x v="4"/>
    <s v="Standard Class"/>
    <s v="EB-14110"/>
    <x v="307"/>
    <s v="California"/>
    <x v="0"/>
    <x v="5"/>
    <x v="146"/>
    <x v="1415"/>
    <x v="4"/>
  </r>
  <r>
    <x v="521"/>
    <d v="2015-09-14T00:00:00"/>
    <x v="0"/>
    <s v="First Class"/>
    <s v="LC-16930"/>
    <x v="488"/>
    <s v="Arizona"/>
    <x v="0"/>
    <x v="3"/>
    <x v="1106"/>
    <x v="1416"/>
    <x v="4"/>
  </r>
  <r>
    <x v="521"/>
    <d v="2015-09-14T00:00:00"/>
    <x v="0"/>
    <s v="First Class"/>
    <s v="LC-16930"/>
    <x v="488"/>
    <s v="Arizona"/>
    <x v="0"/>
    <x v="0"/>
    <x v="275"/>
    <x v="1177"/>
    <x v="2"/>
  </r>
  <r>
    <x v="521"/>
    <d v="2015-09-14T00:00:00"/>
    <x v="0"/>
    <s v="First Class"/>
    <s v="LC-16930"/>
    <x v="488"/>
    <s v="Arizona"/>
    <x v="0"/>
    <x v="0"/>
    <x v="259"/>
    <x v="748"/>
    <x v="4"/>
  </r>
  <r>
    <x v="522"/>
    <d v="2015-09-15T00:00:00"/>
    <x v="0"/>
    <s v="Second Class"/>
    <s v="BP-11185"/>
    <x v="534"/>
    <s v="Colorado"/>
    <x v="1"/>
    <x v="7"/>
    <x v="81"/>
    <x v="1417"/>
    <x v="2"/>
  </r>
  <r>
    <x v="522"/>
    <d v="2015-09-15T00:00:00"/>
    <x v="0"/>
    <s v="Second Class"/>
    <s v="BP-11185"/>
    <x v="534"/>
    <s v="Colorado"/>
    <x v="1"/>
    <x v="10"/>
    <x v="693"/>
    <x v="1418"/>
    <x v="4"/>
  </r>
  <r>
    <x v="522"/>
    <d v="2015-09-15T00:00:00"/>
    <x v="0"/>
    <s v="Second Class"/>
    <s v="BP-11185"/>
    <x v="534"/>
    <s v="Colorado"/>
    <x v="1"/>
    <x v="7"/>
    <x v="1107"/>
    <x v="1419"/>
    <x v="6"/>
  </r>
  <r>
    <x v="522"/>
    <d v="2015-09-15T00:00:00"/>
    <x v="0"/>
    <s v="Second Class"/>
    <s v="BP-11185"/>
    <x v="534"/>
    <s v="Colorado"/>
    <x v="0"/>
    <x v="15"/>
    <x v="880"/>
    <x v="1420"/>
    <x v="0"/>
  </r>
  <r>
    <x v="522"/>
    <d v="2015-09-17T00:00:00"/>
    <x v="5"/>
    <s v="Standard Class"/>
    <s v="SF-20200"/>
    <x v="535"/>
    <s v="Washington"/>
    <x v="0"/>
    <x v="9"/>
    <x v="814"/>
    <x v="1421"/>
    <x v="0"/>
  </r>
  <r>
    <x v="522"/>
    <d v="2015-09-17T00:00:00"/>
    <x v="5"/>
    <s v="Standard Class"/>
    <s v="SF-20200"/>
    <x v="535"/>
    <s v="Washington"/>
    <x v="0"/>
    <x v="15"/>
    <x v="1103"/>
    <x v="1422"/>
    <x v="0"/>
  </r>
  <r>
    <x v="522"/>
    <d v="2015-09-17T00:00:00"/>
    <x v="5"/>
    <s v="Standard Class"/>
    <s v="SF-20200"/>
    <x v="535"/>
    <s v="Washington"/>
    <x v="0"/>
    <x v="5"/>
    <x v="1108"/>
    <x v="1423"/>
    <x v="2"/>
  </r>
  <r>
    <x v="522"/>
    <d v="2015-09-14T00:00:00"/>
    <x v="3"/>
    <s v="Same Day"/>
    <s v="PO-19180"/>
    <x v="536"/>
    <s v="Colorado"/>
    <x v="2"/>
    <x v="14"/>
    <x v="1109"/>
    <x v="1424"/>
    <x v="0"/>
  </r>
  <r>
    <x v="522"/>
    <d v="2015-09-14T00:00:00"/>
    <x v="3"/>
    <s v="Same Day"/>
    <s v="PO-19180"/>
    <x v="536"/>
    <s v="Colorado"/>
    <x v="1"/>
    <x v="10"/>
    <x v="999"/>
    <x v="1425"/>
    <x v="2"/>
  </r>
  <r>
    <x v="523"/>
    <d v="2015-09-21T00:00:00"/>
    <x v="1"/>
    <s v="Standard Class"/>
    <s v="RB-19570"/>
    <x v="537"/>
    <s v="Washington"/>
    <x v="0"/>
    <x v="0"/>
    <x v="1110"/>
    <x v="118"/>
    <x v="1"/>
  </r>
  <r>
    <x v="523"/>
    <d v="2015-09-21T00:00:00"/>
    <x v="1"/>
    <s v="Standard Class"/>
    <s v="RB-19570"/>
    <x v="537"/>
    <s v="Washington"/>
    <x v="0"/>
    <x v="5"/>
    <x v="516"/>
    <x v="1426"/>
    <x v="8"/>
  </r>
  <r>
    <x v="523"/>
    <d v="2015-09-21T00:00:00"/>
    <x v="1"/>
    <s v="Standard Class"/>
    <s v="JD-16150"/>
    <x v="214"/>
    <s v="Idaho"/>
    <x v="0"/>
    <x v="5"/>
    <x v="721"/>
    <x v="1427"/>
    <x v="2"/>
  </r>
  <r>
    <x v="523"/>
    <d v="2015-09-21T00:00:00"/>
    <x v="1"/>
    <s v="Standard Class"/>
    <s v="JD-16150"/>
    <x v="214"/>
    <s v="Idaho"/>
    <x v="1"/>
    <x v="8"/>
    <x v="509"/>
    <x v="1428"/>
    <x v="0"/>
  </r>
  <r>
    <x v="523"/>
    <d v="2015-09-21T00:00:00"/>
    <x v="1"/>
    <s v="Standard Class"/>
    <s v="AH-10585"/>
    <x v="190"/>
    <s v="Washington"/>
    <x v="0"/>
    <x v="3"/>
    <x v="1111"/>
    <x v="1429"/>
    <x v="1"/>
  </r>
  <r>
    <x v="524"/>
    <d v="2015-09-23T00:00:00"/>
    <x v="4"/>
    <s v="Standard Class"/>
    <s v="BC-11125"/>
    <x v="98"/>
    <s v="California"/>
    <x v="0"/>
    <x v="0"/>
    <x v="222"/>
    <x v="28"/>
    <x v="4"/>
  </r>
  <r>
    <x v="524"/>
    <d v="2015-09-23T00:00:00"/>
    <x v="4"/>
    <s v="Standard Class"/>
    <s v="KD-16495"/>
    <x v="538"/>
    <s v="California"/>
    <x v="1"/>
    <x v="2"/>
    <x v="1112"/>
    <x v="1430"/>
    <x v="4"/>
  </r>
  <r>
    <x v="524"/>
    <d v="2015-09-23T00:00:00"/>
    <x v="4"/>
    <s v="Standard Class"/>
    <s v="KD-16495"/>
    <x v="538"/>
    <s v="California"/>
    <x v="0"/>
    <x v="4"/>
    <x v="1113"/>
    <x v="886"/>
    <x v="2"/>
  </r>
  <r>
    <x v="525"/>
    <d v="2015-09-23T00:00:00"/>
    <x v="1"/>
    <s v="Standard Class"/>
    <s v="JS-15685"/>
    <x v="539"/>
    <s v="California"/>
    <x v="0"/>
    <x v="3"/>
    <x v="1114"/>
    <x v="1431"/>
    <x v="0"/>
  </r>
  <r>
    <x v="525"/>
    <d v="2015-09-23T00:00:00"/>
    <x v="1"/>
    <s v="Standard Class"/>
    <s v="JS-15685"/>
    <x v="539"/>
    <s v="California"/>
    <x v="2"/>
    <x v="14"/>
    <x v="1058"/>
    <x v="428"/>
    <x v="4"/>
  </r>
  <r>
    <x v="525"/>
    <d v="2015-09-23T00:00:00"/>
    <x v="1"/>
    <s v="Standard Class"/>
    <s v="JS-15685"/>
    <x v="539"/>
    <s v="California"/>
    <x v="0"/>
    <x v="0"/>
    <x v="421"/>
    <x v="231"/>
    <x v="6"/>
  </r>
  <r>
    <x v="525"/>
    <d v="2015-09-22T00:00:00"/>
    <x v="5"/>
    <s v="Standard Class"/>
    <s v="SJ-20125"/>
    <x v="540"/>
    <s v="Washington"/>
    <x v="1"/>
    <x v="10"/>
    <x v="1115"/>
    <x v="1432"/>
    <x v="4"/>
  </r>
  <r>
    <x v="525"/>
    <d v="2015-09-22T00:00:00"/>
    <x v="5"/>
    <s v="Standard Class"/>
    <s v="SJ-20125"/>
    <x v="540"/>
    <s v="Washington"/>
    <x v="2"/>
    <x v="14"/>
    <x v="524"/>
    <x v="96"/>
    <x v="4"/>
  </r>
  <r>
    <x v="525"/>
    <d v="2015-09-24T00:00:00"/>
    <x v="4"/>
    <s v="Standard Class"/>
    <s v="CC-12430"/>
    <x v="541"/>
    <s v="Washington"/>
    <x v="0"/>
    <x v="15"/>
    <x v="1011"/>
    <x v="1433"/>
    <x v="2"/>
  </r>
  <r>
    <x v="526"/>
    <d v="2015-09-23T00:00:00"/>
    <x v="5"/>
    <s v="Standard Class"/>
    <s v="JW-15220"/>
    <x v="542"/>
    <s v="California"/>
    <x v="1"/>
    <x v="10"/>
    <x v="207"/>
    <x v="215"/>
    <x v="4"/>
  </r>
  <r>
    <x v="526"/>
    <d v="2015-09-23T00:00:00"/>
    <x v="5"/>
    <s v="Standard Class"/>
    <s v="JW-15220"/>
    <x v="542"/>
    <s v="California"/>
    <x v="0"/>
    <x v="0"/>
    <x v="1104"/>
    <x v="1029"/>
    <x v="11"/>
  </r>
  <r>
    <x v="526"/>
    <d v="2015-09-23T00:00:00"/>
    <x v="5"/>
    <s v="Standard Class"/>
    <s v="JW-15220"/>
    <x v="542"/>
    <s v="California"/>
    <x v="1"/>
    <x v="10"/>
    <x v="965"/>
    <x v="1434"/>
    <x v="11"/>
  </r>
  <r>
    <x v="526"/>
    <d v="2015-09-23T00:00:00"/>
    <x v="5"/>
    <s v="Standard Class"/>
    <s v="BD-11320"/>
    <x v="473"/>
    <s v="California"/>
    <x v="2"/>
    <x v="14"/>
    <x v="336"/>
    <x v="351"/>
    <x v="4"/>
  </r>
  <r>
    <x v="527"/>
    <d v="2015-09-24T00:00:00"/>
    <x v="5"/>
    <s v="Standard Class"/>
    <s v="SW-20245"/>
    <x v="465"/>
    <s v="California"/>
    <x v="0"/>
    <x v="0"/>
    <x v="507"/>
    <x v="1435"/>
    <x v="8"/>
  </r>
  <r>
    <x v="527"/>
    <d v="2015-09-25T00:00:00"/>
    <x v="1"/>
    <s v="Second Class"/>
    <s v="CC-12430"/>
    <x v="541"/>
    <s v="California"/>
    <x v="0"/>
    <x v="5"/>
    <x v="177"/>
    <x v="753"/>
    <x v="0"/>
  </r>
  <r>
    <x v="527"/>
    <d v="2015-09-25T00:00:00"/>
    <x v="1"/>
    <s v="Second Class"/>
    <s v="CC-12430"/>
    <x v="541"/>
    <s v="California"/>
    <x v="0"/>
    <x v="12"/>
    <x v="1116"/>
    <x v="169"/>
    <x v="0"/>
  </r>
  <r>
    <x v="527"/>
    <d v="2015-09-24T00:00:00"/>
    <x v="5"/>
    <s v="Standard Class"/>
    <s v="FH-14275"/>
    <x v="47"/>
    <s v="California"/>
    <x v="0"/>
    <x v="5"/>
    <x v="269"/>
    <x v="1436"/>
    <x v="4"/>
  </r>
  <r>
    <x v="528"/>
    <d v="2015-09-25T00:00:00"/>
    <x v="5"/>
    <s v="Standard Class"/>
    <s v="GM-14695"/>
    <x v="543"/>
    <s v="California"/>
    <x v="0"/>
    <x v="0"/>
    <x v="1117"/>
    <x v="1437"/>
    <x v="11"/>
  </r>
  <r>
    <x v="528"/>
    <d v="2015-09-25T00:00:00"/>
    <x v="5"/>
    <s v="Standard Class"/>
    <s v="GM-14695"/>
    <x v="543"/>
    <s v="California"/>
    <x v="0"/>
    <x v="5"/>
    <x v="1118"/>
    <x v="1438"/>
    <x v="4"/>
  </r>
  <r>
    <x v="528"/>
    <d v="2015-09-25T00:00:00"/>
    <x v="5"/>
    <s v="Standard Class"/>
    <s v="GM-14695"/>
    <x v="543"/>
    <s v="California"/>
    <x v="0"/>
    <x v="3"/>
    <x v="419"/>
    <x v="573"/>
    <x v="2"/>
  </r>
  <r>
    <x v="528"/>
    <d v="2015-09-25T00:00:00"/>
    <x v="5"/>
    <s v="Standard Class"/>
    <s v="GM-14695"/>
    <x v="543"/>
    <s v="California"/>
    <x v="0"/>
    <x v="0"/>
    <x v="1119"/>
    <x v="1439"/>
    <x v="4"/>
  </r>
  <r>
    <x v="528"/>
    <d v="2015-09-25T00:00:00"/>
    <x v="5"/>
    <s v="Standard Class"/>
    <s v="GM-14695"/>
    <x v="543"/>
    <s v="California"/>
    <x v="0"/>
    <x v="5"/>
    <x v="1120"/>
    <x v="1440"/>
    <x v="4"/>
  </r>
  <r>
    <x v="528"/>
    <d v="2015-09-25T00:00:00"/>
    <x v="5"/>
    <s v="Standard Class"/>
    <s v="HJ-14875"/>
    <x v="305"/>
    <s v="Washington"/>
    <x v="1"/>
    <x v="2"/>
    <x v="1121"/>
    <x v="1441"/>
    <x v="4"/>
  </r>
  <r>
    <x v="529"/>
    <d v="2015-09-28T00:00:00"/>
    <x v="1"/>
    <s v="Standard Class"/>
    <s v="SM-20950"/>
    <x v="457"/>
    <s v="Colorado"/>
    <x v="1"/>
    <x v="7"/>
    <x v="147"/>
    <x v="1442"/>
    <x v="8"/>
  </r>
  <r>
    <x v="530"/>
    <d v="2015-09-27T00:00:00"/>
    <x v="2"/>
    <s v="Second Class"/>
    <s v="CM-11815"/>
    <x v="544"/>
    <s v="Washington"/>
    <x v="0"/>
    <x v="12"/>
    <x v="128"/>
    <x v="1443"/>
    <x v="4"/>
  </r>
  <r>
    <x v="530"/>
    <d v="2015-09-27T00:00:00"/>
    <x v="2"/>
    <s v="First Class"/>
    <s v="DV-13045"/>
    <x v="499"/>
    <s v="California"/>
    <x v="0"/>
    <x v="6"/>
    <x v="811"/>
    <x v="1444"/>
    <x v="4"/>
  </r>
  <r>
    <x v="530"/>
    <d v="2015-09-27T00:00:00"/>
    <x v="2"/>
    <s v="First Class"/>
    <s v="DV-13045"/>
    <x v="499"/>
    <s v="California"/>
    <x v="0"/>
    <x v="15"/>
    <x v="836"/>
    <x v="79"/>
    <x v="0"/>
  </r>
  <r>
    <x v="530"/>
    <d v="2015-09-28T00:00:00"/>
    <x v="5"/>
    <s v="Standard Class"/>
    <s v="DP-13105"/>
    <x v="503"/>
    <s v="Washington"/>
    <x v="0"/>
    <x v="5"/>
    <x v="707"/>
    <x v="1445"/>
    <x v="2"/>
  </r>
  <r>
    <x v="530"/>
    <d v="2015-09-28T00:00:00"/>
    <x v="5"/>
    <s v="Standard Class"/>
    <s v="DP-13105"/>
    <x v="503"/>
    <s v="Washington"/>
    <x v="1"/>
    <x v="10"/>
    <x v="558"/>
    <x v="636"/>
    <x v="0"/>
  </r>
  <r>
    <x v="531"/>
    <d v="2015-09-27T00:00:00"/>
    <x v="0"/>
    <s v="Second Class"/>
    <s v="LA-16780"/>
    <x v="453"/>
    <s v="California"/>
    <x v="0"/>
    <x v="1"/>
    <x v="1122"/>
    <x v="1446"/>
    <x v="4"/>
  </r>
  <r>
    <x v="531"/>
    <d v="2015-09-27T00:00:00"/>
    <x v="0"/>
    <s v="Second Class"/>
    <s v="LA-16780"/>
    <x v="453"/>
    <s v="California"/>
    <x v="0"/>
    <x v="0"/>
    <x v="595"/>
    <x v="1447"/>
    <x v="1"/>
  </r>
  <r>
    <x v="531"/>
    <d v="2015-09-25T00:00:00"/>
    <x v="7"/>
    <s v="Same Day"/>
    <s v="EB-13750"/>
    <x v="470"/>
    <s v="California"/>
    <x v="1"/>
    <x v="7"/>
    <x v="1123"/>
    <x v="1448"/>
    <x v="1"/>
  </r>
  <r>
    <x v="531"/>
    <d v="2015-10-02T00:00:00"/>
    <x v="6"/>
    <s v="Standard Class"/>
    <s v="CL-12700"/>
    <x v="476"/>
    <s v="Colorado"/>
    <x v="1"/>
    <x v="7"/>
    <x v="1124"/>
    <x v="1449"/>
    <x v="4"/>
  </r>
  <r>
    <x v="531"/>
    <d v="2015-10-02T00:00:00"/>
    <x v="6"/>
    <s v="Standard Class"/>
    <s v="CL-12700"/>
    <x v="476"/>
    <s v="Colorado"/>
    <x v="0"/>
    <x v="1"/>
    <x v="1125"/>
    <x v="1450"/>
    <x v="11"/>
  </r>
  <r>
    <x v="531"/>
    <d v="2015-09-29T00:00:00"/>
    <x v="5"/>
    <s v="Standard Class"/>
    <s v="EH-13765"/>
    <x v="53"/>
    <s v="California"/>
    <x v="0"/>
    <x v="6"/>
    <x v="316"/>
    <x v="1003"/>
    <x v="1"/>
  </r>
  <r>
    <x v="531"/>
    <d v="2015-09-29T00:00:00"/>
    <x v="5"/>
    <s v="Standard Class"/>
    <s v="EH-13765"/>
    <x v="53"/>
    <s v="California"/>
    <x v="1"/>
    <x v="10"/>
    <x v="139"/>
    <x v="1451"/>
    <x v="1"/>
  </r>
  <r>
    <x v="532"/>
    <d v="2015-10-01T00:00:00"/>
    <x v="1"/>
    <s v="Standard Class"/>
    <s v="AB-10105"/>
    <x v="545"/>
    <s v="Arizona"/>
    <x v="1"/>
    <x v="8"/>
    <x v="444"/>
    <x v="791"/>
    <x v="0"/>
  </r>
  <r>
    <x v="532"/>
    <d v="2015-09-30T00:00:00"/>
    <x v="5"/>
    <s v="Standard Class"/>
    <s v="KE-16420"/>
    <x v="42"/>
    <s v="Oregon"/>
    <x v="0"/>
    <x v="0"/>
    <x v="595"/>
    <x v="1452"/>
    <x v="11"/>
  </r>
  <r>
    <x v="532"/>
    <d v="2015-09-30T00:00:00"/>
    <x v="5"/>
    <s v="Standard Class"/>
    <s v="KE-16420"/>
    <x v="42"/>
    <s v="Oregon"/>
    <x v="0"/>
    <x v="5"/>
    <x v="784"/>
    <x v="1453"/>
    <x v="6"/>
  </r>
  <r>
    <x v="532"/>
    <d v="2015-10-02T00:00:00"/>
    <x v="4"/>
    <s v="Standard Class"/>
    <s v="JW-16075"/>
    <x v="546"/>
    <s v="California"/>
    <x v="0"/>
    <x v="3"/>
    <x v="864"/>
    <x v="1454"/>
    <x v="2"/>
  </r>
  <r>
    <x v="532"/>
    <d v="2015-09-28T00:00:00"/>
    <x v="0"/>
    <s v="First Class"/>
    <s v="AS-10045"/>
    <x v="547"/>
    <s v="California"/>
    <x v="1"/>
    <x v="2"/>
    <x v="919"/>
    <x v="1455"/>
    <x v="4"/>
  </r>
  <r>
    <x v="532"/>
    <d v="2015-10-02T00:00:00"/>
    <x v="4"/>
    <s v="Standard Class"/>
    <s v="DL-12865"/>
    <x v="548"/>
    <s v="California"/>
    <x v="0"/>
    <x v="0"/>
    <x v="1126"/>
    <x v="653"/>
    <x v="1"/>
  </r>
  <r>
    <x v="532"/>
    <d v="2015-10-02T00:00:00"/>
    <x v="4"/>
    <s v="Standard Class"/>
    <s v="DL-12865"/>
    <x v="548"/>
    <s v="California"/>
    <x v="0"/>
    <x v="15"/>
    <x v="555"/>
    <x v="74"/>
    <x v="4"/>
  </r>
  <r>
    <x v="532"/>
    <d v="2015-10-02T00:00:00"/>
    <x v="4"/>
    <s v="Standard Class"/>
    <s v="DL-12865"/>
    <x v="548"/>
    <s v="California"/>
    <x v="0"/>
    <x v="15"/>
    <x v="899"/>
    <x v="1098"/>
    <x v="6"/>
  </r>
  <r>
    <x v="532"/>
    <d v="2015-10-02T00:00:00"/>
    <x v="4"/>
    <s v="Standard Class"/>
    <s v="DL-12865"/>
    <x v="548"/>
    <s v="California"/>
    <x v="2"/>
    <x v="16"/>
    <x v="609"/>
    <x v="1456"/>
    <x v="0"/>
  </r>
  <r>
    <x v="532"/>
    <d v="2015-10-02T00:00:00"/>
    <x v="4"/>
    <s v="Standard Class"/>
    <s v="DL-12865"/>
    <x v="548"/>
    <s v="California"/>
    <x v="2"/>
    <x v="14"/>
    <x v="585"/>
    <x v="1457"/>
    <x v="9"/>
  </r>
  <r>
    <x v="532"/>
    <d v="2015-10-02T00:00:00"/>
    <x v="4"/>
    <s v="Standard Class"/>
    <s v="DL-12865"/>
    <x v="548"/>
    <s v="California"/>
    <x v="0"/>
    <x v="3"/>
    <x v="712"/>
    <x v="943"/>
    <x v="4"/>
  </r>
  <r>
    <x v="532"/>
    <d v="2015-10-02T00:00:00"/>
    <x v="4"/>
    <s v="Standard Class"/>
    <s v="DL-12865"/>
    <x v="548"/>
    <s v="California"/>
    <x v="1"/>
    <x v="10"/>
    <x v="436"/>
    <x v="1291"/>
    <x v="2"/>
  </r>
  <r>
    <x v="533"/>
    <d v="2015-10-02T00:00:00"/>
    <x v="1"/>
    <s v="Standard Class"/>
    <s v="SH-19975"/>
    <x v="245"/>
    <s v="California"/>
    <x v="1"/>
    <x v="2"/>
    <x v="510"/>
    <x v="1458"/>
    <x v="1"/>
  </r>
  <r>
    <x v="533"/>
    <d v="2015-10-01T00:00:00"/>
    <x v="5"/>
    <s v="Standard Class"/>
    <s v="SN-20710"/>
    <x v="65"/>
    <s v="Washington"/>
    <x v="0"/>
    <x v="4"/>
    <x v="1127"/>
    <x v="1459"/>
    <x v="5"/>
  </r>
  <r>
    <x v="533"/>
    <d v="2015-10-01T00:00:00"/>
    <x v="5"/>
    <s v="Standard Class"/>
    <s v="SN-20710"/>
    <x v="65"/>
    <s v="Washington"/>
    <x v="0"/>
    <x v="0"/>
    <x v="1013"/>
    <x v="1460"/>
    <x v="1"/>
  </r>
  <r>
    <x v="533"/>
    <d v="2015-10-01T00:00:00"/>
    <x v="5"/>
    <s v="Standard Class"/>
    <s v="SN-20710"/>
    <x v="65"/>
    <s v="Washington"/>
    <x v="2"/>
    <x v="11"/>
    <x v="903"/>
    <x v="1461"/>
    <x v="2"/>
  </r>
  <r>
    <x v="533"/>
    <d v="2015-09-27T00:00:00"/>
    <x v="7"/>
    <s v="Same Day"/>
    <s v="CM-12445"/>
    <x v="85"/>
    <s v="California"/>
    <x v="0"/>
    <x v="1"/>
    <x v="545"/>
    <x v="594"/>
    <x v="0"/>
  </r>
  <r>
    <x v="533"/>
    <d v="2015-09-27T00:00:00"/>
    <x v="7"/>
    <s v="Same Day"/>
    <s v="CM-12445"/>
    <x v="85"/>
    <s v="California"/>
    <x v="0"/>
    <x v="15"/>
    <x v="255"/>
    <x v="1462"/>
    <x v="0"/>
  </r>
  <r>
    <x v="533"/>
    <d v="2015-09-27T00:00:00"/>
    <x v="7"/>
    <s v="Same Day"/>
    <s v="CM-12445"/>
    <x v="85"/>
    <s v="California"/>
    <x v="0"/>
    <x v="3"/>
    <x v="1111"/>
    <x v="1429"/>
    <x v="1"/>
  </r>
  <r>
    <x v="533"/>
    <d v="2015-09-27T00:00:00"/>
    <x v="7"/>
    <s v="Same Day"/>
    <s v="CM-12445"/>
    <x v="85"/>
    <s v="California"/>
    <x v="0"/>
    <x v="0"/>
    <x v="259"/>
    <x v="1460"/>
    <x v="1"/>
  </r>
  <r>
    <x v="533"/>
    <d v="2015-10-01T00:00:00"/>
    <x v="5"/>
    <s v="Standard Class"/>
    <s v="DW-13585"/>
    <x v="517"/>
    <s v="California"/>
    <x v="0"/>
    <x v="0"/>
    <x v="1128"/>
    <x v="28"/>
    <x v="4"/>
  </r>
  <r>
    <x v="534"/>
    <d v="2015-10-04T00:00:00"/>
    <x v="4"/>
    <s v="Standard Class"/>
    <s v="SW-20455"/>
    <x v="413"/>
    <s v="Washington"/>
    <x v="2"/>
    <x v="14"/>
    <x v="1129"/>
    <x v="1463"/>
    <x v="4"/>
  </r>
  <r>
    <x v="535"/>
    <d v="2015-10-02T00:00:00"/>
    <x v="0"/>
    <s v="Second Class"/>
    <s v="PS-18760"/>
    <x v="549"/>
    <s v="California"/>
    <x v="0"/>
    <x v="0"/>
    <x v="855"/>
    <x v="1464"/>
    <x v="6"/>
  </r>
  <r>
    <x v="535"/>
    <d v="2015-10-04T00:00:00"/>
    <x v="5"/>
    <s v="Standard Class"/>
    <s v="AR-10540"/>
    <x v="302"/>
    <s v="California"/>
    <x v="0"/>
    <x v="5"/>
    <x v="806"/>
    <x v="1465"/>
    <x v="1"/>
  </r>
  <r>
    <x v="535"/>
    <d v="2015-10-02T00:00:00"/>
    <x v="0"/>
    <s v="Second Class"/>
    <s v="DM-12955"/>
    <x v="244"/>
    <s v="Arizona"/>
    <x v="0"/>
    <x v="3"/>
    <x v="103"/>
    <x v="1466"/>
    <x v="2"/>
  </r>
  <r>
    <x v="535"/>
    <d v="2015-10-04T00:00:00"/>
    <x v="5"/>
    <s v="Standard Class"/>
    <s v="ES-14080"/>
    <x v="171"/>
    <s v="Oregon"/>
    <x v="2"/>
    <x v="14"/>
    <x v="127"/>
    <x v="1467"/>
    <x v="0"/>
  </r>
  <r>
    <x v="535"/>
    <d v="2015-10-04T00:00:00"/>
    <x v="5"/>
    <s v="Standard Class"/>
    <s v="ML-17410"/>
    <x v="550"/>
    <s v="California"/>
    <x v="2"/>
    <x v="11"/>
    <x v="95"/>
    <x v="1087"/>
    <x v="6"/>
  </r>
  <r>
    <x v="536"/>
    <d v="2015-10-03T00:00:00"/>
    <x v="3"/>
    <s v="First Class"/>
    <s v="BD-11620"/>
    <x v="551"/>
    <s v="California"/>
    <x v="1"/>
    <x v="10"/>
    <x v="535"/>
    <x v="1468"/>
    <x v="2"/>
  </r>
  <r>
    <x v="537"/>
    <d v="2015-10-04T00:00:00"/>
    <x v="3"/>
    <s v="First Class"/>
    <s v="LP-17095"/>
    <x v="530"/>
    <s v="Arizona"/>
    <x v="0"/>
    <x v="5"/>
    <x v="1130"/>
    <x v="1469"/>
    <x v="5"/>
  </r>
  <r>
    <x v="538"/>
    <d v="2015-10-08T00:00:00"/>
    <x v="5"/>
    <s v="Standard Class"/>
    <s v="DB-12910"/>
    <x v="552"/>
    <s v="California"/>
    <x v="0"/>
    <x v="15"/>
    <x v="576"/>
    <x v="366"/>
    <x v="4"/>
  </r>
  <r>
    <x v="538"/>
    <d v="2015-10-08T00:00:00"/>
    <x v="5"/>
    <s v="Standard Class"/>
    <s v="DB-12910"/>
    <x v="552"/>
    <s v="California"/>
    <x v="1"/>
    <x v="10"/>
    <x v="31"/>
    <x v="642"/>
    <x v="2"/>
  </r>
  <r>
    <x v="538"/>
    <d v="2015-10-08T00:00:00"/>
    <x v="5"/>
    <s v="Standard Class"/>
    <s v="DB-12910"/>
    <x v="552"/>
    <s v="California"/>
    <x v="0"/>
    <x v="0"/>
    <x v="330"/>
    <x v="296"/>
    <x v="4"/>
  </r>
  <r>
    <x v="538"/>
    <d v="2015-10-08T00:00:00"/>
    <x v="5"/>
    <s v="Standard Class"/>
    <s v="DB-12910"/>
    <x v="552"/>
    <s v="California"/>
    <x v="0"/>
    <x v="0"/>
    <x v="109"/>
    <x v="1470"/>
    <x v="4"/>
  </r>
  <r>
    <x v="539"/>
    <d v="2015-10-08T00:00:00"/>
    <x v="3"/>
    <s v="First Class"/>
    <s v="LB-16795"/>
    <x v="525"/>
    <s v="Colorado"/>
    <x v="2"/>
    <x v="13"/>
    <x v="1131"/>
    <x v="1471"/>
    <x v="5"/>
  </r>
  <r>
    <x v="539"/>
    <d v="2015-10-08T00:00:00"/>
    <x v="3"/>
    <s v="First Class"/>
    <s v="LB-16795"/>
    <x v="525"/>
    <s v="Colorado"/>
    <x v="0"/>
    <x v="5"/>
    <x v="1132"/>
    <x v="1472"/>
    <x v="2"/>
  </r>
  <r>
    <x v="539"/>
    <d v="2015-10-08T00:00:00"/>
    <x v="3"/>
    <s v="First Class"/>
    <s v="LB-16795"/>
    <x v="525"/>
    <s v="Colorado"/>
    <x v="0"/>
    <x v="5"/>
    <x v="398"/>
    <x v="1473"/>
    <x v="2"/>
  </r>
  <r>
    <x v="539"/>
    <d v="2015-10-08T00:00:00"/>
    <x v="3"/>
    <s v="First Class"/>
    <s v="LB-16795"/>
    <x v="525"/>
    <s v="Colorado"/>
    <x v="2"/>
    <x v="11"/>
    <x v="1133"/>
    <x v="1474"/>
    <x v="1"/>
  </r>
  <r>
    <x v="540"/>
    <d v="2015-10-14T00:00:00"/>
    <x v="4"/>
    <s v="Standard Class"/>
    <s v="TB-21250"/>
    <x v="240"/>
    <s v="California"/>
    <x v="0"/>
    <x v="5"/>
    <x v="779"/>
    <x v="1475"/>
    <x v="4"/>
  </r>
  <r>
    <x v="540"/>
    <d v="2015-10-10T00:00:00"/>
    <x v="0"/>
    <s v="First Class"/>
    <s v="DL-13495"/>
    <x v="513"/>
    <s v="Washington"/>
    <x v="2"/>
    <x v="13"/>
    <x v="706"/>
    <x v="1379"/>
    <x v="0"/>
  </r>
  <r>
    <x v="540"/>
    <d v="2015-10-13T00:00:00"/>
    <x v="1"/>
    <s v="Standard Class"/>
    <s v="CC-12475"/>
    <x v="72"/>
    <s v="California"/>
    <x v="0"/>
    <x v="0"/>
    <x v="1134"/>
    <x v="44"/>
    <x v="4"/>
  </r>
  <r>
    <x v="540"/>
    <d v="2015-10-12T00:00:00"/>
    <x v="5"/>
    <s v="Standard Class"/>
    <s v="MC-18100"/>
    <x v="89"/>
    <s v="Washington"/>
    <x v="0"/>
    <x v="9"/>
    <x v="89"/>
    <x v="1476"/>
    <x v="7"/>
  </r>
  <r>
    <x v="541"/>
    <d v="2015-10-09T00:00:00"/>
    <x v="7"/>
    <s v="Same Day"/>
    <s v="JE-15745"/>
    <x v="91"/>
    <s v="California"/>
    <x v="0"/>
    <x v="0"/>
    <x v="268"/>
    <x v="402"/>
    <x v="4"/>
  </r>
  <r>
    <x v="542"/>
    <d v="2015-10-15T00:00:00"/>
    <x v="1"/>
    <s v="Standard Class"/>
    <s v="MZ-17335"/>
    <x v="412"/>
    <s v="Arizona"/>
    <x v="0"/>
    <x v="3"/>
    <x v="569"/>
    <x v="1477"/>
    <x v="6"/>
  </r>
  <r>
    <x v="542"/>
    <d v="2015-10-15T00:00:00"/>
    <x v="1"/>
    <s v="Standard Class"/>
    <s v="MZ-17335"/>
    <x v="412"/>
    <s v="Arizona"/>
    <x v="1"/>
    <x v="7"/>
    <x v="1135"/>
    <x v="1478"/>
    <x v="4"/>
  </r>
  <r>
    <x v="543"/>
    <d v="2015-10-13T00:00:00"/>
    <x v="0"/>
    <s v="First Class"/>
    <s v="CC-12610"/>
    <x v="553"/>
    <s v="Colorado"/>
    <x v="1"/>
    <x v="2"/>
    <x v="1136"/>
    <x v="1479"/>
    <x v="0"/>
  </r>
  <r>
    <x v="543"/>
    <d v="2015-10-13T00:00:00"/>
    <x v="0"/>
    <s v="First Class"/>
    <s v="CC-12610"/>
    <x v="553"/>
    <s v="Colorado"/>
    <x v="2"/>
    <x v="14"/>
    <x v="367"/>
    <x v="386"/>
    <x v="6"/>
  </r>
  <r>
    <x v="543"/>
    <d v="2015-10-13T00:00:00"/>
    <x v="0"/>
    <s v="First Class"/>
    <s v="CC-12610"/>
    <x v="553"/>
    <s v="Colorado"/>
    <x v="1"/>
    <x v="10"/>
    <x v="1037"/>
    <x v="1480"/>
    <x v="6"/>
  </r>
  <r>
    <x v="544"/>
    <d v="2015-10-20T00:00:00"/>
    <x v="4"/>
    <s v="Standard Class"/>
    <s v="LC-16885"/>
    <x v="78"/>
    <s v="California"/>
    <x v="0"/>
    <x v="0"/>
    <x v="11"/>
    <x v="441"/>
    <x v="0"/>
  </r>
  <r>
    <x v="544"/>
    <d v="2015-10-20T00:00:00"/>
    <x v="4"/>
    <s v="Standard Class"/>
    <s v="LC-16885"/>
    <x v="78"/>
    <s v="California"/>
    <x v="0"/>
    <x v="0"/>
    <x v="602"/>
    <x v="1481"/>
    <x v="6"/>
  </r>
  <r>
    <x v="544"/>
    <d v="2015-10-20T00:00:00"/>
    <x v="4"/>
    <s v="Standard Class"/>
    <s v="LC-16885"/>
    <x v="78"/>
    <s v="California"/>
    <x v="0"/>
    <x v="3"/>
    <x v="1137"/>
    <x v="217"/>
    <x v="2"/>
  </r>
  <r>
    <x v="544"/>
    <d v="2015-10-20T00:00:00"/>
    <x v="4"/>
    <s v="Standard Class"/>
    <s v="LC-16885"/>
    <x v="78"/>
    <s v="California"/>
    <x v="0"/>
    <x v="9"/>
    <x v="300"/>
    <x v="311"/>
    <x v="4"/>
  </r>
  <r>
    <x v="544"/>
    <d v="2015-10-20T00:00:00"/>
    <x v="4"/>
    <s v="Standard Class"/>
    <s v="LC-16885"/>
    <x v="78"/>
    <s v="California"/>
    <x v="0"/>
    <x v="5"/>
    <x v="941"/>
    <x v="1482"/>
    <x v="0"/>
  </r>
  <r>
    <x v="544"/>
    <d v="2015-10-20T00:00:00"/>
    <x v="4"/>
    <s v="Standard Class"/>
    <s v="LC-16885"/>
    <x v="78"/>
    <s v="California"/>
    <x v="0"/>
    <x v="12"/>
    <x v="719"/>
    <x v="1483"/>
    <x v="5"/>
  </r>
  <r>
    <x v="544"/>
    <d v="2015-10-20T00:00:00"/>
    <x v="4"/>
    <s v="Standard Class"/>
    <s v="LC-16885"/>
    <x v="78"/>
    <s v="California"/>
    <x v="1"/>
    <x v="7"/>
    <x v="351"/>
    <x v="1484"/>
    <x v="10"/>
  </r>
  <r>
    <x v="544"/>
    <d v="2015-10-18T00:00:00"/>
    <x v="5"/>
    <s v="Standard Class"/>
    <s v="NC-18625"/>
    <x v="554"/>
    <s v="Colorado"/>
    <x v="1"/>
    <x v="8"/>
    <x v="188"/>
    <x v="1485"/>
    <x v="1"/>
  </r>
  <r>
    <x v="544"/>
    <d v="2015-10-18T00:00:00"/>
    <x v="5"/>
    <s v="Standard Class"/>
    <s v="NC-18625"/>
    <x v="554"/>
    <s v="Colorado"/>
    <x v="1"/>
    <x v="7"/>
    <x v="1003"/>
    <x v="1486"/>
    <x v="0"/>
  </r>
  <r>
    <x v="545"/>
    <d v="2015-10-19T00:00:00"/>
    <x v="5"/>
    <s v="Standard Class"/>
    <s v="CP-12340"/>
    <x v="492"/>
    <s v="Washington"/>
    <x v="2"/>
    <x v="11"/>
    <x v="310"/>
    <x v="1487"/>
    <x v="0"/>
  </r>
  <r>
    <x v="546"/>
    <d v="2015-10-22T00:00:00"/>
    <x v="4"/>
    <s v="Standard Class"/>
    <s v="PB-18805"/>
    <x v="418"/>
    <s v="Utah"/>
    <x v="0"/>
    <x v="0"/>
    <x v="1138"/>
    <x v="536"/>
    <x v="4"/>
  </r>
  <r>
    <x v="546"/>
    <d v="2015-10-22T00:00:00"/>
    <x v="4"/>
    <s v="Standard Class"/>
    <s v="PB-18805"/>
    <x v="418"/>
    <s v="Utah"/>
    <x v="0"/>
    <x v="0"/>
    <x v="291"/>
    <x v="1488"/>
    <x v="11"/>
  </r>
  <r>
    <x v="546"/>
    <d v="2015-10-22T00:00:00"/>
    <x v="4"/>
    <s v="Standard Class"/>
    <s v="PB-18805"/>
    <x v="418"/>
    <s v="Utah"/>
    <x v="0"/>
    <x v="5"/>
    <x v="571"/>
    <x v="628"/>
    <x v="1"/>
  </r>
  <r>
    <x v="546"/>
    <d v="2015-10-22T00:00:00"/>
    <x v="4"/>
    <s v="Standard Class"/>
    <s v="PB-18805"/>
    <x v="418"/>
    <s v="Utah"/>
    <x v="0"/>
    <x v="0"/>
    <x v="427"/>
    <x v="1489"/>
    <x v="9"/>
  </r>
  <r>
    <x v="547"/>
    <d v="2015-10-21T00:00:00"/>
    <x v="2"/>
    <s v="First Class"/>
    <s v="NK-18490"/>
    <x v="327"/>
    <s v="California"/>
    <x v="0"/>
    <x v="5"/>
    <x v="1139"/>
    <x v="1490"/>
    <x v="1"/>
  </r>
  <r>
    <x v="547"/>
    <d v="2015-10-22T00:00:00"/>
    <x v="5"/>
    <s v="Standard Class"/>
    <s v="MG-17890"/>
    <x v="464"/>
    <s v="California"/>
    <x v="1"/>
    <x v="2"/>
    <x v="1140"/>
    <x v="919"/>
    <x v="4"/>
  </r>
  <r>
    <x v="548"/>
    <d v="2015-10-23T00:00:00"/>
    <x v="5"/>
    <s v="Standard Class"/>
    <s v="EP-13915"/>
    <x v="555"/>
    <s v="Arizona"/>
    <x v="1"/>
    <x v="10"/>
    <x v="558"/>
    <x v="1491"/>
    <x v="1"/>
  </r>
  <r>
    <x v="549"/>
    <d v="2015-10-23T00:00:00"/>
    <x v="0"/>
    <s v="First Class"/>
    <s v="AG-10495"/>
    <x v="400"/>
    <s v="California"/>
    <x v="0"/>
    <x v="5"/>
    <x v="400"/>
    <x v="422"/>
    <x v="0"/>
  </r>
  <r>
    <x v="549"/>
    <d v="2015-10-26T00:00:00"/>
    <x v="1"/>
    <s v="Standard Class"/>
    <s v="MY-18295"/>
    <x v="556"/>
    <s v="California"/>
    <x v="1"/>
    <x v="10"/>
    <x v="1141"/>
    <x v="1492"/>
    <x v="2"/>
  </r>
  <r>
    <x v="550"/>
    <d v="2015-10-28T00:00:00"/>
    <x v="4"/>
    <s v="Standard Class"/>
    <s v="NM-18520"/>
    <x v="371"/>
    <s v="California"/>
    <x v="0"/>
    <x v="0"/>
    <x v="1142"/>
    <x v="1493"/>
    <x v="0"/>
  </r>
  <r>
    <x v="550"/>
    <d v="2015-10-26T00:00:00"/>
    <x v="5"/>
    <s v="Standard Class"/>
    <s v="JE-15745"/>
    <x v="91"/>
    <s v="California"/>
    <x v="0"/>
    <x v="1"/>
    <x v="672"/>
    <x v="1494"/>
    <x v="0"/>
  </r>
  <r>
    <x v="550"/>
    <d v="2015-10-27T00:00:00"/>
    <x v="1"/>
    <s v="Second Class"/>
    <s v="DP-13390"/>
    <x v="97"/>
    <s v="Nevada"/>
    <x v="0"/>
    <x v="3"/>
    <x v="422"/>
    <x v="1495"/>
    <x v="0"/>
  </r>
  <r>
    <x v="550"/>
    <d v="2015-10-27T00:00:00"/>
    <x v="1"/>
    <s v="Second Class"/>
    <s v="DP-13390"/>
    <x v="97"/>
    <s v="Nevada"/>
    <x v="0"/>
    <x v="0"/>
    <x v="1143"/>
    <x v="1496"/>
    <x v="5"/>
  </r>
  <r>
    <x v="550"/>
    <d v="2015-10-27T00:00:00"/>
    <x v="1"/>
    <s v="Second Class"/>
    <s v="DP-13390"/>
    <x v="97"/>
    <s v="Nevada"/>
    <x v="0"/>
    <x v="5"/>
    <x v="1144"/>
    <x v="1497"/>
    <x v="0"/>
  </r>
  <r>
    <x v="550"/>
    <d v="2015-10-28T00:00:00"/>
    <x v="4"/>
    <s v="Standard Class"/>
    <s v="CS-11950"/>
    <x v="83"/>
    <s v="California"/>
    <x v="1"/>
    <x v="10"/>
    <x v="1145"/>
    <x v="1498"/>
    <x v="0"/>
  </r>
  <r>
    <x v="550"/>
    <d v="2015-10-28T00:00:00"/>
    <x v="4"/>
    <s v="Standard Class"/>
    <s v="CS-11950"/>
    <x v="83"/>
    <s v="California"/>
    <x v="0"/>
    <x v="3"/>
    <x v="37"/>
    <x v="426"/>
    <x v="0"/>
  </r>
  <r>
    <x v="550"/>
    <d v="2015-10-28T00:00:00"/>
    <x v="4"/>
    <s v="Standard Class"/>
    <s v="CS-11950"/>
    <x v="83"/>
    <s v="California"/>
    <x v="1"/>
    <x v="7"/>
    <x v="1146"/>
    <x v="1499"/>
    <x v="4"/>
  </r>
  <r>
    <x v="550"/>
    <d v="2015-10-28T00:00:00"/>
    <x v="4"/>
    <s v="Standard Class"/>
    <s v="CS-11950"/>
    <x v="83"/>
    <s v="California"/>
    <x v="0"/>
    <x v="1"/>
    <x v="424"/>
    <x v="446"/>
    <x v="0"/>
  </r>
  <r>
    <x v="551"/>
    <d v="2015-10-23T00:00:00"/>
    <x v="7"/>
    <s v="Same Day"/>
    <s v="MS-17530"/>
    <x v="201"/>
    <s v="Washington"/>
    <x v="0"/>
    <x v="0"/>
    <x v="291"/>
    <x v="1500"/>
    <x v="6"/>
  </r>
  <r>
    <x v="551"/>
    <d v="2015-10-23T00:00:00"/>
    <x v="7"/>
    <s v="Same Day"/>
    <s v="MS-17530"/>
    <x v="201"/>
    <s v="Washington"/>
    <x v="0"/>
    <x v="3"/>
    <x v="185"/>
    <x v="1501"/>
    <x v="0"/>
  </r>
  <r>
    <x v="551"/>
    <d v="2015-10-23T00:00:00"/>
    <x v="7"/>
    <s v="Same Day"/>
    <s v="MS-17530"/>
    <x v="201"/>
    <s v="Washington"/>
    <x v="1"/>
    <x v="7"/>
    <x v="1147"/>
    <x v="1502"/>
    <x v="0"/>
  </r>
  <r>
    <x v="552"/>
    <d v="2015-10-29T00:00:00"/>
    <x v="1"/>
    <s v="Standard Class"/>
    <s v="AB-10255"/>
    <x v="111"/>
    <s v="Washington"/>
    <x v="0"/>
    <x v="9"/>
    <x v="1093"/>
    <x v="1503"/>
    <x v="1"/>
  </r>
  <r>
    <x v="553"/>
    <d v="2015-10-29T00:00:00"/>
    <x v="5"/>
    <s v="Second Class"/>
    <s v="VW-21775"/>
    <x v="275"/>
    <s v="California"/>
    <x v="2"/>
    <x v="11"/>
    <x v="903"/>
    <x v="1461"/>
    <x v="2"/>
  </r>
  <r>
    <x v="553"/>
    <d v="2015-10-29T00:00:00"/>
    <x v="5"/>
    <s v="Second Class"/>
    <s v="VW-21775"/>
    <x v="275"/>
    <s v="California"/>
    <x v="2"/>
    <x v="11"/>
    <x v="1148"/>
    <x v="1504"/>
    <x v="4"/>
  </r>
  <r>
    <x v="553"/>
    <d v="2015-10-25T00:00:00"/>
    <x v="7"/>
    <s v="Same Day"/>
    <s v="SS-20590"/>
    <x v="124"/>
    <s v="California"/>
    <x v="2"/>
    <x v="11"/>
    <x v="1149"/>
    <x v="1505"/>
    <x v="6"/>
  </r>
  <r>
    <x v="553"/>
    <d v="2015-10-29T00:00:00"/>
    <x v="5"/>
    <s v="Standard Class"/>
    <s v="ED-13885"/>
    <x v="128"/>
    <s v="California"/>
    <x v="2"/>
    <x v="11"/>
    <x v="793"/>
    <x v="1506"/>
    <x v="1"/>
  </r>
  <r>
    <x v="554"/>
    <d v="2015-11-03T00:00:00"/>
    <x v="4"/>
    <s v="Standard Class"/>
    <s v="BP-11095"/>
    <x v="253"/>
    <s v="California"/>
    <x v="0"/>
    <x v="4"/>
    <x v="328"/>
    <x v="343"/>
    <x v="2"/>
  </r>
  <r>
    <x v="554"/>
    <d v="2015-11-03T00:00:00"/>
    <x v="4"/>
    <s v="Standard Class"/>
    <s v="BP-11095"/>
    <x v="253"/>
    <s v="California"/>
    <x v="0"/>
    <x v="5"/>
    <x v="571"/>
    <x v="862"/>
    <x v="0"/>
  </r>
  <r>
    <x v="554"/>
    <d v="2015-11-01T00:00:00"/>
    <x v="5"/>
    <s v="Standard Class"/>
    <s v="PA-19060"/>
    <x v="557"/>
    <s v="California"/>
    <x v="0"/>
    <x v="5"/>
    <x v="296"/>
    <x v="1404"/>
    <x v="2"/>
  </r>
  <r>
    <x v="555"/>
    <d v="2015-11-02T00:00:00"/>
    <x v="5"/>
    <s v="Standard Class"/>
    <s v="JH-15910"/>
    <x v="558"/>
    <s v="California"/>
    <x v="0"/>
    <x v="1"/>
    <x v="775"/>
    <x v="1507"/>
    <x v="5"/>
  </r>
  <r>
    <x v="555"/>
    <d v="2015-11-02T00:00:00"/>
    <x v="5"/>
    <s v="Standard Class"/>
    <s v="JH-15910"/>
    <x v="558"/>
    <s v="California"/>
    <x v="2"/>
    <x v="14"/>
    <x v="1150"/>
    <x v="68"/>
    <x v="0"/>
  </r>
  <r>
    <x v="555"/>
    <d v="2015-10-30T00:00:00"/>
    <x v="3"/>
    <s v="First Class"/>
    <s v="AS-10285"/>
    <x v="559"/>
    <s v="California"/>
    <x v="0"/>
    <x v="0"/>
    <x v="1151"/>
    <x v="1508"/>
    <x v="8"/>
  </r>
  <r>
    <x v="555"/>
    <d v="2015-10-30T00:00:00"/>
    <x v="3"/>
    <s v="First Class"/>
    <s v="AS-10285"/>
    <x v="559"/>
    <s v="California"/>
    <x v="0"/>
    <x v="5"/>
    <x v="852"/>
    <x v="1509"/>
    <x v="0"/>
  </r>
  <r>
    <x v="556"/>
    <d v="2015-11-02T00:00:00"/>
    <x v="2"/>
    <s v="Second Class"/>
    <s v="LH-17155"/>
    <x v="247"/>
    <s v="California"/>
    <x v="0"/>
    <x v="5"/>
    <x v="1152"/>
    <x v="1510"/>
    <x v="6"/>
  </r>
  <r>
    <x v="557"/>
    <d v="2015-11-05T00:00:00"/>
    <x v="1"/>
    <s v="Standard Class"/>
    <s v="SP-20920"/>
    <x v="220"/>
    <s v="California"/>
    <x v="0"/>
    <x v="9"/>
    <x v="684"/>
    <x v="1511"/>
    <x v="4"/>
  </r>
  <r>
    <x v="558"/>
    <d v="2015-11-05T00:00:00"/>
    <x v="5"/>
    <s v="Standard Class"/>
    <s v="JD-15895"/>
    <x v="34"/>
    <s v="California"/>
    <x v="0"/>
    <x v="1"/>
    <x v="342"/>
    <x v="1512"/>
    <x v="8"/>
  </r>
  <r>
    <x v="558"/>
    <d v="2015-11-06T00:00:00"/>
    <x v="1"/>
    <s v="Standard Class"/>
    <s v="SF-20965"/>
    <x v="189"/>
    <s v="California"/>
    <x v="1"/>
    <x v="10"/>
    <x v="521"/>
    <x v="555"/>
    <x v="1"/>
  </r>
  <r>
    <x v="559"/>
    <d v="2015-11-08T00:00:00"/>
    <x v="5"/>
    <s v="Standard Class"/>
    <s v="SF-20200"/>
    <x v="535"/>
    <s v="Washington"/>
    <x v="0"/>
    <x v="3"/>
    <x v="533"/>
    <x v="708"/>
    <x v="0"/>
  </r>
  <r>
    <x v="559"/>
    <d v="2015-11-07T00:00:00"/>
    <x v="2"/>
    <s v="First Class"/>
    <s v="PF-19225"/>
    <x v="560"/>
    <s v="California"/>
    <x v="1"/>
    <x v="10"/>
    <x v="942"/>
    <x v="765"/>
    <x v="4"/>
  </r>
  <r>
    <x v="559"/>
    <d v="2015-11-07T00:00:00"/>
    <x v="2"/>
    <s v="First Class"/>
    <s v="PF-19225"/>
    <x v="560"/>
    <s v="California"/>
    <x v="2"/>
    <x v="11"/>
    <x v="1153"/>
    <x v="1513"/>
    <x v="1"/>
  </r>
  <r>
    <x v="559"/>
    <d v="2015-11-07T00:00:00"/>
    <x v="2"/>
    <s v="First Class"/>
    <s v="PF-19225"/>
    <x v="560"/>
    <s v="California"/>
    <x v="0"/>
    <x v="15"/>
    <x v="1154"/>
    <x v="631"/>
    <x v="8"/>
  </r>
  <r>
    <x v="559"/>
    <d v="2015-11-07T00:00:00"/>
    <x v="2"/>
    <s v="First Class"/>
    <s v="PF-19225"/>
    <x v="560"/>
    <s v="California"/>
    <x v="0"/>
    <x v="4"/>
    <x v="1155"/>
    <x v="1514"/>
    <x v="2"/>
  </r>
  <r>
    <x v="559"/>
    <d v="2015-11-09T00:00:00"/>
    <x v="1"/>
    <s v="Standard Class"/>
    <s v="XP-21865"/>
    <x v="176"/>
    <s v="California"/>
    <x v="0"/>
    <x v="9"/>
    <x v="347"/>
    <x v="1515"/>
    <x v="8"/>
  </r>
  <r>
    <x v="559"/>
    <d v="2015-11-09T00:00:00"/>
    <x v="1"/>
    <s v="Standard Class"/>
    <s v="XP-21865"/>
    <x v="176"/>
    <s v="California"/>
    <x v="0"/>
    <x v="4"/>
    <x v="1059"/>
    <x v="1516"/>
    <x v="4"/>
  </r>
  <r>
    <x v="559"/>
    <d v="2015-11-09T00:00:00"/>
    <x v="1"/>
    <s v="Standard Class"/>
    <s v="XP-21865"/>
    <x v="176"/>
    <s v="California"/>
    <x v="0"/>
    <x v="5"/>
    <x v="1139"/>
    <x v="1517"/>
    <x v="7"/>
  </r>
  <r>
    <x v="559"/>
    <d v="2015-11-09T00:00:00"/>
    <x v="1"/>
    <s v="Standard Class"/>
    <s v="XP-21865"/>
    <x v="176"/>
    <s v="California"/>
    <x v="0"/>
    <x v="0"/>
    <x v="1156"/>
    <x v="1518"/>
    <x v="0"/>
  </r>
  <r>
    <x v="559"/>
    <d v="2015-11-09T00:00:00"/>
    <x v="1"/>
    <s v="Standard Class"/>
    <s v="XP-21865"/>
    <x v="176"/>
    <s v="California"/>
    <x v="0"/>
    <x v="5"/>
    <x v="630"/>
    <x v="1519"/>
    <x v="4"/>
  </r>
  <r>
    <x v="559"/>
    <d v="2015-11-09T00:00:00"/>
    <x v="1"/>
    <s v="Standard Class"/>
    <s v="XP-21865"/>
    <x v="176"/>
    <s v="California"/>
    <x v="0"/>
    <x v="0"/>
    <x v="573"/>
    <x v="0"/>
    <x v="0"/>
  </r>
  <r>
    <x v="559"/>
    <d v="2015-11-09T00:00:00"/>
    <x v="1"/>
    <s v="Standard Class"/>
    <s v="XP-21865"/>
    <x v="176"/>
    <s v="California"/>
    <x v="0"/>
    <x v="0"/>
    <x v="590"/>
    <x v="1520"/>
    <x v="0"/>
  </r>
  <r>
    <x v="559"/>
    <d v="2015-11-06T00:00:00"/>
    <x v="0"/>
    <s v="First Class"/>
    <s v="NW-18400"/>
    <x v="225"/>
    <s v="Oregon"/>
    <x v="0"/>
    <x v="5"/>
    <x v="859"/>
    <x v="1521"/>
    <x v="8"/>
  </r>
  <r>
    <x v="559"/>
    <d v="2015-11-06T00:00:00"/>
    <x v="0"/>
    <s v="First Class"/>
    <s v="NW-18400"/>
    <x v="225"/>
    <s v="Oregon"/>
    <x v="2"/>
    <x v="13"/>
    <x v="1157"/>
    <x v="1522"/>
    <x v="0"/>
  </r>
  <r>
    <x v="560"/>
    <d v="2015-11-09T00:00:00"/>
    <x v="5"/>
    <s v="Second Class"/>
    <s v="AS-10285"/>
    <x v="559"/>
    <s v="Washington"/>
    <x v="1"/>
    <x v="7"/>
    <x v="1158"/>
    <x v="1523"/>
    <x v="0"/>
  </r>
  <r>
    <x v="560"/>
    <d v="2015-11-06T00:00:00"/>
    <x v="3"/>
    <s v="First Class"/>
    <s v="LH-17020"/>
    <x v="561"/>
    <s v="California"/>
    <x v="1"/>
    <x v="7"/>
    <x v="1159"/>
    <x v="1524"/>
    <x v="8"/>
  </r>
  <r>
    <x v="560"/>
    <d v="2015-11-05T00:00:00"/>
    <x v="7"/>
    <s v="Same Day"/>
    <s v="TT-21220"/>
    <x v="357"/>
    <s v="California"/>
    <x v="0"/>
    <x v="3"/>
    <x v="366"/>
    <x v="1525"/>
    <x v="2"/>
  </r>
  <r>
    <x v="560"/>
    <d v="2015-11-07T00:00:00"/>
    <x v="0"/>
    <s v="Second Class"/>
    <s v="TP-21565"/>
    <x v="562"/>
    <s v="Oregon"/>
    <x v="0"/>
    <x v="12"/>
    <x v="394"/>
    <x v="1526"/>
    <x v="8"/>
  </r>
  <r>
    <x v="560"/>
    <d v="2015-11-07T00:00:00"/>
    <x v="0"/>
    <s v="Second Class"/>
    <s v="TP-21565"/>
    <x v="562"/>
    <s v="Oregon"/>
    <x v="1"/>
    <x v="10"/>
    <x v="1160"/>
    <x v="1527"/>
    <x v="6"/>
  </r>
  <r>
    <x v="560"/>
    <d v="2015-11-07T00:00:00"/>
    <x v="0"/>
    <s v="Second Class"/>
    <s v="TP-21565"/>
    <x v="562"/>
    <s v="Oregon"/>
    <x v="0"/>
    <x v="0"/>
    <x v="126"/>
    <x v="1528"/>
    <x v="0"/>
  </r>
  <r>
    <x v="560"/>
    <d v="2015-11-07T00:00:00"/>
    <x v="0"/>
    <s v="Second Class"/>
    <s v="TP-21565"/>
    <x v="562"/>
    <s v="Oregon"/>
    <x v="1"/>
    <x v="10"/>
    <x v="374"/>
    <x v="1529"/>
    <x v="0"/>
  </r>
  <r>
    <x v="560"/>
    <d v="2015-11-07T00:00:00"/>
    <x v="0"/>
    <s v="Second Class"/>
    <s v="TP-21565"/>
    <x v="562"/>
    <s v="Oregon"/>
    <x v="0"/>
    <x v="15"/>
    <x v="1161"/>
    <x v="1530"/>
    <x v="9"/>
  </r>
  <r>
    <x v="560"/>
    <d v="2015-11-07T00:00:00"/>
    <x v="0"/>
    <s v="Second Class"/>
    <s v="TP-21565"/>
    <x v="562"/>
    <s v="Oregon"/>
    <x v="0"/>
    <x v="0"/>
    <x v="855"/>
    <x v="1531"/>
    <x v="6"/>
  </r>
  <r>
    <x v="560"/>
    <d v="2015-11-09T00:00:00"/>
    <x v="5"/>
    <s v="Standard Class"/>
    <s v="CW-11905"/>
    <x v="270"/>
    <s v="California"/>
    <x v="0"/>
    <x v="5"/>
    <x v="187"/>
    <x v="196"/>
    <x v="4"/>
  </r>
  <r>
    <x v="560"/>
    <d v="2015-11-09T00:00:00"/>
    <x v="5"/>
    <s v="Standard Class"/>
    <s v="CW-11905"/>
    <x v="270"/>
    <s v="California"/>
    <x v="0"/>
    <x v="5"/>
    <x v="1162"/>
    <x v="1532"/>
    <x v="6"/>
  </r>
  <r>
    <x v="560"/>
    <d v="2015-11-09T00:00:00"/>
    <x v="5"/>
    <s v="Standard Class"/>
    <s v="CW-11905"/>
    <x v="270"/>
    <s v="California"/>
    <x v="0"/>
    <x v="0"/>
    <x v="1163"/>
    <x v="1259"/>
    <x v="5"/>
  </r>
  <r>
    <x v="560"/>
    <d v="2015-11-09T00:00:00"/>
    <x v="5"/>
    <s v="Standard Class"/>
    <s v="CC-12475"/>
    <x v="72"/>
    <s v="California"/>
    <x v="2"/>
    <x v="13"/>
    <x v="1164"/>
    <x v="1533"/>
    <x v="4"/>
  </r>
  <r>
    <x v="561"/>
    <d v="2015-11-11T00:00:00"/>
    <x v="1"/>
    <s v="Standard Class"/>
    <s v="CS-12400"/>
    <x v="164"/>
    <s v="California"/>
    <x v="0"/>
    <x v="5"/>
    <x v="1165"/>
    <x v="1534"/>
    <x v="1"/>
  </r>
  <r>
    <x v="561"/>
    <d v="2015-11-09T00:00:00"/>
    <x v="2"/>
    <s v="First Class"/>
    <s v="JH-15985"/>
    <x v="130"/>
    <s v="California"/>
    <x v="0"/>
    <x v="5"/>
    <x v="1056"/>
    <x v="1535"/>
    <x v="4"/>
  </r>
  <r>
    <x v="561"/>
    <d v="2015-11-10T00:00:00"/>
    <x v="5"/>
    <s v="Standard Class"/>
    <s v="NP-18700"/>
    <x v="246"/>
    <s v="Washington"/>
    <x v="2"/>
    <x v="11"/>
    <x v="1166"/>
    <x v="1536"/>
    <x v="2"/>
  </r>
  <r>
    <x v="561"/>
    <d v="2015-11-08T00:00:00"/>
    <x v="0"/>
    <s v="Second Class"/>
    <s v="LH-17155"/>
    <x v="247"/>
    <s v="California"/>
    <x v="2"/>
    <x v="11"/>
    <x v="1167"/>
    <x v="1537"/>
    <x v="2"/>
  </r>
  <r>
    <x v="561"/>
    <d v="2015-11-08T00:00:00"/>
    <x v="0"/>
    <s v="Second Class"/>
    <s v="LH-17155"/>
    <x v="247"/>
    <s v="California"/>
    <x v="1"/>
    <x v="10"/>
    <x v="1115"/>
    <x v="1432"/>
    <x v="4"/>
  </r>
  <r>
    <x v="561"/>
    <d v="2015-11-08T00:00:00"/>
    <x v="0"/>
    <s v="Second Class"/>
    <s v="LH-17155"/>
    <x v="247"/>
    <s v="California"/>
    <x v="0"/>
    <x v="6"/>
    <x v="124"/>
    <x v="128"/>
    <x v="0"/>
  </r>
  <r>
    <x v="562"/>
    <d v="2015-11-11T00:00:00"/>
    <x v="5"/>
    <s v="Second Class"/>
    <s v="LS-16975"/>
    <x v="226"/>
    <s v="California"/>
    <x v="1"/>
    <x v="10"/>
    <x v="1168"/>
    <x v="1538"/>
    <x v="4"/>
  </r>
  <r>
    <x v="562"/>
    <d v="2015-11-11T00:00:00"/>
    <x v="5"/>
    <s v="Second Class"/>
    <s v="LS-16975"/>
    <x v="226"/>
    <s v="California"/>
    <x v="1"/>
    <x v="7"/>
    <x v="1169"/>
    <x v="1539"/>
    <x v="0"/>
  </r>
  <r>
    <x v="562"/>
    <d v="2015-11-11T00:00:00"/>
    <x v="5"/>
    <s v="Second Class"/>
    <s v="IM-15070"/>
    <x v="437"/>
    <s v="California"/>
    <x v="0"/>
    <x v="1"/>
    <x v="396"/>
    <x v="1540"/>
    <x v="0"/>
  </r>
  <r>
    <x v="563"/>
    <d v="2015-11-12T00:00:00"/>
    <x v="5"/>
    <s v="Standard Class"/>
    <s v="MJ-17740"/>
    <x v="505"/>
    <s v="Washington"/>
    <x v="0"/>
    <x v="5"/>
    <x v="1170"/>
    <x v="1541"/>
    <x v="4"/>
  </r>
  <r>
    <x v="563"/>
    <d v="2015-11-10T00:00:00"/>
    <x v="0"/>
    <s v="First Class"/>
    <s v="EM-14095"/>
    <x v="422"/>
    <s v="California"/>
    <x v="0"/>
    <x v="5"/>
    <x v="559"/>
    <x v="1542"/>
    <x v="2"/>
  </r>
  <r>
    <x v="563"/>
    <d v="2015-11-10T00:00:00"/>
    <x v="0"/>
    <s v="First Class"/>
    <s v="EM-14095"/>
    <x v="422"/>
    <s v="California"/>
    <x v="0"/>
    <x v="5"/>
    <x v="329"/>
    <x v="722"/>
    <x v="2"/>
  </r>
  <r>
    <x v="563"/>
    <d v="2015-11-10T00:00:00"/>
    <x v="0"/>
    <s v="First Class"/>
    <s v="EM-14095"/>
    <x v="422"/>
    <s v="California"/>
    <x v="0"/>
    <x v="12"/>
    <x v="1171"/>
    <x v="1543"/>
    <x v="4"/>
  </r>
  <r>
    <x v="563"/>
    <d v="2015-11-10T00:00:00"/>
    <x v="0"/>
    <s v="First Class"/>
    <s v="EM-14095"/>
    <x v="422"/>
    <s v="California"/>
    <x v="0"/>
    <x v="15"/>
    <x v="1032"/>
    <x v="556"/>
    <x v="4"/>
  </r>
  <r>
    <x v="563"/>
    <d v="2015-11-13T00:00:00"/>
    <x v="1"/>
    <s v="Standard Class"/>
    <s v="CB-12535"/>
    <x v="323"/>
    <s v="California"/>
    <x v="1"/>
    <x v="7"/>
    <x v="978"/>
    <x v="1544"/>
    <x v="0"/>
  </r>
  <r>
    <x v="563"/>
    <d v="2015-11-13T00:00:00"/>
    <x v="1"/>
    <s v="Standard Class"/>
    <s v="PS-19045"/>
    <x v="563"/>
    <s v="California"/>
    <x v="0"/>
    <x v="0"/>
    <x v="337"/>
    <x v="1545"/>
    <x v="4"/>
  </r>
  <r>
    <x v="563"/>
    <d v="2015-11-13T00:00:00"/>
    <x v="1"/>
    <s v="Standard Class"/>
    <s v="MA-17995"/>
    <x v="157"/>
    <s v="Wyoming"/>
    <x v="1"/>
    <x v="10"/>
    <x v="207"/>
    <x v="1385"/>
    <x v="2"/>
  </r>
  <r>
    <x v="563"/>
    <d v="2015-11-14T00:00:00"/>
    <x v="4"/>
    <s v="Standard Class"/>
    <s v="ML-17395"/>
    <x v="14"/>
    <s v="California"/>
    <x v="2"/>
    <x v="11"/>
    <x v="213"/>
    <x v="1546"/>
    <x v="0"/>
  </r>
  <r>
    <x v="563"/>
    <d v="2015-11-13T00:00:00"/>
    <x v="1"/>
    <s v="Standard Class"/>
    <s v="LD-17005"/>
    <x v="490"/>
    <s v="California"/>
    <x v="0"/>
    <x v="5"/>
    <x v="1172"/>
    <x v="1547"/>
    <x v="4"/>
  </r>
  <r>
    <x v="564"/>
    <d v="2015-11-15T00:00:00"/>
    <x v="1"/>
    <s v="Standard Class"/>
    <s v="PF-19165"/>
    <x v="365"/>
    <s v="California"/>
    <x v="2"/>
    <x v="11"/>
    <x v="1173"/>
    <x v="1546"/>
    <x v="0"/>
  </r>
  <r>
    <x v="565"/>
    <d v="2015-11-13T00:00:00"/>
    <x v="0"/>
    <s v="First Class"/>
    <s v="PC-18745"/>
    <x v="564"/>
    <s v="California"/>
    <x v="0"/>
    <x v="1"/>
    <x v="491"/>
    <x v="1548"/>
    <x v="8"/>
  </r>
  <r>
    <x v="565"/>
    <d v="2015-11-13T00:00:00"/>
    <x v="0"/>
    <s v="First Class"/>
    <s v="PC-18745"/>
    <x v="564"/>
    <s v="California"/>
    <x v="0"/>
    <x v="5"/>
    <x v="561"/>
    <x v="616"/>
    <x v="0"/>
  </r>
  <r>
    <x v="565"/>
    <d v="2015-11-13T00:00:00"/>
    <x v="0"/>
    <s v="First Class"/>
    <s v="CC-12430"/>
    <x v="541"/>
    <s v="California"/>
    <x v="0"/>
    <x v="5"/>
    <x v="707"/>
    <x v="1445"/>
    <x v="2"/>
  </r>
  <r>
    <x v="565"/>
    <d v="2015-11-13T00:00:00"/>
    <x v="0"/>
    <s v="First Class"/>
    <s v="CC-12430"/>
    <x v="541"/>
    <s v="California"/>
    <x v="0"/>
    <x v="0"/>
    <x v="1174"/>
    <x v="182"/>
    <x v="1"/>
  </r>
  <r>
    <x v="565"/>
    <d v="2015-11-14T00:00:00"/>
    <x v="2"/>
    <s v="Second Class"/>
    <s v="AI-10855"/>
    <x v="62"/>
    <s v="California"/>
    <x v="0"/>
    <x v="0"/>
    <x v="1175"/>
    <x v="1549"/>
    <x v="0"/>
  </r>
  <r>
    <x v="565"/>
    <d v="2015-11-14T00:00:00"/>
    <x v="2"/>
    <s v="Second Class"/>
    <s v="AI-10855"/>
    <x v="62"/>
    <s v="California"/>
    <x v="0"/>
    <x v="4"/>
    <x v="1176"/>
    <x v="1550"/>
    <x v="2"/>
  </r>
  <r>
    <x v="565"/>
    <d v="2015-11-14T00:00:00"/>
    <x v="2"/>
    <s v="Second Class"/>
    <s v="AI-10855"/>
    <x v="62"/>
    <s v="California"/>
    <x v="1"/>
    <x v="7"/>
    <x v="1177"/>
    <x v="1551"/>
    <x v="11"/>
  </r>
  <r>
    <x v="565"/>
    <d v="2015-11-14T00:00:00"/>
    <x v="2"/>
    <s v="Second Class"/>
    <s v="AI-10855"/>
    <x v="62"/>
    <s v="California"/>
    <x v="0"/>
    <x v="0"/>
    <x v="488"/>
    <x v="1552"/>
    <x v="1"/>
  </r>
  <r>
    <x v="565"/>
    <d v="2015-11-14T00:00:00"/>
    <x v="2"/>
    <s v="Second Class"/>
    <s v="AI-10855"/>
    <x v="62"/>
    <s v="California"/>
    <x v="0"/>
    <x v="1"/>
    <x v="493"/>
    <x v="1553"/>
    <x v="2"/>
  </r>
  <r>
    <x v="565"/>
    <d v="2015-11-14T00:00:00"/>
    <x v="2"/>
    <s v="Second Class"/>
    <s v="AI-10855"/>
    <x v="62"/>
    <s v="California"/>
    <x v="0"/>
    <x v="5"/>
    <x v="468"/>
    <x v="1554"/>
    <x v="0"/>
  </r>
  <r>
    <x v="565"/>
    <d v="2015-11-14T00:00:00"/>
    <x v="2"/>
    <s v="Second Class"/>
    <s v="AI-10855"/>
    <x v="62"/>
    <s v="California"/>
    <x v="0"/>
    <x v="3"/>
    <x v="1178"/>
    <x v="1030"/>
    <x v="1"/>
  </r>
  <r>
    <x v="565"/>
    <d v="2015-11-16T00:00:00"/>
    <x v="1"/>
    <s v="Standard Class"/>
    <s v="BF-11170"/>
    <x v="103"/>
    <s v="California"/>
    <x v="1"/>
    <x v="7"/>
    <x v="1146"/>
    <x v="1555"/>
    <x v="6"/>
  </r>
  <r>
    <x v="565"/>
    <d v="2015-11-14T00:00:00"/>
    <x v="2"/>
    <s v="First Class"/>
    <s v="RO-19780"/>
    <x v="321"/>
    <s v="California"/>
    <x v="0"/>
    <x v="1"/>
    <x v="1179"/>
    <x v="1556"/>
    <x v="6"/>
  </r>
  <r>
    <x v="566"/>
    <d v="2015-11-17T00:00:00"/>
    <x v="1"/>
    <s v="Second Class"/>
    <s v="BK-11260"/>
    <x v="291"/>
    <s v="California"/>
    <x v="1"/>
    <x v="7"/>
    <x v="118"/>
    <x v="1557"/>
    <x v="2"/>
  </r>
  <r>
    <x v="566"/>
    <d v="2015-11-17T00:00:00"/>
    <x v="1"/>
    <s v="Standard Class"/>
    <s v="LP-17080"/>
    <x v="93"/>
    <s v="California"/>
    <x v="1"/>
    <x v="7"/>
    <x v="1180"/>
    <x v="1446"/>
    <x v="4"/>
  </r>
  <r>
    <x v="566"/>
    <d v="2015-11-17T00:00:00"/>
    <x v="1"/>
    <s v="Standard Class"/>
    <s v="LP-17080"/>
    <x v="93"/>
    <s v="California"/>
    <x v="1"/>
    <x v="10"/>
    <x v="760"/>
    <x v="1558"/>
    <x v="0"/>
  </r>
  <r>
    <x v="566"/>
    <d v="2015-11-17T00:00:00"/>
    <x v="1"/>
    <s v="Standard Class"/>
    <s v="LP-17080"/>
    <x v="93"/>
    <s v="California"/>
    <x v="0"/>
    <x v="5"/>
    <x v="1002"/>
    <x v="1559"/>
    <x v="12"/>
  </r>
  <r>
    <x v="567"/>
    <d v="2015-11-20T00:00:00"/>
    <x v="6"/>
    <s v="Standard Class"/>
    <s v="MS-17710"/>
    <x v="32"/>
    <s v="Arizona"/>
    <x v="0"/>
    <x v="5"/>
    <x v="384"/>
    <x v="1560"/>
    <x v="1"/>
  </r>
  <r>
    <x v="567"/>
    <d v="2015-11-20T00:00:00"/>
    <x v="6"/>
    <s v="Standard Class"/>
    <s v="MS-17710"/>
    <x v="32"/>
    <s v="Arizona"/>
    <x v="0"/>
    <x v="5"/>
    <x v="994"/>
    <x v="1561"/>
    <x v="8"/>
  </r>
  <r>
    <x v="567"/>
    <d v="2015-11-20T00:00:00"/>
    <x v="6"/>
    <s v="Standard Class"/>
    <s v="MS-17710"/>
    <x v="32"/>
    <s v="Arizona"/>
    <x v="2"/>
    <x v="11"/>
    <x v="482"/>
    <x v="1373"/>
    <x v="4"/>
  </r>
  <r>
    <x v="567"/>
    <d v="2015-11-16T00:00:00"/>
    <x v="2"/>
    <s v="First Class"/>
    <s v="DW-13480"/>
    <x v="452"/>
    <s v="California"/>
    <x v="2"/>
    <x v="14"/>
    <x v="557"/>
    <x v="1562"/>
    <x v="0"/>
  </r>
  <r>
    <x v="567"/>
    <d v="2015-11-16T00:00:00"/>
    <x v="2"/>
    <s v="First Class"/>
    <s v="DW-13480"/>
    <x v="452"/>
    <s v="California"/>
    <x v="1"/>
    <x v="8"/>
    <x v="1001"/>
    <x v="234"/>
    <x v="0"/>
  </r>
  <r>
    <x v="568"/>
    <d v="2015-11-18T00:00:00"/>
    <x v="5"/>
    <s v="Standard Class"/>
    <s v="FM-14290"/>
    <x v="137"/>
    <s v="Washington"/>
    <x v="0"/>
    <x v="3"/>
    <x v="1181"/>
    <x v="1563"/>
    <x v="4"/>
  </r>
  <r>
    <x v="568"/>
    <d v="2015-11-20T00:00:00"/>
    <x v="4"/>
    <s v="Standard Class"/>
    <s v="AS-10135"/>
    <x v="565"/>
    <s v="Washington"/>
    <x v="1"/>
    <x v="7"/>
    <x v="512"/>
    <x v="1564"/>
    <x v="6"/>
  </r>
  <r>
    <x v="568"/>
    <d v="2015-11-18T00:00:00"/>
    <x v="5"/>
    <s v="Standard Class"/>
    <s v="PO-19180"/>
    <x v="536"/>
    <s v="Washington"/>
    <x v="1"/>
    <x v="7"/>
    <x v="1182"/>
    <x v="1565"/>
    <x v="4"/>
  </r>
  <r>
    <x v="569"/>
    <d v="2015-11-20T00:00:00"/>
    <x v="1"/>
    <s v="Standard Class"/>
    <s v="RR-19315"/>
    <x v="566"/>
    <s v="California"/>
    <x v="0"/>
    <x v="15"/>
    <x v="1183"/>
    <x v="740"/>
    <x v="4"/>
  </r>
  <r>
    <x v="569"/>
    <d v="2015-11-16T00:00:00"/>
    <x v="3"/>
    <s v="First Class"/>
    <s v="TB-21250"/>
    <x v="240"/>
    <s v="California"/>
    <x v="0"/>
    <x v="3"/>
    <x v="58"/>
    <x v="1566"/>
    <x v="0"/>
  </r>
  <r>
    <x v="570"/>
    <d v="2015-11-23T00:00:00"/>
    <x v="6"/>
    <s v="Standard Class"/>
    <s v="SC-20770"/>
    <x v="338"/>
    <s v="California"/>
    <x v="2"/>
    <x v="11"/>
    <x v="1009"/>
    <x v="1567"/>
    <x v="0"/>
  </r>
  <r>
    <x v="570"/>
    <d v="2015-11-18T00:00:00"/>
    <x v="0"/>
    <s v="Second Class"/>
    <s v="TG-21310"/>
    <x v="347"/>
    <s v="California"/>
    <x v="0"/>
    <x v="5"/>
    <x v="442"/>
    <x v="1568"/>
    <x v="6"/>
  </r>
  <r>
    <x v="570"/>
    <d v="2015-11-18T00:00:00"/>
    <x v="0"/>
    <s v="Second Class"/>
    <s v="TG-21310"/>
    <x v="347"/>
    <s v="California"/>
    <x v="0"/>
    <x v="5"/>
    <x v="806"/>
    <x v="1569"/>
    <x v="8"/>
  </r>
  <r>
    <x v="570"/>
    <d v="2015-11-20T00:00:00"/>
    <x v="5"/>
    <s v="Standard Class"/>
    <s v="AH-10690"/>
    <x v="486"/>
    <s v="California"/>
    <x v="2"/>
    <x v="14"/>
    <x v="1184"/>
    <x v="1570"/>
    <x v="4"/>
  </r>
  <r>
    <x v="571"/>
    <d v="2015-11-21T00:00:00"/>
    <x v="5"/>
    <s v="Standard Class"/>
    <s v="RD-19900"/>
    <x v="209"/>
    <s v="New Mexico"/>
    <x v="0"/>
    <x v="6"/>
    <x v="74"/>
    <x v="1571"/>
    <x v="1"/>
  </r>
  <r>
    <x v="571"/>
    <d v="2015-11-18T00:00:00"/>
    <x v="3"/>
    <s v="First Class"/>
    <s v="IM-15055"/>
    <x v="5"/>
    <s v="California"/>
    <x v="0"/>
    <x v="5"/>
    <x v="994"/>
    <x v="1211"/>
    <x v="1"/>
  </r>
  <r>
    <x v="572"/>
    <d v="2015-11-23T00:00:00"/>
    <x v="1"/>
    <s v="Standard Class"/>
    <s v="MS-17365"/>
    <x v="449"/>
    <s v="New Mexico"/>
    <x v="0"/>
    <x v="5"/>
    <x v="77"/>
    <x v="1572"/>
    <x v="0"/>
  </r>
  <r>
    <x v="572"/>
    <d v="2015-11-19T00:00:00"/>
    <x v="3"/>
    <s v="First Class"/>
    <s v="HJ-14875"/>
    <x v="305"/>
    <s v="California"/>
    <x v="0"/>
    <x v="12"/>
    <x v="816"/>
    <x v="1573"/>
    <x v="1"/>
  </r>
  <r>
    <x v="573"/>
    <d v="2015-11-23T00:00:00"/>
    <x v="5"/>
    <s v="Standard Class"/>
    <s v="TC-21535"/>
    <x v="200"/>
    <s v="California"/>
    <x v="2"/>
    <x v="14"/>
    <x v="1185"/>
    <x v="1574"/>
    <x v="6"/>
  </r>
  <r>
    <x v="573"/>
    <d v="2015-11-23T00:00:00"/>
    <x v="5"/>
    <s v="Standard Class"/>
    <s v="TC-21535"/>
    <x v="200"/>
    <s v="California"/>
    <x v="0"/>
    <x v="4"/>
    <x v="853"/>
    <x v="1575"/>
    <x v="6"/>
  </r>
  <r>
    <x v="573"/>
    <d v="2015-11-23T00:00:00"/>
    <x v="5"/>
    <s v="Standard Class"/>
    <s v="PG-18820"/>
    <x v="66"/>
    <s v="California"/>
    <x v="2"/>
    <x v="11"/>
    <x v="229"/>
    <x v="1576"/>
    <x v="1"/>
  </r>
  <r>
    <x v="573"/>
    <d v="2015-11-19T00:00:00"/>
    <x v="7"/>
    <s v="Same Day"/>
    <s v="BE-11410"/>
    <x v="567"/>
    <s v="California"/>
    <x v="0"/>
    <x v="5"/>
    <x v="893"/>
    <x v="1577"/>
    <x v="1"/>
  </r>
  <r>
    <x v="574"/>
    <d v="2015-11-24T00:00:00"/>
    <x v="5"/>
    <s v="Standard Class"/>
    <s v="JM-15265"/>
    <x v="135"/>
    <s v="Washington"/>
    <x v="1"/>
    <x v="7"/>
    <x v="392"/>
    <x v="1578"/>
    <x v="4"/>
  </r>
  <r>
    <x v="575"/>
    <d v="2015-11-28T00:00:00"/>
    <x v="6"/>
    <s v="Standard Class"/>
    <s v="MC-17605"/>
    <x v="568"/>
    <s v="California"/>
    <x v="0"/>
    <x v="4"/>
    <x v="234"/>
    <x v="1051"/>
    <x v="7"/>
  </r>
  <r>
    <x v="575"/>
    <d v="2015-11-25T00:00:00"/>
    <x v="5"/>
    <s v="Standard Class"/>
    <s v="BM-11575"/>
    <x v="569"/>
    <s v="California"/>
    <x v="2"/>
    <x v="11"/>
    <x v="1186"/>
    <x v="1579"/>
    <x v="4"/>
  </r>
  <r>
    <x v="576"/>
    <d v="2015-11-27T00:00:00"/>
    <x v="1"/>
    <s v="Standard Class"/>
    <s v="JH-16180"/>
    <x v="326"/>
    <s v="Oregon"/>
    <x v="1"/>
    <x v="10"/>
    <x v="271"/>
    <x v="279"/>
    <x v="2"/>
  </r>
  <r>
    <x v="576"/>
    <d v="2015-11-27T00:00:00"/>
    <x v="1"/>
    <s v="Standard Class"/>
    <s v="TH-21235"/>
    <x v="203"/>
    <s v="California"/>
    <x v="0"/>
    <x v="0"/>
    <x v="1187"/>
    <x v="182"/>
    <x v="1"/>
  </r>
  <r>
    <x v="577"/>
    <d v="2015-12-02T00:00:00"/>
    <x v="6"/>
    <s v="Standard Class"/>
    <s v="AT-10435"/>
    <x v="263"/>
    <s v="California"/>
    <x v="2"/>
    <x v="14"/>
    <x v="1188"/>
    <x v="1580"/>
    <x v="4"/>
  </r>
  <r>
    <x v="577"/>
    <d v="2015-12-02T00:00:00"/>
    <x v="6"/>
    <s v="Standard Class"/>
    <s v="AT-10435"/>
    <x v="263"/>
    <s v="California"/>
    <x v="1"/>
    <x v="7"/>
    <x v="763"/>
    <x v="1581"/>
    <x v="4"/>
  </r>
  <r>
    <x v="577"/>
    <d v="2015-11-30T00:00:00"/>
    <x v="1"/>
    <s v="Standard Class"/>
    <s v="CD-11980"/>
    <x v="570"/>
    <s v="Oregon"/>
    <x v="0"/>
    <x v="0"/>
    <x v="1033"/>
    <x v="1582"/>
    <x v="6"/>
  </r>
  <r>
    <x v="577"/>
    <d v="2015-12-01T00:00:00"/>
    <x v="4"/>
    <s v="Standard Class"/>
    <s v="SP-20860"/>
    <x v="571"/>
    <s v="California"/>
    <x v="2"/>
    <x v="11"/>
    <x v="1189"/>
    <x v="1583"/>
    <x v="4"/>
  </r>
  <r>
    <x v="577"/>
    <d v="2015-12-01T00:00:00"/>
    <x v="4"/>
    <s v="Standard Class"/>
    <s v="SP-20860"/>
    <x v="571"/>
    <s v="California"/>
    <x v="1"/>
    <x v="10"/>
    <x v="1190"/>
    <x v="1584"/>
    <x v="5"/>
  </r>
  <r>
    <x v="577"/>
    <d v="2015-12-01T00:00:00"/>
    <x v="4"/>
    <s v="Standard Class"/>
    <s v="SP-20860"/>
    <x v="571"/>
    <s v="California"/>
    <x v="2"/>
    <x v="11"/>
    <x v="933"/>
    <x v="1585"/>
    <x v="9"/>
  </r>
  <r>
    <x v="577"/>
    <d v="2015-11-28T00:00:00"/>
    <x v="2"/>
    <s v="First Class"/>
    <s v="AC-10450"/>
    <x v="193"/>
    <s v="Washington"/>
    <x v="0"/>
    <x v="5"/>
    <x v="525"/>
    <x v="1586"/>
    <x v="1"/>
  </r>
  <r>
    <x v="577"/>
    <d v="2015-11-29T00:00:00"/>
    <x v="5"/>
    <s v="Standard Class"/>
    <s v="CR-12580"/>
    <x v="572"/>
    <s v="Washington"/>
    <x v="0"/>
    <x v="12"/>
    <x v="753"/>
    <x v="1155"/>
    <x v="0"/>
  </r>
  <r>
    <x v="577"/>
    <d v="2015-12-02T00:00:00"/>
    <x v="6"/>
    <s v="Standard Class"/>
    <s v="SC-20680"/>
    <x v="219"/>
    <s v="Washington"/>
    <x v="1"/>
    <x v="7"/>
    <x v="1191"/>
    <x v="1587"/>
    <x v="0"/>
  </r>
  <r>
    <x v="578"/>
    <d v="2015-11-30T00:00:00"/>
    <x v="5"/>
    <s v="Standard Class"/>
    <s v="MH-17455"/>
    <x v="573"/>
    <s v="California"/>
    <x v="1"/>
    <x v="10"/>
    <x v="1192"/>
    <x v="1198"/>
    <x v="0"/>
  </r>
  <r>
    <x v="579"/>
    <d v="2015-12-03T00:00:00"/>
    <x v="4"/>
    <s v="Standard Class"/>
    <s v="TC-20980"/>
    <x v="574"/>
    <s v="Washington"/>
    <x v="0"/>
    <x v="5"/>
    <x v="1193"/>
    <x v="507"/>
    <x v="4"/>
  </r>
  <r>
    <x v="579"/>
    <d v="2015-12-01T00:00:00"/>
    <x v="5"/>
    <s v="Standard Class"/>
    <s v="MS-17365"/>
    <x v="449"/>
    <s v="California"/>
    <x v="1"/>
    <x v="2"/>
    <x v="818"/>
    <x v="1588"/>
    <x v="9"/>
  </r>
  <r>
    <x v="579"/>
    <d v="2015-12-01T00:00:00"/>
    <x v="5"/>
    <s v="Standard Class"/>
    <s v="MS-17365"/>
    <x v="449"/>
    <s v="California"/>
    <x v="0"/>
    <x v="3"/>
    <x v="526"/>
    <x v="1350"/>
    <x v="11"/>
  </r>
  <r>
    <x v="579"/>
    <d v="2015-12-01T00:00:00"/>
    <x v="5"/>
    <s v="Standard Class"/>
    <s v="MS-17365"/>
    <x v="449"/>
    <s v="California"/>
    <x v="0"/>
    <x v="4"/>
    <x v="1176"/>
    <x v="1187"/>
    <x v="4"/>
  </r>
  <r>
    <x v="579"/>
    <d v="2015-12-01T00:00:00"/>
    <x v="5"/>
    <s v="Standard Class"/>
    <s v="MS-17365"/>
    <x v="449"/>
    <s v="California"/>
    <x v="1"/>
    <x v="7"/>
    <x v="733"/>
    <x v="1589"/>
    <x v="5"/>
  </r>
  <r>
    <x v="580"/>
    <d v="2015-11-30T00:00:00"/>
    <x v="0"/>
    <s v="Second Class"/>
    <s v="CC-12670"/>
    <x v="375"/>
    <s v="Arizona"/>
    <x v="2"/>
    <x v="14"/>
    <x v="1194"/>
    <x v="1590"/>
    <x v="6"/>
  </r>
  <r>
    <x v="580"/>
    <d v="2015-12-02T00:00:00"/>
    <x v="5"/>
    <s v="Standard Class"/>
    <s v="CM-12235"/>
    <x v="575"/>
    <s v="Arizona"/>
    <x v="0"/>
    <x v="1"/>
    <x v="93"/>
    <x v="1591"/>
    <x v="2"/>
  </r>
  <r>
    <x v="581"/>
    <d v="2015-12-06T00:00:00"/>
    <x v="5"/>
    <s v="Standard Class"/>
    <s v="CL-11890"/>
    <x v="576"/>
    <s v="California"/>
    <x v="1"/>
    <x v="7"/>
    <x v="369"/>
    <x v="1592"/>
    <x v="4"/>
  </r>
  <r>
    <x v="581"/>
    <d v="2015-12-02T00:00:00"/>
    <x v="7"/>
    <s v="Same Day"/>
    <s v="LB-16795"/>
    <x v="525"/>
    <s v="California"/>
    <x v="1"/>
    <x v="7"/>
    <x v="392"/>
    <x v="1578"/>
    <x v="4"/>
  </r>
  <r>
    <x v="581"/>
    <d v="2015-12-02T00:00:00"/>
    <x v="7"/>
    <s v="Same Day"/>
    <s v="LB-16795"/>
    <x v="525"/>
    <s v="California"/>
    <x v="0"/>
    <x v="0"/>
    <x v="1195"/>
    <x v="1593"/>
    <x v="6"/>
  </r>
  <r>
    <x v="581"/>
    <d v="2015-12-02T00:00:00"/>
    <x v="7"/>
    <s v="Same Day"/>
    <s v="LB-16795"/>
    <x v="525"/>
    <s v="California"/>
    <x v="0"/>
    <x v="1"/>
    <x v="1067"/>
    <x v="1594"/>
    <x v="0"/>
  </r>
  <r>
    <x v="581"/>
    <d v="2015-12-02T00:00:00"/>
    <x v="7"/>
    <s v="Same Day"/>
    <s v="LB-16795"/>
    <x v="525"/>
    <s v="California"/>
    <x v="0"/>
    <x v="6"/>
    <x v="368"/>
    <x v="1493"/>
    <x v="0"/>
  </r>
  <r>
    <x v="581"/>
    <d v="2015-12-06T00:00:00"/>
    <x v="5"/>
    <s v="Standard Class"/>
    <s v="FH-14365"/>
    <x v="290"/>
    <s v="California"/>
    <x v="0"/>
    <x v="3"/>
    <x v="1137"/>
    <x v="1595"/>
    <x v="9"/>
  </r>
  <r>
    <x v="582"/>
    <d v="2015-12-09T00:00:00"/>
    <x v="4"/>
    <s v="Standard Class"/>
    <s v="MK-18160"/>
    <x v="577"/>
    <s v="California"/>
    <x v="0"/>
    <x v="0"/>
    <x v="1196"/>
    <x v="292"/>
    <x v="2"/>
  </r>
  <r>
    <x v="582"/>
    <d v="2015-12-09T00:00:00"/>
    <x v="4"/>
    <s v="Standard Class"/>
    <s v="MK-18160"/>
    <x v="577"/>
    <s v="California"/>
    <x v="0"/>
    <x v="0"/>
    <x v="1197"/>
    <x v="1596"/>
    <x v="8"/>
  </r>
  <r>
    <x v="582"/>
    <d v="2015-12-09T00:00:00"/>
    <x v="4"/>
    <s v="Standard Class"/>
    <s v="MK-18160"/>
    <x v="577"/>
    <s v="California"/>
    <x v="0"/>
    <x v="1"/>
    <x v="1198"/>
    <x v="1597"/>
    <x v="0"/>
  </r>
  <r>
    <x v="582"/>
    <d v="2015-12-08T00:00:00"/>
    <x v="1"/>
    <s v="Standard Class"/>
    <s v="KD-16495"/>
    <x v="538"/>
    <s v="California"/>
    <x v="0"/>
    <x v="5"/>
    <x v="391"/>
    <x v="1598"/>
    <x v="4"/>
  </r>
  <r>
    <x v="582"/>
    <d v="2015-12-08T00:00:00"/>
    <x v="1"/>
    <s v="Standard Class"/>
    <s v="KD-16495"/>
    <x v="538"/>
    <s v="California"/>
    <x v="0"/>
    <x v="4"/>
    <x v="1199"/>
    <x v="1599"/>
    <x v="0"/>
  </r>
  <r>
    <x v="582"/>
    <d v="2015-12-08T00:00:00"/>
    <x v="1"/>
    <s v="Standard Class"/>
    <s v="KD-16495"/>
    <x v="538"/>
    <s v="California"/>
    <x v="1"/>
    <x v="7"/>
    <x v="810"/>
    <x v="168"/>
    <x v="0"/>
  </r>
  <r>
    <x v="582"/>
    <d v="2015-12-08T00:00:00"/>
    <x v="1"/>
    <s v="Standard Class"/>
    <s v="KD-16495"/>
    <x v="538"/>
    <s v="California"/>
    <x v="0"/>
    <x v="5"/>
    <x v="273"/>
    <x v="1600"/>
    <x v="0"/>
  </r>
  <r>
    <x v="582"/>
    <d v="2015-12-09T00:00:00"/>
    <x v="4"/>
    <s v="Standard Class"/>
    <s v="AS-10225"/>
    <x v="578"/>
    <s v="Colorado"/>
    <x v="2"/>
    <x v="11"/>
    <x v="372"/>
    <x v="1367"/>
    <x v="0"/>
  </r>
  <r>
    <x v="583"/>
    <d v="2015-12-07T00:00:00"/>
    <x v="2"/>
    <s v="First Class"/>
    <s v="NM-18520"/>
    <x v="371"/>
    <s v="California"/>
    <x v="2"/>
    <x v="11"/>
    <x v="667"/>
    <x v="1601"/>
    <x v="1"/>
  </r>
  <r>
    <x v="583"/>
    <d v="2015-12-07T00:00:00"/>
    <x v="2"/>
    <s v="First Class"/>
    <s v="NM-18520"/>
    <x v="371"/>
    <s v="California"/>
    <x v="1"/>
    <x v="7"/>
    <x v="1200"/>
    <x v="1602"/>
    <x v="5"/>
  </r>
  <r>
    <x v="583"/>
    <d v="2015-12-10T00:00:00"/>
    <x v="4"/>
    <s v="Standard Class"/>
    <s v="GM-14440"/>
    <x v="257"/>
    <s v="California"/>
    <x v="0"/>
    <x v="1"/>
    <x v="982"/>
    <x v="1603"/>
    <x v="2"/>
  </r>
  <r>
    <x v="583"/>
    <d v="2015-12-08T00:00:00"/>
    <x v="5"/>
    <s v="Standard Class"/>
    <s v="RD-19720"/>
    <x v="109"/>
    <s v="California"/>
    <x v="1"/>
    <x v="8"/>
    <x v="172"/>
    <x v="1604"/>
    <x v="0"/>
  </r>
  <r>
    <x v="583"/>
    <d v="2015-12-08T00:00:00"/>
    <x v="5"/>
    <s v="Standard Class"/>
    <s v="RD-19720"/>
    <x v="109"/>
    <s v="California"/>
    <x v="0"/>
    <x v="3"/>
    <x v="1201"/>
    <x v="1605"/>
    <x v="9"/>
  </r>
  <r>
    <x v="583"/>
    <d v="2015-12-08T00:00:00"/>
    <x v="5"/>
    <s v="Standard Class"/>
    <s v="RD-19720"/>
    <x v="109"/>
    <s v="California"/>
    <x v="0"/>
    <x v="1"/>
    <x v="1202"/>
    <x v="1606"/>
    <x v="0"/>
  </r>
  <r>
    <x v="583"/>
    <d v="2015-12-08T00:00:00"/>
    <x v="5"/>
    <s v="Standard Class"/>
    <s v="RD-19720"/>
    <x v="109"/>
    <s v="California"/>
    <x v="1"/>
    <x v="2"/>
    <x v="70"/>
    <x v="71"/>
    <x v="4"/>
  </r>
  <r>
    <x v="584"/>
    <d v="2015-12-10T00:00:00"/>
    <x v="1"/>
    <s v="Standard Class"/>
    <s v="KT-16465"/>
    <x v="163"/>
    <s v="California"/>
    <x v="0"/>
    <x v="0"/>
    <x v="748"/>
    <x v="206"/>
    <x v="6"/>
  </r>
  <r>
    <x v="585"/>
    <d v="2015-12-11T00:00:00"/>
    <x v="1"/>
    <s v="Standard Class"/>
    <s v="IM-15070"/>
    <x v="437"/>
    <s v="Washington"/>
    <x v="0"/>
    <x v="5"/>
    <x v="1118"/>
    <x v="1607"/>
    <x v="0"/>
  </r>
  <r>
    <x v="586"/>
    <d v="2015-12-08T00:00:00"/>
    <x v="3"/>
    <s v="First Class"/>
    <s v="GG-14650"/>
    <x v="192"/>
    <s v="California"/>
    <x v="0"/>
    <x v="0"/>
    <x v="749"/>
    <x v="0"/>
    <x v="0"/>
  </r>
  <r>
    <x v="586"/>
    <d v="2015-12-13T00:00:00"/>
    <x v="4"/>
    <s v="Standard Class"/>
    <s v="GT-14710"/>
    <x v="461"/>
    <s v="Washington"/>
    <x v="2"/>
    <x v="14"/>
    <x v="623"/>
    <x v="1608"/>
    <x v="6"/>
  </r>
  <r>
    <x v="586"/>
    <d v="2015-12-13T00:00:00"/>
    <x v="4"/>
    <s v="Standard Class"/>
    <s v="GT-14710"/>
    <x v="461"/>
    <s v="Washington"/>
    <x v="2"/>
    <x v="14"/>
    <x v="1203"/>
    <x v="1609"/>
    <x v="0"/>
  </r>
  <r>
    <x v="586"/>
    <d v="2015-12-13T00:00:00"/>
    <x v="4"/>
    <s v="Standard Class"/>
    <s v="GT-14710"/>
    <x v="461"/>
    <s v="Washington"/>
    <x v="0"/>
    <x v="6"/>
    <x v="1204"/>
    <x v="1610"/>
    <x v="6"/>
  </r>
  <r>
    <x v="586"/>
    <d v="2015-12-13T00:00:00"/>
    <x v="4"/>
    <s v="Standard Class"/>
    <s v="GT-14710"/>
    <x v="461"/>
    <s v="Washington"/>
    <x v="0"/>
    <x v="5"/>
    <x v="329"/>
    <x v="1611"/>
    <x v="8"/>
  </r>
  <r>
    <x v="586"/>
    <d v="2015-12-13T00:00:00"/>
    <x v="4"/>
    <s v="Standard Class"/>
    <s v="GT-14710"/>
    <x v="461"/>
    <s v="Washington"/>
    <x v="0"/>
    <x v="0"/>
    <x v="602"/>
    <x v="1612"/>
    <x v="8"/>
  </r>
  <r>
    <x v="586"/>
    <d v="2015-12-13T00:00:00"/>
    <x v="4"/>
    <s v="Standard Class"/>
    <s v="GT-14710"/>
    <x v="461"/>
    <s v="Washington"/>
    <x v="0"/>
    <x v="0"/>
    <x v="863"/>
    <x v="1613"/>
    <x v="1"/>
  </r>
  <r>
    <x v="586"/>
    <d v="2015-12-13T00:00:00"/>
    <x v="4"/>
    <s v="Standard Class"/>
    <s v="GT-14710"/>
    <x v="461"/>
    <s v="Washington"/>
    <x v="0"/>
    <x v="5"/>
    <x v="146"/>
    <x v="152"/>
    <x v="0"/>
  </r>
  <r>
    <x v="586"/>
    <d v="2015-12-11T00:00:00"/>
    <x v="5"/>
    <s v="Standard Class"/>
    <s v="AP-10720"/>
    <x v="579"/>
    <s v="California"/>
    <x v="2"/>
    <x v="14"/>
    <x v="1205"/>
    <x v="1614"/>
    <x v="1"/>
  </r>
  <r>
    <x v="586"/>
    <d v="2015-12-11T00:00:00"/>
    <x v="5"/>
    <s v="Standard Class"/>
    <s v="AP-10720"/>
    <x v="579"/>
    <s v="California"/>
    <x v="0"/>
    <x v="3"/>
    <x v="1098"/>
    <x v="1397"/>
    <x v="8"/>
  </r>
  <r>
    <x v="586"/>
    <d v="2015-12-11T00:00:00"/>
    <x v="5"/>
    <s v="Standard Class"/>
    <s v="AP-10720"/>
    <x v="579"/>
    <s v="California"/>
    <x v="0"/>
    <x v="0"/>
    <x v="600"/>
    <x v="300"/>
    <x v="4"/>
  </r>
  <r>
    <x v="586"/>
    <d v="2015-12-11T00:00:00"/>
    <x v="5"/>
    <s v="Standard Class"/>
    <s v="AP-10720"/>
    <x v="579"/>
    <s v="California"/>
    <x v="2"/>
    <x v="14"/>
    <x v="1206"/>
    <x v="927"/>
    <x v="4"/>
  </r>
  <r>
    <x v="586"/>
    <d v="2015-12-11T00:00:00"/>
    <x v="5"/>
    <s v="Standard Class"/>
    <s v="AP-10720"/>
    <x v="579"/>
    <s v="California"/>
    <x v="0"/>
    <x v="9"/>
    <x v="879"/>
    <x v="1615"/>
    <x v="8"/>
  </r>
  <r>
    <x v="586"/>
    <d v="2015-12-11T00:00:00"/>
    <x v="5"/>
    <s v="Standard Class"/>
    <s v="AP-10720"/>
    <x v="579"/>
    <s v="California"/>
    <x v="0"/>
    <x v="5"/>
    <x v="384"/>
    <x v="1616"/>
    <x v="2"/>
  </r>
  <r>
    <x v="586"/>
    <d v="2015-12-11T00:00:00"/>
    <x v="5"/>
    <s v="Standard Class"/>
    <s v="AP-10720"/>
    <x v="579"/>
    <s v="California"/>
    <x v="0"/>
    <x v="5"/>
    <x v="643"/>
    <x v="1617"/>
    <x v="10"/>
  </r>
  <r>
    <x v="587"/>
    <d v="2015-12-15T00:00:00"/>
    <x v="4"/>
    <s v="Standard Class"/>
    <s v="SP-20620"/>
    <x v="269"/>
    <s v="California"/>
    <x v="0"/>
    <x v="3"/>
    <x v="287"/>
    <x v="296"/>
    <x v="4"/>
  </r>
  <r>
    <x v="587"/>
    <d v="2015-12-15T00:00:00"/>
    <x v="4"/>
    <s v="Standard Class"/>
    <s v="SP-20620"/>
    <x v="269"/>
    <s v="California"/>
    <x v="0"/>
    <x v="0"/>
    <x v="27"/>
    <x v="924"/>
    <x v="8"/>
  </r>
  <r>
    <x v="587"/>
    <d v="2015-12-15T00:00:00"/>
    <x v="4"/>
    <s v="Standard Class"/>
    <s v="SP-20620"/>
    <x v="269"/>
    <s v="California"/>
    <x v="1"/>
    <x v="8"/>
    <x v="611"/>
    <x v="1618"/>
    <x v="5"/>
  </r>
  <r>
    <x v="587"/>
    <d v="2015-12-12T00:00:00"/>
    <x v="2"/>
    <s v="Second Class"/>
    <s v="DB-13615"/>
    <x v="169"/>
    <s v="California"/>
    <x v="0"/>
    <x v="1"/>
    <x v="1207"/>
    <x v="1619"/>
    <x v="0"/>
  </r>
  <r>
    <x v="587"/>
    <d v="2015-12-12T00:00:00"/>
    <x v="2"/>
    <s v="Second Class"/>
    <s v="DB-13615"/>
    <x v="169"/>
    <s v="California"/>
    <x v="0"/>
    <x v="1"/>
    <x v="1208"/>
    <x v="1620"/>
    <x v="4"/>
  </r>
  <r>
    <x v="588"/>
    <d v="2015-12-13T00:00:00"/>
    <x v="2"/>
    <s v="First Class"/>
    <s v="SP-20650"/>
    <x v="328"/>
    <s v="California"/>
    <x v="0"/>
    <x v="5"/>
    <x v="1209"/>
    <x v="1621"/>
    <x v="9"/>
  </r>
  <r>
    <x v="589"/>
    <d v="2015-12-16T00:00:00"/>
    <x v="1"/>
    <s v="Second Class"/>
    <s v="LH-17155"/>
    <x v="247"/>
    <s v="California"/>
    <x v="1"/>
    <x v="10"/>
    <x v="1210"/>
    <x v="1622"/>
    <x v="4"/>
  </r>
  <r>
    <x v="589"/>
    <d v="2015-12-18T00:00:00"/>
    <x v="6"/>
    <s v="Standard Class"/>
    <s v="AP-10915"/>
    <x v="134"/>
    <s v="Washington"/>
    <x v="0"/>
    <x v="5"/>
    <x v="1211"/>
    <x v="1623"/>
    <x v="0"/>
  </r>
  <r>
    <x v="589"/>
    <d v="2015-12-18T00:00:00"/>
    <x v="6"/>
    <s v="Standard Class"/>
    <s v="AP-10915"/>
    <x v="134"/>
    <s v="Washington"/>
    <x v="0"/>
    <x v="4"/>
    <x v="777"/>
    <x v="1624"/>
    <x v="0"/>
  </r>
  <r>
    <x v="589"/>
    <d v="2015-12-18T00:00:00"/>
    <x v="6"/>
    <s v="Standard Class"/>
    <s v="AP-10915"/>
    <x v="134"/>
    <s v="Washington"/>
    <x v="0"/>
    <x v="0"/>
    <x v="280"/>
    <x v="463"/>
    <x v="2"/>
  </r>
  <r>
    <x v="589"/>
    <d v="2015-12-18T00:00:00"/>
    <x v="6"/>
    <s v="Standard Class"/>
    <s v="AP-10915"/>
    <x v="134"/>
    <s v="Washington"/>
    <x v="0"/>
    <x v="4"/>
    <x v="1212"/>
    <x v="1625"/>
    <x v="0"/>
  </r>
  <r>
    <x v="589"/>
    <d v="2015-12-18T00:00:00"/>
    <x v="6"/>
    <s v="Standard Class"/>
    <s v="AP-10915"/>
    <x v="134"/>
    <s v="Washington"/>
    <x v="2"/>
    <x v="11"/>
    <x v="359"/>
    <x v="1626"/>
    <x v="1"/>
  </r>
  <r>
    <x v="589"/>
    <d v="2015-12-13T00:00:00"/>
    <x v="0"/>
    <s v="First Class"/>
    <s v="SJ-20125"/>
    <x v="540"/>
    <s v="California"/>
    <x v="0"/>
    <x v="0"/>
    <x v="471"/>
    <x v="1627"/>
    <x v="7"/>
  </r>
  <r>
    <x v="590"/>
    <d v="2015-12-14T00:00:00"/>
    <x v="0"/>
    <s v="Second Class"/>
    <s v="FM-14380"/>
    <x v="580"/>
    <s v="Colorado"/>
    <x v="0"/>
    <x v="1"/>
    <x v="401"/>
    <x v="1628"/>
    <x v="0"/>
  </r>
  <r>
    <x v="590"/>
    <d v="2015-12-14T00:00:00"/>
    <x v="0"/>
    <s v="Second Class"/>
    <s v="FM-14380"/>
    <x v="580"/>
    <s v="Colorado"/>
    <x v="2"/>
    <x v="11"/>
    <x v="1213"/>
    <x v="1629"/>
    <x v="1"/>
  </r>
  <r>
    <x v="590"/>
    <d v="2015-12-14T00:00:00"/>
    <x v="0"/>
    <s v="Second Class"/>
    <s v="FM-14380"/>
    <x v="580"/>
    <s v="Colorado"/>
    <x v="2"/>
    <x v="14"/>
    <x v="429"/>
    <x v="1630"/>
    <x v="2"/>
  </r>
  <r>
    <x v="590"/>
    <d v="2015-12-17T00:00:00"/>
    <x v="1"/>
    <s v="Second Class"/>
    <s v="AR-10825"/>
    <x v="96"/>
    <s v="Washington"/>
    <x v="1"/>
    <x v="7"/>
    <x v="1214"/>
    <x v="1631"/>
    <x v="2"/>
  </r>
  <r>
    <x v="590"/>
    <d v="2015-12-17T00:00:00"/>
    <x v="1"/>
    <s v="Second Class"/>
    <s v="AR-10825"/>
    <x v="96"/>
    <s v="Washington"/>
    <x v="2"/>
    <x v="14"/>
    <x v="67"/>
    <x v="68"/>
    <x v="0"/>
  </r>
  <r>
    <x v="590"/>
    <d v="2015-12-17T00:00:00"/>
    <x v="1"/>
    <s v="Second Class"/>
    <s v="AR-10825"/>
    <x v="96"/>
    <s v="Washington"/>
    <x v="2"/>
    <x v="11"/>
    <x v="519"/>
    <x v="1632"/>
    <x v="2"/>
  </r>
  <r>
    <x v="590"/>
    <d v="2015-12-14T00:00:00"/>
    <x v="0"/>
    <s v="First Class"/>
    <s v="DB-13270"/>
    <x v="10"/>
    <s v="Oregon"/>
    <x v="1"/>
    <x v="10"/>
    <x v="815"/>
    <x v="1633"/>
    <x v="1"/>
  </r>
  <r>
    <x v="590"/>
    <d v="2015-12-12T00:00:00"/>
    <x v="7"/>
    <s v="Same Day"/>
    <s v="WB-21850"/>
    <x v="202"/>
    <s v="California"/>
    <x v="0"/>
    <x v="5"/>
    <x v="17"/>
    <x v="1634"/>
    <x v="1"/>
  </r>
  <r>
    <x v="590"/>
    <d v="2015-12-12T00:00:00"/>
    <x v="7"/>
    <s v="Same Day"/>
    <s v="WB-21850"/>
    <x v="202"/>
    <s v="California"/>
    <x v="0"/>
    <x v="3"/>
    <x v="1215"/>
    <x v="1635"/>
    <x v="4"/>
  </r>
  <r>
    <x v="590"/>
    <d v="2015-12-12T00:00:00"/>
    <x v="7"/>
    <s v="Same Day"/>
    <s v="WB-21850"/>
    <x v="202"/>
    <s v="California"/>
    <x v="0"/>
    <x v="0"/>
    <x v="1033"/>
    <x v="1636"/>
    <x v="6"/>
  </r>
  <r>
    <x v="590"/>
    <d v="2015-12-12T00:00:00"/>
    <x v="7"/>
    <s v="Same Day"/>
    <s v="WB-21850"/>
    <x v="202"/>
    <s v="California"/>
    <x v="2"/>
    <x v="11"/>
    <x v="1216"/>
    <x v="1637"/>
    <x v="2"/>
  </r>
  <r>
    <x v="590"/>
    <d v="2015-12-12T00:00:00"/>
    <x v="7"/>
    <s v="Same Day"/>
    <s v="WB-21850"/>
    <x v="202"/>
    <s v="California"/>
    <x v="1"/>
    <x v="10"/>
    <x v="1217"/>
    <x v="1638"/>
    <x v="1"/>
  </r>
  <r>
    <x v="590"/>
    <d v="2015-12-12T00:00:00"/>
    <x v="7"/>
    <s v="Same Day"/>
    <s v="WB-21850"/>
    <x v="202"/>
    <s v="California"/>
    <x v="0"/>
    <x v="5"/>
    <x v="1132"/>
    <x v="479"/>
    <x v="0"/>
  </r>
  <r>
    <x v="590"/>
    <d v="2015-12-12T00:00:00"/>
    <x v="7"/>
    <s v="Same Day"/>
    <s v="WB-21850"/>
    <x v="202"/>
    <s v="California"/>
    <x v="0"/>
    <x v="5"/>
    <x v="779"/>
    <x v="1639"/>
    <x v="11"/>
  </r>
  <r>
    <x v="590"/>
    <d v="2015-12-12T00:00:00"/>
    <x v="7"/>
    <s v="Same Day"/>
    <s v="WB-21850"/>
    <x v="202"/>
    <s v="California"/>
    <x v="1"/>
    <x v="8"/>
    <x v="508"/>
    <x v="1640"/>
    <x v="8"/>
  </r>
  <r>
    <x v="590"/>
    <d v="2015-12-12T00:00:00"/>
    <x v="7"/>
    <s v="Same Day"/>
    <s v="WB-21850"/>
    <x v="202"/>
    <s v="California"/>
    <x v="0"/>
    <x v="1"/>
    <x v="598"/>
    <x v="1641"/>
    <x v="0"/>
  </r>
  <r>
    <x v="590"/>
    <d v="2015-12-12T00:00:00"/>
    <x v="7"/>
    <s v="Same Day"/>
    <s v="WB-21850"/>
    <x v="202"/>
    <s v="California"/>
    <x v="0"/>
    <x v="4"/>
    <x v="490"/>
    <x v="1642"/>
    <x v="4"/>
  </r>
  <r>
    <x v="590"/>
    <d v="2015-12-12T00:00:00"/>
    <x v="7"/>
    <s v="Same Day"/>
    <s v="WB-21850"/>
    <x v="202"/>
    <s v="California"/>
    <x v="0"/>
    <x v="5"/>
    <x v="1218"/>
    <x v="1643"/>
    <x v="4"/>
  </r>
  <r>
    <x v="591"/>
    <d v="2015-12-17T00:00:00"/>
    <x v="5"/>
    <s v="Standard Class"/>
    <s v="RF-19840"/>
    <x v="581"/>
    <s v="California"/>
    <x v="1"/>
    <x v="7"/>
    <x v="1072"/>
    <x v="1644"/>
    <x v="5"/>
  </r>
  <r>
    <x v="591"/>
    <d v="2015-12-17T00:00:00"/>
    <x v="5"/>
    <s v="Standard Class"/>
    <s v="RF-19840"/>
    <x v="581"/>
    <s v="California"/>
    <x v="0"/>
    <x v="4"/>
    <x v="974"/>
    <x v="1645"/>
    <x v="0"/>
  </r>
  <r>
    <x v="592"/>
    <d v="2015-12-21T00:00:00"/>
    <x v="6"/>
    <s v="Standard Class"/>
    <s v="RW-19630"/>
    <x v="516"/>
    <s v="California"/>
    <x v="0"/>
    <x v="5"/>
    <x v="195"/>
    <x v="205"/>
    <x v="4"/>
  </r>
  <r>
    <x v="592"/>
    <d v="2015-12-21T00:00:00"/>
    <x v="6"/>
    <s v="Standard Class"/>
    <s v="RW-19630"/>
    <x v="516"/>
    <s v="California"/>
    <x v="1"/>
    <x v="8"/>
    <x v="765"/>
    <x v="1646"/>
    <x v="2"/>
  </r>
  <r>
    <x v="592"/>
    <d v="2015-12-20T00:00:00"/>
    <x v="4"/>
    <s v="Standard Class"/>
    <s v="JC-15340"/>
    <x v="582"/>
    <s v="California"/>
    <x v="0"/>
    <x v="3"/>
    <x v="212"/>
    <x v="1566"/>
    <x v="0"/>
  </r>
  <r>
    <x v="593"/>
    <d v="2015-12-18T00:00:00"/>
    <x v="2"/>
    <s v="First Class"/>
    <s v="DS-13180"/>
    <x v="363"/>
    <s v="California"/>
    <x v="1"/>
    <x v="10"/>
    <x v="1168"/>
    <x v="1538"/>
    <x v="4"/>
  </r>
  <r>
    <x v="593"/>
    <d v="2015-12-18T00:00:00"/>
    <x v="2"/>
    <s v="First Class"/>
    <s v="DS-13180"/>
    <x v="363"/>
    <s v="California"/>
    <x v="0"/>
    <x v="1"/>
    <x v="661"/>
    <x v="1647"/>
    <x v="3"/>
  </r>
  <r>
    <x v="594"/>
    <d v="2015-12-23T00:00:00"/>
    <x v="6"/>
    <s v="Standard Class"/>
    <s v="BP-11230"/>
    <x v="57"/>
    <s v="California"/>
    <x v="1"/>
    <x v="7"/>
    <x v="845"/>
    <x v="1648"/>
    <x v="4"/>
  </r>
  <r>
    <x v="594"/>
    <d v="2015-12-22T00:00:00"/>
    <x v="4"/>
    <s v="Standard Class"/>
    <s v="MP-18175"/>
    <x v="583"/>
    <s v="Oregon"/>
    <x v="1"/>
    <x v="8"/>
    <x v="509"/>
    <x v="1649"/>
    <x v="0"/>
  </r>
  <r>
    <x v="594"/>
    <d v="2015-12-22T00:00:00"/>
    <x v="4"/>
    <s v="Standard Class"/>
    <s v="MP-18175"/>
    <x v="583"/>
    <s v="Oregon"/>
    <x v="0"/>
    <x v="4"/>
    <x v="1219"/>
    <x v="1650"/>
    <x v="4"/>
  </r>
  <r>
    <x v="595"/>
    <d v="2015-12-24T00:00:00"/>
    <x v="6"/>
    <s v="Standard Class"/>
    <s v="PK-19075"/>
    <x v="519"/>
    <s v="California"/>
    <x v="1"/>
    <x v="10"/>
    <x v="506"/>
    <x v="1651"/>
    <x v="1"/>
  </r>
  <r>
    <x v="595"/>
    <d v="2015-12-24T00:00:00"/>
    <x v="6"/>
    <s v="Standard Class"/>
    <s v="TN-21040"/>
    <x v="177"/>
    <s v="California"/>
    <x v="2"/>
    <x v="11"/>
    <x v="365"/>
    <x v="1652"/>
    <x v="8"/>
  </r>
  <r>
    <x v="596"/>
    <d v="2015-12-22T00:00:00"/>
    <x v="5"/>
    <s v="Standard Class"/>
    <s v="CM-12160"/>
    <x v="584"/>
    <s v="California"/>
    <x v="1"/>
    <x v="8"/>
    <x v="1031"/>
    <x v="1653"/>
    <x v="5"/>
  </r>
  <r>
    <x v="596"/>
    <d v="2015-12-23T00:00:00"/>
    <x v="1"/>
    <s v="Standard Class"/>
    <s v="SC-20680"/>
    <x v="219"/>
    <s v="Washington"/>
    <x v="0"/>
    <x v="1"/>
    <x v="775"/>
    <x v="1391"/>
    <x v="0"/>
  </r>
  <r>
    <x v="596"/>
    <d v="2015-12-24T00:00:00"/>
    <x v="4"/>
    <s v="Standard Class"/>
    <s v="NS-18640"/>
    <x v="94"/>
    <s v="New Mexico"/>
    <x v="0"/>
    <x v="5"/>
    <x v="329"/>
    <x v="1654"/>
    <x v="4"/>
  </r>
  <r>
    <x v="596"/>
    <d v="2015-12-24T00:00:00"/>
    <x v="4"/>
    <s v="Standard Class"/>
    <s v="NS-18640"/>
    <x v="94"/>
    <s v="New Mexico"/>
    <x v="0"/>
    <x v="5"/>
    <x v="905"/>
    <x v="1655"/>
    <x v="6"/>
  </r>
  <r>
    <x v="597"/>
    <d v="2015-12-24T00:00:00"/>
    <x v="1"/>
    <s v="Standard Class"/>
    <s v="HG-14965"/>
    <x v="158"/>
    <s v="California"/>
    <x v="0"/>
    <x v="0"/>
    <x v="1220"/>
    <x v="1259"/>
    <x v="5"/>
  </r>
  <r>
    <x v="597"/>
    <d v="2015-12-24T00:00:00"/>
    <x v="1"/>
    <s v="Standard Class"/>
    <s v="HG-14965"/>
    <x v="158"/>
    <s v="California"/>
    <x v="1"/>
    <x v="7"/>
    <x v="1221"/>
    <x v="1656"/>
    <x v="9"/>
  </r>
  <r>
    <x v="597"/>
    <d v="2015-12-24T00:00:00"/>
    <x v="1"/>
    <s v="Standard Class"/>
    <s v="HG-14965"/>
    <x v="158"/>
    <s v="California"/>
    <x v="0"/>
    <x v="12"/>
    <x v="996"/>
    <x v="1657"/>
    <x v="1"/>
  </r>
  <r>
    <x v="597"/>
    <d v="2015-12-25T00:00:00"/>
    <x v="4"/>
    <s v="Standard Class"/>
    <s v="JE-15475"/>
    <x v="287"/>
    <s v="California"/>
    <x v="2"/>
    <x v="11"/>
    <x v="1222"/>
    <x v="1658"/>
    <x v="4"/>
  </r>
  <r>
    <x v="597"/>
    <d v="2015-12-25T00:00:00"/>
    <x v="4"/>
    <s v="Standard Class"/>
    <s v="JE-15475"/>
    <x v="287"/>
    <s v="California"/>
    <x v="2"/>
    <x v="11"/>
    <x v="446"/>
    <x v="469"/>
    <x v="0"/>
  </r>
  <r>
    <x v="597"/>
    <d v="2015-12-25T00:00:00"/>
    <x v="4"/>
    <s v="Standard Class"/>
    <s v="JE-15475"/>
    <x v="287"/>
    <s v="California"/>
    <x v="1"/>
    <x v="7"/>
    <x v="1146"/>
    <x v="775"/>
    <x v="2"/>
  </r>
  <r>
    <x v="597"/>
    <d v="2015-12-22T00:00:00"/>
    <x v="2"/>
    <s v="First Class"/>
    <s v="AH-10120"/>
    <x v="106"/>
    <s v="Oregon"/>
    <x v="0"/>
    <x v="5"/>
    <x v="178"/>
    <x v="1659"/>
    <x v="2"/>
  </r>
  <r>
    <x v="597"/>
    <d v="2015-12-22T00:00:00"/>
    <x v="2"/>
    <s v="First Class"/>
    <s v="AH-10120"/>
    <x v="106"/>
    <s v="Oregon"/>
    <x v="0"/>
    <x v="3"/>
    <x v="1223"/>
    <x v="1660"/>
    <x v="2"/>
  </r>
  <r>
    <x v="597"/>
    <d v="2015-12-22T00:00:00"/>
    <x v="2"/>
    <s v="First Class"/>
    <s v="AH-10120"/>
    <x v="106"/>
    <s v="Oregon"/>
    <x v="0"/>
    <x v="0"/>
    <x v="1224"/>
    <x v="1130"/>
    <x v="4"/>
  </r>
  <r>
    <x v="597"/>
    <d v="2015-12-22T00:00:00"/>
    <x v="2"/>
    <s v="First Class"/>
    <s v="AH-10120"/>
    <x v="106"/>
    <s v="Oregon"/>
    <x v="2"/>
    <x v="11"/>
    <x v="1005"/>
    <x v="1661"/>
    <x v="0"/>
  </r>
  <r>
    <x v="597"/>
    <d v="2015-12-22T00:00:00"/>
    <x v="2"/>
    <s v="First Class"/>
    <s v="AH-10120"/>
    <x v="106"/>
    <s v="Oregon"/>
    <x v="1"/>
    <x v="8"/>
    <x v="618"/>
    <x v="1662"/>
    <x v="1"/>
  </r>
  <r>
    <x v="597"/>
    <d v="2015-12-22T00:00:00"/>
    <x v="2"/>
    <s v="First Class"/>
    <s v="AH-10120"/>
    <x v="106"/>
    <s v="Oregon"/>
    <x v="0"/>
    <x v="15"/>
    <x v="434"/>
    <x v="1663"/>
    <x v="2"/>
  </r>
  <r>
    <x v="597"/>
    <d v="2015-12-22T00:00:00"/>
    <x v="2"/>
    <s v="First Class"/>
    <s v="AH-10120"/>
    <x v="106"/>
    <s v="Oregon"/>
    <x v="2"/>
    <x v="14"/>
    <x v="1043"/>
    <x v="1664"/>
    <x v="0"/>
  </r>
  <r>
    <x v="597"/>
    <d v="2015-12-21T00:00:00"/>
    <x v="0"/>
    <s v="First Class"/>
    <s v="AY-10555"/>
    <x v="46"/>
    <s v="California"/>
    <x v="2"/>
    <x v="14"/>
    <x v="144"/>
    <x v="1665"/>
    <x v="8"/>
  </r>
  <r>
    <x v="598"/>
    <d v="2015-12-26T00:00:00"/>
    <x v="4"/>
    <s v="Standard Class"/>
    <s v="ES-14080"/>
    <x v="171"/>
    <s v="Arizona"/>
    <x v="1"/>
    <x v="8"/>
    <x v="795"/>
    <x v="1666"/>
    <x v="5"/>
  </r>
  <r>
    <x v="598"/>
    <d v="2015-12-26T00:00:00"/>
    <x v="4"/>
    <s v="Standard Class"/>
    <s v="ES-14080"/>
    <x v="171"/>
    <s v="Arizona"/>
    <x v="0"/>
    <x v="5"/>
    <x v="951"/>
    <x v="1667"/>
    <x v="5"/>
  </r>
  <r>
    <x v="598"/>
    <d v="2015-12-26T00:00:00"/>
    <x v="4"/>
    <s v="Standard Class"/>
    <s v="ES-14080"/>
    <x v="171"/>
    <s v="Arizona"/>
    <x v="0"/>
    <x v="5"/>
    <x v="516"/>
    <x v="550"/>
    <x v="4"/>
  </r>
  <r>
    <x v="599"/>
    <d v="2015-12-29T00:00:00"/>
    <x v="4"/>
    <s v="Standard Class"/>
    <s v="SA-20830"/>
    <x v="17"/>
    <s v="Oregon"/>
    <x v="0"/>
    <x v="5"/>
    <x v="1225"/>
    <x v="1668"/>
    <x v="3"/>
  </r>
  <r>
    <x v="599"/>
    <d v="2015-12-29T00:00:00"/>
    <x v="4"/>
    <s v="Standard Class"/>
    <s v="SA-20830"/>
    <x v="17"/>
    <s v="Oregon"/>
    <x v="1"/>
    <x v="7"/>
    <x v="1214"/>
    <x v="1669"/>
    <x v="2"/>
  </r>
  <r>
    <x v="599"/>
    <d v="2015-12-29T00:00:00"/>
    <x v="4"/>
    <s v="Standard Class"/>
    <s v="SA-20830"/>
    <x v="17"/>
    <s v="Oregon"/>
    <x v="1"/>
    <x v="7"/>
    <x v="266"/>
    <x v="1670"/>
    <x v="6"/>
  </r>
  <r>
    <x v="599"/>
    <d v="2015-12-25T00:00:00"/>
    <x v="0"/>
    <s v="Second Class"/>
    <s v="ED-13885"/>
    <x v="128"/>
    <s v="Washington"/>
    <x v="0"/>
    <x v="5"/>
    <x v="1170"/>
    <x v="1408"/>
    <x v="2"/>
  </r>
  <r>
    <x v="599"/>
    <d v="2015-12-25T00:00:00"/>
    <x v="0"/>
    <s v="Second Class"/>
    <s v="ED-13885"/>
    <x v="128"/>
    <s v="Washington"/>
    <x v="2"/>
    <x v="13"/>
    <x v="1226"/>
    <x v="590"/>
    <x v="6"/>
  </r>
  <r>
    <x v="599"/>
    <d v="2015-12-29T00:00:00"/>
    <x v="4"/>
    <s v="Standard Class"/>
    <s v="DN-13690"/>
    <x v="182"/>
    <s v="California"/>
    <x v="1"/>
    <x v="7"/>
    <x v="1227"/>
    <x v="1671"/>
    <x v="9"/>
  </r>
  <r>
    <x v="599"/>
    <d v="2015-12-29T00:00:00"/>
    <x v="4"/>
    <s v="Standard Class"/>
    <s v="DN-13690"/>
    <x v="182"/>
    <s v="California"/>
    <x v="1"/>
    <x v="7"/>
    <x v="1180"/>
    <x v="1446"/>
    <x v="4"/>
  </r>
  <r>
    <x v="600"/>
    <d v="2015-12-31T00:00:00"/>
    <x v="6"/>
    <s v="Standard Class"/>
    <s v="EH-13765"/>
    <x v="53"/>
    <s v="Washington"/>
    <x v="0"/>
    <x v="3"/>
    <x v="642"/>
    <x v="708"/>
    <x v="0"/>
  </r>
  <r>
    <x v="600"/>
    <d v="2015-12-31T00:00:00"/>
    <x v="6"/>
    <s v="Standard Class"/>
    <s v="EH-13765"/>
    <x v="53"/>
    <s v="Washington"/>
    <x v="0"/>
    <x v="0"/>
    <x v="921"/>
    <x v="1024"/>
    <x v="4"/>
  </r>
  <r>
    <x v="600"/>
    <d v="2015-12-31T00:00:00"/>
    <x v="6"/>
    <s v="Standard Class"/>
    <s v="EH-13765"/>
    <x v="53"/>
    <s v="Washington"/>
    <x v="0"/>
    <x v="3"/>
    <x v="1228"/>
    <x v="1672"/>
    <x v="4"/>
  </r>
  <r>
    <x v="600"/>
    <d v="2015-12-31T00:00:00"/>
    <x v="6"/>
    <s v="Standard Class"/>
    <s v="EH-13765"/>
    <x v="53"/>
    <s v="Washington"/>
    <x v="0"/>
    <x v="1"/>
    <x v="424"/>
    <x v="1673"/>
    <x v="4"/>
  </r>
  <r>
    <x v="600"/>
    <d v="2015-12-31T00:00:00"/>
    <x v="6"/>
    <s v="Standard Class"/>
    <s v="EH-13765"/>
    <x v="53"/>
    <s v="Washington"/>
    <x v="0"/>
    <x v="0"/>
    <x v="987"/>
    <x v="1593"/>
    <x v="6"/>
  </r>
  <r>
    <x v="600"/>
    <d v="2015-12-31T00:00:00"/>
    <x v="6"/>
    <s v="Standard Class"/>
    <s v="EH-13765"/>
    <x v="53"/>
    <s v="Washington"/>
    <x v="0"/>
    <x v="6"/>
    <x v="74"/>
    <x v="402"/>
    <x v="4"/>
  </r>
  <r>
    <x v="600"/>
    <d v="2015-12-31T00:00:00"/>
    <x v="6"/>
    <s v="Standard Class"/>
    <s v="EH-13765"/>
    <x v="53"/>
    <s v="Washington"/>
    <x v="0"/>
    <x v="1"/>
    <x v="651"/>
    <x v="716"/>
    <x v="2"/>
  </r>
  <r>
    <x v="601"/>
    <d v="2015-12-26T00:00:00"/>
    <x v="3"/>
    <s v="First Class"/>
    <s v="BV-11245"/>
    <x v="585"/>
    <s v="Washington"/>
    <x v="0"/>
    <x v="0"/>
    <x v="807"/>
    <x v="662"/>
    <x v="1"/>
  </r>
  <r>
    <x v="601"/>
    <d v="2015-12-31T00:00:00"/>
    <x v="4"/>
    <s v="Standard Class"/>
    <s v="SC-20305"/>
    <x v="272"/>
    <s v="California"/>
    <x v="1"/>
    <x v="7"/>
    <x v="282"/>
    <x v="1312"/>
    <x v="8"/>
  </r>
  <r>
    <x v="601"/>
    <d v="2015-12-31T00:00:00"/>
    <x v="4"/>
    <s v="Standard Class"/>
    <s v="SC-20305"/>
    <x v="272"/>
    <s v="California"/>
    <x v="0"/>
    <x v="6"/>
    <x v="74"/>
    <x v="1674"/>
    <x v="8"/>
  </r>
  <r>
    <x v="602"/>
    <d v="2015-12-29T00:00:00"/>
    <x v="2"/>
    <s v="First Class"/>
    <s v="GK-14620"/>
    <x v="95"/>
    <s v="California"/>
    <x v="2"/>
    <x v="14"/>
    <x v="1229"/>
    <x v="1675"/>
    <x v="8"/>
  </r>
  <r>
    <x v="602"/>
    <d v="2015-12-29T00:00:00"/>
    <x v="2"/>
    <s v="First Class"/>
    <s v="GK-14620"/>
    <x v="95"/>
    <s v="California"/>
    <x v="0"/>
    <x v="0"/>
    <x v="0"/>
    <x v="924"/>
    <x v="8"/>
  </r>
  <r>
    <x v="602"/>
    <d v="2015-12-29T00:00:00"/>
    <x v="2"/>
    <s v="First Class"/>
    <s v="GK-14620"/>
    <x v="95"/>
    <s v="California"/>
    <x v="2"/>
    <x v="11"/>
    <x v="1222"/>
    <x v="1676"/>
    <x v="8"/>
  </r>
  <r>
    <x v="602"/>
    <d v="2015-12-31T00:00:00"/>
    <x v="1"/>
    <s v="Standard Class"/>
    <s v="JE-15715"/>
    <x v="281"/>
    <s v="Washington"/>
    <x v="1"/>
    <x v="10"/>
    <x v="1230"/>
    <x v="197"/>
    <x v="0"/>
  </r>
  <r>
    <x v="602"/>
    <d v="2015-12-31T00:00:00"/>
    <x v="1"/>
    <s v="Standard Class"/>
    <s v="JE-15715"/>
    <x v="281"/>
    <s v="Washington"/>
    <x v="1"/>
    <x v="8"/>
    <x v="1231"/>
    <x v="1677"/>
    <x v="1"/>
  </r>
  <r>
    <x v="602"/>
    <d v="2016-01-02T00:00:00"/>
    <x v="6"/>
    <s v="Standard Class"/>
    <s v="LW-16825"/>
    <x v="224"/>
    <s v="Arizona"/>
    <x v="1"/>
    <x v="8"/>
    <x v="140"/>
    <x v="1678"/>
    <x v="6"/>
  </r>
  <r>
    <x v="602"/>
    <d v="2016-01-02T00:00:00"/>
    <x v="6"/>
    <s v="Standard Class"/>
    <s v="LW-16825"/>
    <x v="224"/>
    <s v="Arizona"/>
    <x v="2"/>
    <x v="13"/>
    <x v="1232"/>
    <x v="1679"/>
    <x v="4"/>
  </r>
  <r>
    <x v="602"/>
    <d v="2016-01-02T00:00:00"/>
    <x v="6"/>
    <s v="Standard Class"/>
    <s v="LW-16825"/>
    <x v="224"/>
    <s v="Arizona"/>
    <x v="2"/>
    <x v="11"/>
    <x v="134"/>
    <x v="1680"/>
    <x v="0"/>
  </r>
  <r>
    <x v="602"/>
    <d v="2016-01-02T00:00:00"/>
    <x v="6"/>
    <s v="Standard Class"/>
    <s v="LW-16825"/>
    <x v="224"/>
    <s v="Arizona"/>
    <x v="2"/>
    <x v="11"/>
    <x v="1233"/>
    <x v="1681"/>
    <x v="4"/>
  </r>
  <r>
    <x v="602"/>
    <d v="2016-01-02T00:00:00"/>
    <x v="6"/>
    <s v="Standard Class"/>
    <s v="LW-16825"/>
    <x v="224"/>
    <s v="Arizona"/>
    <x v="1"/>
    <x v="10"/>
    <x v="971"/>
    <x v="1682"/>
    <x v="4"/>
  </r>
  <r>
    <x v="603"/>
    <d v="2015-12-31T00:00:00"/>
    <x v="5"/>
    <s v="Standard Class"/>
    <s v="FP-14320"/>
    <x v="237"/>
    <s v="Washington"/>
    <x v="0"/>
    <x v="0"/>
    <x v="1234"/>
    <x v="82"/>
    <x v="1"/>
  </r>
  <r>
    <x v="603"/>
    <d v="2016-01-03T00:00:00"/>
    <x v="6"/>
    <s v="Standard Class"/>
    <s v="SH-19975"/>
    <x v="245"/>
    <s v="Colorado"/>
    <x v="0"/>
    <x v="4"/>
    <x v="1212"/>
    <x v="1683"/>
    <x v="4"/>
  </r>
  <r>
    <x v="603"/>
    <d v="2015-12-28T00:00:00"/>
    <x v="3"/>
    <s v="First Class"/>
    <s v="RC-19825"/>
    <x v="504"/>
    <s v="Colorado"/>
    <x v="0"/>
    <x v="3"/>
    <x v="1111"/>
    <x v="1684"/>
    <x v="4"/>
  </r>
  <r>
    <x v="603"/>
    <d v="2016-01-01T00:00:00"/>
    <x v="1"/>
    <s v="Standard Class"/>
    <s v="MC-18130"/>
    <x v="153"/>
    <s v="California"/>
    <x v="0"/>
    <x v="12"/>
    <x v="1060"/>
    <x v="1685"/>
    <x v="4"/>
  </r>
  <r>
    <x v="603"/>
    <d v="2016-01-01T00:00:00"/>
    <x v="1"/>
    <s v="Standard Class"/>
    <s v="MC-18130"/>
    <x v="153"/>
    <s v="California"/>
    <x v="2"/>
    <x v="14"/>
    <x v="152"/>
    <x v="1357"/>
    <x v="4"/>
  </r>
  <r>
    <x v="603"/>
    <d v="2016-01-01T00:00:00"/>
    <x v="1"/>
    <s v="Standard Class"/>
    <s v="MC-18130"/>
    <x v="153"/>
    <s v="California"/>
    <x v="1"/>
    <x v="10"/>
    <x v="1235"/>
    <x v="424"/>
    <x v="0"/>
  </r>
  <r>
    <x v="603"/>
    <d v="2016-01-01T00:00:00"/>
    <x v="1"/>
    <s v="Standard Class"/>
    <s v="MC-18130"/>
    <x v="153"/>
    <s v="California"/>
    <x v="0"/>
    <x v="4"/>
    <x v="1236"/>
    <x v="876"/>
    <x v="4"/>
  </r>
  <r>
    <x v="603"/>
    <d v="2016-01-01T00:00:00"/>
    <x v="1"/>
    <s v="Standard Class"/>
    <s v="MC-18130"/>
    <x v="153"/>
    <s v="California"/>
    <x v="1"/>
    <x v="8"/>
    <x v="509"/>
    <x v="1278"/>
    <x v="0"/>
  </r>
  <r>
    <x v="603"/>
    <d v="2016-01-01T00:00:00"/>
    <x v="1"/>
    <s v="Standard Class"/>
    <s v="MC-18130"/>
    <x v="153"/>
    <s v="California"/>
    <x v="0"/>
    <x v="3"/>
    <x v="122"/>
    <x v="1686"/>
    <x v="0"/>
  </r>
  <r>
    <x v="604"/>
    <d v="2016-01-01T00:00:00"/>
    <x v="5"/>
    <s v="Standard Class"/>
    <s v="EM-14140"/>
    <x v="107"/>
    <s v="California"/>
    <x v="0"/>
    <x v="15"/>
    <x v="884"/>
    <x v="1687"/>
    <x v="8"/>
  </r>
  <r>
    <x v="605"/>
    <d v="2016-01-03T00:00:00"/>
    <x v="5"/>
    <s v="Standard Class"/>
    <s v="PF-19225"/>
    <x v="560"/>
    <s v="California"/>
    <x v="0"/>
    <x v="5"/>
    <x v="1025"/>
    <x v="1263"/>
    <x v="0"/>
  </r>
  <r>
    <x v="605"/>
    <d v="2016-01-01T00:00:00"/>
    <x v="0"/>
    <s v="Second Class"/>
    <s v="KL-16645"/>
    <x v="114"/>
    <s v="Oregon"/>
    <x v="0"/>
    <x v="6"/>
    <x v="1237"/>
    <x v="1688"/>
    <x v="0"/>
  </r>
  <r>
    <x v="605"/>
    <d v="2016-01-03T00:00:00"/>
    <x v="5"/>
    <s v="Standard Class"/>
    <s v="FO-14305"/>
    <x v="586"/>
    <s v="California"/>
    <x v="0"/>
    <x v="1"/>
    <x v="1238"/>
    <x v="1689"/>
    <x v="6"/>
  </r>
  <r>
    <x v="605"/>
    <d v="2016-01-03T00:00:00"/>
    <x v="5"/>
    <s v="Standard Class"/>
    <s v="FO-14305"/>
    <x v="586"/>
    <s v="California"/>
    <x v="0"/>
    <x v="12"/>
    <x v="1239"/>
    <x v="1690"/>
    <x v="4"/>
  </r>
  <r>
    <x v="606"/>
    <d v="2015-12-31T00:00:00"/>
    <x v="7"/>
    <s v="Same Day"/>
    <s v="JP-16135"/>
    <x v="343"/>
    <s v="California"/>
    <x v="0"/>
    <x v="1"/>
    <x v="1240"/>
    <x v="1691"/>
    <x v="2"/>
  </r>
  <r>
    <x v="606"/>
    <d v="2015-12-31T00:00:00"/>
    <x v="7"/>
    <s v="Same Day"/>
    <s v="JP-16135"/>
    <x v="343"/>
    <s v="California"/>
    <x v="0"/>
    <x v="5"/>
    <x v="708"/>
    <x v="1692"/>
    <x v="6"/>
  </r>
  <r>
    <x v="607"/>
    <d v="2016-01-07T00:00:00"/>
    <x v="4"/>
    <s v="Standard Class"/>
    <s v="KL-16555"/>
    <x v="261"/>
    <s v="Nevada"/>
    <x v="0"/>
    <x v="3"/>
    <x v="1106"/>
    <x v="1693"/>
    <x v="4"/>
  </r>
  <r>
    <x v="607"/>
    <d v="2016-01-07T00:00:00"/>
    <x v="4"/>
    <s v="Standard Class"/>
    <s v="KL-16555"/>
    <x v="261"/>
    <s v="Nevada"/>
    <x v="0"/>
    <x v="5"/>
    <x v="773"/>
    <x v="1694"/>
    <x v="8"/>
  </r>
  <r>
    <x v="607"/>
    <d v="2016-01-06T00:00:00"/>
    <x v="1"/>
    <s v="Standard Class"/>
    <s v="BD-11620"/>
    <x v="551"/>
    <s v="California"/>
    <x v="2"/>
    <x v="14"/>
    <x v="1150"/>
    <x v="68"/>
    <x v="0"/>
  </r>
  <r>
    <x v="607"/>
    <d v="2016-01-07T00:00:00"/>
    <x v="4"/>
    <s v="Standard Class"/>
    <s v="BP-11155"/>
    <x v="331"/>
    <s v="California"/>
    <x v="0"/>
    <x v="5"/>
    <x v="1241"/>
    <x v="1695"/>
    <x v="0"/>
  </r>
  <r>
    <x v="608"/>
    <d v="2016-01-06T00:00:00"/>
    <x v="5"/>
    <s v="Standard Class"/>
    <s v="SC-20725"/>
    <x v="82"/>
    <s v="California"/>
    <x v="1"/>
    <x v="7"/>
    <x v="586"/>
    <x v="1696"/>
    <x v="12"/>
  </r>
  <r>
    <x v="609"/>
    <d v="2016-01-05T00:00:00"/>
    <x v="0"/>
    <s v="Second Class"/>
    <s v="FW-14395"/>
    <x v="587"/>
    <s v="California"/>
    <x v="2"/>
    <x v="11"/>
    <x v="1153"/>
    <x v="1697"/>
    <x v="6"/>
  </r>
  <r>
    <x v="610"/>
    <d v="2016-01-09T00:00:00"/>
    <x v="1"/>
    <s v="Standard Class"/>
    <s v="DL-13315"/>
    <x v="588"/>
    <s v="California"/>
    <x v="0"/>
    <x v="0"/>
    <x v="1128"/>
    <x v="1259"/>
    <x v="5"/>
  </r>
  <r>
    <x v="610"/>
    <d v="2016-01-08T00:00:00"/>
    <x v="5"/>
    <s v="Standard Class"/>
    <s v="CM-12385"/>
    <x v="589"/>
    <s v="California"/>
    <x v="0"/>
    <x v="5"/>
    <x v="1242"/>
    <x v="1698"/>
    <x v="9"/>
  </r>
  <r>
    <x v="610"/>
    <d v="2016-01-08T00:00:00"/>
    <x v="5"/>
    <s v="Standard Class"/>
    <s v="CM-12385"/>
    <x v="589"/>
    <s v="California"/>
    <x v="0"/>
    <x v="3"/>
    <x v="1243"/>
    <x v="1699"/>
    <x v="0"/>
  </r>
  <r>
    <x v="611"/>
    <d v="2016-01-10T00:00:00"/>
    <x v="0"/>
    <s v="Second Class"/>
    <s v="JF-15190"/>
    <x v="590"/>
    <s v="California"/>
    <x v="0"/>
    <x v="1"/>
    <x v="193"/>
    <x v="1700"/>
    <x v="12"/>
  </r>
  <r>
    <x v="611"/>
    <d v="2016-01-10T00:00:00"/>
    <x v="0"/>
    <s v="Second Class"/>
    <s v="JF-15190"/>
    <x v="590"/>
    <s v="California"/>
    <x v="0"/>
    <x v="1"/>
    <x v="339"/>
    <x v="1701"/>
    <x v="0"/>
  </r>
  <r>
    <x v="611"/>
    <d v="2016-01-10T00:00:00"/>
    <x v="0"/>
    <s v="Second Class"/>
    <s v="JF-15190"/>
    <x v="590"/>
    <s v="California"/>
    <x v="0"/>
    <x v="12"/>
    <x v="780"/>
    <x v="1702"/>
    <x v="8"/>
  </r>
  <r>
    <x v="611"/>
    <d v="2016-01-10T00:00:00"/>
    <x v="0"/>
    <s v="Second Class"/>
    <s v="JF-15190"/>
    <x v="590"/>
    <s v="California"/>
    <x v="0"/>
    <x v="9"/>
    <x v="16"/>
    <x v="1703"/>
    <x v="6"/>
  </r>
  <r>
    <x v="612"/>
    <d v="2016-01-12T00:00:00"/>
    <x v="2"/>
    <s v="First Class"/>
    <s v="RS-19420"/>
    <x v="481"/>
    <s v="Washington"/>
    <x v="1"/>
    <x v="8"/>
    <x v="1244"/>
    <x v="1704"/>
    <x v="4"/>
  </r>
  <r>
    <x v="613"/>
    <d v="2016-01-17T00:00:00"/>
    <x v="5"/>
    <s v="Standard Class"/>
    <s v="LS-16945"/>
    <x v="313"/>
    <s v="California"/>
    <x v="0"/>
    <x v="6"/>
    <x v="74"/>
    <x v="1705"/>
    <x v="6"/>
  </r>
  <r>
    <x v="614"/>
    <d v="2016-01-17T00:00:00"/>
    <x v="0"/>
    <s v="First Class"/>
    <s v="TP-21565"/>
    <x v="562"/>
    <s v="Colorado"/>
    <x v="2"/>
    <x v="11"/>
    <x v="937"/>
    <x v="1706"/>
    <x v="8"/>
  </r>
  <r>
    <x v="614"/>
    <d v="2016-01-17T00:00:00"/>
    <x v="0"/>
    <s v="First Class"/>
    <s v="TP-21565"/>
    <x v="562"/>
    <s v="Colorado"/>
    <x v="0"/>
    <x v="1"/>
    <x v="711"/>
    <x v="1707"/>
    <x v="11"/>
  </r>
  <r>
    <x v="614"/>
    <d v="2016-01-20T00:00:00"/>
    <x v="1"/>
    <s v="Standard Class"/>
    <s v="SO-20335"/>
    <x v="591"/>
    <s v="California"/>
    <x v="0"/>
    <x v="0"/>
    <x v="627"/>
    <x v="1164"/>
    <x v="1"/>
  </r>
  <r>
    <x v="615"/>
    <d v="2016-01-20T00:00:00"/>
    <x v="5"/>
    <s v="Standard Class"/>
    <s v="TT-21460"/>
    <x v="592"/>
    <s v="California"/>
    <x v="0"/>
    <x v="3"/>
    <x v="115"/>
    <x v="118"/>
    <x v="1"/>
  </r>
  <r>
    <x v="616"/>
    <d v="2016-01-17T00:00:00"/>
    <x v="7"/>
    <s v="Same Day"/>
    <s v="JO-15145"/>
    <x v="116"/>
    <s v="California"/>
    <x v="1"/>
    <x v="7"/>
    <x v="150"/>
    <x v="1314"/>
    <x v="2"/>
  </r>
  <r>
    <x v="616"/>
    <d v="2016-01-17T00:00:00"/>
    <x v="7"/>
    <s v="Same Day"/>
    <s v="JO-15145"/>
    <x v="116"/>
    <s v="California"/>
    <x v="1"/>
    <x v="8"/>
    <x v="1245"/>
    <x v="1708"/>
    <x v="8"/>
  </r>
  <r>
    <x v="617"/>
    <d v="2016-01-27T00:00:00"/>
    <x v="4"/>
    <s v="Standard Class"/>
    <s v="TH-21100"/>
    <x v="166"/>
    <s v="California"/>
    <x v="2"/>
    <x v="14"/>
    <x v="388"/>
    <x v="1709"/>
    <x v="0"/>
  </r>
  <r>
    <x v="617"/>
    <d v="2016-01-26T00:00:00"/>
    <x v="1"/>
    <s v="Standard Class"/>
    <s v="TM-21010"/>
    <x v="127"/>
    <s v="California"/>
    <x v="0"/>
    <x v="3"/>
    <x v="162"/>
    <x v="1710"/>
    <x v="1"/>
  </r>
  <r>
    <x v="617"/>
    <d v="2016-01-26T00:00:00"/>
    <x v="1"/>
    <s v="Standard Class"/>
    <s v="TM-21010"/>
    <x v="127"/>
    <s v="California"/>
    <x v="2"/>
    <x v="14"/>
    <x v="1246"/>
    <x v="1711"/>
    <x v="0"/>
  </r>
  <r>
    <x v="618"/>
    <d v="2016-01-26T00:00:00"/>
    <x v="5"/>
    <s v="Standard Class"/>
    <s v="DS-13030"/>
    <x v="101"/>
    <s v="Washington"/>
    <x v="0"/>
    <x v="1"/>
    <x v="46"/>
    <x v="35"/>
    <x v="0"/>
  </r>
  <r>
    <x v="618"/>
    <d v="2016-01-26T00:00:00"/>
    <x v="5"/>
    <s v="Standard Class"/>
    <s v="DS-13030"/>
    <x v="101"/>
    <s v="Washington"/>
    <x v="2"/>
    <x v="11"/>
    <x v="380"/>
    <x v="401"/>
    <x v="0"/>
  </r>
  <r>
    <x v="618"/>
    <d v="2016-01-26T00:00:00"/>
    <x v="5"/>
    <s v="Standard Class"/>
    <s v="DS-13030"/>
    <x v="101"/>
    <s v="Washington"/>
    <x v="0"/>
    <x v="5"/>
    <x v="1247"/>
    <x v="1712"/>
    <x v="5"/>
  </r>
  <r>
    <x v="618"/>
    <d v="2016-01-26T00:00:00"/>
    <x v="5"/>
    <s v="Standard Class"/>
    <s v="DS-13030"/>
    <x v="101"/>
    <s v="Washington"/>
    <x v="0"/>
    <x v="5"/>
    <x v="64"/>
    <x v="65"/>
    <x v="2"/>
  </r>
  <r>
    <x v="618"/>
    <d v="2016-01-26T00:00:00"/>
    <x v="5"/>
    <s v="Standard Class"/>
    <s v="DS-13030"/>
    <x v="101"/>
    <s v="Washington"/>
    <x v="1"/>
    <x v="2"/>
    <x v="1248"/>
    <x v="1713"/>
    <x v="6"/>
  </r>
  <r>
    <x v="618"/>
    <d v="2016-01-26T00:00:00"/>
    <x v="5"/>
    <s v="Standard Class"/>
    <s v="DS-13030"/>
    <x v="101"/>
    <s v="Washington"/>
    <x v="0"/>
    <x v="5"/>
    <x v="1025"/>
    <x v="1683"/>
    <x v="1"/>
  </r>
  <r>
    <x v="619"/>
    <d v="2016-01-28T00:00:00"/>
    <x v="1"/>
    <s v="Standard Class"/>
    <s v="AD-10180"/>
    <x v="593"/>
    <s v="Montana"/>
    <x v="2"/>
    <x v="16"/>
    <x v="1249"/>
    <x v="1714"/>
    <x v="1"/>
  </r>
  <r>
    <x v="619"/>
    <d v="2016-01-28T00:00:00"/>
    <x v="1"/>
    <s v="Standard Class"/>
    <s v="AD-10180"/>
    <x v="593"/>
    <s v="Montana"/>
    <x v="0"/>
    <x v="1"/>
    <x v="545"/>
    <x v="594"/>
    <x v="0"/>
  </r>
  <r>
    <x v="619"/>
    <d v="2016-01-28T00:00:00"/>
    <x v="1"/>
    <s v="Standard Class"/>
    <s v="AD-10180"/>
    <x v="593"/>
    <s v="Montana"/>
    <x v="0"/>
    <x v="0"/>
    <x v="259"/>
    <x v="212"/>
    <x v="4"/>
  </r>
  <r>
    <x v="619"/>
    <d v="2016-01-28T00:00:00"/>
    <x v="1"/>
    <s v="Standard Class"/>
    <s v="AD-10180"/>
    <x v="593"/>
    <s v="Montana"/>
    <x v="0"/>
    <x v="1"/>
    <x v="1250"/>
    <x v="1715"/>
    <x v="0"/>
  </r>
  <r>
    <x v="620"/>
    <d v="2016-01-29T00:00:00"/>
    <x v="1"/>
    <s v="Standard Class"/>
    <s v="CS-12250"/>
    <x v="420"/>
    <s v="Washington"/>
    <x v="0"/>
    <x v="5"/>
    <x v="783"/>
    <x v="221"/>
    <x v="1"/>
  </r>
  <r>
    <x v="620"/>
    <d v="2016-01-29T00:00:00"/>
    <x v="1"/>
    <s v="Standard Class"/>
    <s v="CS-12250"/>
    <x v="420"/>
    <s v="Washington"/>
    <x v="0"/>
    <x v="0"/>
    <x v="1251"/>
    <x v="292"/>
    <x v="2"/>
  </r>
  <r>
    <x v="620"/>
    <d v="2016-01-29T00:00:00"/>
    <x v="1"/>
    <s v="Standard Class"/>
    <s v="CS-12250"/>
    <x v="420"/>
    <s v="Washington"/>
    <x v="0"/>
    <x v="0"/>
    <x v="1196"/>
    <x v="231"/>
    <x v="6"/>
  </r>
  <r>
    <x v="620"/>
    <d v="2016-01-29T00:00:00"/>
    <x v="1"/>
    <s v="Standard Class"/>
    <s v="CS-12250"/>
    <x v="420"/>
    <s v="Washington"/>
    <x v="2"/>
    <x v="14"/>
    <x v="65"/>
    <x v="1716"/>
    <x v="5"/>
  </r>
  <r>
    <x v="620"/>
    <d v="2016-01-28T00:00:00"/>
    <x v="5"/>
    <s v="Standard Class"/>
    <s v="HP-14815"/>
    <x v="64"/>
    <s v="Arizona"/>
    <x v="2"/>
    <x v="11"/>
    <x v="666"/>
    <x v="1717"/>
    <x v="4"/>
  </r>
  <r>
    <x v="620"/>
    <d v="2016-01-28T00:00:00"/>
    <x v="5"/>
    <s v="Standard Class"/>
    <s v="HP-14815"/>
    <x v="64"/>
    <s v="Arizona"/>
    <x v="0"/>
    <x v="5"/>
    <x v="232"/>
    <x v="1718"/>
    <x v="4"/>
  </r>
  <r>
    <x v="621"/>
    <d v="2016-01-30T00:00:00"/>
    <x v="1"/>
    <s v="Standard Class"/>
    <s v="KD-16495"/>
    <x v="538"/>
    <s v="California"/>
    <x v="0"/>
    <x v="4"/>
    <x v="1092"/>
    <x v="1719"/>
    <x v="0"/>
  </r>
  <r>
    <x v="621"/>
    <d v="2016-01-30T00:00:00"/>
    <x v="1"/>
    <s v="Standard Class"/>
    <s v="KD-16495"/>
    <x v="538"/>
    <s v="California"/>
    <x v="0"/>
    <x v="5"/>
    <x v="1105"/>
    <x v="1411"/>
    <x v="4"/>
  </r>
  <r>
    <x v="621"/>
    <d v="2016-01-30T00:00:00"/>
    <x v="1"/>
    <s v="Standard Class"/>
    <s v="KD-16495"/>
    <x v="538"/>
    <s v="California"/>
    <x v="2"/>
    <x v="14"/>
    <x v="873"/>
    <x v="1048"/>
    <x v="0"/>
  </r>
  <r>
    <x v="622"/>
    <d v="2016-01-31T00:00:00"/>
    <x v="5"/>
    <s v="Standard Class"/>
    <s v="CJ-12010"/>
    <x v="594"/>
    <s v="California"/>
    <x v="0"/>
    <x v="9"/>
    <x v="87"/>
    <x v="1720"/>
    <x v="9"/>
  </r>
  <r>
    <x v="623"/>
    <d v="2016-02-01T00:00:00"/>
    <x v="2"/>
    <s v="Second Class"/>
    <s v="BT-11305"/>
    <x v="59"/>
    <s v="California"/>
    <x v="2"/>
    <x v="11"/>
    <x v="1252"/>
    <x v="24"/>
    <x v="0"/>
  </r>
  <r>
    <x v="623"/>
    <d v="2016-02-01T00:00:00"/>
    <x v="2"/>
    <s v="Second Class"/>
    <s v="BT-11305"/>
    <x v="59"/>
    <s v="California"/>
    <x v="1"/>
    <x v="7"/>
    <x v="1253"/>
    <x v="1721"/>
    <x v="0"/>
  </r>
  <r>
    <x v="624"/>
    <d v="2016-02-03T00:00:00"/>
    <x v="5"/>
    <s v="Standard Class"/>
    <s v="VG-21790"/>
    <x v="222"/>
    <s v="California"/>
    <x v="0"/>
    <x v="3"/>
    <x v="1254"/>
    <x v="1501"/>
    <x v="0"/>
  </r>
  <r>
    <x v="624"/>
    <d v="2016-02-03T00:00:00"/>
    <x v="5"/>
    <s v="Standard Class"/>
    <s v="VG-21790"/>
    <x v="222"/>
    <s v="California"/>
    <x v="0"/>
    <x v="12"/>
    <x v="484"/>
    <x v="1722"/>
    <x v="6"/>
  </r>
  <r>
    <x v="624"/>
    <d v="2016-02-03T00:00:00"/>
    <x v="5"/>
    <s v="Standard Class"/>
    <s v="VG-21790"/>
    <x v="222"/>
    <s v="California"/>
    <x v="0"/>
    <x v="5"/>
    <x v="200"/>
    <x v="1346"/>
    <x v="9"/>
  </r>
  <r>
    <x v="625"/>
    <d v="2016-01-31T00:00:00"/>
    <x v="7"/>
    <s v="Same Day"/>
    <s v="MM-17920"/>
    <x v="595"/>
    <s v="California"/>
    <x v="0"/>
    <x v="1"/>
    <x v="1255"/>
    <x v="1723"/>
    <x v="4"/>
  </r>
  <r>
    <x v="625"/>
    <d v="2016-02-07T00:00:00"/>
    <x v="6"/>
    <s v="Standard Class"/>
    <s v="EH-14125"/>
    <x v="188"/>
    <s v="California"/>
    <x v="0"/>
    <x v="3"/>
    <x v="1106"/>
    <x v="1724"/>
    <x v="8"/>
  </r>
  <r>
    <x v="625"/>
    <d v="2016-02-07T00:00:00"/>
    <x v="6"/>
    <s v="Standard Class"/>
    <s v="EH-14125"/>
    <x v="188"/>
    <s v="California"/>
    <x v="0"/>
    <x v="3"/>
    <x v="1178"/>
    <x v="708"/>
    <x v="0"/>
  </r>
  <r>
    <x v="625"/>
    <d v="2016-02-07T00:00:00"/>
    <x v="6"/>
    <s v="Standard Class"/>
    <s v="EH-14125"/>
    <x v="188"/>
    <s v="California"/>
    <x v="1"/>
    <x v="10"/>
    <x v="464"/>
    <x v="1480"/>
    <x v="6"/>
  </r>
  <r>
    <x v="625"/>
    <d v="2016-02-03T00:00:00"/>
    <x v="2"/>
    <s v="First Class"/>
    <s v="SZ-20035"/>
    <x v="526"/>
    <s v="Washington"/>
    <x v="2"/>
    <x v="14"/>
    <x v="152"/>
    <x v="1725"/>
    <x v="2"/>
  </r>
  <r>
    <x v="626"/>
    <d v="2016-02-08T00:00:00"/>
    <x v="1"/>
    <s v="Standard Class"/>
    <s v="JL-15835"/>
    <x v="55"/>
    <s v="California"/>
    <x v="1"/>
    <x v="7"/>
    <x v="1054"/>
    <x v="1726"/>
    <x v="4"/>
  </r>
  <r>
    <x v="626"/>
    <d v="2016-02-08T00:00:00"/>
    <x v="1"/>
    <s v="Standard Class"/>
    <s v="JL-15835"/>
    <x v="55"/>
    <s v="California"/>
    <x v="0"/>
    <x v="1"/>
    <x v="1256"/>
    <x v="1727"/>
    <x v="2"/>
  </r>
  <r>
    <x v="626"/>
    <d v="2016-02-08T00:00:00"/>
    <x v="1"/>
    <s v="Standard Class"/>
    <s v="JL-15835"/>
    <x v="55"/>
    <s v="California"/>
    <x v="0"/>
    <x v="4"/>
    <x v="1212"/>
    <x v="1728"/>
    <x v="2"/>
  </r>
  <r>
    <x v="626"/>
    <d v="2016-02-08T00:00:00"/>
    <x v="1"/>
    <s v="Standard Class"/>
    <s v="BO-11350"/>
    <x v="477"/>
    <s v="California"/>
    <x v="1"/>
    <x v="7"/>
    <x v="1257"/>
    <x v="1729"/>
    <x v="4"/>
  </r>
  <r>
    <x v="626"/>
    <d v="2016-02-08T00:00:00"/>
    <x v="1"/>
    <s v="Standard Class"/>
    <s v="BO-11350"/>
    <x v="477"/>
    <s v="California"/>
    <x v="0"/>
    <x v="5"/>
    <x v="270"/>
    <x v="1730"/>
    <x v="4"/>
  </r>
  <r>
    <x v="626"/>
    <d v="2016-02-08T00:00:00"/>
    <x v="1"/>
    <s v="Standard Class"/>
    <s v="BO-11350"/>
    <x v="477"/>
    <s v="California"/>
    <x v="2"/>
    <x v="13"/>
    <x v="1258"/>
    <x v="351"/>
    <x v="4"/>
  </r>
  <r>
    <x v="627"/>
    <d v="2016-02-10T00:00:00"/>
    <x v="5"/>
    <s v="Standard Class"/>
    <s v="FC-14335"/>
    <x v="179"/>
    <s v="California"/>
    <x v="0"/>
    <x v="4"/>
    <x v="792"/>
    <x v="928"/>
    <x v="1"/>
  </r>
  <r>
    <x v="627"/>
    <d v="2016-02-10T00:00:00"/>
    <x v="5"/>
    <s v="Standard Class"/>
    <s v="FC-14335"/>
    <x v="179"/>
    <s v="California"/>
    <x v="2"/>
    <x v="14"/>
    <x v="929"/>
    <x v="1731"/>
    <x v="1"/>
  </r>
  <r>
    <x v="628"/>
    <d v="2016-02-14T00:00:00"/>
    <x v="6"/>
    <s v="Standard Class"/>
    <s v="SN-20560"/>
    <x v="336"/>
    <s v="California"/>
    <x v="0"/>
    <x v="0"/>
    <x v="1259"/>
    <x v="1460"/>
    <x v="1"/>
  </r>
  <r>
    <x v="629"/>
    <d v="2016-02-15T00:00:00"/>
    <x v="1"/>
    <s v="Second Class"/>
    <s v="ML-17395"/>
    <x v="14"/>
    <s v="California"/>
    <x v="1"/>
    <x v="7"/>
    <x v="1260"/>
    <x v="600"/>
    <x v="2"/>
  </r>
  <r>
    <x v="629"/>
    <d v="2016-02-14T00:00:00"/>
    <x v="5"/>
    <s v="Standard Class"/>
    <s v="SB-20170"/>
    <x v="596"/>
    <s v="California"/>
    <x v="0"/>
    <x v="1"/>
    <x v="1125"/>
    <x v="1732"/>
    <x v="1"/>
  </r>
  <r>
    <x v="630"/>
    <d v="2016-02-15T00:00:00"/>
    <x v="5"/>
    <s v="Standard Class"/>
    <s v="MP-18175"/>
    <x v="583"/>
    <s v="California"/>
    <x v="1"/>
    <x v="2"/>
    <x v="450"/>
    <x v="1733"/>
    <x v="4"/>
  </r>
  <r>
    <x v="631"/>
    <d v="2016-02-15T00:00:00"/>
    <x v="2"/>
    <s v="Second Class"/>
    <s v="VW-21775"/>
    <x v="275"/>
    <s v="California"/>
    <x v="0"/>
    <x v="5"/>
    <x v="195"/>
    <x v="1734"/>
    <x v="8"/>
  </r>
  <r>
    <x v="631"/>
    <d v="2016-02-14T00:00:00"/>
    <x v="0"/>
    <s v="Second Class"/>
    <s v="CS-11845"/>
    <x v="378"/>
    <s v="Washington"/>
    <x v="1"/>
    <x v="10"/>
    <x v="40"/>
    <x v="1735"/>
    <x v="2"/>
  </r>
  <r>
    <x v="631"/>
    <d v="2016-02-14T00:00:00"/>
    <x v="0"/>
    <s v="Second Class"/>
    <s v="CS-11845"/>
    <x v="378"/>
    <s v="Washington"/>
    <x v="2"/>
    <x v="14"/>
    <x v="628"/>
    <x v="692"/>
    <x v="0"/>
  </r>
  <r>
    <x v="632"/>
    <d v="2016-02-20T00:00:00"/>
    <x v="4"/>
    <s v="Standard Class"/>
    <s v="FH-14350"/>
    <x v="597"/>
    <s v="Washington"/>
    <x v="0"/>
    <x v="3"/>
    <x v="657"/>
    <x v="732"/>
    <x v="0"/>
  </r>
  <r>
    <x v="632"/>
    <d v="2016-02-20T00:00:00"/>
    <x v="4"/>
    <s v="Standard Class"/>
    <s v="FH-14350"/>
    <x v="597"/>
    <s v="Washington"/>
    <x v="2"/>
    <x v="11"/>
    <x v="1149"/>
    <x v="1736"/>
    <x v="2"/>
  </r>
  <r>
    <x v="632"/>
    <d v="2016-02-20T00:00:00"/>
    <x v="4"/>
    <s v="Standard Class"/>
    <s v="FH-14350"/>
    <x v="597"/>
    <s v="Washington"/>
    <x v="1"/>
    <x v="7"/>
    <x v="1261"/>
    <x v="1737"/>
    <x v="6"/>
  </r>
  <r>
    <x v="633"/>
    <d v="2016-02-22T00:00:00"/>
    <x v="2"/>
    <s v="Second Class"/>
    <s v="CV-12805"/>
    <x v="524"/>
    <s v="California"/>
    <x v="2"/>
    <x v="14"/>
    <x v="1069"/>
    <x v="1738"/>
    <x v="0"/>
  </r>
  <r>
    <x v="633"/>
    <d v="2016-02-22T00:00:00"/>
    <x v="2"/>
    <s v="Second Class"/>
    <s v="CV-12805"/>
    <x v="524"/>
    <s v="California"/>
    <x v="2"/>
    <x v="11"/>
    <x v="726"/>
    <x v="1739"/>
    <x v="0"/>
  </r>
  <r>
    <x v="633"/>
    <d v="2016-02-22T00:00:00"/>
    <x v="2"/>
    <s v="Second Class"/>
    <s v="CV-12805"/>
    <x v="524"/>
    <s v="California"/>
    <x v="0"/>
    <x v="15"/>
    <x v="1262"/>
    <x v="1740"/>
    <x v="4"/>
  </r>
  <r>
    <x v="634"/>
    <d v="2016-02-24T00:00:00"/>
    <x v="5"/>
    <s v="Standard Class"/>
    <s v="ME-17725"/>
    <x v="385"/>
    <s v="Washington"/>
    <x v="0"/>
    <x v="9"/>
    <x v="1263"/>
    <x v="1741"/>
    <x v="0"/>
  </r>
  <r>
    <x v="634"/>
    <d v="2016-02-21T00:00:00"/>
    <x v="3"/>
    <s v="First Class"/>
    <s v="ED-13885"/>
    <x v="128"/>
    <s v="California"/>
    <x v="0"/>
    <x v="3"/>
    <x v="913"/>
    <x v="591"/>
    <x v="0"/>
  </r>
  <r>
    <x v="634"/>
    <d v="2016-02-21T00:00:00"/>
    <x v="3"/>
    <s v="First Class"/>
    <s v="ED-13885"/>
    <x v="128"/>
    <s v="California"/>
    <x v="1"/>
    <x v="7"/>
    <x v="226"/>
    <x v="864"/>
    <x v="0"/>
  </r>
  <r>
    <x v="635"/>
    <d v="2016-02-24T00:00:00"/>
    <x v="2"/>
    <s v="First Class"/>
    <s v="HW-14935"/>
    <x v="598"/>
    <s v="California"/>
    <x v="1"/>
    <x v="7"/>
    <x v="518"/>
    <x v="1742"/>
    <x v="6"/>
  </r>
  <r>
    <x v="635"/>
    <d v="2016-02-24T00:00:00"/>
    <x v="2"/>
    <s v="First Class"/>
    <s v="HW-14935"/>
    <x v="598"/>
    <s v="California"/>
    <x v="2"/>
    <x v="14"/>
    <x v="472"/>
    <x v="1743"/>
    <x v="4"/>
  </r>
  <r>
    <x v="635"/>
    <d v="2016-02-26T00:00:00"/>
    <x v="1"/>
    <s v="Second Class"/>
    <s v="BP-11095"/>
    <x v="253"/>
    <s v="Colorado"/>
    <x v="0"/>
    <x v="9"/>
    <x v="16"/>
    <x v="1744"/>
    <x v="0"/>
  </r>
  <r>
    <x v="635"/>
    <d v="2016-02-28T00:00:00"/>
    <x v="6"/>
    <s v="Standard Class"/>
    <s v="KM-16375"/>
    <x v="433"/>
    <s v="Arizona"/>
    <x v="2"/>
    <x v="14"/>
    <x v="423"/>
    <x v="445"/>
    <x v="0"/>
  </r>
  <r>
    <x v="635"/>
    <d v="2016-02-28T00:00:00"/>
    <x v="6"/>
    <s v="Standard Class"/>
    <s v="KM-16375"/>
    <x v="433"/>
    <s v="Arizona"/>
    <x v="2"/>
    <x v="11"/>
    <x v="1264"/>
    <x v="1745"/>
    <x v="6"/>
  </r>
  <r>
    <x v="635"/>
    <d v="2016-02-28T00:00:00"/>
    <x v="6"/>
    <s v="Standard Class"/>
    <s v="KM-16375"/>
    <x v="433"/>
    <s v="Arizona"/>
    <x v="0"/>
    <x v="1"/>
    <x v="1265"/>
    <x v="1746"/>
    <x v="4"/>
  </r>
  <r>
    <x v="635"/>
    <d v="2016-02-28T00:00:00"/>
    <x v="6"/>
    <s v="Standard Class"/>
    <s v="KM-16375"/>
    <x v="433"/>
    <s v="Arizona"/>
    <x v="0"/>
    <x v="6"/>
    <x v="357"/>
    <x v="1747"/>
    <x v="1"/>
  </r>
  <r>
    <x v="635"/>
    <d v="2016-02-28T00:00:00"/>
    <x v="6"/>
    <s v="Standard Class"/>
    <s v="KM-16375"/>
    <x v="433"/>
    <s v="Arizona"/>
    <x v="1"/>
    <x v="7"/>
    <x v="679"/>
    <x v="1748"/>
    <x v="4"/>
  </r>
  <r>
    <x v="635"/>
    <d v="2016-02-28T00:00:00"/>
    <x v="6"/>
    <s v="Standard Class"/>
    <s v="KM-16375"/>
    <x v="433"/>
    <s v="Arizona"/>
    <x v="1"/>
    <x v="8"/>
    <x v="148"/>
    <x v="1749"/>
    <x v="11"/>
  </r>
  <r>
    <x v="636"/>
    <d v="2016-03-01T00:00:00"/>
    <x v="4"/>
    <s v="Standard Class"/>
    <s v="CK-12595"/>
    <x v="262"/>
    <s v="California"/>
    <x v="0"/>
    <x v="0"/>
    <x v="1044"/>
    <x v="1542"/>
    <x v="5"/>
  </r>
  <r>
    <x v="636"/>
    <d v="2016-03-02T00:00:00"/>
    <x v="6"/>
    <s v="Standard Class"/>
    <s v="AC-10615"/>
    <x v="599"/>
    <s v="Washington"/>
    <x v="0"/>
    <x v="9"/>
    <x v="828"/>
    <x v="872"/>
    <x v="1"/>
  </r>
  <r>
    <x v="636"/>
    <d v="2016-03-02T00:00:00"/>
    <x v="6"/>
    <s v="Standard Class"/>
    <s v="AC-10615"/>
    <x v="599"/>
    <s v="Washington"/>
    <x v="2"/>
    <x v="14"/>
    <x v="723"/>
    <x v="1750"/>
    <x v="1"/>
  </r>
  <r>
    <x v="637"/>
    <d v="2016-02-29T00:00:00"/>
    <x v="0"/>
    <s v="Second Class"/>
    <s v="BT-11530"/>
    <x v="73"/>
    <s v="California"/>
    <x v="0"/>
    <x v="4"/>
    <x v="762"/>
    <x v="1751"/>
    <x v="2"/>
  </r>
  <r>
    <x v="637"/>
    <d v="2016-02-29T00:00:00"/>
    <x v="0"/>
    <s v="Second Class"/>
    <s v="BT-11530"/>
    <x v="73"/>
    <s v="California"/>
    <x v="2"/>
    <x v="14"/>
    <x v="423"/>
    <x v="1752"/>
    <x v="9"/>
  </r>
  <r>
    <x v="637"/>
    <d v="2016-02-29T00:00:00"/>
    <x v="0"/>
    <s v="Second Class"/>
    <s v="BT-11530"/>
    <x v="73"/>
    <s v="California"/>
    <x v="1"/>
    <x v="10"/>
    <x v="112"/>
    <x v="669"/>
    <x v="0"/>
  </r>
  <r>
    <x v="637"/>
    <d v="2016-02-29T00:00:00"/>
    <x v="0"/>
    <s v="Second Class"/>
    <s v="BT-11530"/>
    <x v="73"/>
    <s v="California"/>
    <x v="0"/>
    <x v="0"/>
    <x v="1266"/>
    <x v="1753"/>
    <x v="2"/>
  </r>
  <r>
    <x v="637"/>
    <d v="2016-02-29T00:00:00"/>
    <x v="0"/>
    <s v="Second Class"/>
    <s v="BT-11530"/>
    <x v="73"/>
    <s v="California"/>
    <x v="0"/>
    <x v="0"/>
    <x v="1267"/>
    <x v="1754"/>
    <x v="2"/>
  </r>
  <r>
    <x v="637"/>
    <d v="2016-03-02T00:00:00"/>
    <x v="5"/>
    <s v="Standard Class"/>
    <s v="BM-11140"/>
    <x v="527"/>
    <s v="California"/>
    <x v="0"/>
    <x v="4"/>
    <x v="267"/>
    <x v="1755"/>
    <x v="8"/>
  </r>
  <r>
    <x v="637"/>
    <d v="2016-03-03T00:00:00"/>
    <x v="1"/>
    <s v="Standard Class"/>
    <s v="DB-13060"/>
    <x v="19"/>
    <s v="California"/>
    <x v="1"/>
    <x v="7"/>
    <x v="80"/>
    <x v="83"/>
    <x v="4"/>
  </r>
  <r>
    <x v="637"/>
    <d v="2016-03-03T00:00:00"/>
    <x v="1"/>
    <s v="Standard Class"/>
    <s v="DB-13060"/>
    <x v="19"/>
    <s v="California"/>
    <x v="2"/>
    <x v="14"/>
    <x v="616"/>
    <x v="682"/>
    <x v="4"/>
  </r>
  <r>
    <x v="637"/>
    <d v="2016-03-03T00:00:00"/>
    <x v="1"/>
    <s v="Standard Class"/>
    <s v="DB-13060"/>
    <x v="19"/>
    <s v="California"/>
    <x v="0"/>
    <x v="0"/>
    <x v="560"/>
    <x v="74"/>
    <x v="2"/>
  </r>
  <r>
    <x v="638"/>
    <d v="2016-03-08T00:00:00"/>
    <x v="4"/>
    <s v="Standard Class"/>
    <s v="MY-17380"/>
    <x v="403"/>
    <s v="California"/>
    <x v="2"/>
    <x v="14"/>
    <x v="1268"/>
    <x v="1756"/>
    <x v="0"/>
  </r>
  <r>
    <x v="638"/>
    <d v="2016-03-08T00:00:00"/>
    <x v="4"/>
    <s v="Standard Class"/>
    <s v="MY-17380"/>
    <x v="403"/>
    <s v="California"/>
    <x v="2"/>
    <x v="11"/>
    <x v="1252"/>
    <x v="1757"/>
    <x v="5"/>
  </r>
  <r>
    <x v="638"/>
    <d v="2016-03-08T00:00:00"/>
    <x v="4"/>
    <s v="Standard Class"/>
    <s v="KD-16615"/>
    <x v="376"/>
    <s v="California"/>
    <x v="0"/>
    <x v="5"/>
    <x v="36"/>
    <x v="36"/>
    <x v="4"/>
  </r>
  <r>
    <x v="639"/>
    <d v="2016-03-08T00:00:00"/>
    <x v="1"/>
    <s v="Standard Class"/>
    <s v="EJ-13720"/>
    <x v="6"/>
    <s v="California"/>
    <x v="2"/>
    <x v="11"/>
    <x v="1269"/>
    <x v="1758"/>
    <x v="9"/>
  </r>
  <r>
    <x v="639"/>
    <d v="2016-03-08T00:00:00"/>
    <x v="1"/>
    <s v="Standard Class"/>
    <s v="EJ-13720"/>
    <x v="6"/>
    <s v="California"/>
    <x v="1"/>
    <x v="10"/>
    <x v="688"/>
    <x v="220"/>
    <x v="0"/>
  </r>
  <r>
    <x v="639"/>
    <d v="2016-03-08T00:00:00"/>
    <x v="1"/>
    <s v="Standard Class"/>
    <s v="BT-11395"/>
    <x v="306"/>
    <s v="California"/>
    <x v="1"/>
    <x v="8"/>
    <x v="1245"/>
    <x v="1708"/>
    <x v="8"/>
  </r>
  <r>
    <x v="640"/>
    <d v="2016-03-09T00:00:00"/>
    <x v="1"/>
    <s v="Standard Class"/>
    <s v="SP-20860"/>
    <x v="571"/>
    <s v="California"/>
    <x v="0"/>
    <x v="3"/>
    <x v="1270"/>
    <x v="1759"/>
    <x v="2"/>
  </r>
  <r>
    <x v="640"/>
    <d v="2016-03-09T00:00:00"/>
    <x v="1"/>
    <s v="Standard Class"/>
    <s v="SP-20860"/>
    <x v="571"/>
    <s v="California"/>
    <x v="0"/>
    <x v="6"/>
    <x v="1271"/>
    <x v="1760"/>
    <x v="6"/>
  </r>
  <r>
    <x v="641"/>
    <d v="2016-03-10T00:00:00"/>
    <x v="5"/>
    <s v="Standard Class"/>
    <s v="BF-11170"/>
    <x v="103"/>
    <s v="California"/>
    <x v="0"/>
    <x v="5"/>
    <x v="1272"/>
    <x v="1761"/>
    <x v="11"/>
  </r>
  <r>
    <x v="641"/>
    <d v="2016-03-10T00:00:00"/>
    <x v="5"/>
    <s v="Second Class"/>
    <s v="SH-19975"/>
    <x v="245"/>
    <s v="California"/>
    <x v="0"/>
    <x v="1"/>
    <x v="338"/>
    <x v="1762"/>
    <x v="4"/>
  </r>
  <r>
    <x v="641"/>
    <d v="2016-03-10T00:00:00"/>
    <x v="5"/>
    <s v="Standard Class"/>
    <s v="FC-14245"/>
    <x v="381"/>
    <s v="California"/>
    <x v="0"/>
    <x v="3"/>
    <x v="1273"/>
    <x v="496"/>
    <x v="5"/>
  </r>
  <r>
    <x v="641"/>
    <d v="2016-03-10T00:00:00"/>
    <x v="5"/>
    <s v="Standard Class"/>
    <s v="FC-14245"/>
    <x v="381"/>
    <s v="California"/>
    <x v="0"/>
    <x v="15"/>
    <x v="182"/>
    <x v="217"/>
    <x v="2"/>
  </r>
  <r>
    <x v="641"/>
    <d v="2016-03-10T00:00:00"/>
    <x v="5"/>
    <s v="Standard Class"/>
    <s v="FC-14245"/>
    <x v="381"/>
    <s v="California"/>
    <x v="0"/>
    <x v="0"/>
    <x v="476"/>
    <x v="1763"/>
    <x v="8"/>
  </r>
  <r>
    <x v="641"/>
    <d v="2016-03-10T00:00:00"/>
    <x v="5"/>
    <s v="Standard Class"/>
    <s v="FC-14245"/>
    <x v="381"/>
    <s v="California"/>
    <x v="2"/>
    <x v="14"/>
    <x v="1274"/>
    <x v="1764"/>
    <x v="4"/>
  </r>
  <r>
    <x v="642"/>
    <d v="2016-03-15T00:00:00"/>
    <x v="6"/>
    <s v="Standard Class"/>
    <s v="AH-10210"/>
    <x v="230"/>
    <s v="California"/>
    <x v="0"/>
    <x v="5"/>
    <x v="145"/>
    <x v="1765"/>
    <x v="1"/>
  </r>
  <r>
    <x v="642"/>
    <d v="2016-03-15T00:00:00"/>
    <x v="6"/>
    <s v="Standard Class"/>
    <s v="AH-10210"/>
    <x v="230"/>
    <s v="California"/>
    <x v="0"/>
    <x v="3"/>
    <x v="757"/>
    <x v="64"/>
    <x v="4"/>
  </r>
  <r>
    <x v="643"/>
    <d v="2016-03-13T00:00:00"/>
    <x v="5"/>
    <s v="Standard Class"/>
    <s v="LW-16990"/>
    <x v="480"/>
    <s v="California"/>
    <x v="2"/>
    <x v="11"/>
    <x v="91"/>
    <x v="323"/>
    <x v="4"/>
  </r>
  <r>
    <x v="643"/>
    <d v="2016-03-13T00:00:00"/>
    <x v="5"/>
    <s v="Standard Class"/>
    <s v="KB-16315"/>
    <x v="600"/>
    <s v="California"/>
    <x v="2"/>
    <x v="16"/>
    <x v="1045"/>
    <x v="1766"/>
    <x v="4"/>
  </r>
  <r>
    <x v="643"/>
    <d v="2016-03-13T00:00:00"/>
    <x v="5"/>
    <s v="Standard Class"/>
    <s v="KB-16315"/>
    <x v="600"/>
    <s v="California"/>
    <x v="0"/>
    <x v="5"/>
    <x v="153"/>
    <x v="1767"/>
    <x v="1"/>
  </r>
  <r>
    <x v="644"/>
    <d v="2016-03-15T00:00:00"/>
    <x v="1"/>
    <s v="Second Class"/>
    <s v="CM-11815"/>
    <x v="544"/>
    <s v="California"/>
    <x v="2"/>
    <x v="11"/>
    <x v="402"/>
    <x v="1287"/>
    <x v="2"/>
  </r>
  <r>
    <x v="645"/>
    <d v="2016-03-17T00:00:00"/>
    <x v="1"/>
    <s v="Standard Class"/>
    <s v="BS-11380"/>
    <x v="601"/>
    <s v="California"/>
    <x v="0"/>
    <x v="1"/>
    <x v="46"/>
    <x v="35"/>
    <x v="0"/>
  </r>
  <r>
    <x v="646"/>
    <d v="2016-03-19T00:00:00"/>
    <x v="4"/>
    <s v="Standard Class"/>
    <s v="KF-16285"/>
    <x v="165"/>
    <s v="California"/>
    <x v="0"/>
    <x v="0"/>
    <x v="590"/>
    <x v="1520"/>
    <x v="0"/>
  </r>
  <r>
    <x v="646"/>
    <d v="2016-03-18T00:00:00"/>
    <x v="1"/>
    <s v="Second Class"/>
    <s v="BF-11215"/>
    <x v="602"/>
    <s v="New Mexico"/>
    <x v="0"/>
    <x v="1"/>
    <x v="1207"/>
    <x v="1768"/>
    <x v="9"/>
  </r>
  <r>
    <x v="646"/>
    <d v="2016-03-18T00:00:00"/>
    <x v="1"/>
    <s v="Second Class"/>
    <s v="BF-11215"/>
    <x v="602"/>
    <s v="New Mexico"/>
    <x v="2"/>
    <x v="14"/>
    <x v="809"/>
    <x v="123"/>
    <x v="9"/>
  </r>
  <r>
    <x v="646"/>
    <d v="2016-03-18T00:00:00"/>
    <x v="1"/>
    <s v="Second Class"/>
    <s v="BF-11215"/>
    <x v="602"/>
    <s v="New Mexico"/>
    <x v="2"/>
    <x v="11"/>
    <x v="1275"/>
    <x v="1769"/>
    <x v="1"/>
  </r>
  <r>
    <x v="646"/>
    <d v="2016-03-18T00:00:00"/>
    <x v="1"/>
    <s v="Second Class"/>
    <s v="BF-11215"/>
    <x v="602"/>
    <s v="New Mexico"/>
    <x v="0"/>
    <x v="0"/>
    <x v="1276"/>
    <x v="924"/>
    <x v="8"/>
  </r>
  <r>
    <x v="646"/>
    <d v="2016-03-18T00:00:00"/>
    <x v="1"/>
    <s v="Second Class"/>
    <s v="BF-11215"/>
    <x v="602"/>
    <s v="New Mexico"/>
    <x v="0"/>
    <x v="0"/>
    <x v="1277"/>
    <x v="1770"/>
    <x v="5"/>
  </r>
  <r>
    <x v="646"/>
    <d v="2016-03-20T00:00:00"/>
    <x v="6"/>
    <s v="Standard Class"/>
    <s v="SE-20110"/>
    <x v="50"/>
    <s v="Colorado"/>
    <x v="0"/>
    <x v="12"/>
    <x v="1278"/>
    <x v="1771"/>
    <x v="4"/>
  </r>
  <r>
    <x v="647"/>
    <d v="2016-03-18T00:00:00"/>
    <x v="0"/>
    <s v="Second Class"/>
    <s v="VM-21685"/>
    <x v="528"/>
    <s v="Washington"/>
    <x v="0"/>
    <x v="0"/>
    <x v="1279"/>
    <x v="231"/>
    <x v="6"/>
  </r>
  <r>
    <x v="647"/>
    <d v="2016-03-18T00:00:00"/>
    <x v="0"/>
    <s v="Second Class"/>
    <s v="VM-21685"/>
    <x v="528"/>
    <s v="Washington"/>
    <x v="0"/>
    <x v="1"/>
    <x v="945"/>
    <x v="1772"/>
    <x v="6"/>
  </r>
  <r>
    <x v="647"/>
    <d v="2016-03-18T00:00:00"/>
    <x v="0"/>
    <s v="Second Class"/>
    <s v="VM-21685"/>
    <x v="528"/>
    <s v="Washington"/>
    <x v="2"/>
    <x v="14"/>
    <x v="1280"/>
    <x v="1773"/>
    <x v="0"/>
  </r>
  <r>
    <x v="647"/>
    <d v="2016-03-21T00:00:00"/>
    <x v="1"/>
    <s v="Standard Class"/>
    <s v="KD-16615"/>
    <x v="376"/>
    <s v="California"/>
    <x v="0"/>
    <x v="1"/>
    <x v="342"/>
    <x v="359"/>
    <x v="4"/>
  </r>
  <r>
    <x v="647"/>
    <d v="2016-03-21T00:00:00"/>
    <x v="1"/>
    <s v="Standard Class"/>
    <s v="KD-16615"/>
    <x v="376"/>
    <s v="California"/>
    <x v="0"/>
    <x v="5"/>
    <x v="1152"/>
    <x v="1774"/>
    <x v="5"/>
  </r>
  <r>
    <x v="647"/>
    <d v="2016-03-21T00:00:00"/>
    <x v="1"/>
    <s v="Standard Class"/>
    <s v="KD-16615"/>
    <x v="376"/>
    <s v="California"/>
    <x v="0"/>
    <x v="5"/>
    <x v="783"/>
    <x v="221"/>
    <x v="1"/>
  </r>
  <r>
    <x v="647"/>
    <d v="2016-03-21T00:00:00"/>
    <x v="1"/>
    <s v="Standard Class"/>
    <s v="KD-16615"/>
    <x v="376"/>
    <s v="California"/>
    <x v="0"/>
    <x v="4"/>
    <x v="1281"/>
    <x v="1775"/>
    <x v="0"/>
  </r>
  <r>
    <x v="648"/>
    <d v="2016-03-21T00:00:00"/>
    <x v="5"/>
    <s v="Second Class"/>
    <s v="CL-12565"/>
    <x v="104"/>
    <s v="California"/>
    <x v="0"/>
    <x v="5"/>
    <x v="940"/>
    <x v="1136"/>
    <x v="4"/>
  </r>
  <r>
    <x v="649"/>
    <d v="2016-03-23T00:00:00"/>
    <x v="1"/>
    <s v="Standard Class"/>
    <s v="SW-20275"/>
    <x v="603"/>
    <s v="Washington"/>
    <x v="0"/>
    <x v="3"/>
    <x v="158"/>
    <x v="1776"/>
    <x v="2"/>
  </r>
  <r>
    <x v="649"/>
    <d v="2016-03-22T00:00:00"/>
    <x v="5"/>
    <s v="Standard Class"/>
    <s v="BP-11050"/>
    <x v="604"/>
    <s v="California"/>
    <x v="0"/>
    <x v="3"/>
    <x v="185"/>
    <x v="1042"/>
    <x v="1"/>
  </r>
  <r>
    <x v="649"/>
    <d v="2016-03-22T00:00:00"/>
    <x v="5"/>
    <s v="Standard Class"/>
    <s v="BP-11050"/>
    <x v="604"/>
    <s v="California"/>
    <x v="0"/>
    <x v="6"/>
    <x v="305"/>
    <x v="1777"/>
    <x v="1"/>
  </r>
  <r>
    <x v="649"/>
    <d v="2016-03-20T00:00:00"/>
    <x v="0"/>
    <s v="Second Class"/>
    <s v="JK-15325"/>
    <x v="605"/>
    <s v="California"/>
    <x v="0"/>
    <x v="4"/>
    <x v="1282"/>
    <x v="1778"/>
    <x v="8"/>
  </r>
  <r>
    <x v="650"/>
    <d v="2016-03-22T00:00:00"/>
    <x v="2"/>
    <s v="First Class"/>
    <s v="ND-18370"/>
    <x v="196"/>
    <s v="California"/>
    <x v="0"/>
    <x v="5"/>
    <x v="707"/>
    <x v="1779"/>
    <x v="5"/>
  </r>
  <r>
    <x v="650"/>
    <d v="2016-03-22T00:00:00"/>
    <x v="2"/>
    <s v="First Class"/>
    <s v="ND-18370"/>
    <x v="196"/>
    <s v="California"/>
    <x v="2"/>
    <x v="14"/>
    <x v="257"/>
    <x v="1780"/>
    <x v="5"/>
  </r>
  <r>
    <x v="650"/>
    <d v="2016-03-22T00:00:00"/>
    <x v="2"/>
    <s v="First Class"/>
    <s v="ND-18370"/>
    <x v="196"/>
    <s v="California"/>
    <x v="2"/>
    <x v="11"/>
    <x v="820"/>
    <x v="1781"/>
    <x v="4"/>
  </r>
  <r>
    <x v="650"/>
    <d v="2016-03-22T00:00:00"/>
    <x v="2"/>
    <s v="First Class"/>
    <s v="ND-18370"/>
    <x v="196"/>
    <s v="California"/>
    <x v="2"/>
    <x v="11"/>
    <x v="896"/>
    <x v="677"/>
    <x v="2"/>
  </r>
  <r>
    <x v="650"/>
    <d v="2016-03-22T00:00:00"/>
    <x v="2"/>
    <s v="Second Class"/>
    <s v="SA-20830"/>
    <x v="17"/>
    <s v="California"/>
    <x v="0"/>
    <x v="5"/>
    <x v="170"/>
    <x v="1782"/>
    <x v="4"/>
  </r>
  <r>
    <x v="650"/>
    <d v="2016-03-22T00:00:00"/>
    <x v="2"/>
    <s v="Second Class"/>
    <s v="SA-20830"/>
    <x v="17"/>
    <s v="California"/>
    <x v="1"/>
    <x v="8"/>
    <x v="947"/>
    <x v="1783"/>
    <x v="1"/>
  </r>
  <r>
    <x v="650"/>
    <d v="2016-03-22T00:00:00"/>
    <x v="2"/>
    <s v="Second Class"/>
    <s v="SA-20830"/>
    <x v="17"/>
    <s v="California"/>
    <x v="1"/>
    <x v="7"/>
    <x v="1283"/>
    <x v="1784"/>
    <x v="6"/>
  </r>
  <r>
    <x v="650"/>
    <d v="2016-03-22T00:00:00"/>
    <x v="2"/>
    <s v="Second Class"/>
    <s v="SA-20830"/>
    <x v="17"/>
    <s v="California"/>
    <x v="0"/>
    <x v="5"/>
    <x v="1076"/>
    <x v="1785"/>
    <x v="8"/>
  </r>
  <r>
    <x v="650"/>
    <d v="2016-03-24T00:00:00"/>
    <x v="1"/>
    <s v="Standard Class"/>
    <s v="GZ-14545"/>
    <x v="606"/>
    <s v="California"/>
    <x v="0"/>
    <x v="4"/>
    <x v="1219"/>
    <x v="1786"/>
    <x v="8"/>
  </r>
  <r>
    <x v="651"/>
    <d v="2016-03-24T00:00:00"/>
    <x v="5"/>
    <s v="Standard Class"/>
    <s v="HW-14935"/>
    <x v="598"/>
    <s v="Washington"/>
    <x v="2"/>
    <x v="11"/>
    <x v="834"/>
    <x v="1787"/>
    <x v="8"/>
  </r>
  <r>
    <x v="652"/>
    <d v="2016-03-23T00:00:00"/>
    <x v="0"/>
    <s v="Second Class"/>
    <s v="SC-20725"/>
    <x v="82"/>
    <s v="California"/>
    <x v="0"/>
    <x v="1"/>
    <x v="411"/>
    <x v="1788"/>
    <x v="2"/>
  </r>
  <r>
    <x v="652"/>
    <d v="2016-03-23T00:00:00"/>
    <x v="0"/>
    <s v="Second Class"/>
    <s v="SC-20725"/>
    <x v="82"/>
    <s v="California"/>
    <x v="0"/>
    <x v="5"/>
    <x v="1139"/>
    <x v="1789"/>
    <x v="0"/>
  </r>
  <r>
    <x v="652"/>
    <d v="2016-03-23T00:00:00"/>
    <x v="0"/>
    <s v="Second Class"/>
    <s v="SC-20725"/>
    <x v="82"/>
    <s v="California"/>
    <x v="0"/>
    <x v="5"/>
    <x v="26"/>
    <x v="1790"/>
    <x v="4"/>
  </r>
  <r>
    <x v="652"/>
    <d v="2016-03-25T00:00:00"/>
    <x v="5"/>
    <s v="Standard Class"/>
    <s v="PS-18970"/>
    <x v="54"/>
    <s v="Washington"/>
    <x v="0"/>
    <x v="5"/>
    <x v="1284"/>
    <x v="1791"/>
    <x v="5"/>
  </r>
  <r>
    <x v="652"/>
    <d v="2016-03-25T00:00:00"/>
    <x v="5"/>
    <s v="Standard Class"/>
    <s v="PS-18970"/>
    <x v="54"/>
    <s v="Washington"/>
    <x v="0"/>
    <x v="9"/>
    <x v="260"/>
    <x v="1792"/>
    <x v="8"/>
  </r>
  <r>
    <x v="652"/>
    <d v="2016-03-25T00:00:00"/>
    <x v="5"/>
    <s v="Standard Class"/>
    <s v="PS-18970"/>
    <x v="54"/>
    <s v="Washington"/>
    <x v="1"/>
    <x v="7"/>
    <x v="845"/>
    <x v="1013"/>
    <x v="0"/>
  </r>
  <r>
    <x v="652"/>
    <d v="2016-03-25T00:00:00"/>
    <x v="5"/>
    <s v="Standard Class"/>
    <s v="PS-18970"/>
    <x v="54"/>
    <s v="Washington"/>
    <x v="0"/>
    <x v="1"/>
    <x v="141"/>
    <x v="146"/>
    <x v="2"/>
  </r>
  <r>
    <x v="653"/>
    <d v="2016-03-25T00:00:00"/>
    <x v="0"/>
    <s v="First Class"/>
    <s v="BE-11335"/>
    <x v="607"/>
    <s v="California"/>
    <x v="1"/>
    <x v="7"/>
    <x v="503"/>
    <x v="1793"/>
    <x v="9"/>
  </r>
  <r>
    <x v="653"/>
    <d v="2016-03-26T00:00:00"/>
    <x v="2"/>
    <s v="First Class"/>
    <s v="SJ-20125"/>
    <x v="540"/>
    <s v="Washington"/>
    <x v="0"/>
    <x v="5"/>
    <x v="516"/>
    <x v="1794"/>
    <x v="1"/>
  </r>
  <r>
    <x v="653"/>
    <d v="2016-03-25T00:00:00"/>
    <x v="0"/>
    <s v="First Class"/>
    <s v="RB-19360"/>
    <x v="509"/>
    <s v="Washington"/>
    <x v="0"/>
    <x v="1"/>
    <x v="1202"/>
    <x v="1795"/>
    <x v="4"/>
  </r>
  <r>
    <x v="653"/>
    <d v="2016-03-25T00:00:00"/>
    <x v="0"/>
    <s v="First Class"/>
    <s v="RB-19360"/>
    <x v="509"/>
    <s v="Washington"/>
    <x v="0"/>
    <x v="0"/>
    <x v="807"/>
    <x v="441"/>
    <x v="0"/>
  </r>
  <r>
    <x v="653"/>
    <d v="2016-03-25T00:00:00"/>
    <x v="0"/>
    <s v="First Class"/>
    <s v="RB-19360"/>
    <x v="509"/>
    <s v="Washington"/>
    <x v="2"/>
    <x v="16"/>
    <x v="1285"/>
    <x v="1796"/>
    <x v="2"/>
  </r>
  <r>
    <x v="654"/>
    <d v="2016-03-26T00:00:00"/>
    <x v="3"/>
    <s v="First Class"/>
    <s v="CV-12295"/>
    <x v="608"/>
    <s v="California"/>
    <x v="0"/>
    <x v="4"/>
    <x v="621"/>
    <x v="1797"/>
    <x v="2"/>
  </r>
  <r>
    <x v="654"/>
    <d v="2016-03-26T00:00:00"/>
    <x v="3"/>
    <s v="First Class"/>
    <s v="CV-12295"/>
    <x v="608"/>
    <s v="California"/>
    <x v="0"/>
    <x v="3"/>
    <x v="162"/>
    <x v="930"/>
    <x v="11"/>
  </r>
  <r>
    <x v="654"/>
    <d v="2016-03-26T00:00:00"/>
    <x v="3"/>
    <s v="First Class"/>
    <s v="CV-12295"/>
    <x v="608"/>
    <s v="California"/>
    <x v="0"/>
    <x v="5"/>
    <x v="912"/>
    <x v="1798"/>
    <x v="2"/>
  </r>
  <r>
    <x v="654"/>
    <d v="2016-03-26T00:00:00"/>
    <x v="3"/>
    <s v="First Class"/>
    <s v="CV-12295"/>
    <x v="608"/>
    <s v="California"/>
    <x v="2"/>
    <x v="14"/>
    <x v="1286"/>
    <x v="559"/>
    <x v="2"/>
  </r>
  <r>
    <x v="654"/>
    <d v="2016-03-26T00:00:00"/>
    <x v="3"/>
    <s v="First Class"/>
    <s v="CV-12295"/>
    <x v="608"/>
    <s v="California"/>
    <x v="2"/>
    <x v="16"/>
    <x v="1045"/>
    <x v="1766"/>
    <x v="4"/>
  </r>
  <r>
    <x v="654"/>
    <d v="2016-03-30T00:00:00"/>
    <x v="1"/>
    <s v="Standard Class"/>
    <s v="FM-14215"/>
    <x v="87"/>
    <s v="Washington"/>
    <x v="0"/>
    <x v="3"/>
    <x v="1287"/>
    <x v="164"/>
    <x v="4"/>
  </r>
  <r>
    <x v="655"/>
    <d v="2016-03-28T00:00:00"/>
    <x v="0"/>
    <s v="First Class"/>
    <s v="MZ-17335"/>
    <x v="412"/>
    <s v="Washington"/>
    <x v="0"/>
    <x v="3"/>
    <x v="1288"/>
    <x v="1799"/>
    <x v="6"/>
  </r>
  <r>
    <x v="656"/>
    <d v="2016-03-31T00:00:00"/>
    <x v="5"/>
    <s v="Standard Class"/>
    <s v="BD-11560"/>
    <x v="609"/>
    <s v="California"/>
    <x v="0"/>
    <x v="0"/>
    <x v="1138"/>
    <x v="536"/>
    <x v="4"/>
  </r>
  <r>
    <x v="656"/>
    <d v="2016-03-31T00:00:00"/>
    <x v="5"/>
    <s v="Standard Class"/>
    <s v="BD-11560"/>
    <x v="609"/>
    <s v="California"/>
    <x v="0"/>
    <x v="0"/>
    <x v="243"/>
    <x v="251"/>
    <x v="4"/>
  </r>
  <r>
    <x v="656"/>
    <d v="2016-03-31T00:00:00"/>
    <x v="5"/>
    <s v="Standard Class"/>
    <s v="BD-11560"/>
    <x v="609"/>
    <s v="California"/>
    <x v="0"/>
    <x v="0"/>
    <x v="1289"/>
    <x v="1800"/>
    <x v="0"/>
  </r>
  <r>
    <x v="657"/>
    <d v="2016-03-31T00:00:00"/>
    <x v="2"/>
    <s v="First Class"/>
    <s v="DH-13075"/>
    <x v="283"/>
    <s v="California"/>
    <x v="0"/>
    <x v="0"/>
    <x v="1290"/>
    <x v="28"/>
    <x v="4"/>
  </r>
  <r>
    <x v="657"/>
    <d v="2016-03-31T00:00:00"/>
    <x v="2"/>
    <s v="First Class"/>
    <s v="DH-13075"/>
    <x v="283"/>
    <s v="California"/>
    <x v="1"/>
    <x v="7"/>
    <x v="1291"/>
    <x v="1801"/>
    <x v="6"/>
  </r>
  <r>
    <x v="657"/>
    <d v="2016-03-31T00:00:00"/>
    <x v="2"/>
    <s v="First Class"/>
    <s v="DH-13075"/>
    <x v="283"/>
    <s v="California"/>
    <x v="2"/>
    <x v="13"/>
    <x v="1292"/>
    <x v="1802"/>
    <x v="4"/>
  </r>
  <r>
    <x v="657"/>
    <d v="2016-03-31T00:00:00"/>
    <x v="2"/>
    <s v="First Class"/>
    <s v="DH-13075"/>
    <x v="283"/>
    <s v="California"/>
    <x v="0"/>
    <x v="0"/>
    <x v="1293"/>
    <x v="1803"/>
    <x v="2"/>
  </r>
  <r>
    <x v="657"/>
    <d v="2016-03-31T00:00:00"/>
    <x v="2"/>
    <s v="First Class"/>
    <s v="DH-13075"/>
    <x v="283"/>
    <s v="California"/>
    <x v="0"/>
    <x v="0"/>
    <x v="600"/>
    <x v="441"/>
    <x v="0"/>
  </r>
  <r>
    <x v="657"/>
    <d v="2016-03-31T00:00:00"/>
    <x v="2"/>
    <s v="First Class"/>
    <s v="DH-13075"/>
    <x v="283"/>
    <s v="California"/>
    <x v="0"/>
    <x v="1"/>
    <x v="424"/>
    <x v="1804"/>
    <x v="8"/>
  </r>
  <r>
    <x v="657"/>
    <d v="2016-03-31T00:00:00"/>
    <x v="2"/>
    <s v="First Class"/>
    <s v="DH-13075"/>
    <x v="283"/>
    <s v="California"/>
    <x v="1"/>
    <x v="7"/>
    <x v="517"/>
    <x v="1117"/>
    <x v="8"/>
  </r>
  <r>
    <x v="658"/>
    <d v="2016-03-30T00:00:00"/>
    <x v="7"/>
    <s v="Same Day"/>
    <s v="TB-21400"/>
    <x v="9"/>
    <s v="California"/>
    <x v="0"/>
    <x v="3"/>
    <x v="1243"/>
    <x v="1805"/>
    <x v="4"/>
  </r>
  <r>
    <x v="658"/>
    <d v="2016-03-30T00:00:00"/>
    <x v="7"/>
    <s v="Same Day"/>
    <s v="TB-21400"/>
    <x v="9"/>
    <s v="California"/>
    <x v="2"/>
    <x v="14"/>
    <x v="1294"/>
    <x v="1806"/>
    <x v="6"/>
  </r>
  <r>
    <x v="658"/>
    <d v="2016-04-01T00:00:00"/>
    <x v="0"/>
    <s v="Second Class"/>
    <s v="AB-10165"/>
    <x v="296"/>
    <s v="California"/>
    <x v="1"/>
    <x v="7"/>
    <x v="615"/>
    <x v="1807"/>
    <x v="1"/>
  </r>
  <r>
    <x v="659"/>
    <d v="2016-04-07T00:00:00"/>
    <x v="6"/>
    <s v="Standard Class"/>
    <s v="HG-14965"/>
    <x v="158"/>
    <s v="California"/>
    <x v="0"/>
    <x v="12"/>
    <x v="816"/>
    <x v="964"/>
    <x v="0"/>
  </r>
  <r>
    <x v="660"/>
    <d v="2016-04-05T00:00:00"/>
    <x v="5"/>
    <s v="Standard Class"/>
    <s v="MS-17365"/>
    <x v="449"/>
    <s v="California"/>
    <x v="0"/>
    <x v="15"/>
    <x v="1295"/>
    <x v="124"/>
    <x v="4"/>
  </r>
  <r>
    <x v="660"/>
    <d v="2016-04-05T00:00:00"/>
    <x v="5"/>
    <s v="Standard Class"/>
    <s v="MS-17365"/>
    <x v="449"/>
    <s v="California"/>
    <x v="0"/>
    <x v="5"/>
    <x v="559"/>
    <x v="1808"/>
    <x v="13"/>
  </r>
  <r>
    <x v="660"/>
    <d v="2016-04-03T00:00:00"/>
    <x v="0"/>
    <s v="First Class"/>
    <s v="NC-18535"/>
    <x v="113"/>
    <s v="California"/>
    <x v="1"/>
    <x v="2"/>
    <x v="1140"/>
    <x v="1809"/>
    <x v="9"/>
  </r>
  <r>
    <x v="660"/>
    <d v="2016-04-03T00:00:00"/>
    <x v="0"/>
    <s v="First Class"/>
    <s v="NC-18535"/>
    <x v="113"/>
    <s v="California"/>
    <x v="2"/>
    <x v="13"/>
    <x v="1296"/>
    <x v="1810"/>
    <x v="4"/>
  </r>
  <r>
    <x v="661"/>
    <d v="2016-04-07T00:00:00"/>
    <x v="1"/>
    <s v="Standard Class"/>
    <s v="JF-15190"/>
    <x v="590"/>
    <s v="California"/>
    <x v="1"/>
    <x v="7"/>
    <x v="369"/>
    <x v="1811"/>
    <x v="0"/>
  </r>
  <r>
    <x v="662"/>
    <d v="2016-04-12T00:00:00"/>
    <x v="5"/>
    <s v="Standard Class"/>
    <s v="AH-10120"/>
    <x v="106"/>
    <s v="California"/>
    <x v="0"/>
    <x v="0"/>
    <x v="109"/>
    <x v="1812"/>
    <x v="1"/>
  </r>
  <r>
    <x v="662"/>
    <d v="2016-04-12T00:00:00"/>
    <x v="5"/>
    <s v="Standard Class"/>
    <s v="AH-10120"/>
    <x v="106"/>
    <s v="California"/>
    <x v="0"/>
    <x v="0"/>
    <x v="311"/>
    <x v="1813"/>
    <x v="2"/>
  </r>
  <r>
    <x v="663"/>
    <d v="2016-04-18T00:00:00"/>
    <x v="6"/>
    <s v="Standard Class"/>
    <s v="LW-17215"/>
    <x v="610"/>
    <s v="California"/>
    <x v="2"/>
    <x v="11"/>
    <x v="253"/>
    <x v="1814"/>
    <x v="1"/>
  </r>
  <r>
    <x v="663"/>
    <d v="2016-04-18T00:00:00"/>
    <x v="6"/>
    <s v="Standard Class"/>
    <s v="LW-17215"/>
    <x v="610"/>
    <s v="California"/>
    <x v="0"/>
    <x v="3"/>
    <x v="1297"/>
    <x v="1815"/>
    <x v="8"/>
  </r>
  <r>
    <x v="664"/>
    <d v="2016-04-15T00:00:00"/>
    <x v="0"/>
    <s v="First Class"/>
    <s v="RW-19630"/>
    <x v="516"/>
    <s v="Washington"/>
    <x v="0"/>
    <x v="0"/>
    <x v="1298"/>
    <x v="626"/>
    <x v="6"/>
  </r>
  <r>
    <x v="664"/>
    <d v="2016-04-15T00:00:00"/>
    <x v="0"/>
    <s v="First Class"/>
    <s v="RW-19630"/>
    <x v="516"/>
    <s v="Washington"/>
    <x v="0"/>
    <x v="5"/>
    <x v="1299"/>
    <x v="1816"/>
    <x v="1"/>
  </r>
  <r>
    <x v="664"/>
    <d v="2016-04-17T00:00:00"/>
    <x v="5"/>
    <s v="Standard Class"/>
    <s v="YS-21880"/>
    <x v="436"/>
    <s v="California"/>
    <x v="1"/>
    <x v="10"/>
    <x v="1217"/>
    <x v="39"/>
    <x v="5"/>
  </r>
  <r>
    <x v="665"/>
    <d v="2016-04-18T00:00:00"/>
    <x v="2"/>
    <s v="First Class"/>
    <s v="AH-10075"/>
    <x v="213"/>
    <s v="Nevada"/>
    <x v="1"/>
    <x v="7"/>
    <x v="1300"/>
    <x v="1817"/>
    <x v="1"/>
  </r>
  <r>
    <x v="665"/>
    <d v="2016-04-17T00:00:00"/>
    <x v="0"/>
    <s v="Second Class"/>
    <s v="NS-18640"/>
    <x v="94"/>
    <s v="California"/>
    <x v="0"/>
    <x v="0"/>
    <x v="660"/>
    <x v="166"/>
    <x v="0"/>
  </r>
  <r>
    <x v="666"/>
    <d v="2016-04-20T00:00:00"/>
    <x v="5"/>
    <s v="Standard Class"/>
    <s v="JE-15745"/>
    <x v="91"/>
    <s v="California"/>
    <x v="0"/>
    <x v="1"/>
    <x v="672"/>
    <x v="1818"/>
    <x v="2"/>
  </r>
  <r>
    <x v="666"/>
    <d v="2016-04-20T00:00:00"/>
    <x v="5"/>
    <s v="Standard Class"/>
    <s v="JE-15745"/>
    <x v="91"/>
    <s v="California"/>
    <x v="1"/>
    <x v="2"/>
    <x v="70"/>
    <x v="1819"/>
    <x v="6"/>
  </r>
  <r>
    <x v="666"/>
    <d v="2016-04-20T00:00:00"/>
    <x v="5"/>
    <s v="Standard Class"/>
    <s v="JO-15550"/>
    <x v="289"/>
    <s v="California"/>
    <x v="0"/>
    <x v="4"/>
    <x v="1301"/>
    <x v="676"/>
    <x v="0"/>
  </r>
  <r>
    <x v="667"/>
    <d v="2016-04-23T00:00:00"/>
    <x v="4"/>
    <s v="Standard Class"/>
    <s v="SR-20425"/>
    <x v="611"/>
    <s v="Colorado"/>
    <x v="0"/>
    <x v="5"/>
    <x v="608"/>
    <x v="1820"/>
    <x v="1"/>
  </r>
  <r>
    <x v="667"/>
    <d v="2016-04-23T00:00:00"/>
    <x v="4"/>
    <s v="Standard Class"/>
    <s v="SR-20425"/>
    <x v="611"/>
    <s v="Colorado"/>
    <x v="2"/>
    <x v="13"/>
    <x v="1302"/>
    <x v="1821"/>
    <x v="1"/>
  </r>
  <r>
    <x v="667"/>
    <d v="2016-04-23T00:00:00"/>
    <x v="4"/>
    <s v="Standard Class"/>
    <s v="SR-20425"/>
    <x v="611"/>
    <s v="Colorado"/>
    <x v="0"/>
    <x v="5"/>
    <x v="1172"/>
    <x v="1822"/>
    <x v="4"/>
  </r>
  <r>
    <x v="667"/>
    <d v="2016-04-23T00:00:00"/>
    <x v="4"/>
    <s v="Standard Class"/>
    <s v="SR-20425"/>
    <x v="611"/>
    <s v="Colorado"/>
    <x v="0"/>
    <x v="5"/>
    <x v="177"/>
    <x v="1823"/>
    <x v="5"/>
  </r>
  <r>
    <x v="667"/>
    <d v="2016-04-23T00:00:00"/>
    <x v="4"/>
    <s v="Standard Class"/>
    <s v="SR-20425"/>
    <x v="611"/>
    <s v="Colorado"/>
    <x v="0"/>
    <x v="0"/>
    <x v="0"/>
    <x v="1177"/>
    <x v="2"/>
  </r>
  <r>
    <x v="667"/>
    <d v="2016-04-22T00:00:00"/>
    <x v="1"/>
    <s v="Standard Class"/>
    <s v="PS-18760"/>
    <x v="549"/>
    <s v="California"/>
    <x v="0"/>
    <x v="0"/>
    <x v="1084"/>
    <x v="1824"/>
    <x v="0"/>
  </r>
  <r>
    <x v="667"/>
    <d v="2016-04-22T00:00:00"/>
    <x v="1"/>
    <s v="Standard Class"/>
    <s v="PS-18760"/>
    <x v="549"/>
    <s v="California"/>
    <x v="0"/>
    <x v="15"/>
    <x v="1303"/>
    <x v="740"/>
    <x v="4"/>
  </r>
  <r>
    <x v="667"/>
    <d v="2016-04-22T00:00:00"/>
    <x v="1"/>
    <s v="Standard Class"/>
    <s v="PS-18760"/>
    <x v="549"/>
    <s v="California"/>
    <x v="0"/>
    <x v="9"/>
    <x v="347"/>
    <x v="653"/>
    <x v="1"/>
  </r>
  <r>
    <x v="667"/>
    <d v="2016-04-22T00:00:00"/>
    <x v="1"/>
    <s v="Standard Class"/>
    <s v="PS-18760"/>
    <x v="549"/>
    <s v="California"/>
    <x v="2"/>
    <x v="11"/>
    <x v="297"/>
    <x v="1825"/>
    <x v="12"/>
  </r>
  <r>
    <x v="667"/>
    <d v="2016-04-22T00:00:00"/>
    <x v="1"/>
    <s v="Standard Class"/>
    <s v="PS-18760"/>
    <x v="549"/>
    <s v="California"/>
    <x v="0"/>
    <x v="15"/>
    <x v="745"/>
    <x v="1595"/>
    <x v="9"/>
  </r>
  <r>
    <x v="667"/>
    <d v="2016-04-22T00:00:00"/>
    <x v="1"/>
    <s v="Standard Class"/>
    <s v="PS-18760"/>
    <x v="549"/>
    <s v="California"/>
    <x v="1"/>
    <x v="10"/>
    <x v="1217"/>
    <x v="585"/>
    <x v="0"/>
  </r>
  <r>
    <x v="668"/>
    <d v="2016-04-24T00:00:00"/>
    <x v="2"/>
    <s v="First Class"/>
    <s v="JW-15955"/>
    <x v="612"/>
    <s v="Washington"/>
    <x v="2"/>
    <x v="11"/>
    <x v="1304"/>
    <x v="1826"/>
    <x v="6"/>
  </r>
  <r>
    <x v="668"/>
    <d v="2016-04-24T00:00:00"/>
    <x v="2"/>
    <s v="First Class"/>
    <s v="JW-15955"/>
    <x v="612"/>
    <s v="Washington"/>
    <x v="1"/>
    <x v="7"/>
    <x v="1305"/>
    <x v="1827"/>
    <x v="0"/>
  </r>
  <r>
    <x v="669"/>
    <d v="2016-04-24T00:00:00"/>
    <x v="0"/>
    <s v="First Class"/>
    <s v="GM-14440"/>
    <x v="257"/>
    <s v="California"/>
    <x v="1"/>
    <x v="7"/>
    <x v="831"/>
    <x v="1828"/>
    <x v="4"/>
  </r>
  <r>
    <x v="670"/>
    <d v="2016-04-25T00:00:00"/>
    <x v="0"/>
    <s v="Second Class"/>
    <s v="JF-15355"/>
    <x v="399"/>
    <s v="California"/>
    <x v="1"/>
    <x v="7"/>
    <x v="1306"/>
    <x v="1829"/>
    <x v="8"/>
  </r>
  <r>
    <x v="670"/>
    <d v="2016-04-25T00:00:00"/>
    <x v="0"/>
    <s v="Second Class"/>
    <s v="JF-15355"/>
    <x v="399"/>
    <s v="California"/>
    <x v="0"/>
    <x v="5"/>
    <x v="270"/>
    <x v="1830"/>
    <x v="5"/>
  </r>
  <r>
    <x v="670"/>
    <d v="2016-04-25T00:00:00"/>
    <x v="0"/>
    <s v="Second Class"/>
    <s v="JF-15355"/>
    <x v="399"/>
    <s v="California"/>
    <x v="1"/>
    <x v="7"/>
    <x v="1307"/>
    <x v="1831"/>
    <x v="4"/>
  </r>
  <r>
    <x v="670"/>
    <d v="2016-04-26T00:00:00"/>
    <x v="2"/>
    <s v="First Class"/>
    <s v="SO-20335"/>
    <x v="591"/>
    <s v="Colorado"/>
    <x v="0"/>
    <x v="6"/>
    <x v="74"/>
    <x v="1660"/>
    <x v="4"/>
  </r>
  <r>
    <x v="670"/>
    <d v="2016-04-26T00:00:00"/>
    <x v="2"/>
    <s v="First Class"/>
    <s v="SO-20335"/>
    <x v="591"/>
    <s v="Colorado"/>
    <x v="1"/>
    <x v="7"/>
    <x v="1308"/>
    <x v="1832"/>
    <x v="0"/>
  </r>
  <r>
    <x v="671"/>
    <d v="2016-04-28T00:00:00"/>
    <x v="5"/>
    <s v="Standard Class"/>
    <s v="MG-17890"/>
    <x v="464"/>
    <s v="California"/>
    <x v="0"/>
    <x v="9"/>
    <x v="1309"/>
    <x v="1833"/>
    <x v="6"/>
  </r>
  <r>
    <x v="671"/>
    <d v="2016-04-25T00:00:00"/>
    <x v="3"/>
    <s v="First Class"/>
    <s v="SV-20935"/>
    <x v="613"/>
    <s v="Arizona"/>
    <x v="2"/>
    <x v="14"/>
    <x v="1083"/>
    <x v="1834"/>
    <x v="3"/>
  </r>
  <r>
    <x v="672"/>
    <d v="2016-04-29T00:00:00"/>
    <x v="5"/>
    <s v="Second Class"/>
    <s v="MB-18085"/>
    <x v="614"/>
    <s v="California"/>
    <x v="0"/>
    <x v="5"/>
    <x v="516"/>
    <x v="1835"/>
    <x v="4"/>
  </r>
  <r>
    <x v="672"/>
    <d v="2016-04-29T00:00:00"/>
    <x v="5"/>
    <s v="Standard Class"/>
    <s v="LH-16750"/>
    <x v="615"/>
    <s v="Arizona"/>
    <x v="0"/>
    <x v="3"/>
    <x v="1310"/>
    <x v="1836"/>
    <x v="2"/>
  </r>
  <r>
    <x v="672"/>
    <d v="2016-05-02T00:00:00"/>
    <x v="6"/>
    <s v="Standard Class"/>
    <s v="LL-16840"/>
    <x v="330"/>
    <s v="California"/>
    <x v="0"/>
    <x v="0"/>
    <x v="1311"/>
    <x v="1837"/>
    <x v="0"/>
  </r>
  <r>
    <x v="672"/>
    <d v="2016-05-02T00:00:00"/>
    <x v="6"/>
    <s v="Standard Class"/>
    <s v="LL-16840"/>
    <x v="330"/>
    <s v="California"/>
    <x v="0"/>
    <x v="5"/>
    <x v="1312"/>
    <x v="1838"/>
    <x v="0"/>
  </r>
  <r>
    <x v="672"/>
    <d v="2016-04-27T00:00:00"/>
    <x v="0"/>
    <s v="Second Class"/>
    <s v="SG-20605"/>
    <x v="616"/>
    <s v="California"/>
    <x v="2"/>
    <x v="11"/>
    <x v="862"/>
    <x v="1035"/>
    <x v="0"/>
  </r>
  <r>
    <x v="672"/>
    <d v="2016-04-27T00:00:00"/>
    <x v="0"/>
    <s v="Second Class"/>
    <s v="RL-19615"/>
    <x v="233"/>
    <s v="California"/>
    <x v="1"/>
    <x v="2"/>
    <x v="1313"/>
    <x v="1839"/>
    <x v="8"/>
  </r>
  <r>
    <x v="673"/>
    <d v="2016-05-01T00:00:00"/>
    <x v="1"/>
    <s v="Standard Class"/>
    <s v="PO-19180"/>
    <x v="536"/>
    <s v="Washington"/>
    <x v="0"/>
    <x v="0"/>
    <x v="1234"/>
    <x v="580"/>
    <x v="0"/>
  </r>
  <r>
    <x v="673"/>
    <d v="2016-05-01T00:00:00"/>
    <x v="1"/>
    <s v="Standard Class"/>
    <s v="PO-19180"/>
    <x v="536"/>
    <s v="Washington"/>
    <x v="0"/>
    <x v="15"/>
    <x v="1314"/>
    <x v="1840"/>
    <x v="9"/>
  </r>
  <r>
    <x v="674"/>
    <d v="2016-04-29T00:00:00"/>
    <x v="0"/>
    <s v="First Class"/>
    <s v="AP-10915"/>
    <x v="134"/>
    <s v="California"/>
    <x v="0"/>
    <x v="3"/>
    <x v="1315"/>
    <x v="463"/>
    <x v="2"/>
  </r>
  <r>
    <x v="674"/>
    <d v="2016-04-29T00:00:00"/>
    <x v="0"/>
    <s v="First Class"/>
    <s v="AP-10915"/>
    <x v="134"/>
    <s v="California"/>
    <x v="0"/>
    <x v="3"/>
    <x v="37"/>
    <x v="426"/>
    <x v="0"/>
  </r>
  <r>
    <x v="674"/>
    <d v="2016-04-29T00:00:00"/>
    <x v="0"/>
    <s v="First Class"/>
    <s v="AP-10915"/>
    <x v="134"/>
    <s v="California"/>
    <x v="0"/>
    <x v="3"/>
    <x v="84"/>
    <x v="562"/>
    <x v="4"/>
  </r>
  <r>
    <x v="674"/>
    <d v="2016-05-02T00:00:00"/>
    <x v="1"/>
    <s v="Standard Class"/>
    <s v="HM-14980"/>
    <x v="393"/>
    <s v="Washington"/>
    <x v="1"/>
    <x v="7"/>
    <x v="431"/>
    <x v="1841"/>
    <x v="8"/>
  </r>
  <r>
    <x v="675"/>
    <d v="2016-05-05T00:00:00"/>
    <x v="1"/>
    <s v="Standard Class"/>
    <s v="AD-10180"/>
    <x v="593"/>
    <s v="California"/>
    <x v="0"/>
    <x v="0"/>
    <x v="345"/>
    <x v="1842"/>
    <x v="2"/>
  </r>
  <r>
    <x v="675"/>
    <d v="2016-05-05T00:00:00"/>
    <x v="1"/>
    <s v="Standard Class"/>
    <s v="DJ-13510"/>
    <x v="523"/>
    <s v="California"/>
    <x v="1"/>
    <x v="7"/>
    <x v="1316"/>
    <x v="1187"/>
    <x v="4"/>
  </r>
  <r>
    <x v="675"/>
    <d v="2016-05-05T00:00:00"/>
    <x v="1"/>
    <s v="Standard Class"/>
    <s v="DJ-13510"/>
    <x v="523"/>
    <s v="California"/>
    <x v="0"/>
    <x v="6"/>
    <x v="368"/>
    <x v="1165"/>
    <x v="2"/>
  </r>
  <r>
    <x v="675"/>
    <d v="2016-05-05T00:00:00"/>
    <x v="1"/>
    <s v="Standard Class"/>
    <s v="EA-14035"/>
    <x v="500"/>
    <s v="California"/>
    <x v="0"/>
    <x v="3"/>
    <x v="1317"/>
    <x v="1705"/>
    <x v="4"/>
  </r>
  <r>
    <x v="675"/>
    <d v="2016-05-04T00:00:00"/>
    <x v="5"/>
    <s v="Standard Class"/>
    <s v="NZ-18565"/>
    <x v="362"/>
    <s v="California"/>
    <x v="0"/>
    <x v="5"/>
    <x v="630"/>
    <x v="1843"/>
    <x v="1"/>
  </r>
  <r>
    <x v="676"/>
    <d v="2016-05-05T00:00:00"/>
    <x v="2"/>
    <s v="Second Class"/>
    <s v="EM-13825"/>
    <x v="271"/>
    <s v="California"/>
    <x v="2"/>
    <x v="11"/>
    <x v="1318"/>
    <x v="1844"/>
    <x v="2"/>
  </r>
  <r>
    <x v="676"/>
    <d v="2016-05-06T00:00:00"/>
    <x v="5"/>
    <s v="Standard Class"/>
    <s v="DD-13570"/>
    <x v="617"/>
    <s v="California"/>
    <x v="0"/>
    <x v="0"/>
    <x v="457"/>
    <x v="988"/>
    <x v="1"/>
  </r>
  <r>
    <x v="676"/>
    <d v="2016-05-06T00:00:00"/>
    <x v="5"/>
    <s v="Standard Class"/>
    <s v="DD-13570"/>
    <x v="617"/>
    <s v="California"/>
    <x v="0"/>
    <x v="3"/>
    <x v="334"/>
    <x v="349"/>
    <x v="0"/>
  </r>
  <r>
    <x v="676"/>
    <d v="2016-05-06T00:00:00"/>
    <x v="5"/>
    <s v="Standard Class"/>
    <s v="DD-13570"/>
    <x v="617"/>
    <s v="California"/>
    <x v="0"/>
    <x v="0"/>
    <x v="1319"/>
    <x v="1845"/>
    <x v="1"/>
  </r>
  <r>
    <x v="677"/>
    <d v="2016-05-08T00:00:00"/>
    <x v="1"/>
    <s v="Second Class"/>
    <s v="DB-12970"/>
    <x v="442"/>
    <s v="California"/>
    <x v="0"/>
    <x v="1"/>
    <x v="1256"/>
    <x v="1332"/>
    <x v="4"/>
  </r>
  <r>
    <x v="677"/>
    <d v="2016-05-08T00:00:00"/>
    <x v="1"/>
    <s v="Second Class"/>
    <s v="DB-12970"/>
    <x v="442"/>
    <s v="California"/>
    <x v="0"/>
    <x v="1"/>
    <x v="1320"/>
    <x v="1846"/>
    <x v="9"/>
  </r>
  <r>
    <x v="677"/>
    <d v="2016-05-07T00:00:00"/>
    <x v="5"/>
    <s v="Standard Class"/>
    <s v="MK-18160"/>
    <x v="577"/>
    <s v="California"/>
    <x v="0"/>
    <x v="0"/>
    <x v="474"/>
    <x v="292"/>
    <x v="2"/>
  </r>
  <r>
    <x v="677"/>
    <d v="2016-05-07T00:00:00"/>
    <x v="5"/>
    <s v="Standard Class"/>
    <s v="MK-18160"/>
    <x v="577"/>
    <s v="California"/>
    <x v="0"/>
    <x v="3"/>
    <x v="1321"/>
    <x v="1847"/>
    <x v="8"/>
  </r>
  <r>
    <x v="678"/>
    <d v="2016-05-09T00:00:00"/>
    <x v="1"/>
    <s v="Standard Class"/>
    <s v="LW-16990"/>
    <x v="480"/>
    <s v="California"/>
    <x v="2"/>
    <x v="14"/>
    <x v="404"/>
    <x v="1848"/>
    <x v="1"/>
  </r>
  <r>
    <x v="678"/>
    <d v="2016-05-09T00:00:00"/>
    <x v="1"/>
    <s v="Standard Class"/>
    <s v="LW-16990"/>
    <x v="480"/>
    <s v="California"/>
    <x v="0"/>
    <x v="0"/>
    <x v="1322"/>
    <x v="1849"/>
    <x v="0"/>
  </r>
  <r>
    <x v="678"/>
    <d v="2016-05-09T00:00:00"/>
    <x v="1"/>
    <s v="Standard Class"/>
    <s v="LW-16990"/>
    <x v="480"/>
    <s v="California"/>
    <x v="1"/>
    <x v="8"/>
    <x v="509"/>
    <x v="1850"/>
    <x v="6"/>
  </r>
  <r>
    <x v="678"/>
    <d v="2016-05-09T00:00:00"/>
    <x v="1"/>
    <s v="Second Class"/>
    <s v="CC-12220"/>
    <x v="469"/>
    <s v="California"/>
    <x v="0"/>
    <x v="4"/>
    <x v="1323"/>
    <x v="1851"/>
    <x v="4"/>
  </r>
  <r>
    <x v="679"/>
    <d v="2016-05-09T00:00:00"/>
    <x v="5"/>
    <s v="Standard Class"/>
    <s v="DK-12985"/>
    <x v="355"/>
    <s v="California"/>
    <x v="0"/>
    <x v="6"/>
    <x v="1237"/>
    <x v="1852"/>
    <x v="4"/>
  </r>
  <r>
    <x v="679"/>
    <d v="2016-05-06T00:00:00"/>
    <x v="3"/>
    <s v="First Class"/>
    <s v="LH-17020"/>
    <x v="561"/>
    <s v="Colorado"/>
    <x v="0"/>
    <x v="6"/>
    <x v="798"/>
    <x v="1853"/>
    <x v="11"/>
  </r>
  <r>
    <x v="679"/>
    <d v="2016-05-06T00:00:00"/>
    <x v="3"/>
    <s v="First Class"/>
    <s v="LH-17020"/>
    <x v="561"/>
    <s v="Colorado"/>
    <x v="0"/>
    <x v="5"/>
    <x v="732"/>
    <x v="1854"/>
    <x v="9"/>
  </r>
  <r>
    <x v="679"/>
    <d v="2016-05-06T00:00:00"/>
    <x v="3"/>
    <s v="First Class"/>
    <s v="LH-17020"/>
    <x v="561"/>
    <s v="Colorado"/>
    <x v="1"/>
    <x v="2"/>
    <x v="510"/>
    <x v="1855"/>
    <x v="0"/>
  </r>
  <r>
    <x v="680"/>
    <d v="2016-05-09T00:00:00"/>
    <x v="2"/>
    <s v="Second Class"/>
    <s v="TS-21655"/>
    <x v="618"/>
    <s v="California"/>
    <x v="0"/>
    <x v="4"/>
    <x v="1324"/>
    <x v="1856"/>
    <x v="0"/>
  </r>
  <r>
    <x v="680"/>
    <d v="2016-05-10T00:00:00"/>
    <x v="5"/>
    <s v="Standard Class"/>
    <s v="DB-13615"/>
    <x v="169"/>
    <s v="Arizona"/>
    <x v="0"/>
    <x v="0"/>
    <x v="660"/>
    <x v="1857"/>
    <x v="2"/>
  </r>
  <r>
    <x v="681"/>
    <d v="2016-05-12T00:00:00"/>
    <x v="1"/>
    <s v="Standard Class"/>
    <s v="AB-10060"/>
    <x v="379"/>
    <s v="California"/>
    <x v="2"/>
    <x v="11"/>
    <x v="23"/>
    <x v="1858"/>
    <x v="6"/>
  </r>
  <r>
    <x v="681"/>
    <d v="2016-05-11T00:00:00"/>
    <x v="5"/>
    <s v="Standard Class"/>
    <s v="CS-11950"/>
    <x v="83"/>
    <s v="California"/>
    <x v="2"/>
    <x v="14"/>
    <x v="1325"/>
    <x v="1859"/>
    <x v="8"/>
  </r>
  <r>
    <x v="682"/>
    <d v="2016-05-12T00:00:00"/>
    <x v="5"/>
    <s v="Standard Class"/>
    <s v="PS-19045"/>
    <x v="563"/>
    <s v="California"/>
    <x v="2"/>
    <x v="16"/>
    <x v="1326"/>
    <x v="1860"/>
    <x v="5"/>
  </r>
  <r>
    <x v="682"/>
    <d v="2016-05-12T00:00:00"/>
    <x v="5"/>
    <s v="Second Class"/>
    <s v="MM-18055"/>
    <x v="51"/>
    <s v="California"/>
    <x v="0"/>
    <x v="4"/>
    <x v="4"/>
    <x v="1861"/>
    <x v="2"/>
  </r>
  <r>
    <x v="683"/>
    <d v="2016-05-11T00:00:00"/>
    <x v="0"/>
    <s v="First Class"/>
    <s v="LB-16795"/>
    <x v="525"/>
    <s v="Washington"/>
    <x v="0"/>
    <x v="5"/>
    <x v="686"/>
    <x v="1862"/>
    <x v="1"/>
  </r>
  <r>
    <x v="683"/>
    <d v="2016-05-11T00:00:00"/>
    <x v="0"/>
    <s v="First Class"/>
    <s v="LB-16795"/>
    <x v="525"/>
    <s v="Washington"/>
    <x v="0"/>
    <x v="1"/>
    <x v="1012"/>
    <x v="1239"/>
    <x v="0"/>
  </r>
  <r>
    <x v="683"/>
    <d v="2016-05-11T00:00:00"/>
    <x v="0"/>
    <s v="First Class"/>
    <s v="LB-16795"/>
    <x v="525"/>
    <s v="Washington"/>
    <x v="1"/>
    <x v="8"/>
    <x v="1327"/>
    <x v="1863"/>
    <x v="6"/>
  </r>
  <r>
    <x v="683"/>
    <d v="2016-05-11T00:00:00"/>
    <x v="0"/>
    <s v="First Class"/>
    <s v="LB-16795"/>
    <x v="525"/>
    <s v="Washington"/>
    <x v="0"/>
    <x v="1"/>
    <x v="598"/>
    <x v="1864"/>
    <x v="2"/>
  </r>
  <r>
    <x v="683"/>
    <d v="2016-05-11T00:00:00"/>
    <x v="0"/>
    <s v="First Class"/>
    <s v="LB-16795"/>
    <x v="525"/>
    <s v="Washington"/>
    <x v="2"/>
    <x v="11"/>
    <x v="86"/>
    <x v="323"/>
    <x v="4"/>
  </r>
  <r>
    <x v="684"/>
    <d v="2016-05-12T00:00:00"/>
    <x v="3"/>
    <s v="Same Day"/>
    <s v="LP-17080"/>
    <x v="93"/>
    <s v="Washington"/>
    <x v="0"/>
    <x v="0"/>
    <x v="1044"/>
    <x v="1542"/>
    <x v="5"/>
  </r>
  <r>
    <x v="684"/>
    <d v="2016-05-12T00:00:00"/>
    <x v="3"/>
    <s v="Same Day"/>
    <s v="LP-17080"/>
    <x v="93"/>
    <s v="Washington"/>
    <x v="0"/>
    <x v="15"/>
    <x v="1154"/>
    <x v="1865"/>
    <x v="0"/>
  </r>
  <r>
    <x v="684"/>
    <d v="2016-05-12T00:00:00"/>
    <x v="3"/>
    <s v="Same Day"/>
    <s v="LP-17080"/>
    <x v="93"/>
    <s v="Washington"/>
    <x v="0"/>
    <x v="5"/>
    <x v="734"/>
    <x v="1866"/>
    <x v="4"/>
  </r>
  <r>
    <x v="684"/>
    <d v="2016-05-13T00:00:00"/>
    <x v="0"/>
    <s v="First Class"/>
    <s v="TS-21370"/>
    <x v="191"/>
    <s v="Arizona"/>
    <x v="1"/>
    <x v="2"/>
    <x v="510"/>
    <x v="1867"/>
    <x v="8"/>
  </r>
  <r>
    <x v="685"/>
    <d v="2016-05-18T00:00:00"/>
    <x v="4"/>
    <s v="Standard Class"/>
    <s v="CS-12175"/>
    <x v="619"/>
    <s v="California"/>
    <x v="0"/>
    <x v="12"/>
    <x v="25"/>
    <x v="26"/>
    <x v="4"/>
  </r>
  <r>
    <x v="685"/>
    <d v="2016-05-18T00:00:00"/>
    <x v="4"/>
    <s v="Standard Class"/>
    <s v="CS-12175"/>
    <x v="619"/>
    <s v="California"/>
    <x v="0"/>
    <x v="4"/>
    <x v="841"/>
    <x v="1868"/>
    <x v="6"/>
  </r>
  <r>
    <x v="685"/>
    <d v="2016-05-18T00:00:00"/>
    <x v="4"/>
    <s v="Standard Class"/>
    <s v="CS-12175"/>
    <x v="619"/>
    <s v="California"/>
    <x v="1"/>
    <x v="8"/>
    <x v="1245"/>
    <x v="1869"/>
    <x v="1"/>
  </r>
  <r>
    <x v="685"/>
    <d v="2016-05-18T00:00:00"/>
    <x v="4"/>
    <s v="Standard Class"/>
    <s v="CS-12175"/>
    <x v="619"/>
    <s v="California"/>
    <x v="0"/>
    <x v="5"/>
    <x v="735"/>
    <x v="1870"/>
    <x v="2"/>
  </r>
  <r>
    <x v="686"/>
    <d v="2016-05-20T00:00:00"/>
    <x v="6"/>
    <s v="Standard Class"/>
    <s v="RB-19795"/>
    <x v="494"/>
    <s v="California"/>
    <x v="0"/>
    <x v="15"/>
    <x v="592"/>
    <x v="304"/>
    <x v="9"/>
  </r>
  <r>
    <x v="687"/>
    <d v="2016-05-14T00:00:00"/>
    <x v="7"/>
    <s v="Same Day"/>
    <s v="PJ-19015"/>
    <x v="529"/>
    <s v="California"/>
    <x v="1"/>
    <x v="7"/>
    <x v="831"/>
    <x v="1828"/>
    <x v="4"/>
  </r>
  <r>
    <x v="687"/>
    <d v="2016-05-14T00:00:00"/>
    <x v="7"/>
    <s v="Same Day"/>
    <s v="PJ-19015"/>
    <x v="529"/>
    <s v="California"/>
    <x v="2"/>
    <x v="11"/>
    <x v="1149"/>
    <x v="1871"/>
    <x v="8"/>
  </r>
  <r>
    <x v="687"/>
    <d v="2016-05-19T00:00:00"/>
    <x v="1"/>
    <s v="Standard Class"/>
    <s v="KB-16585"/>
    <x v="316"/>
    <s v="Washington"/>
    <x v="0"/>
    <x v="0"/>
    <x v="385"/>
    <x v="1872"/>
    <x v="11"/>
  </r>
  <r>
    <x v="687"/>
    <d v="2016-05-19T00:00:00"/>
    <x v="1"/>
    <s v="Standard Class"/>
    <s v="KB-16585"/>
    <x v="316"/>
    <s v="Washington"/>
    <x v="0"/>
    <x v="12"/>
    <x v="612"/>
    <x v="1873"/>
    <x v="1"/>
  </r>
  <r>
    <x v="688"/>
    <d v="2016-05-18T00:00:00"/>
    <x v="2"/>
    <s v="Second Class"/>
    <s v="JA-15970"/>
    <x v="151"/>
    <s v="Arizona"/>
    <x v="2"/>
    <x v="14"/>
    <x v="628"/>
    <x v="1874"/>
    <x v="6"/>
  </r>
  <r>
    <x v="688"/>
    <d v="2016-05-18T00:00:00"/>
    <x v="2"/>
    <s v="Second Class"/>
    <s v="JA-15970"/>
    <x v="151"/>
    <s v="Arizona"/>
    <x v="0"/>
    <x v="5"/>
    <x v="1087"/>
    <x v="842"/>
    <x v="4"/>
  </r>
  <r>
    <x v="688"/>
    <d v="2016-05-18T00:00:00"/>
    <x v="2"/>
    <s v="Second Class"/>
    <s v="JA-15970"/>
    <x v="151"/>
    <s v="Arizona"/>
    <x v="0"/>
    <x v="0"/>
    <x v="1328"/>
    <x v="283"/>
    <x v="0"/>
  </r>
  <r>
    <x v="688"/>
    <d v="2016-05-20T00:00:00"/>
    <x v="1"/>
    <s v="Standard Class"/>
    <s v="JF-15295"/>
    <x v="27"/>
    <s v="Washington"/>
    <x v="1"/>
    <x v="7"/>
    <x v="934"/>
    <x v="130"/>
    <x v="4"/>
  </r>
  <r>
    <x v="688"/>
    <d v="2016-05-20T00:00:00"/>
    <x v="1"/>
    <s v="Standard Class"/>
    <s v="JF-15295"/>
    <x v="27"/>
    <s v="Washington"/>
    <x v="1"/>
    <x v="10"/>
    <x v="632"/>
    <x v="1875"/>
    <x v="4"/>
  </r>
  <r>
    <x v="688"/>
    <d v="2016-05-20T00:00:00"/>
    <x v="1"/>
    <s v="Standard Class"/>
    <s v="JF-15295"/>
    <x v="27"/>
    <s v="Washington"/>
    <x v="1"/>
    <x v="10"/>
    <x v="532"/>
    <x v="1876"/>
    <x v="6"/>
  </r>
  <r>
    <x v="689"/>
    <d v="2016-05-20T00:00:00"/>
    <x v="0"/>
    <s v="First Class"/>
    <s v="AB-10105"/>
    <x v="545"/>
    <s v="Oregon"/>
    <x v="2"/>
    <x v="14"/>
    <x v="1329"/>
    <x v="1877"/>
    <x v="4"/>
  </r>
  <r>
    <x v="690"/>
    <d v="2016-05-23T00:00:00"/>
    <x v="5"/>
    <s v="Standard Class"/>
    <s v="AT-10735"/>
    <x v="531"/>
    <s v="Washington"/>
    <x v="0"/>
    <x v="4"/>
    <x v="1330"/>
    <x v="1878"/>
    <x v="4"/>
  </r>
  <r>
    <x v="690"/>
    <d v="2016-05-21T00:00:00"/>
    <x v="0"/>
    <s v="Second Class"/>
    <s v="BC-11125"/>
    <x v="98"/>
    <s v="California"/>
    <x v="1"/>
    <x v="10"/>
    <x v="861"/>
    <x v="1879"/>
    <x v="7"/>
  </r>
  <r>
    <x v="690"/>
    <d v="2016-05-21T00:00:00"/>
    <x v="0"/>
    <s v="Second Class"/>
    <s v="BC-11125"/>
    <x v="98"/>
    <s v="California"/>
    <x v="0"/>
    <x v="3"/>
    <x v="569"/>
    <x v="1880"/>
    <x v="4"/>
  </r>
  <r>
    <x v="690"/>
    <d v="2016-05-21T00:00:00"/>
    <x v="0"/>
    <s v="Second Class"/>
    <s v="BC-11125"/>
    <x v="98"/>
    <s v="California"/>
    <x v="0"/>
    <x v="3"/>
    <x v="1331"/>
    <x v="1881"/>
    <x v="6"/>
  </r>
  <r>
    <x v="690"/>
    <d v="2016-05-21T00:00:00"/>
    <x v="0"/>
    <s v="Second Class"/>
    <s v="BC-11125"/>
    <x v="98"/>
    <s v="California"/>
    <x v="2"/>
    <x v="11"/>
    <x v="1222"/>
    <x v="1882"/>
    <x v="6"/>
  </r>
  <r>
    <x v="690"/>
    <d v="2016-05-24T00:00:00"/>
    <x v="1"/>
    <s v="Standard Class"/>
    <s v="SA-20830"/>
    <x v="17"/>
    <s v="California"/>
    <x v="0"/>
    <x v="5"/>
    <x v="1056"/>
    <x v="1883"/>
    <x v="1"/>
  </r>
  <r>
    <x v="691"/>
    <d v="2016-05-24T00:00:00"/>
    <x v="5"/>
    <s v="Standard Class"/>
    <s v="CC-12430"/>
    <x v="541"/>
    <s v="California"/>
    <x v="1"/>
    <x v="10"/>
    <x v="22"/>
    <x v="1884"/>
    <x v="9"/>
  </r>
  <r>
    <x v="691"/>
    <d v="2016-05-24T00:00:00"/>
    <x v="5"/>
    <s v="Standard Class"/>
    <s v="CC-12430"/>
    <x v="541"/>
    <s v="California"/>
    <x v="1"/>
    <x v="7"/>
    <x v="1332"/>
    <x v="1885"/>
    <x v="6"/>
  </r>
  <r>
    <x v="691"/>
    <d v="2016-05-24T00:00:00"/>
    <x v="5"/>
    <s v="Standard Class"/>
    <s v="CC-12430"/>
    <x v="541"/>
    <s v="California"/>
    <x v="2"/>
    <x v="13"/>
    <x v="1164"/>
    <x v="1886"/>
    <x v="6"/>
  </r>
  <r>
    <x v="691"/>
    <d v="2016-05-26T00:00:00"/>
    <x v="4"/>
    <s v="Standard Class"/>
    <s v="RD-19480"/>
    <x v="339"/>
    <s v="Nevada"/>
    <x v="0"/>
    <x v="5"/>
    <x v="759"/>
    <x v="289"/>
    <x v="4"/>
  </r>
  <r>
    <x v="691"/>
    <d v="2016-05-26T00:00:00"/>
    <x v="4"/>
    <s v="Standard Class"/>
    <s v="RD-19480"/>
    <x v="339"/>
    <s v="Nevada"/>
    <x v="2"/>
    <x v="14"/>
    <x v="700"/>
    <x v="1887"/>
    <x v="11"/>
  </r>
  <r>
    <x v="691"/>
    <d v="2016-05-26T00:00:00"/>
    <x v="4"/>
    <s v="Standard Class"/>
    <s v="RD-19480"/>
    <x v="339"/>
    <s v="Nevada"/>
    <x v="0"/>
    <x v="4"/>
    <x v="1282"/>
    <x v="1888"/>
    <x v="1"/>
  </r>
  <r>
    <x v="692"/>
    <d v="2016-05-25T00:00:00"/>
    <x v="2"/>
    <s v="Second Class"/>
    <s v="EH-13945"/>
    <x v="344"/>
    <s v="California"/>
    <x v="2"/>
    <x v="11"/>
    <x v="1333"/>
    <x v="1889"/>
    <x v="8"/>
  </r>
  <r>
    <x v="692"/>
    <d v="2016-05-25T00:00:00"/>
    <x v="2"/>
    <s v="First Class"/>
    <s v="RL-19615"/>
    <x v="233"/>
    <s v="California"/>
    <x v="0"/>
    <x v="3"/>
    <x v="1111"/>
    <x v="1890"/>
    <x v="8"/>
  </r>
  <r>
    <x v="692"/>
    <d v="2016-05-26T00:00:00"/>
    <x v="5"/>
    <s v="Standard Class"/>
    <s v="VF-21715"/>
    <x v="115"/>
    <s v="California"/>
    <x v="0"/>
    <x v="3"/>
    <x v="1321"/>
    <x v="1566"/>
    <x v="0"/>
  </r>
  <r>
    <x v="692"/>
    <d v="2016-05-26T00:00:00"/>
    <x v="5"/>
    <s v="Standard Class"/>
    <s v="VF-21715"/>
    <x v="115"/>
    <s v="California"/>
    <x v="0"/>
    <x v="3"/>
    <x v="842"/>
    <x v="1891"/>
    <x v="6"/>
  </r>
  <r>
    <x v="693"/>
    <d v="2016-05-29T00:00:00"/>
    <x v="4"/>
    <s v="Standard Class"/>
    <s v="VS-21820"/>
    <x v="620"/>
    <s v="California"/>
    <x v="1"/>
    <x v="8"/>
    <x v="1245"/>
    <x v="1892"/>
    <x v="0"/>
  </r>
  <r>
    <x v="694"/>
    <d v="2016-05-31T00:00:00"/>
    <x v="1"/>
    <s v="Standard Class"/>
    <s v="CD-11920"/>
    <x v="425"/>
    <s v="California"/>
    <x v="0"/>
    <x v="0"/>
    <x v="1334"/>
    <x v="28"/>
    <x v="4"/>
  </r>
  <r>
    <x v="695"/>
    <d v="2016-05-31T00:00:00"/>
    <x v="5"/>
    <s v="Standard Class"/>
    <s v="RP-19855"/>
    <x v="391"/>
    <s v="Washington"/>
    <x v="2"/>
    <x v="11"/>
    <x v="245"/>
    <x v="1893"/>
    <x v="5"/>
  </r>
  <r>
    <x v="695"/>
    <d v="2016-05-31T00:00:00"/>
    <x v="5"/>
    <s v="Standard Class"/>
    <s v="RP-19855"/>
    <x v="391"/>
    <s v="Washington"/>
    <x v="0"/>
    <x v="3"/>
    <x v="162"/>
    <x v="845"/>
    <x v="0"/>
  </r>
  <r>
    <x v="695"/>
    <d v="2016-05-29T00:00:00"/>
    <x v="0"/>
    <s v="First Class"/>
    <s v="JG-15160"/>
    <x v="445"/>
    <s v="Idaho"/>
    <x v="1"/>
    <x v="7"/>
    <x v="1335"/>
    <x v="1894"/>
    <x v="2"/>
  </r>
  <r>
    <x v="695"/>
    <d v="2016-05-29T00:00:00"/>
    <x v="0"/>
    <s v="First Class"/>
    <s v="JG-15160"/>
    <x v="445"/>
    <s v="Idaho"/>
    <x v="0"/>
    <x v="1"/>
    <x v="1320"/>
    <x v="1895"/>
    <x v="1"/>
  </r>
  <r>
    <x v="695"/>
    <d v="2016-05-29T00:00:00"/>
    <x v="0"/>
    <s v="First Class"/>
    <s v="JG-15160"/>
    <x v="445"/>
    <s v="Idaho"/>
    <x v="2"/>
    <x v="14"/>
    <x v="1336"/>
    <x v="68"/>
    <x v="0"/>
  </r>
  <r>
    <x v="696"/>
    <d v="2016-06-02T00:00:00"/>
    <x v="1"/>
    <s v="Standard Class"/>
    <s v="CM-11815"/>
    <x v="544"/>
    <s v="Arizona"/>
    <x v="2"/>
    <x v="14"/>
    <x v="387"/>
    <x v="1896"/>
    <x v="1"/>
  </r>
  <r>
    <x v="696"/>
    <d v="2016-06-02T00:00:00"/>
    <x v="1"/>
    <s v="Standard Class"/>
    <s v="CM-11815"/>
    <x v="544"/>
    <s v="Arizona"/>
    <x v="0"/>
    <x v="0"/>
    <x v="1276"/>
    <x v="283"/>
    <x v="0"/>
  </r>
  <r>
    <x v="696"/>
    <d v="2016-06-02T00:00:00"/>
    <x v="1"/>
    <s v="Standard Class"/>
    <s v="CM-11815"/>
    <x v="544"/>
    <s v="Arizona"/>
    <x v="2"/>
    <x v="11"/>
    <x v="644"/>
    <x v="1897"/>
    <x v="2"/>
  </r>
  <r>
    <x v="697"/>
    <d v="2016-06-03T00:00:00"/>
    <x v="5"/>
    <s v="Standard Class"/>
    <s v="MG-17890"/>
    <x v="464"/>
    <s v="Oregon"/>
    <x v="2"/>
    <x v="14"/>
    <x v="1337"/>
    <x v="1608"/>
    <x v="6"/>
  </r>
  <r>
    <x v="697"/>
    <d v="2016-06-03T00:00:00"/>
    <x v="5"/>
    <s v="Standard Class"/>
    <s v="MG-17890"/>
    <x v="464"/>
    <s v="Oregon"/>
    <x v="2"/>
    <x v="11"/>
    <x v="62"/>
    <x v="1898"/>
    <x v="4"/>
  </r>
  <r>
    <x v="697"/>
    <d v="2016-06-03T00:00:00"/>
    <x v="5"/>
    <s v="Standard Class"/>
    <s v="MG-17890"/>
    <x v="464"/>
    <s v="Oregon"/>
    <x v="1"/>
    <x v="7"/>
    <x v="1338"/>
    <x v="1899"/>
    <x v="6"/>
  </r>
  <r>
    <x v="697"/>
    <d v="2016-06-04T00:00:00"/>
    <x v="1"/>
    <s v="Standard Class"/>
    <s v="SM-20950"/>
    <x v="457"/>
    <s v="California"/>
    <x v="0"/>
    <x v="0"/>
    <x v="1084"/>
    <x v="1368"/>
    <x v="2"/>
  </r>
  <r>
    <x v="697"/>
    <d v="2016-06-03T00:00:00"/>
    <x v="5"/>
    <s v="Standard Class"/>
    <s v="KA-16525"/>
    <x v="396"/>
    <s v="California"/>
    <x v="0"/>
    <x v="3"/>
    <x v="920"/>
    <x v="1625"/>
    <x v="5"/>
  </r>
  <r>
    <x v="698"/>
    <d v="2016-06-05T00:00:00"/>
    <x v="2"/>
    <s v="Second Class"/>
    <s v="DO-13435"/>
    <x v="297"/>
    <s v="Arizona"/>
    <x v="0"/>
    <x v="0"/>
    <x v="1298"/>
    <x v="1900"/>
    <x v="5"/>
  </r>
  <r>
    <x v="698"/>
    <d v="2016-06-05T00:00:00"/>
    <x v="2"/>
    <s v="Second Class"/>
    <s v="DO-13435"/>
    <x v="297"/>
    <s v="Arizona"/>
    <x v="0"/>
    <x v="6"/>
    <x v="1007"/>
    <x v="343"/>
    <x v="1"/>
  </r>
  <r>
    <x v="699"/>
    <d v="2016-06-08T00:00:00"/>
    <x v="1"/>
    <s v="Standard Class"/>
    <s v="GD-14590"/>
    <x v="621"/>
    <s v="Washington"/>
    <x v="2"/>
    <x v="11"/>
    <x v="1339"/>
    <x v="1901"/>
    <x v="3"/>
  </r>
  <r>
    <x v="699"/>
    <d v="2016-06-07T00:00:00"/>
    <x v="5"/>
    <s v="Standard Class"/>
    <s v="SS-20140"/>
    <x v="390"/>
    <s v="California"/>
    <x v="2"/>
    <x v="11"/>
    <x v="359"/>
    <x v="1626"/>
    <x v="1"/>
  </r>
  <r>
    <x v="699"/>
    <d v="2016-06-07T00:00:00"/>
    <x v="5"/>
    <s v="Standard Class"/>
    <s v="SS-20140"/>
    <x v="390"/>
    <s v="California"/>
    <x v="0"/>
    <x v="0"/>
    <x v="1259"/>
    <x v="212"/>
    <x v="4"/>
  </r>
  <r>
    <x v="699"/>
    <d v="2016-06-07T00:00:00"/>
    <x v="5"/>
    <s v="Standard Class"/>
    <s v="SS-20140"/>
    <x v="390"/>
    <s v="California"/>
    <x v="0"/>
    <x v="5"/>
    <x v="826"/>
    <x v="1902"/>
    <x v="6"/>
  </r>
  <r>
    <x v="699"/>
    <d v="2016-06-07T00:00:00"/>
    <x v="5"/>
    <s v="Standard Class"/>
    <s v="MO-17800"/>
    <x v="377"/>
    <s v="Washington"/>
    <x v="0"/>
    <x v="1"/>
    <x v="312"/>
    <x v="1903"/>
    <x v="11"/>
  </r>
  <r>
    <x v="700"/>
    <d v="2016-06-10T00:00:00"/>
    <x v="5"/>
    <s v="Standard Class"/>
    <s v="GH-14410"/>
    <x v="100"/>
    <s v="California"/>
    <x v="1"/>
    <x v="7"/>
    <x v="1063"/>
    <x v="1904"/>
    <x v="6"/>
  </r>
  <r>
    <x v="700"/>
    <d v="2016-06-10T00:00:00"/>
    <x v="5"/>
    <s v="Standard Class"/>
    <s v="GH-14410"/>
    <x v="100"/>
    <s v="California"/>
    <x v="0"/>
    <x v="1"/>
    <x v="68"/>
    <x v="854"/>
    <x v="1"/>
  </r>
  <r>
    <x v="701"/>
    <d v="2016-06-10T00:00:00"/>
    <x v="0"/>
    <s v="First Class"/>
    <s v="MG-17680"/>
    <x v="622"/>
    <s v="California"/>
    <x v="1"/>
    <x v="2"/>
    <x v="1340"/>
    <x v="1905"/>
    <x v="4"/>
  </r>
  <r>
    <x v="701"/>
    <d v="2016-06-10T00:00:00"/>
    <x v="0"/>
    <s v="First Class"/>
    <s v="MG-17680"/>
    <x v="622"/>
    <s v="California"/>
    <x v="2"/>
    <x v="14"/>
    <x v="1341"/>
    <x v="1906"/>
    <x v="4"/>
  </r>
  <r>
    <x v="701"/>
    <d v="2016-06-13T00:00:00"/>
    <x v="1"/>
    <s v="Standard Class"/>
    <s v="FO-14305"/>
    <x v="586"/>
    <s v="Arizona"/>
    <x v="2"/>
    <x v="11"/>
    <x v="228"/>
    <x v="1907"/>
    <x v="8"/>
  </r>
  <r>
    <x v="701"/>
    <d v="2016-06-13T00:00:00"/>
    <x v="1"/>
    <s v="Standard Class"/>
    <s v="FO-14305"/>
    <x v="586"/>
    <s v="Arizona"/>
    <x v="0"/>
    <x v="1"/>
    <x v="972"/>
    <x v="1908"/>
    <x v="4"/>
  </r>
  <r>
    <x v="701"/>
    <d v="2016-06-13T00:00:00"/>
    <x v="1"/>
    <s v="Standard Class"/>
    <s v="FO-14305"/>
    <x v="586"/>
    <s v="Arizona"/>
    <x v="0"/>
    <x v="5"/>
    <x v="772"/>
    <x v="891"/>
    <x v="4"/>
  </r>
  <r>
    <x v="702"/>
    <d v="2016-06-13T00:00:00"/>
    <x v="2"/>
    <s v="First Class"/>
    <s v="MT-18070"/>
    <x v="623"/>
    <s v="California"/>
    <x v="0"/>
    <x v="15"/>
    <x v="555"/>
    <x v="74"/>
    <x v="4"/>
  </r>
  <r>
    <x v="702"/>
    <d v="2016-06-13T00:00:00"/>
    <x v="2"/>
    <s v="First Class"/>
    <s v="MT-18070"/>
    <x v="623"/>
    <s v="California"/>
    <x v="1"/>
    <x v="2"/>
    <x v="70"/>
    <x v="1909"/>
    <x v="1"/>
  </r>
  <r>
    <x v="702"/>
    <d v="2016-06-13T00:00:00"/>
    <x v="2"/>
    <s v="First Class"/>
    <s v="MT-18070"/>
    <x v="623"/>
    <s v="California"/>
    <x v="2"/>
    <x v="14"/>
    <x v="1069"/>
    <x v="1910"/>
    <x v="1"/>
  </r>
  <r>
    <x v="702"/>
    <d v="2016-06-13T00:00:00"/>
    <x v="2"/>
    <s v="First Class"/>
    <s v="BW-11200"/>
    <x v="132"/>
    <s v="California"/>
    <x v="0"/>
    <x v="3"/>
    <x v="103"/>
    <x v="246"/>
    <x v="1"/>
  </r>
  <r>
    <x v="702"/>
    <d v="2016-06-15T00:00:00"/>
    <x v="1"/>
    <s v="Standard Class"/>
    <s v="BD-11320"/>
    <x v="473"/>
    <s v="Washington"/>
    <x v="2"/>
    <x v="14"/>
    <x v="628"/>
    <x v="692"/>
    <x v="0"/>
  </r>
  <r>
    <x v="702"/>
    <d v="2016-06-15T00:00:00"/>
    <x v="1"/>
    <s v="Standard Class"/>
    <s v="BD-11320"/>
    <x v="473"/>
    <s v="Washington"/>
    <x v="0"/>
    <x v="15"/>
    <x v="362"/>
    <x v="590"/>
    <x v="2"/>
  </r>
  <r>
    <x v="702"/>
    <d v="2016-06-15T00:00:00"/>
    <x v="1"/>
    <s v="Standard Class"/>
    <s v="BD-11320"/>
    <x v="473"/>
    <s v="Washington"/>
    <x v="0"/>
    <x v="1"/>
    <x v="1342"/>
    <x v="1911"/>
    <x v="6"/>
  </r>
  <r>
    <x v="702"/>
    <d v="2016-06-13T00:00:00"/>
    <x v="2"/>
    <s v="Second Class"/>
    <s v="GZ-14545"/>
    <x v="606"/>
    <s v="California"/>
    <x v="0"/>
    <x v="3"/>
    <x v="1228"/>
    <x v="1912"/>
    <x v="8"/>
  </r>
  <r>
    <x v="703"/>
    <d v="2016-06-11T00:00:00"/>
    <x v="7"/>
    <s v="Same Day"/>
    <s v="DV-13465"/>
    <x v="533"/>
    <s v="California"/>
    <x v="0"/>
    <x v="0"/>
    <x v="1023"/>
    <x v="1913"/>
    <x v="0"/>
  </r>
  <r>
    <x v="703"/>
    <d v="2016-06-12T00:00:00"/>
    <x v="3"/>
    <s v="First Class"/>
    <s v="BC-11125"/>
    <x v="98"/>
    <s v="Arizona"/>
    <x v="1"/>
    <x v="10"/>
    <x v="1190"/>
    <x v="1914"/>
    <x v="6"/>
  </r>
  <r>
    <x v="703"/>
    <d v="2016-06-12T00:00:00"/>
    <x v="3"/>
    <s v="First Class"/>
    <s v="BC-11125"/>
    <x v="98"/>
    <s v="Arizona"/>
    <x v="0"/>
    <x v="1"/>
    <x v="376"/>
    <x v="1915"/>
    <x v="2"/>
  </r>
  <r>
    <x v="703"/>
    <d v="2016-06-12T00:00:00"/>
    <x v="3"/>
    <s v="First Class"/>
    <s v="BC-11125"/>
    <x v="98"/>
    <s v="Arizona"/>
    <x v="0"/>
    <x v="3"/>
    <x v="1181"/>
    <x v="1916"/>
    <x v="1"/>
  </r>
  <r>
    <x v="703"/>
    <d v="2016-06-12T00:00:00"/>
    <x v="3"/>
    <s v="First Class"/>
    <s v="BC-11125"/>
    <x v="98"/>
    <s v="Arizona"/>
    <x v="0"/>
    <x v="3"/>
    <x v="801"/>
    <x v="1917"/>
    <x v="6"/>
  </r>
  <r>
    <x v="703"/>
    <d v="2016-06-12T00:00:00"/>
    <x v="3"/>
    <s v="First Class"/>
    <s v="BC-11125"/>
    <x v="98"/>
    <s v="Arizona"/>
    <x v="0"/>
    <x v="1"/>
    <x v="141"/>
    <x v="1918"/>
    <x v="0"/>
  </r>
  <r>
    <x v="703"/>
    <d v="2016-06-13T00:00:00"/>
    <x v="0"/>
    <s v="Second Class"/>
    <s v="TB-21400"/>
    <x v="9"/>
    <s v="Washington"/>
    <x v="0"/>
    <x v="0"/>
    <x v="1343"/>
    <x v="1024"/>
    <x v="4"/>
  </r>
  <r>
    <x v="703"/>
    <d v="2016-06-13T00:00:00"/>
    <x v="0"/>
    <s v="Second Class"/>
    <s v="TB-21400"/>
    <x v="9"/>
    <s v="Washington"/>
    <x v="0"/>
    <x v="5"/>
    <x v="195"/>
    <x v="117"/>
    <x v="5"/>
  </r>
  <r>
    <x v="703"/>
    <d v="2016-06-13T00:00:00"/>
    <x v="0"/>
    <s v="Second Class"/>
    <s v="TB-21400"/>
    <x v="9"/>
    <s v="Washington"/>
    <x v="2"/>
    <x v="13"/>
    <x v="1344"/>
    <x v="1919"/>
    <x v="1"/>
  </r>
  <r>
    <x v="703"/>
    <d v="2016-06-13T00:00:00"/>
    <x v="0"/>
    <s v="Second Class"/>
    <s v="TB-21400"/>
    <x v="9"/>
    <s v="Washington"/>
    <x v="0"/>
    <x v="1"/>
    <x v="672"/>
    <x v="1920"/>
    <x v="4"/>
  </r>
  <r>
    <x v="703"/>
    <d v="2016-06-13T00:00:00"/>
    <x v="0"/>
    <s v="Second Class"/>
    <s v="TB-21400"/>
    <x v="9"/>
    <s v="Washington"/>
    <x v="1"/>
    <x v="2"/>
    <x v="1345"/>
    <x v="1921"/>
    <x v="0"/>
  </r>
  <r>
    <x v="703"/>
    <d v="2016-06-14T00:00:00"/>
    <x v="2"/>
    <s v="First Class"/>
    <s v="ZD-21925"/>
    <x v="138"/>
    <s v="California"/>
    <x v="0"/>
    <x v="4"/>
    <x v="762"/>
    <x v="877"/>
    <x v="0"/>
  </r>
  <r>
    <x v="704"/>
    <d v="2016-06-14T00:00:00"/>
    <x v="0"/>
    <s v="Second Class"/>
    <s v="SB-20185"/>
    <x v="325"/>
    <s v="Washington"/>
    <x v="2"/>
    <x v="14"/>
    <x v="1053"/>
    <x v="567"/>
    <x v="0"/>
  </r>
  <r>
    <x v="704"/>
    <d v="2016-06-14T00:00:00"/>
    <x v="0"/>
    <s v="Second Class"/>
    <s v="SB-20185"/>
    <x v="325"/>
    <s v="Washington"/>
    <x v="0"/>
    <x v="0"/>
    <x v="839"/>
    <x v="0"/>
    <x v="0"/>
  </r>
  <r>
    <x v="705"/>
    <d v="2016-06-19T00:00:00"/>
    <x v="4"/>
    <s v="Standard Class"/>
    <s v="TW-21025"/>
    <x v="429"/>
    <s v="Washington"/>
    <x v="1"/>
    <x v="10"/>
    <x v="1217"/>
    <x v="1922"/>
    <x v="2"/>
  </r>
  <r>
    <x v="706"/>
    <d v="2016-06-19T00:00:00"/>
    <x v="5"/>
    <s v="Standard Class"/>
    <s v="CC-12550"/>
    <x v="624"/>
    <s v="California"/>
    <x v="2"/>
    <x v="14"/>
    <x v="1346"/>
    <x v="1923"/>
    <x v="0"/>
  </r>
  <r>
    <x v="706"/>
    <d v="2016-06-20T00:00:00"/>
    <x v="1"/>
    <s v="Standard Class"/>
    <s v="SC-20800"/>
    <x v="625"/>
    <s v="California"/>
    <x v="0"/>
    <x v="3"/>
    <x v="583"/>
    <x v="1924"/>
    <x v="6"/>
  </r>
  <r>
    <x v="706"/>
    <d v="2016-06-19T00:00:00"/>
    <x v="5"/>
    <s v="Second Class"/>
    <s v="KH-16690"/>
    <x v="404"/>
    <s v="California"/>
    <x v="2"/>
    <x v="14"/>
    <x v="1347"/>
    <x v="1637"/>
    <x v="6"/>
  </r>
  <r>
    <x v="707"/>
    <d v="2016-06-19T00:00:00"/>
    <x v="2"/>
    <s v="First Class"/>
    <s v="TS-21610"/>
    <x v="626"/>
    <s v="California"/>
    <x v="1"/>
    <x v="10"/>
    <x v="1348"/>
    <x v="1925"/>
    <x v="8"/>
  </r>
  <r>
    <x v="707"/>
    <d v="2016-06-19T00:00:00"/>
    <x v="2"/>
    <s v="First Class"/>
    <s v="TS-21610"/>
    <x v="626"/>
    <s v="California"/>
    <x v="0"/>
    <x v="0"/>
    <x v="755"/>
    <x v="871"/>
    <x v="4"/>
  </r>
  <r>
    <x v="707"/>
    <d v="2016-06-21T00:00:00"/>
    <x v="1"/>
    <s v="Standard Class"/>
    <s v="AB-10255"/>
    <x v="111"/>
    <s v="New Mexico"/>
    <x v="0"/>
    <x v="12"/>
    <x v="593"/>
    <x v="1926"/>
    <x v="4"/>
  </r>
  <r>
    <x v="707"/>
    <d v="2016-06-21T00:00:00"/>
    <x v="1"/>
    <s v="Standard Class"/>
    <s v="AB-10255"/>
    <x v="111"/>
    <s v="New Mexico"/>
    <x v="0"/>
    <x v="0"/>
    <x v="1349"/>
    <x v="0"/>
    <x v="0"/>
  </r>
  <r>
    <x v="707"/>
    <d v="2016-06-21T00:00:00"/>
    <x v="1"/>
    <s v="Standard Class"/>
    <s v="AB-10255"/>
    <x v="111"/>
    <s v="New Mexico"/>
    <x v="0"/>
    <x v="0"/>
    <x v="1277"/>
    <x v="1927"/>
    <x v="2"/>
  </r>
  <r>
    <x v="708"/>
    <d v="2016-06-20T00:00:00"/>
    <x v="2"/>
    <s v="First Class"/>
    <s v="KD-16345"/>
    <x v="248"/>
    <s v="California"/>
    <x v="0"/>
    <x v="5"/>
    <x v="1350"/>
    <x v="1097"/>
    <x v="0"/>
  </r>
  <r>
    <x v="708"/>
    <d v="2016-06-21T00:00:00"/>
    <x v="5"/>
    <s v="Second Class"/>
    <s v="PF-19165"/>
    <x v="365"/>
    <s v="Washington"/>
    <x v="1"/>
    <x v="7"/>
    <x v="1351"/>
    <x v="1928"/>
    <x v="0"/>
  </r>
  <r>
    <x v="708"/>
    <d v="2016-06-21T00:00:00"/>
    <x v="5"/>
    <s v="Second Class"/>
    <s v="PF-19165"/>
    <x v="365"/>
    <s v="Washington"/>
    <x v="0"/>
    <x v="1"/>
    <x v="1238"/>
    <x v="1689"/>
    <x v="6"/>
  </r>
  <r>
    <x v="708"/>
    <d v="2016-06-20T00:00:00"/>
    <x v="2"/>
    <s v="First Class"/>
    <s v="RA-19945"/>
    <x v="364"/>
    <s v="Colorado"/>
    <x v="0"/>
    <x v="1"/>
    <x v="837"/>
    <x v="424"/>
    <x v="0"/>
  </r>
  <r>
    <x v="709"/>
    <d v="2016-06-23T00:00:00"/>
    <x v="1"/>
    <s v="Standard Class"/>
    <s v="CC-12670"/>
    <x v="375"/>
    <s v="California"/>
    <x v="1"/>
    <x v="2"/>
    <x v="450"/>
    <x v="1929"/>
    <x v="11"/>
  </r>
  <r>
    <x v="709"/>
    <d v="2016-06-23T00:00:00"/>
    <x v="1"/>
    <s v="Standard Class"/>
    <s v="CC-12670"/>
    <x v="375"/>
    <s v="California"/>
    <x v="0"/>
    <x v="0"/>
    <x v="895"/>
    <x v="1259"/>
    <x v="5"/>
  </r>
  <r>
    <x v="710"/>
    <d v="2016-06-23T00:00:00"/>
    <x v="5"/>
    <s v="Standard Class"/>
    <s v="GA-14515"/>
    <x v="309"/>
    <s v="California"/>
    <x v="1"/>
    <x v="7"/>
    <x v="674"/>
    <x v="1930"/>
    <x v="2"/>
  </r>
  <r>
    <x v="710"/>
    <d v="2016-06-23T00:00:00"/>
    <x v="5"/>
    <s v="Standard Class"/>
    <s v="GA-14515"/>
    <x v="309"/>
    <s v="California"/>
    <x v="0"/>
    <x v="0"/>
    <x v="1352"/>
    <x v="1931"/>
    <x v="4"/>
  </r>
  <r>
    <x v="711"/>
    <d v="2016-06-28T00:00:00"/>
    <x v="5"/>
    <s v="Standard Class"/>
    <s v="CJ-12010"/>
    <x v="594"/>
    <s v="California"/>
    <x v="0"/>
    <x v="3"/>
    <x v="1353"/>
    <x v="1932"/>
    <x v="9"/>
  </r>
  <r>
    <x v="711"/>
    <d v="2016-07-01T00:00:00"/>
    <x v="6"/>
    <s v="Standard Class"/>
    <s v="NH-18610"/>
    <x v="627"/>
    <s v="California"/>
    <x v="0"/>
    <x v="3"/>
    <x v="366"/>
    <x v="1933"/>
    <x v="9"/>
  </r>
  <r>
    <x v="711"/>
    <d v="2016-07-01T00:00:00"/>
    <x v="6"/>
    <s v="Standard Class"/>
    <s v="NH-18610"/>
    <x v="627"/>
    <s v="California"/>
    <x v="0"/>
    <x v="3"/>
    <x v="3"/>
    <x v="1934"/>
    <x v="11"/>
  </r>
  <r>
    <x v="711"/>
    <d v="2016-06-26T00:00:00"/>
    <x v="0"/>
    <s v="Second Class"/>
    <s v="KT-16480"/>
    <x v="24"/>
    <s v="California"/>
    <x v="0"/>
    <x v="9"/>
    <x v="1354"/>
    <x v="190"/>
    <x v="6"/>
  </r>
  <r>
    <x v="712"/>
    <d v="2016-07-02T00:00:00"/>
    <x v="6"/>
    <s v="Standard Class"/>
    <s v="ML-17755"/>
    <x v="628"/>
    <s v="Oregon"/>
    <x v="0"/>
    <x v="15"/>
    <x v="555"/>
    <x v="1935"/>
    <x v="5"/>
  </r>
  <r>
    <x v="712"/>
    <d v="2016-07-02T00:00:00"/>
    <x v="6"/>
    <s v="Standard Class"/>
    <s v="ML-17755"/>
    <x v="628"/>
    <s v="Oregon"/>
    <x v="0"/>
    <x v="3"/>
    <x v="1355"/>
    <x v="1936"/>
    <x v="4"/>
  </r>
  <r>
    <x v="712"/>
    <d v="2016-07-02T00:00:00"/>
    <x v="6"/>
    <s v="Standard Class"/>
    <s v="ML-17755"/>
    <x v="628"/>
    <s v="Oregon"/>
    <x v="0"/>
    <x v="9"/>
    <x v="697"/>
    <x v="1937"/>
    <x v="0"/>
  </r>
  <r>
    <x v="712"/>
    <d v="2016-06-29T00:00:00"/>
    <x v="5"/>
    <s v="Second Class"/>
    <s v="AM-10705"/>
    <x v="382"/>
    <s v="Washington"/>
    <x v="1"/>
    <x v="8"/>
    <x v="78"/>
    <x v="1938"/>
    <x v="2"/>
  </r>
  <r>
    <x v="713"/>
    <d v="2016-07-02T00:00:00"/>
    <x v="4"/>
    <s v="Standard Class"/>
    <s v="OT-18730"/>
    <x v="497"/>
    <s v="California"/>
    <x v="0"/>
    <x v="1"/>
    <x v="741"/>
    <x v="1939"/>
    <x v="7"/>
  </r>
  <r>
    <x v="713"/>
    <d v="2016-06-30T00:00:00"/>
    <x v="5"/>
    <s v="Standard Class"/>
    <s v="NP-18700"/>
    <x v="246"/>
    <s v="Colorado"/>
    <x v="2"/>
    <x v="11"/>
    <x v="1356"/>
    <x v="1940"/>
    <x v="11"/>
  </r>
  <r>
    <x v="714"/>
    <d v="2016-06-29T00:00:00"/>
    <x v="0"/>
    <s v="Second Class"/>
    <s v="PW-19030"/>
    <x v="71"/>
    <s v="Washington"/>
    <x v="0"/>
    <x v="0"/>
    <x v="867"/>
    <x v="0"/>
    <x v="0"/>
  </r>
  <r>
    <x v="714"/>
    <d v="2016-06-29T00:00:00"/>
    <x v="0"/>
    <s v="Second Class"/>
    <s v="PW-19030"/>
    <x v="71"/>
    <s v="Washington"/>
    <x v="1"/>
    <x v="7"/>
    <x v="1357"/>
    <x v="1941"/>
    <x v="0"/>
  </r>
  <r>
    <x v="714"/>
    <d v="2016-06-29T00:00:00"/>
    <x v="0"/>
    <s v="Second Class"/>
    <s v="PW-19030"/>
    <x v="71"/>
    <s v="Washington"/>
    <x v="2"/>
    <x v="11"/>
    <x v="446"/>
    <x v="1942"/>
    <x v="1"/>
  </r>
  <r>
    <x v="715"/>
    <d v="2016-07-03T00:00:00"/>
    <x v="5"/>
    <s v="Second Class"/>
    <s v="DK-13225"/>
    <x v="26"/>
    <s v="California"/>
    <x v="0"/>
    <x v="1"/>
    <x v="1358"/>
    <x v="1943"/>
    <x v="4"/>
  </r>
  <r>
    <x v="715"/>
    <d v="2016-07-06T00:00:00"/>
    <x v="6"/>
    <s v="Standard Class"/>
    <s v="CT-11995"/>
    <x v="256"/>
    <s v="California"/>
    <x v="0"/>
    <x v="5"/>
    <x v="273"/>
    <x v="1944"/>
    <x v="11"/>
  </r>
  <r>
    <x v="715"/>
    <d v="2016-06-30T00:00:00"/>
    <x v="3"/>
    <s v="First Class"/>
    <s v="WB-21850"/>
    <x v="202"/>
    <s v="California"/>
    <x v="0"/>
    <x v="5"/>
    <x v="1299"/>
    <x v="1816"/>
    <x v="1"/>
  </r>
  <r>
    <x v="715"/>
    <d v="2016-06-30T00:00:00"/>
    <x v="3"/>
    <s v="First Class"/>
    <s v="WB-21850"/>
    <x v="202"/>
    <s v="California"/>
    <x v="0"/>
    <x v="1"/>
    <x v="782"/>
    <x v="1945"/>
    <x v="0"/>
  </r>
  <r>
    <x v="715"/>
    <d v="2016-06-30T00:00:00"/>
    <x v="3"/>
    <s v="First Class"/>
    <s v="WB-21850"/>
    <x v="202"/>
    <s v="California"/>
    <x v="0"/>
    <x v="3"/>
    <x v="1359"/>
    <x v="868"/>
    <x v="4"/>
  </r>
  <r>
    <x v="715"/>
    <d v="2016-06-30T00:00:00"/>
    <x v="3"/>
    <s v="First Class"/>
    <s v="WB-21850"/>
    <x v="202"/>
    <s v="California"/>
    <x v="2"/>
    <x v="11"/>
    <x v="75"/>
    <x v="77"/>
    <x v="0"/>
  </r>
  <r>
    <x v="716"/>
    <d v="2016-07-05T00:00:00"/>
    <x v="1"/>
    <s v="Standard Class"/>
    <s v="VP-21730"/>
    <x v="629"/>
    <s v="Nevada"/>
    <x v="0"/>
    <x v="5"/>
    <x v="1360"/>
    <x v="1946"/>
    <x v="0"/>
  </r>
  <r>
    <x v="716"/>
    <d v="2016-07-02T00:00:00"/>
    <x v="0"/>
    <s v="Second Class"/>
    <s v="JC-15775"/>
    <x v="397"/>
    <s v="California"/>
    <x v="1"/>
    <x v="2"/>
    <x v="15"/>
    <x v="355"/>
    <x v="0"/>
  </r>
  <r>
    <x v="716"/>
    <d v="2016-07-05T00:00:00"/>
    <x v="1"/>
    <s v="Standard Class"/>
    <s v="TT-21220"/>
    <x v="357"/>
    <s v="California"/>
    <x v="0"/>
    <x v="0"/>
    <x v="345"/>
    <x v="1947"/>
    <x v="1"/>
  </r>
  <r>
    <x v="717"/>
    <d v="2016-07-10T00:00:00"/>
    <x v="6"/>
    <s v="Standard Class"/>
    <s v="CA-12265"/>
    <x v="33"/>
    <s v="New Mexico"/>
    <x v="1"/>
    <x v="7"/>
    <x v="110"/>
    <x v="1948"/>
    <x v="11"/>
  </r>
  <r>
    <x v="717"/>
    <d v="2016-07-03T00:00:00"/>
    <x v="7"/>
    <s v="Same Day"/>
    <s v="JK-15640"/>
    <x v="154"/>
    <s v="Washington"/>
    <x v="2"/>
    <x v="11"/>
    <x v="529"/>
    <x v="1949"/>
    <x v="4"/>
  </r>
  <r>
    <x v="717"/>
    <d v="2016-07-03T00:00:00"/>
    <x v="7"/>
    <s v="Same Day"/>
    <s v="JK-15640"/>
    <x v="154"/>
    <s v="Washington"/>
    <x v="2"/>
    <x v="13"/>
    <x v="1361"/>
    <x v="1950"/>
    <x v="5"/>
  </r>
  <r>
    <x v="717"/>
    <d v="2016-07-03T00:00:00"/>
    <x v="7"/>
    <s v="Same Day"/>
    <s v="JK-15640"/>
    <x v="154"/>
    <s v="Washington"/>
    <x v="2"/>
    <x v="11"/>
    <x v="915"/>
    <x v="1951"/>
    <x v="2"/>
  </r>
  <r>
    <x v="717"/>
    <d v="2016-07-03T00:00:00"/>
    <x v="7"/>
    <s v="Same Day"/>
    <s v="JK-15640"/>
    <x v="154"/>
    <s v="Washington"/>
    <x v="2"/>
    <x v="14"/>
    <x v="1362"/>
    <x v="1952"/>
    <x v="6"/>
  </r>
  <r>
    <x v="717"/>
    <d v="2016-07-10T00:00:00"/>
    <x v="6"/>
    <s v="Standard Class"/>
    <s v="MB-17305"/>
    <x v="126"/>
    <s v="California"/>
    <x v="1"/>
    <x v="7"/>
    <x v="586"/>
    <x v="1953"/>
    <x v="0"/>
  </r>
  <r>
    <x v="717"/>
    <d v="2016-07-08T00:00:00"/>
    <x v="1"/>
    <s v="Standard Class"/>
    <s v="RD-19585"/>
    <x v="278"/>
    <s v="California"/>
    <x v="0"/>
    <x v="1"/>
    <x v="972"/>
    <x v="1184"/>
    <x v="2"/>
  </r>
  <r>
    <x v="718"/>
    <d v="2016-07-11T00:00:00"/>
    <x v="1"/>
    <s v="Standard Class"/>
    <s v="PO-18850"/>
    <x v="318"/>
    <s v="California"/>
    <x v="1"/>
    <x v="10"/>
    <x v="1168"/>
    <x v="1954"/>
    <x v="0"/>
  </r>
  <r>
    <x v="719"/>
    <d v="2016-07-11T00:00:00"/>
    <x v="5"/>
    <s v="Standard Class"/>
    <s v="AT-10735"/>
    <x v="531"/>
    <s v="California"/>
    <x v="0"/>
    <x v="9"/>
    <x v="1049"/>
    <x v="1249"/>
    <x v="0"/>
  </r>
  <r>
    <x v="720"/>
    <d v="2016-07-11T00:00:00"/>
    <x v="2"/>
    <s v="First Class"/>
    <s v="SZ-20035"/>
    <x v="526"/>
    <s v="California"/>
    <x v="1"/>
    <x v="7"/>
    <x v="789"/>
    <x v="923"/>
    <x v="1"/>
  </r>
  <r>
    <x v="720"/>
    <d v="2016-07-15T00:00:00"/>
    <x v="6"/>
    <s v="Standard Class"/>
    <s v="JC-15385"/>
    <x v="630"/>
    <s v="Washington"/>
    <x v="1"/>
    <x v="7"/>
    <x v="733"/>
    <x v="1955"/>
    <x v="4"/>
  </r>
  <r>
    <x v="720"/>
    <d v="2016-07-15T00:00:00"/>
    <x v="6"/>
    <s v="Standard Class"/>
    <s v="JC-15385"/>
    <x v="630"/>
    <s v="Washington"/>
    <x v="0"/>
    <x v="15"/>
    <x v="1161"/>
    <x v="1956"/>
    <x v="9"/>
  </r>
  <r>
    <x v="720"/>
    <d v="2016-07-15T00:00:00"/>
    <x v="6"/>
    <s v="Standard Class"/>
    <s v="JC-15385"/>
    <x v="630"/>
    <s v="Washington"/>
    <x v="0"/>
    <x v="5"/>
    <x v="1363"/>
    <x v="1957"/>
    <x v="4"/>
  </r>
  <r>
    <x v="720"/>
    <d v="2016-07-15T00:00:00"/>
    <x v="6"/>
    <s v="Standard Class"/>
    <s v="JC-15385"/>
    <x v="630"/>
    <s v="Washington"/>
    <x v="2"/>
    <x v="11"/>
    <x v="903"/>
    <x v="1091"/>
    <x v="4"/>
  </r>
  <r>
    <x v="720"/>
    <d v="2016-07-10T00:00:00"/>
    <x v="0"/>
    <s v="First Class"/>
    <s v="VG-21790"/>
    <x v="222"/>
    <s v="California"/>
    <x v="0"/>
    <x v="15"/>
    <x v="575"/>
    <x v="1958"/>
    <x v="5"/>
  </r>
  <r>
    <x v="720"/>
    <d v="2016-07-12T00:00:00"/>
    <x v="5"/>
    <s v="Standard Class"/>
    <s v="VF-21715"/>
    <x v="115"/>
    <s v="Washington"/>
    <x v="1"/>
    <x v="7"/>
    <x v="1260"/>
    <x v="69"/>
    <x v="0"/>
  </r>
  <r>
    <x v="720"/>
    <d v="2016-07-12T00:00:00"/>
    <x v="5"/>
    <s v="Standard Class"/>
    <s v="VF-21715"/>
    <x v="115"/>
    <s v="Washington"/>
    <x v="0"/>
    <x v="5"/>
    <x v="1172"/>
    <x v="1959"/>
    <x v="0"/>
  </r>
  <r>
    <x v="720"/>
    <d v="2016-07-12T00:00:00"/>
    <x v="5"/>
    <s v="Standard Class"/>
    <s v="VF-21715"/>
    <x v="115"/>
    <s v="Washington"/>
    <x v="0"/>
    <x v="3"/>
    <x v="1364"/>
    <x v="1960"/>
    <x v="0"/>
  </r>
  <r>
    <x v="720"/>
    <d v="2016-07-12T00:00:00"/>
    <x v="5"/>
    <s v="Standard Class"/>
    <s v="VF-21715"/>
    <x v="115"/>
    <s v="Washington"/>
    <x v="0"/>
    <x v="3"/>
    <x v="212"/>
    <x v="106"/>
    <x v="2"/>
  </r>
  <r>
    <x v="720"/>
    <d v="2016-07-12T00:00:00"/>
    <x v="5"/>
    <s v="Standard Class"/>
    <s v="MR-17545"/>
    <x v="631"/>
    <s v="Washington"/>
    <x v="0"/>
    <x v="0"/>
    <x v="409"/>
    <x v="675"/>
    <x v="4"/>
  </r>
  <r>
    <x v="721"/>
    <d v="2016-07-15T00:00:00"/>
    <x v="4"/>
    <s v="Standard Class"/>
    <s v="TD-20995"/>
    <x v="455"/>
    <s v="Oregon"/>
    <x v="0"/>
    <x v="5"/>
    <x v="477"/>
    <x v="903"/>
    <x v="4"/>
  </r>
  <r>
    <x v="722"/>
    <d v="2016-07-15T00:00:00"/>
    <x v="5"/>
    <s v="Standard Class"/>
    <s v="KN-16390"/>
    <x v="395"/>
    <s v="California"/>
    <x v="0"/>
    <x v="15"/>
    <x v="1365"/>
    <x v="1234"/>
    <x v="0"/>
  </r>
  <r>
    <x v="722"/>
    <d v="2016-07-18T00:00:00"/>
    <x v="6"/>
    <s v="Standard Class"/>
    <s v="KB-16240"/>
    <x v="411"/>
    <s v="California"/>
    <x v="2"/>
    <x v="11"/>
    <x v="446"/>
    <x v="1942"/>
    <x v="1"/>
  </r>
  <r>
    <x v="722"/>
    <d v="2016-07-18T00:00:00"/>
    <x v="6"/>
    <s v="Standard Class"/>
    <s v="KB-16240"/>
    <x v="411"/>
    <s v="California"/>
    <x v="0"/>
    <x v="4"/>
    <x v="898"/>
    <x v="1961"/>
    <x v="1"/>
  </r>
  <r>
    <x v="722"/>
    <d v="2016-07-16T00:00:00"/>
    <x v="1"/>
    <s v="Standard Class"/>
    <s v="TS-21430"/>
    <x v="119"/>
    <s v="California"/>
    <x v="2"/>
    <x v="14"/>
    <x v="1366"/>
    <x v="1962"/>
    <x v="5"/>
  </r>
  <r>
    <x v="722"/>
    <d v="2016-07-16T00:00:00"/>
    <x v="1"/>
    <s v="Standard Class"/>
    <s v="TS-21430"/>
    <x v="119"/>
    <s v="California"/>
    <x v="0"/>
    <x v="5"/>
    <x v="812"/>
    <x v="958"/>
    <x v="1"/>
  </r>
  <r>
    <x v="723"/>
    <d v="2016-07-18T00:00:00"/>
    <x v="5"/>
    <s v="Standard Class"/>
    <s v="TC-21295"/>
    <x v="255"/>
    <s v="California"/>
    <x v="0"/>
    <x v="5"/>
    <x v="1367"/>
    <x v="1963"/>
    <x v="4"/>
  </r>
  <r>
    <x v="723"/>
    <d v="2016-07-18T00:00:00"/>
    <x v="5"/>
    <s v="Standard Class"/>
    <s v="TC-21295"/>
    <x v="255"/>
    <s v="California"/>
    <x v="1"/>
    <x v="7"/>
    <x v="1368"/>
    <x v="1964"/>
    <x v="0"/>
  </r>
  <r>
    <x v="723"/>
    <d v="2016-07-18T00:00:00"/>
    <x v="5"/>
    <s v="Standard Class"/>
    <s v="TC-21295"/>
    <x v="255"/>
    <s v="California"/>
    <x v="0"/>
    <x v="9"/>
    <x v="681"/>
    <x v="763"/>
    <x v="2"/>
  </r>
  <r>
    <x v="723"/>
    <d v="2016-07-18T00:00:00"/>
    <x v="5"/>
    <s v="Standard Class"/>
    <s v="TC-21295"/>
    <x v="255"/>
    <s v="California"/>
    <x v="0"/>
    <x v="3"/>
    <x v="293"/>
    <x v="1965"/>
    <x v="2"/>
  </r>
  <r>
    <x v="723"/>
    <d v="2016-07-18T00:00:00"/>
    <x v="5"/>
    <s v="Standard Class"/>
    <s v="TC-21295"/>
    <x v="255"/>
    <s v="California"/>
    <x v="1"/>
    <x v="7"/>
    <x v="1369"/>
    <x v="1966"/>
    <x v="0"/>
  </r>
  <r>
    <x v="723"/>
    <d v="2016-07-18T00:00:00"/>
    <x v="5"/>
    <s v="Standard Class"/>
    <s v="TC-21295"/>
    <x v="255"/>
    <s v="California"/>
    <x v="2"/>
    <x v="11"/>
    <x v="1005"/>
    <x v="1967"/>
    <x v="0"/>
  </r>
  <r>
    <x v="723"/>
    <d v="2016-07-18T00:00:00"/>
    <x v="5"/>
    <s v="Standard Class"/>
    <s v="TC-21295"/>
    <x v="255"/>
    <s v="California"/>
    <x v="2"/>
    <x v="14"/>
    <x v="520"/>
    <x v="1968"/>
    <x v="0"/>
  </r>
  <r>
    <x v="724"/>
    <d v="2016-07-21T00:00:00"/>
    <x v="5"/>
    <s v="Standard Class"/>
    <s v="AB-10255"/>
    <x v="111"/>
    <s v="California"/>
    <x v="2"/>
    <x v="16"/>
    <x v="924"/>
    <x v="1766"/>
    <x v="4"/>
  </r>
  <r>
    <x v="724"/>
    <d v="2016-07-19T00:00:00"/>
    <x v="0"/>
    <s v="Second Class"/>
    <s v="AJ-10795"/>
    <x v="265"/>
    <s v="California"/>
    <x v="0"/>
    <x v="0"/>
    <x v="1370"/>
    <x v="182"/>
    <x v="1"/>
  </r>
  <r>
    <x v="724"/>
    <d v="2016-07-19T00:00:00"/>
    <x v="0"/>
    <s v="Second Class"/>
    <s v="AJ-10795"/>
    <x v="265"/>
    <s v="California"/>
    <x v="0"/>
    <x v="6"/>
    <x v="1237"/>
    <x v="1969"/>
    <x v="1"/>
  </r>
  <r>
    <x v="724"/>
    <d v="2016-07-19T00:00:00"/>
    <x v="0"/>
    <s v="Second Class"/>
    <s v="AJ-10795"/>
    <x v="265"/>
    <s v="California"/>
    <x v="0"/>
    <x v="1"/>
    <x v="68"/>
    <x v="44"/>
    <x v="4"/>
  </r>
  <r>
    <x v="724"/>
    <d v="2016-07-19T00:00:00"/>
    <x v="0"/>
    <s v="Second Class"/>
    <s v="AJ-10795"/>
    <x v="265"/>
    <s v="California"/>
    <x v="1"/>
    <x v="2"/>
    <x v="919"/>
    <x v="1970"/>
    <x v="1"/>
  </r>
  <r>
    <x v="725"/>
    <d v="2016-07-23T00:00:00"/>
    <x v="1"/>
    <s v="Standard Class"/>
    <s v="ML-17410"/>
    <x v="550"/>
    <s v="Arizona"/>
    <x v="1"/>
    <x v="8"/>
    <x v="1077"/>
    <x v="1971"/>
    <x v="1"/>
  </r>
  <r>
    <x v="725"/>
    <d v="2016-07-23T00:00:00"/>
    <x v="1"/>
    <s v="Standard Class"/>
    <s v="ML-17410"/>
    <x v="550"/>
    <s v="Arizona"/>
    <x v="1"/>
    <x v="10"/>
    <x v="815"/>
    <x v="1297"/>
    <x v="4"/>
  </r>
  <r>
    <x v="725"/>
    <d v="2016-07-23T00:00:00"/>
    <x v="1"/>
    <s v="Standard Class"/>
    <s v="ML-17410"/>
    <x v="550"/>
    <s v="Arizona"/>
    <x v="0"/>
    <x v="0"/>
    <x v="319"/>
    <x v="1972"/>
    <x v="4"/>
  </r>
  <r>
    <x v="725"/>
    <d v="2016-07-23T00:00:00"/>
    <x v="1"/>
    <s v="Standard Class"/>
    <s v="ML-17410"/>
    <x v="550"/>
    <s v="Arizona"/>
    <x v="0"/>
    <x v="5"/>
    <x v="1371"/>
    <x v="1973"/>
    <x v="2"/>
  </r>
  <r>
    <x v="725"/>
    <d v="2016-07-23T00:00:00"/>
    <x v="1"/>
    <s v="Standard Class"/>
    <s v="ML-17410"/>
    <x v="550"/>
    <s v="Arizona"/>
    <x v="1"/>
    <x v="10"/>
    <x v="1372"/>
    <x v="697"/>
    <x v="0"/>
  </r>
  <r>
    <x v="726"/>
    <d v="2016-07-21T00:00:00"/>
    <x v="7"/>
    <s v="Same Day"/>
    <s v="SF-20200"/>
    <x v="535"/>
    <s v="Utah"/>
    <x v="2"/>
    <x v="14"/>
    <x v="1373"/>
    <x v="1974"/>
    <x v="11"/>
  </r>
  <r>
    <x v="726"/>
    <d v="2016-07-21T00:00:00"/>
    <x v="7"/>
    <s v="Same Day"/>
    <s v="SF-20200"/>
    <x v="535"/>
    <s v="Utah"/>
    <x v="0"/>
    <x v="3"/>
    <x v="41"/>
    <x v="1975"/>
    <x v="6"/>
  </r>
  <r>
    <x v="726"/>
    <d v="2016-07-25T00:00:00"/>
    <x v="5"/>
    <s v="Standard Class"/>
    <s v="SW-20455"/>
    <x v="413"/>
    <s v="California"/>
    <x v="0"/>
    <x v="0"/>
    <x v="1374"/>
    <x v="1976"/>
    <x v="4"/>
  </r>
  <r>
    <x v="726"/>
    <d v="2016-07-25T00:00:00"/>
    <x v="5"/>
    <s v="Standard Class"/>
    <s v="SW-20455"/>
    <x v="413"/>
    <s v="California"/>
    <x v="1"/>
    <x v="10"/>
    <x v="139"/>
    <x v="143"/>
    <x v="4"/>
  </r>
  <r>
    <x v="726"/>
    <d v="2016-07-25T00:00:00"/>
    <x v="5"/>
    <s v="Standard Class"/>
    <s v="SW-20455"/>
    <x v="413"/>
    <s v="California"/>
    <x v="0"/>
    <x v="5"/>
    <x v="635"/>
    <x v="698"/>
    <x v="0"/>
  </r>
  <r>
    <x v="726"/>
    <d v="2016-07-25T00:00:00"/>
    <x v="5"/>
    <s v="Second Class"/>
    <s v="AR-10825"/>
    <x v="96"/>
    <s v="California"/>
    <x v="0"/>
    <x v="3"/>
    <x v="1375"/>
    <x v="1880"/>
    <x v="4"/>
  </r>
  <r>
    <x v="726"/>
    <d v="2016-07-25T00:00:00"/>
    <x v="5"/>
    <s v="Second Class"/>
    <s v="AR-10825"/>
    <x v="96"/>
    <s v="California"/>
    <x v="2"/>
    <x v="14"/>
    <x v="1184"/>
    <x v="1977"/>
    <x v="11"/>
  </r>
  <r>
    <x v="727"/>
    <d v="2016-07-26T00:00:00"/>
    <x v="2"/>
    <s v="First Class"/>
    <s v="TB-21520"/>
    <x v="388"/>
    <s v="California"/>
    <x v="0"/>
    <x v="5"/>
    <x v="1376"/>
    <x v="1978"/>
    <x v="0"/>
  </r>
  <r>
    <x v="727"/>
    <d v="2016-07-26T00:00:00"/>
    <x v="2"/>
    <s v="First Class"/>
    <s v="TB-21520"/>
    <x v="388"/>
    <s v="California"/>
    <x v="0"/>
    <x v="0"/>
    <x v="1377"/>
    <x v="837"/>
    <x v="11"/>
  </r>
  <r>
    <x v="728"/>
    <d v="2016-07-24T00:00:00"/>
    <x v="7"/>
    <s v="Same Day"/>
    <s v="HR-14830"/>
    <x v="223"/>
    <s v="California"/>
    <x v="2"/>
    <x v="16"/>
    <x v="729"/>
    <x v="1979"/>
    <x v="1"/>
  </r>
  <r>
    <x v="729"/>
    <d v="2016-08-01T00:00:00"/>
    <x v="4"/>
    <s v="Standard Class"/>
    <s v="GZ-14545"/>
    <x v="606"/>
    <s v="California"/>
    <x v="2"/>
    <x v="11"/>
    <x v="667"/>
    <x v="1601"/>
    <x v="1"/>
  </r>
  <r>
    <x v="729"/>
    <d v="2016-08-01T00:00:00"/>
    <x v="4"/>
    <s v="Standard Class"/>
    <s v="GZ-14545"/>
    <x v="606"/>
    <s v="California"/>
    <x v="1"/>
    <x v="10"/>
    <x v="436"/>
    <x v="1980"/>
    <x v="0"/>
  </r>
  <r>
    <x v="730"/>
    <d v="2016-08-01T00:00:00"/>
    <x v="1"/>
    <s v="Second Class"/>
    <s v="DK-13375"/>
    <x v="438"/>
    <s v="Washington"/>
    <x v="1"/>
    <x v="7"/>
    <x v="221"/>
    <x v="496"/>
    <x v="0"/>
  </r>
  <r>
    <x v="730"/>
    <d v="2016-08-01T00:00:00"/>
    <x v="1"/>
    <s v="Second Class"/>
    <s v="DK-13375"/>
    <x v="438"/>
    <s v="Washington"/>
    <x v="0"/>
    <x v="0"/>
    <x v="876"/>
    <x v="1981"/>
    <x v="2"/>
  </r>
  <r>
    <x v="730"/>
    <d v="2016-08-01T00:00:00"/>
    <x v="1"/>
    <s v="Second Class"/>
    <s v="DK-13375"/>
    <x v="438"/>
    <s v="Washington"/>
    <x v="0"/>
    <x v="0"/>
    <x v="981"/>
    <x v="28"/>
    <x v="4"/>
  </r>
  <r>
    <x v="730"/>
    <d v="2016-08-01T00:00:00"/>
    <x v="1"/>
    <s v="Second Class"/>
    <s v="DK-13375"/>
    <x v="438"/>
    <s v="Washington"/>
    <x v="2"/>
    <x v="11"/>
    <x v="1005"/>
    <x v="1982"/>
    <x v="1"/>
  </r>
  <r>
    <x v="731"/>
    <d v="2016-08-01T00:00:00"/>
    <x v="5"/>
    <s v="Standard Class"/>
    <s v="MH-17620"/>
    <x v="432"/>
    <s v="California"/>
    <x v="0"/>
    <x v="5"/>
    <x v="1046"/>
    <x v="1983"/>
    <x v="2"/>
  </r>
  <r>
    <x v="731"/>
    <d v="2016-08-01T00:00:00"/>
    <x v="5"/>
    <s v="Standard Class"/>
    <s v="MH-17620"/>
    <x v="432"/>
    <s v="California"/>
    <x v="0"/>
    <x v="1"/>
    <x v="1378"/>
    <x v="1984"/>
    <x v="6"/>
  </r>
  <r>
    <x v="731"/>
    <d v="2016-08-01T00:00:00"/>
    <x v="5"/>
    <s v="Standard Class"/>
    <s v="MH-17620"/>
    <x v="432"/>
    <s v="California"/>
    <x v="2"/>
    <x v="14"/>
    <x v="127"/>
    <x v="1985"/>
    <x v="2"/>
  </r>
  <r>
    <x v="732"/>
    <d v="2016-08-02T00:00:00"/>
    <x v="5"/>
    <s v="Standard Class"/>
    <s v="GW-14605"/>
    <x v="117"/>
    <s v="Washington"/>
    <x v="2"/>
    <x v="11"/>
    <x v="937"/>
    <x v="1131"/>
    <x v="0"/>
  </r>
  <r>
    <x v="732"/>
    <d v="2016-08-02T00:00:00"/>
    <x v="5"/>
    <s v="Standard Class"/>
    <s v="VG-21790"/>
    <x v="222"/>
    <s v="Washington"/>
    <x v="1"/>
    <x v="2"/>
    <x v="1313"/>
    <x v="1986"/>
    <x v="4"/>
  </r>
  <r>
    <x v="733"/>
    <d v="2016-08-03T00:00:00"/>
    <x v="5"/>
    <s v="Second Class"/>
    <s v="JL-15835"/>
    <x v="55"/>
    <s v="California"/>
    <x v="0"/>
    <x v="1"/>
    <x v="55"/>
    <x v="56"/>
    <x v="4"/>
  </r>
  <r>
    <x v="733"/>
    <d v="2016-08-03T00:00:00"/>
    <x v="5"/>
    <s v="Second Class"/>
    <s v="JL-15835"/>
    <x v="55"/>
    <s v="California"/>
    <x v="0"/>
    <x v="15"/>
    <x v="386"/>
    <x v="1987"/>
    <x v="8"/>
  </r>
  <r>
    <x v="734"/>
    <d v="2016-08-03T00:00:00"/>
    <x v="2"/>
    <s v="First Class"/>
    <s v="EC-14050"/>
    <x v="632"/>
    <s v="California"/>
    <x v="0"/>
    <x v="1"/>
    <x v="396"/>
    <x v="1988"/>
    <x v="4"/>
  </r>
  <r>
    <x v="734"/>
    <d v="2016-08-03T00:00:00"/>
    <x v="2"/>
    <s v="First Class"/>
    <s v="EC-14050"/>
    <x v="632"/>
    <s v="California"/>
    <x v="1"/>
    <x v="7"/>
    <x v="1260"/>
    <x v="1989"/>
    <x v="8"/>
  </r>
  <r>
    <x v="735"/>
    <d v="2016-08-04T00:00:00"/>
    <x v="2"/>
    <s v="Second Class"/>
    <s v="HK-14890"/>
    <x v="416"/>
    <s v="California"/>
    <x v="0"/>
    <x v="5"/>
    <x v="315"/>
    <x v="1990"/>
    <x v="4"/>
  </r>
  <r>
    <x v="735"/>
    <d v="2016-08-05T00:00:00"/>
    <x v="5"/>
    <s v="Second Class"/>
    <s v="EM-13960"/>
    <x v="392"/>
    <s v="California"/>
    <x v="0"/>
    <x v="1"/>
    <x v="350"/>
    <x v="1145"/>
    <x v="0"/>
  </r>
  <r>
    <x v="736"/>
    <d v="2016-08-08T00:00:00"/>
    <x v="1"/>
    <s v="Second Class"/>
    <s v="BD-11725"/>
    <x v="633"/>
    <s v="California"/>
    <x v="0"/>
    <x v="15"/>
    <x v="1030"/>
    <x v="1991"/>
    <x v="1"/>
  </r>
  <r>
    <x v="736"/>
    <d v="2016-08-08T00:00:00"/>
    <x v="1"/>
    <s v="Second Class"/>
    <s v="BD-11725"/>
    <x v="633"/>
    <s v="California"/>
    <x v="1"/>
    <x v="7"/>
    <x v="272"/>
    <x v="1992"/>
    <x v="0"/>
  </r>
  <r>
    <x v="736"/>
    <d v="2016-08-06T00:00:00"/>
    <x v="2"/>
    <s v="Second Class"/>
    <s v="GA-14515"/>
    <x v="309"/>
    <s v="California"/>
    <x v="0"/>
    <x v="1"/>
    <x v="554"/>
    <x v="1993"/>
    <x v="0"/>
  </r>
  <r>
    <x v="736"/>
    <d v="2016-08-08T00:00:00"/>
    <x v="1"/>
    <s v="Second Class"/>
    <s v="SC-20230"/>
    <x v="521"/>
    <s v="Washington"/>
    <x v="0"/>
    <x v="1"/>
    <x v="397"/>
    <x v="1994"/>
    <x v="6"/>
  </r>
  <r>
    <x v="737"/>
    <d v="2016-08-07T00:00:00"/>
    <x v="2"/>
    <s v="First Class"/>
    <s v="HM-14860"/>
    <x v="431"/>
    <s v="Colorado"/>
    <x v="0"/>
    <x v="0"/>
    <x v="1379"/>
    <x v="1995"/>
    <x v="4"/>
  </r>
  <r>
    <x v="737"/>
    <d v="2016-08-07T00:00:00"/>
    <x v="2"/>
    <s v="First Class"/>
    <s v="HM-14860"/>
    <x v="431"/>
    <s v="Colorado"/>
    <x v="0"/>
    <x v="6"/>
    <x v="1007"/>
    <x v="1996"/>
    <x v="6"/>
  </r>
  <r>
    <x v="738"/>
    <d v="2016-08-13T00:00:00"/>
    <x v="4"/>
    <s v="Standard Class"/>
    <s v="JK-15370"/>
    <x v="301"/>
    <s v="California"/>
    <x v="2"/>
    <x v="14"/>
    <x v="189"/>
    <x v="1997"/>
    <x v="1"/>
  </r>
  <r>
    <x v="738"/>
    <d v="2016-08-13T00:00:00"/>
    <x v="4"/>
    <s v="Standard Class"/>
    <s v="JK-15370"/>
    <x v="301"/>
    <s v="California"/>
    <x v="0"/>
    <x v="5"/>
    <x v="1380"/>
    <x v="1998"/>
    <x v="4"/>
  </r>
  <r>
    <x v="738"/>
    <d v="2016-08-12T00:00:00"/>
    <x v="1"/>
    <s v="Standard Class"/>
    <s v="MC-17575"/>
    <x v="372"/>
    <s v="California"/>
    <x v="0"/>
    <x v="0"/>
    <x v="109"/>
    <x v="1812"/>
    <x v="1"/>
  </r>
  <r>
    <x v="738"/>
    <d v="2016-08-11T00:00:00"/>
    <x v="5"/>
    <s v="Standard Class"/>
    <s v="JL-15505"/>
    <x v="634"/>
    <s v="California"/>
    <x v="2"/>
    <x v="14"/>
    <x v="1381"/>
    <x v="1999"/>
    <x v="0"/>
  </r>
  <r>
    <x v="738"/>
    <d v="2016-08-11T00:00:00"/>
    <x v="5"/>
    <s v="Standard Class"/>
    <s v="JL-15505"/>
    <x v="634"/>
    <s v="California"/>
    <x v="0"/>
    <x v="5"/>
    <x v="177"/>
    <x v="753"/>
    <x v="0"/>
  </r>
  <r>
    <x v="738"/>
    <d v="2016-08-11T00:00:00"/>
    <x v="5"/>
    <s v="Standard Class"/>
    <s v="JL-15505"/>
    <x v="634"/>
    <s v="California"/>
    <x v="0"/>
    <x v="5"/>
    <x v="1382"/>
    <x v="2000"/>
    <x v="0"/>
  </r>
  <r>
    <x v="738"/>
    <d v="2016-08-11T00:00:00"/>
    <x v="5"/>
    <s v="Standard Class"/>
    <s v="JL-15505"/>
    <x v="634"/>
    <s v="California"/>
    <x v="2"/>
    <x v="11"/>
    <x v="1186"/>
    <x v="2001"/>
    <x v="2"/>
  </r>
  <r>
    <x v="738"/>
    <d v="2016-08-11T00:00:00"/>
    <x v="5"/>
    <s v="Standard Class"/>
    <s v="JL-15505"/>
    <x v="634"/>
    <s v="California"/>
    <x v="0"/>
    <x v="0"/>
    <x v="574"/>
    <x v="1931"/>
    <x v="4"/>
  </r>
  <r>
    <x v="738"/>
    <d v="2016-08-11T00:00:00"/>
    <x v="5"/>
    <s v="Standard Class"/>
    <s v="JL-15505"/>
    <x v="634"/>
    <s v="California"/>
    <x v="1"/>
    <x v="7"/>
    <x v="1351"/>
    <x v="1991"/>
    <x v="6"/>
  </r>
  <r>
    <x v="738"/>
    <d v="2016-08-11T00:00:00"/>
    <x v="5"/>
    <s v="Standard Class"/>
    <s v="JL-15505"/>
    <x v="634"/>
    <s v="California"/>
    <x v="1"/>
    <x v="10"/>
    <x v="1383"/>
    <x v="2002"/>
    <x v="6"/>
  </r>
  <r>
    <x v="738"/>
    <d v="2016-08-11T00:00:00"/>
    <x v="5"/>
    <s v="Standard Class"/>
    <s v="JL-15505"/>
    <x v="634"/>
    <s v="California"/>
    <x v="0"/>
    <x v="4"/>
    <x v="1384"/>
    <x v="2003"/>
    <x v="1"/>
  </r>
  <r>
    <x v="739"/>
    <d v="2016-08-15T00:00:00"/>
    <x v="2"/>
    <s v="First Class"/>
    <s v="JM-16195"/>
    <x v="277"/>
    <s v="California"/>
    <x v="0"/>
    <x v="4"/>
    <x v="537"/>
    <x v="2004"/>
    <x v="0"/>
  </r>
  <r>
    <x v="739"/>
    <d v="2016-08-15T00:00:00"/>
    <x v="2"/>
    <s v="First Class"/>
    <s v="JM-16195"/>
    <x v="277"/>
    <s v="California"/>
    <x v="1"/>
    <x v="7"/>
    <x v="889"/>
    <x v="2005"/>
    <x v="2"/>
  </r>
  <r>
    <x v="739"/>
    <d v="2016-08-19T00:00:00"/>
    <x v="6"/>
    <s v="Standard Class"/>
    <s v="DK-12895"/>
    <x v="635"/>
    <s v="Washington"/>
    <x v="2"/>
    <x v="16"/>
    <x v="1045"/>
    <x v="2006"/>
    <x v="6"/>
  </r>
  <r>
    <x v="739"/>
    <d v="2016-08-19T00:00:00"/>
    <x v="6"/>
    <s v="Standard Class"/>
    <s v="DK-12895"/>
    <x v="635"/>
    <s v="Washington"/>
    <x v="0"/>
    <x v="0"/>
    <x v="1385"/>
    <x v="1927"/>
    <x v="2"/>
  </r>
  <r>
    <x v="739"/>
    <d v="2016-08-19T00:00:00"/>
    <x v="6"/>
    <s v="Standard Class"/>
    <s v="DK-12895"/>
    <x v="635"/>
    <s v="Washington"/>
    <x v="2"/>
    <x v="14"/>
    <x v="1386"/>
    <x v="2007"/>
    <x v="9"/>
  </r>
  <r>
    <x v="739"/>
    <d v="2016-08-19T00:00:00"/>
    <x v="6"/>
    <s v="Standard Class"/>
    <s v="DK-12895"/>
    <x v="635"/>
    <s v="Washington"/>
    <x v="0"/>
    <x v="1"/>
    <x v="1342"/>
    <x v="2008"/>
    <x v="0"/>
  </r>
  <r>
    <x v="739"/>
    <d v="2016-08-19T00:00:00"/>
    <x v="6"/>
    <s v="Standard Class"/>
    <s v="DK-12895"/>
    <x v="635"/>
    <s v="Washington"/>
    <x v="2"/>
    <x v="11"/>
    <x v="1387"/>
    <x v="2009"/>
    <x v="1"/>
  </r>
  <r>
    <x v="739"/>
    <d v="2016-08-19T00:00:00"/>
    <x v="6"/>
    <s v="Standard Class"/>
    <s v="DK-12895"/>
    <x v="635"/>
    <s v="Washington"/>
    <x v="0"/>
    <x v="5"/>
    <x v="296"/>
    <x v="539"/>
    <x v="5"/>
  </r>
  <r>
    <x v="740"/>
    <d v="2016-08-13T00:00:00"/>
    <x v="7"/>
    <s v="Same Day"/>
    <s v="JK-15370"/>
    <x v="301"/>
    <s v="California"/>
    <x v="0"/>
    <x v="1"/>
    <x v="730"/>
    <x v="845"/>
    <x v="0"/>
  </r>
  <r>
    <x v="740"/>
    <d v="2016-08-13T00:00:00"/>
    <x v="7"/>
    <s v="Same Day"/>
    <s v="JK-15370"/>
    <x v="301"/>
    <s v="California"/>
    <x v="0"/>
    <x v="4"/>
    <x v="328"/>
    <x v="2010"/>
    <x v="8"/>
  </r>
  <r>
    <x v="740"/>
    <d v="2016-08-13T00:00:00"/>
    <x v="7"/>
    <s v="Same Day"/>
    <s v="JK-15370"/>
    <x v="301"/>
    <s v="California"/>
    <x v="0"/>
    <x v="3"/>
    <x v="633"/>
    <x v="349"/>
    <x v="0"/>
  </r>
  <r>
    <x v="740"/>
    <d v="2016-08-13T00:00:00"/>
    <x v="7"/>
    <s v="Same Day"/>
    <s v="JK-15370"/>
    <x v="301"/>
    <s v="California"/>
    <x v="0"/>
    <x v="12"/>
    <x v="157"/>
    <x v="392"/>
    <x v="2"/>
  </r>
  <r>
    <x v="740"/>
    <d v="2016-08-20T00:00:00"/>
    <x v="6"/>
    <s v="Standard Class"/>
    <s v="MK-17905"/>
    <x v="444"/>
    <s v="California"/>
    <x v="0"/>
    <x v="5"/>
    <x v="983"/>
    <x v="2011"/>
    <x v="0"/>
  </r>
  <r>
    <x v="741"/>
    <d v="2016-08-16T00:00:00"/>
    <x v="0"/>
    <s v="Second Class"/>
    <s v="NP-18700"/>
    <x v="246"/>
    <s v="California"/>
    <x v="0"/>
    <x v="15"/>
    <x v="884"/>
    <x v="943"/>
    <x v="4"/>
  </r>
  <r>
    <x v="741"/>
    <d v="2016-08-16T00:00:00"/>
    <x v="0"/>
    <s v="Second Class"/>
    <s v="NP-18700"/>
    <x v="246"/>
    <s v="California"/>
    <x v="0"/>
    <x v="3"/>
    <x v="1310"/>
    <x v="1926"/>
    <x v="5"/>
  </r>
  <r>
    <x v="741"/>
    <d v="2016-08-21T00:00:00"/>
    <x v="6"/>
    <s v="Standard Class"/>
    <s v="JM-15250"/>
    <x v="636"/>
    <s v="California"/>
    <x v="1"/>
    <x v="8"/>
    <x v="947"/>
    <x v="2012"/>
    <x v="0"/>
  </r>
  <r>
    <x v="742"/>
    <d v="2016-08-24T00:00:00"/>
    <x v="6"/>
    <s v="Standard Class"/>
    <s v="RW-19540"/>
    <x v="273"/>
    <s v="California"/>
    <x v="0"/>
    <x v="6"/>
    <x v="74"/>
    <x v="2013"/>
    <x v="4"/>
  </r>
  <r>
    <x v="742"/>
    <d v="2016-08-24T00:00:00"/>
    <x v="6"/>
    <s v="Standard Class"/>
    <s v="RW-19540"/>
    <x v="273"/>
    <s v="California"/>
    <x v="2"/>
    <x v="14"/>
    <x v="1053"/>
    <x v="567"/>
    <x v="0"/>
  </r>
  <r>
    <x v="742"/>
    <d v="2016-08-24T00:00:00"/>
    <x v="6"/>
    <s v="Standard Class"/>
    <s v="RW-19540"/>
    <x v="273"/>
    <s v="California"/>
    <x v="0"/>
    <x v="0"/>
    <x v="648"/>
    <x v="296"/>
    <x v="4"/>
  </r>
  <r>
    <x v="742"/>
    <d v="2016-08-24T00:00:00"/>
    <x v="6"/>
    <s v="Standard Class"/>
    <s v="RW-19540"/>
    <x v="273"/>
    <s v="California"/>
    <x v="0"/>
    <x v="5"/>
    <x v="951"/>
    <x v="2014"/>
    <x v="0"/>
  </r>
  <r>
    <x v="742"/>
    <d v="2016-08-24T00:00:00"/>
    <x v="6"/>
    <s v="Standard Class"/>
    <s v="RW-19540"/>
    <x v="273"/>
    <s v="California"/>
    <x v="0"/>
    <x v="4"/>
    <x v="1388"/>
    <x v="2015"/>
    <x v="11"/>
  </r>
  <r>
    <x v="742"/>
    <d v="2016-08-24T00:00:00"/>
    <x v="6"/>
    <s v="Standard Class"/>
    <s v="RW-19540"/>
    <x v="273"/>
    <s v="California"/>
    <x v="0"/>
    <x v="1"/>
    <x v="493"/>
    <x v="733"/>
    <x v="0"/>
  </r>
  <r>
    <x v="742"/>
    <d v="2016-08-24T00:00:00"/>
    <x v="6"/>
    <s v="Standard Class"/>
    <s v="RW-19540"/>
    <x v="273"/>
    <s v="California"/>
    <x v="0"/>
    <x v="5"/>
    <x v="19"/>
    <x v="2016"/>
    <x v="9"/>
  </r>
  <r>
    <x v="743"/>
    <d v="2016-08-22T00:00:00"/>
    <x v="5"/>
    <s v="Standard Class"/>
    <s v="NF-18595"/>
    <x v="56"/>
    <s v="Washington"/>
    <x v="0"/>
    <x v="1"/>
    <x v="353"/>
    <x v="739"/>
    <x v="4"/>
  </r>
  <r>
    <x v="743"/>
    <d v="2016-08-22T00:00:00"/>
    <x v="5"/>
    <s v="Standard Class"/>
    <s v="HW-14935"/>
    <x v="598"/>
    <s v="Washington"/>
    <x v="2"/>
    <x v="11"/>
    <x v="915"/>
    <x v="2017"/>
    <x v="4"/>
  </r>
  <r>
    <x v="743"/>
    <d v="2016-08-22T00:00:00"/>
    <x v="5"/>
    <s v="Standard Class"/>
    <s v="HW-14935"/>
    <x v="598"/>
    <s v="Washington"/>
    <x v="2"/>
    <x v="11"/>
    <x v="599"/>
    <x v="2018"/>
    <x v="11"/>
  </r>
  <r>
    <x v="743"/>
    <d v="2016-08-25T00:00:00"/>
    <x v="6"/>
    <s v="Standard Class"/>
    <s v="YS-21880"/>
    <x v="436"/>
    <s v="Washington"/>
    <x v="0"/>
    <x v="5"/>
    <x v="1389"/>
    <x v="2019"/>
    <x v="11"/>
  </r>
  <r>
    <x v="743"/>
    <d v="2016-08-25T00:00:00"/>
    <x v="6"/>
    <s v="Standard Class"/>
    <s v="YS-21880"/>
    <x v="436"/>
    <s v="Washington"/>
    <x v="0"/>
    <x v="1"/>
    <x v="534"/>
    <x v="2020"/>
    <x v="8"/>
  </r>
  <r>
    <x v="743"/>
    <d v="2016-08-25T00:00:00"/>
    <x v="6"/>
    <s v="Standard Class"/>
    <s v="YS-21880"/>
    <x v="436"/>
    <s v="Washington"/>
    <x v="1"/>
    <x v="7"/>
    <x v="938"/>
    <x v="1394"/>
    <x v="0"/>
  </r>
  <r>
    <x v="744"/>
    <d v="2016-08-23T00:00:00"/>
    <x v="5"/>
    <s v="Standard Class"/>
    <s v="DO-13435"/>
    <x v="297"/>
    <s v="Utah"/>
    <x v="0"/>
    <x v="5"/>
    <x v="1209"/>
    <x v="2021"/>
    <x v="0"/>
  </r>
  <r>
    <x v="745"/>
    <d v="2016-08-22T00:00:00"/>
    <x v="0"/>
    <s v="Second Class"/>
    <s v="GM-14500"/>
    <x v="131"/>
    <s v="California"/>
    <x v="0"/>
    <x v="5"/>
    <x v="363"/>
    <x v="2022"/>
    <x v="1"/>
  </r>
  <r>
    <x v="745"/>
    <d v="2016-08-25T00:00:00"/>
    <x v="1"/>
    <s v="Standard Class"/>
    <s v="LR-17035"/>
    <x v="143"/>
    <s v="California"/>
    <x v="0"/>
    <x v="12"/>
    <x v="1390"/>
    <x v="2023"/>
    <x v="0"/>
  </r>
  <r>
    <x v="745"/>
    <d v="2016-08-25T00:00:00"/>
    <x v="1"/>
    <s v="Standard Class"/>
    <s v="LR-17035"/>
    <x v="143"/>
    <s v="California"/>
    <x v="0"/>
    <x v="1"/>
    <x v="1391"/>
    <x v="2024"/>
    <x v="5"/>
  </r>
  <r>
    <x v="745"/>
    <d v="2016-08-25T00:00:00"/>
    <x v="1"/>
    <s v="Standard Class"/>
    <s v="LR-17035"/>
    <x v="143"/>
    <s v="California"/>
    <x v="2"/>
    <x v="14"/>
    <x v="1392"/>
    <x v="2025"/>
    <x v="0"/>
  </r>
  <r>
    <x v="745"/>
    <d v="2016-08-27T00:00:00"/>
    <x v="6"/>
    <s v="Standard Class"/>
    <s v="KT-16480"/>
    <x v="24"/>
    <s v="California"/>
    <x v="0"/>
    <x v="0"/>
    <x v="839"/>
    <x v="292"/>
    <x v="2"/>
  </r>
  <r>
    <x v="746"/>
    <d v="2016-08-22T00:00:00"/>
    <x v="3"/>
    <s v="First Class"/>
    <s v="PR-18880"/>
    <x v="637"/>
    <s v="California"/>
    <x v="0"/>
    <x v="3"/>
    <x v="716"/>
    <x v="1105"/>
    <x v="2"/>
  </r>
  <r>
    <x v="746"/>
    <d v="2016-08-22T00:00:00"/>
    <x v="3"/>
    <s v="First Class"/>
    <s v="PR-18880"/>
    <x v="637"/>
    <s v="California"/>
    <x v="2"/>
    <x v="14"/>
    <x v="1393"/>
    <x v="2026"/>
    <x v="2"/>
  </r>
  <r>
    <x v="746"/>
    <d v="2016-08-22T00:00:00"/>
    <x v="3"/>
    <s v="First Class"/>
    <s v="PR-18880"/>
    <x v="637"/>
    <s v="California"/>
    <x v="1"/>
    <x v="7"/>
    <x v="1394"/>
    <x v="1550"/>
    <x v="2"/>
  </r>
  <r>
    <x v="746"/>
    <d v="2016-08-22T00:00:00"/>
    <x v="3"/>
    <s v="First Class"/>
    <s v="PR-18880"/>
    <x v="637"/>
    <s v="California"/>
    <x v="1"/>
    <x v="8"/>
    <x v="155"/>
    <x v="1398"/>
    <x v="0"/>
  </r>
  <r>
    <x v="746"/>
    <d v="2016-08-22T00:00:00"/>
    <x v="3"/>
    <s v="First Class"/>
    <s v="PR-18880"/>
    <x v="637"/>
    <s v="California"/>
    <x v="0"/>
    <x v="5"/>
    <x v="734"/>
    <x v="2027"/>
    <x v="11"/>
  </r>
  <r>
    <x v="746"/>
    <d v="2016-08-22T00:00:00"/>
    <x v="3"/>
    <s v="First Class"/>
    <s v="PR-18880"/>
    <x v="637"/>
    <s v="California"/>
    <x v="0"/>
    <x v="4"/>
    <x v="853"/>
    <x v="2028"/>
    <x v="0"/>
  </r>
  <r>
    <x v="746"/>
    <d v="2016-08-22T00:00:00"/>
    <x v="3"/>
    <s v="First Class"/>
    <s v="PR-18880"/>
    <x v="637"/>
    <s v="California"/>
    <x v="0"/>
    <x v="15"/>
    <x v="1395"/>
    <x v="1991"/>
    <x v="1"/>
  </r>
  <r>
    <x v="746"/>
    <d v="2016-08-21T00:00:00"/>
    <x v="7"/>
    <s v="Same Day"/>
    <s v="DL-13495"/>
    <x v="513"/>
    <s v="Arizona"/>
    <x v="0"/>
    <x v="0"/>
    <x v="453"/>
    <x v="2029"/>
    <x v="6"/>
  </r>
  <r>
    <x v="746"/>
    <d v="2016-08-25T00:00:00"/>
    <x v="5"/>
    <s v="Second Class"/>
    <s v="CM-11815"/>
    <x v="544"/>
    <s v="Washington"/>
    <x v="1"/>
    <x v="10"/>
    <x v="1192"/>
    <x v="2030"/>
    <x v="5"/>
  </r>
  <r>
    <x v="746"/>
    <d v="2016-08-25T00:00:00"/>
    <x v="5"/>
    <s v="Second Class"/>
    <s v="CM-11815"/>
    <x v="544"/>
    <s v="Washington"/>
    <x v="0"/>
    <x v="1"/>
    <x v="1320"/>
    <x v="2031"/>
    <x v="5"/>
  </r>
  <r>
    <x v="746"/>
    <d v="2016-08-25T00:00:00"/>
    <x v="5"/>
    <s v="Second Class"/>
    <s v="CM-11815"/>
    <x v="544"/>
    <s v="Washington"/>
    <x v="2"/>
    <x v="11"/>
    <x v="1153"/>
    <x v="2032"/>
    <x v="4"/>
  </r>
  <r>
    <x v="746"/>
    <d v="2016-08-25T00:00:00"/>
    <x v="5"/>
    <s v="Standard Class"/>
    <s v="SC-20845"/>
    <x v="638"/>
    <s v="Colorado"/>
    <x v="0"/>
    <x v="1"/>
    <x v="469"/>
    <x v="2033"/>
    <x v="0"/>
  </r>
  <r>
    <x v="746"/>
    <d v="2016-08-25T00:00:00"/>
    <x v="5"/>
    <s v="Standard Class"/>
    <s v="SC-20845"/>
    <x v="638"/>
    <s v="Colorado"/>
    <x v="1"/>
    <x v="7"/>
    <x v="1396"/>
    <x v="2034"/>
    <x v="0"/>
  </r>
  <r>
    <x v="746"/>
    <d v="2016-08-25T00:00:00"/>
    <x v="5"/>
    <s v="Standard Class"/>
    <s v="SC-20845"/>
    <x v="638"/>
    <s v="Colorado"/>
    <x v="0"/>
    <x v="0"/>
    <x v="659"/>
    <x v="2035"/>
    <x v="6"/>
  </r>
  <r>
    <x v="747"/>
    <d v="2016-08-23T00:00:00"/>
    <x v="3"/>
    <s v="First Class"/>
    <s v="TM-21490"/>
    <x v="639"/>
    <s v="California"/>
    <x v="1"/>
    <x v="8"/>
    <x v="580"/>
    <x v="2036"/>
    <x v="6"/>
  </r>
  <r>
    <x v="748"/>
    <d v="2016-08-29T00:00:00"/>
    <x v="0"/>
    <s v="Second Class"/>
    <s v="DR-12880"/>
    <x v="468"/>
    <s v="California"/>
    <x v="1"/>
    <x v="7"/>
    <x v="733"/>
    <x v="1955"/>
    <x v="4"/>
  </r>
  <r>
    <x v="748"/>
    <d v="2016-08-29T00:00:00"/>
    <x v="0"/>
    <s v="Second Class"/>
    <s v="DR-12880"/>
    <x v="468"/>
    <s v="California"/>
    <x v="0"/>
    <x v="4"/>
    <x v="454"/>
    <x v="2037"/>
    <x v="2"/>
  </r>
  <r>
    <x v="748"/>
    <d v="2016-08-29T00:00:00"/>
    <x v="0"/>
    <s v="Second Class"/>
    <s v="DR-12880"/>
    <x v="468"/>
    <s v="California"/>
    <x v="2"/>
    <x v="16"/>
    <x v="808"/>
    <x v="2038"/>
    <x v="4"/>
  </r>
  <r>
    <x v="748"/>
    <d v="2016-08-29T00:00:00"/>
    <x v="0"/>
    <s v="Second Class"/>
    <s v="DR-12880"/>
    <x v="468"/>
    <s v="California"/>
    <x v="0"/>
    <x v="12"/>
    <x v="1171"/>
    <x v="1571"/>
    <x v="1"/>
  </r>
  <r>
    <x v="748"/>
    <d v="2016-08-29T00:00:00"/>
    <x v="0"/>
    <s v="Second Class"/>
    <s v="DR-12880"/>
    <x v="468"/>
    <s v="California"/>
    <x v="1"/>
    <x v="10"/>
    <x v="113"/>
    <x v="116"/>
    <x v="0"/>
  </r>
  <r>
    <x v="748"/>
    <d v="2016-08-29T00:00:00"/>
    <x v="0"/>
    <s v="Second Class"/>
    <s v="DR-12880"/>
    <x v="468"/>
    <s v="California"/>
    <x v="0"/>
    <x v="0"/>
    <x v="235"/>
    <x v="1518"/>
    <x v="0"/>
  </r>
  <r>
    <x v="748"/>
    <d v="2016-08-29T00:00:00"/>
    <x v="0"/>
    <s v="Second Class"/>
    <s v="DR-12880"/>
    <x v="468"/>
    <s v="California"/>
    <x v="0"/>
    <x v="5"/>
    <x v="546"/>
    <x v="2039"/>
    <x v="4"/>
  </r>
  <r>
    <x v="748"/>
    <d v="2016-08-29T00:00:00"/>
    <x v="0"/>
    <s v="Second Class"/>
    <s v="DR-12880"/>
    <x v="468"/>
    <s v="California"/>
    <x v="0"/>
    <x v="1"/>
    <x v="1125"/>
    <x v="1732"/>
    <x v="1"/>
  </r>
  <r>
    <x v="748"/>
    <d v="2016-08-31T00:00:00"/>
    <x v="5"/>
    <s v="Standard Class"/>
    <s v="SF-20200"/>
    <x v="535"/>
    <s v="Arizona"/>
    <x v="1"/>
    <x v="7"/>
    <x v="615"/>
    <x v="2040"/>
    <x v="9"/>
  </r>
  <r>
    <x v="749"/>
    <d v="2016-09-03T00:00:00"/>
    <x v="4"/>
    <s v="Standard Class"/>
    <s v="KN-16705"/>
    <x v="514"/>
    <s v="Washington"/>
    <x v="2"/>
    <x v="14"/>
    <x v="1397"/>
    <x v="1908"/>
    <x v="2"/>
  </r>
  <r>
    <x v="749"/>
    <d v="2016-09-03T00:00:00"/>
    <x v="4"/>
    <s v="Standard Class"/>
    <s v="KN-16705"/>
    <x v="514"/>
    <s v="Washington"/>
    <x v="1"/>
    <x v="8"/>
    <x v="1398"/>
    <x v="2041"/>
    <x v="1"/>
  </r>
  <r>
    <x v="749"/>
    <d v="2016-09-03T00:00:00"/>
    <x v="4"/>
    <s v="Standard Class"/>
    <s v="KN-16705"/>
    <x v="514"/>
    <s v="Washington"/>
    <x v="0"/>
    <x v="5"/>
    <x v="146"/>
    <x v="2042"/>
    <x v="1"/>
  </r>
  <r>
    <x v="749"/>
    <d v="2016-09-03T00:00:00"/>
    <x v="4"/>
    <s v="Standard Class"/>
    <s v="KN-16705"/>
    <x v="514"/>
    <s v="Washington"/>
    <x v="0"/>
    <x v="3"/>
    <x v="1399"/>
    <x v="195"/>
    <x v="4"/>
  </r>
  <r>
    <x v="750"/>
    <d v="2016-09-04T00:00:00"/>
    <x v="4"/>
    <s v="Standard Class"/>
    <s v="RW-19540"/>
    <x v="273"/>
    <s v="California"/>
    <x v="1"/>
    <x v="7"/>
    <x v="1400"/>
    <x v="2043"/>
    <x v="0"/>
  </r>
  <r>
    <x v="751"/>
    <d v="2016-09-05T00:00:00"/>
    <x v="1"/>
    <s v="Standard Class"/>
    <s v="JF-15490"/>
    <x v="186"/>
    <s v="Arizona"/>
    <x v="0"/>
    <x v="1"/>
    <x v="620"/>
    <x v="685"/>
    <x v="6"/>
  </r>
  <r>
    <x v="751"/>
    <d v="2016-09-05T00:00:00"/>
    <x v="1"/>
    <s v="Standard Class"/>
    <s v="JF-15490"/>
    <x v="186"/>
    <s v="Arizona"/>
    <x v="0"/>
    <x v="9"/>
    <x v="814"/>
    <x v="2044"/>
    <x v="0"/>
  </r>
  <r>
    <x v="751"/>
    <d v="2016-09-04T00:00:00"/>
    <x v="5"/>
    <s v="Standard Class"/>
    <s v="AW-10930"/>
    <x v="415"/>
    <s v="California"/>
    <x v="0"/>
    <x v="5"/>
    <x v="1367"/>
    <x v="2045"/>
    <x v="0"/>
  </r>
  <r>
    <x v="751"/>
    <d v="2016-09-04T00:00:00"/>
    <x v="5"/>
    <s v="Standard Class"/>
    <s v="AW-10930"/>
    <x v="415"/>
    <s v="California"/>
    <x v="2"/>
    <x v="14"/>
    <x v="1329"/>
    <x v="2046"/>
    <x v="2"/>
  </r>
  <r>
    <x v="751"/>
    <d v="2016-09-02T00:00:00"/>
    <x v="0"/>
    <s v="Second Class"/>
    <s v="BW-11110"/>
    <x v="314"/>
    <s v="Washington"/>
    <x v="1"/>
    <x v="10"/>
    <x v="1066"/>
    <x v="2047"/>
    <x v="4"/>
  </r>
  <r>
    <x v="751"/>
    <d v="2016-09-02T00:00:00"/>
    <x v="0"/>
    <s v="Second Class"/>
    <s v="BW-11110"/>
    <x v="314"/>
    <s v="Washington"/>
    <x v="0"/>
    <x v="1"/>
    <x v="376"/>
    <x v="2048"/>
    <x v="8"/>
  </r>
  <r>
    <x v="751"/>
    <d v="2016-09-05T00:00:00"/>
    <x v="1"/>
    <s v="Standard Class"/>
    <s v="MG-17890"/>
    <x v="464"/>
    <s v="Oregon"/>
    <x v="0"/>
    <x v="12"/>
    <x v="223"/>
    <x v="2049"/>
    <x v="4"/>
  </r>
  <r>
    <x v="751"/>
    <d v="2016-09-05T00:00:00"/>
    <x v="1"/>
    <s v="Standard Class"/>
    <s v="MS-17770"/>
    <x v="522"/>
    <s v="California"/>
    <x v="0"/>
    <x v="1"/>
    <x v="1255"/>
    <x v="2050"/>
    <x v="0"/>
  </r>
  <r>
    <x v="752"/>
    <d v="2016-09-06T00:00:00"/>
    <x v="1"/>
    <s v="Standard Class"/>
    <s v="SS-20875"/>
    <x v="640"/>
    <s v="Washington"/>
    <x v="2"/>
    <x v="11"/>
    <x v="1401"/>
    <x v="2051"/>
    <x v="6"/>
  </r>
  <r>
    <x v="752"/>
    <d v="2016-09-06T00:00:00"/>
    <x v="1"/>
    <s v="Standard Class"/>
    <s v="SS-20875"/>
    <x v="640"/>
    <s v="Washington"/>
    <x v="0"/>
    <x v="5"/>
    <x v="1402"/>
    <x v="2052"/>
    <x v="1"/>
  </r>
  <r>
    <x v="752"/>
    <d v="2016-09-07T00:00:00"/>
    <x v="4"/>
    <s v="Standard Class"/>
    <s v="CK-12325"/>
    <x v="81"/>
    <s v="Washington"/>
    <x v="0"/>
    <x v="3"/>
    <x v="162"/>
    <x v="2053"/>
    <x v="6"/>
  </r>
  <r>
    <x v="752"/>
    <d v="2016-09-01T00:00:00"/>
    <x v="7"/>
    <s v="Same Day"/>
    <s v="RW-19540"/>
    <x v="273"/>
    <s v="Washington"/>
    <x v="0"/>
    <x v="4"/>
    <x v="1403"/>
    <x v="2054"/>
    <x v="2"/>
  </r>
  <r>
    <x v="752"/>
    <d v="2016-09-01T00:00:00"/>
    <x v="7"/>
    <s v="Same Day"/>
    <s v="RW-19540"/>
    <x v="273"/>
    <s v="Washington"/>
    <x v="1"/>
    <x v="8"/>
    <x v="140"/>
    <x v="2055"/>
    <x v="2"/>
  </r>
  <r>
    <x v="753"/>
    <d v="2016-09-07T00:00:00"/>
    <x v="1"/>
    <s v="Standard Class"/>
    <s v="PF-19225"/>
    <x v="560"/>
    <s v="California"/>
    <x v="0"/>
    <x v="3"/>
    <x v="1404"/>
    <x v="2056"/>
    <x v="0"/>
  </r>
  <r>
    <x v="753"/>
    <d v="2016-09-08T00:00:00"/>
    <x v="4"/>
    <s v="Standard Class"/>
    <s v="AW-10840"/>
    <x v="304"/>
    <s v="California"/>
    <x v="0"/>
    <x v="3"/>
    <x v="1405"/>
    <x v="2057"/>
    <x v="1"/>
  </r>
  <r>
    <x v="753"/>
    <d v="2016-09-08T00:00:00"/>
    <x v="4"/>
    <s v="Standard Class"/>
    <s v="AW-10840"/>
    <x v="304"/>
    <s v="California"/>
    <x v="0"/>
    <x v="15"/>
    <x v="1406"/>
    <x v="2058"/>
    <x v="1"/>
  </r>
  <r>
    <x v="753"/>
    <d v="2016-09-08T00:00:00"/>
    <x v="4"/>
    <s v="Standard Class"/>
    <s v="AW-10840"/>
    <x v="304"/>
    <s v="California"/>
    <x v="2"/>
    <x v="14"/>
    <x v="56"/>
    <x v="141"/>
    <x v="4"/>
  </r>
  <r>
    <x v="753"/>
    <d v="2016-09-06T00:00:00"/>
    <x v="5"/>
    <s v="Standard Class"/>
    <s v="JL-15235"/>
    <x v="641"/>
    <s v="California"/>
    <x v="0"/>
    <x v="5"/>
    <x v="1025"/>
    <x v="1683"/>
    <x v="1"/>
  </r>
  <r>
    <x v="753"/>
    <d v="2016-09-06T00:00:00"/>
    <x v="5"/>
    <s v="Standard Class"/>
    <s v="JL-15235"/>
    <x v="641"/>
    <s v="California"/>
    <x v="1"/>
    <x v="8"/>
    <x v="325"/>
    <x v="2059"/>
    <x v="4"/>
  </r>
  <r>
    <x v="753"/>
    <d v="2016-09-02T00:00:00"/>
    <x v="7"/>
    <s v="Same Day"/>
    <s v="SU-20665"/>
    <x v="642"/>
    <s v="Washington"/>
    <x v="1"/>
    <x v="10"/>
    <x v="1055"/>
    <x v="1393"/>
    <x v="0"/>
  </r>
  <r>
    <x v="753"/>
    <d v="2016-09-04T00:00:00"/>
    <x v="0"/>
    <s v="Second Class"/>
    <s v="LW-17215"/>
    <x v="610"/>
    <s v="Colorado"/>
    <x v="0"/>
    <x v="15"/>
    <x v="364"/>
    <x v="2060"/>
    <x v="4"/>
  </r>
  <r>
    <x v="753"/>
    <d v="2016-09-04T00:00:00"/>
    <x v="0"/>
    <s v="Second Class"/>
    <s v="MH-17290"/>
    <x v="61"/>
    <s v="California"/>
    <x v="0"/>
    <x v="4"/>
    <x v="1092"/>
    <x v="1382"/>
    <x v="1"/>
  </r>
  <r>
    <x v="753"/>
    <d v="2016-09-04T00:00:00"/>
    <x v="0"/>
    <s v="Second Class"/>
    <s v="MH-17290"/>
    <x v="61"/>
    <s v="California"/>
    <x v="1"/>
    <x v="7"/>
    <x v="346"/>
    <x v="2061"/>
    <x v="1"/>
  </r>
  <r>
    <x v="753"/>
    <d v="2016-09-04T00:00:00"/>
    <x v="0"/>
    <s v="Second Class"/>
    <s v="MH-17290"/>
    <x v="61"/>
    <s v="California"/>
    <x v="0"/>
    <x v="5"/>
    <x v="686"/>
    <x v="1862"/>
    <x v="1"/>
  </r>
  <r>
    <x v="754"/>
    <d v="2016-09-08T00:00:00"/>
    <x v="1"/>
    <s v="Standard Class"/>
    <s v="AG-10300"/>
    <x v="60"/>
    <s v="California"/>
    <x v="0"/>
    <x v="3"/>
    <x v="375"/>
    <x v="2062"/>
    <x v="4"/>
  </r>
  <r>
    <x v="754"/>
    <d v="2016-09-08T00:00:00"/>
    <x v="1"/>
    <s v="Standard Class"/>
    <s v="SC-20050"/>
    <x v="29"/>
    <s v="California"/>
    <x v="0"/>
    <x v="5"/>
    <x v="852"/>
    <x v="2063"/>
    <x v="1"/>
  </r>
  <r>
    <x v="754"/>
    <d v="2016-09-08T00:00:00"/>
    <x v="1"/>
    <s v="Standard Class"/>
    <s v="SC-20050"/>
    <x v="29"/>
    <s v="California"/>
    <x v="2"/>
    <x v="11"/>
    <x v="462"/>
    <x v="2064"/>
    <x v="0"/>
  </r>
  <r>
    <x v="754"/>
    <d v="2016-09-07T00:00:00"/>
    <x v="5"/>
    <s v="Second Class"/>
    <s v="JK-15730"/>
    <x v="643"/>
    <s v="California"/>
    <x v="1"/>
    <x v="2"/>
    <x v="50"/>
    <x v="1288"/>
    <x v="4"/>
  </r>
  <r>
    <x v="755"/>
    <d v="2016-09-08T00:00:00"/>
    <x v="5"/>
    <s v="Second Class"/>
    <s v="GM-14695"/>
    <x v="543"/>
    <s v="California"/>
    <x v="1"/>
    <x v="8"/>
    <x v="1407"/>
    <x v="2065"/>
    <x v="0"/>
  </r>
  <r>
    <x v="755"/>
    <d v="2016-09-05T00:00:00"/>
    <x v="3"/>
    <s v="First Class"/>
    <s v="KB-16405"/>
    <x v="419"/>
    <s v="California"/>
    <x v="0"/>
    <x v="0"/>
    <x v="28"/>
    <x v="28"/>
    <x v="4"/>
  </r>
  <r>
    <x v="755"/>
    <d v="2016-09-05T00:00:00"/>
    <x v="3"/>
    <s v="First Class"/>
    <s v="KB-16405"/>
    <x v="419"/>
    <s v="California"/>
    <x v="2"/>
    <x v="14"/>
    <x v="723"/>
    <x v="370"/>
    <x v="0"/>
  </r>
  <r>
    <x v="755"/>
    <d v="2016-09-08T00:00:00"/>
    <x v="5"/>
    <s v="Standard Class"/>
    <s v="RA-19285"/>
    <x v="450"/>
    <s v="California"/>
    <x v="0"/>
    <x v="5"/>
    <x v="525"/>
    <x v="561"/>
    <x v="4"/>
  </r>
  <r>
    <x v="755"/>
    <d v="2016-09-08T00:00:00"/>
    <x v="5"/>
    <s v="Standard Class"/>
    <s v="RA-19285"/>
    <x v="450"/>
    <s v="California"/>
    <x v="2"/>
    <x v="14"/>
    <x v="1408"/>
    <x v="2066"/>
    <x v="6"/>
  </r>
  <r>
    <x v="755"/>
    <d v="2016-09-08T00:00:00"/>
    <x v="5"/>
    <s v="Standard Class"/>
    <s v="RA-19285"/>
    <x v="450"/>
    <s v="California"/>
    <x v="0"/>
    <x v="1"/>
    <x v="782"/>
    <x v="2067"/>
    <x v="1"/>
  </r>
  <r>
    <x v="755"/>
    <d v="2016-09-10T00:00:00"/>
    <x v="4"/>
    <s v="Standard Class"/>
    <s v="TH-21235"/>
    <x v="203"/>
    <s v="California"/>
    <x v="0"/>
    <x v="1"/>
    <x v="610"/>
    <x v="2068"/>
    <x v="2"/>
  </r>
  <r>
    <x v="755"/>
    <d v="2016-09-06T00:00:00"/>
    <x v="0"/>
    <s v="Second Class"/>
    <s v="PK-19075"/>
    <x v="519"/>
    <s v="California"/>
    <x v="0"/>
    <x v="5"/>
    <x v="1367"/>
    <x v="2069"/>
    <x v="5"/>
  </r>
  <r>
    <x v="755"/>
    <d v="2016-09-06T00:00:00"/>
    <x v="0"/>
    <s v="Second Class"/>
    <s v="PK-19075"/>
    <x v="519"/>
    <s v="California"/>
    <x v="1"/>
    <x v="8"/>
    <x v="1035"/>
    <x v="2070"/>
    <x v="9"/>
  </r>
  <r>
    <x v="755"/>
    <d v="2016-09-08T00:00:00"/>
    <x v="5"/>
    <s v="Standard Class"/>
    <s v="EJ-14155"/>
    <x v="20"/>
    <s v="California"/>
    <x v="0"/>
    <x v="1"/>
    <x v="1409"/>
    <x v="2071"/>
    <x v="4"/>
  </r>
  <r>
    <x v="755"/>
    <d v="2016-09-08T00:00:00"/>
    <x v="5"/>
    <s v="Standard Class"/>
    <s v="CV-12805"/>
    <x v="524"/>
    <s v="California"/>
    <x v="0"/>
    <x v="5"/>
    <x v="783"/>
    <x v="913"/>
    <x v="0"/>
  </r>
  <r>
    <x v="755"/>
    <d v="2016-09-05T00:00:00"/>
    <x v="3"/>
    <s v="First Class"/>
    <s v="AS-10045"/>
    <x v="547"/>
    <s v="Oregon"/>
    <x v="0"/>
    <x v="5"/>
    <x v="168"/>
    <x v="2072"/>
    <x v="8"/>
  </r>
  <r>
    <x v="756"/>
    <d v="2016-09-06T00:00:00"/>
    <x v="3"/>
    <s v="First Class"/>
    <s v="CS-12400"/>
    <x v="164"/>
    <s v="Washington"/>
    <x v="0"/>
    <x v="3"/>
    <x v="842"/>
    <x v="1891"/>
    <x v="6"/>
  </r>
  <r>
    <x v="757"/>
    <d v="2016-09-11T00:00:00"/>
    <x v="5"/>
    <s v="Standard Class"/>
    <s v="JC-15340"/>
    <x v="582"/>
    <s v="California"/>
    <x v="1"/>
    <x v="7"/>
    <x v="392"/>
    <x v="2073"/>
    <x v="0"/>
  </r>
  <r>
    <x v="757"/>
    <d v="2016-09-12T00:00:00"/>
    <x v="1"/>
    <s v="Standard Class"/>
    <s v="RD-19900"/>
    <x v="209"/>
    <s v="Oregon"/>
    <x v="0"/>
    <x v="1"/>
    <x v="825"/>
    <x v="681"/>
    <x v="0"/>
  </r>
  <r>
    <x v="757"/>
    <d v="2016-09-12T00:00:00"/>
    <x v="1"/>
    <s v="Standard Class"/>
    <s v="RD-19900"/>
    <x v="209"/>
    <s v="Oregon"/>
    <x v="2"/>
    <x v="11"/>
    <x v="896"/>
    <x v="2074"/>
    <x v="8"/>
  </r>
  <r>
    <x v="757"/>
    <d v="2016-09-09T00:00:00"/>
    <x v="0"/>
    <s v="First Class"/>
    <s v="Dp-13240"/>
    <x v="76"/>
    <s v="Arizona"/>
    <x v="0"/>
    <x v="5"/>
    <x v="64"/>
    <x v="2075"/>
    <x v="0"/>
  </r>
  <r>
    <x v="757"/>
    <d v="2016-09-08T00:00:00"/>
    <x v="3"/>
    <s v="First Class"/>
    <s v="JM-16195"/>
    <x v="277"/>
    <s v="Utah"/>
    <x v="1"/>
    <x v="7"/>
    <x v="674"/>
    <x v="2076"/>
    <x v="4"/>
  </r>
  <r>
    <x v="757"/>
    <d v="2016-09-08T00:00:00"/>
    <x v="3"/>
    <s v="First Class"/>
    <s v="JM-16195"/>
    <x v="277"/>
    <s v="Utah"/>
    <x v="2"/>
    <x v="14"/>
    <x v="1410"/>
    <x v="2077"/>
    <x v="2"/>
  </r>
  <r>
    <x v="757"/>
    <d v="2016-09-11T00:00:00"/>
    <x v="5"/>
    <s v="Standard Class"/>
    <s v="AG-10390"/>
    <x v="644"/>
    <s v="California"/>
    <x v="1"/>
    <x v="7"/>
    <x v="978"/>
    <x v="2078"/>
    <x v="2"/>
  </r>
  <r>
    <x v="757"/>
    <d v="2016-09-12T00:00:00"/>
    <x v="1"/>
    <s v="Standard Class"/>
    <s v="JA-15970"/>
    <x v="151"/>
    <s v="California"/>
    <x v="1"/>
    <x v="10"/>
    <x v="530"/>
    <x v="1297"/>
    <x v="4"/>
  </r>
  <r>
    <x v="757"/>
    <d v="2016-09-10T00:00:00"/>
    <x v="2"/>
    <s v="First Class"/>
    <s v="PF-19225"/>
    <x v="560"/>
    <s v="Washington"/>
    <x v="1"/>
    <x v="7"/>
    <x v="1411"/>
    <x v="1004"/>
    <x v="2"/>
  </r>
  <r>
    <x v="757"/>
    <d v="2016-09-10T00:00:00"/>
    <x v="2"/>
    <s v="First Class"/>
    <s v="PF-19225"/>
    <x v="560"/>
    <s v="Washington"/>
    <x v="2"/>
    <x v="14"/>
    <x v="156"/>
    <x v="2079"/>
    <x v="4"/>
  </r>
  <r>
    <x v="757"/>
    <d v="2016-09-10T00:00:00"/>
    <x v="2"/>
    <s v="First Class"/>
    <s v="PF-19225"/>
    <x v="560"/>
    <s v="Washington"/>
    <x v="0"/>
    <x v="3"/>
    <x v="1412"/>
    <x v="2080"/>
    <x v="6"/>
  </r>
  <r>
    <x v="758"/>
    <d v="2016-09-13T00:00:00"/>
    <x v="5"/>
    <s v="Standard Class"/>
    <s v="AI-10855"/>
    <x v="62"/>
    <s v="Arizona"/>
    <x v="0"/>
    <x v="0"/>
    <x v="1289"/>
    <x v="799"/>
    <x v="4"/>
  </r>
  <r>
    <x v="758"/>
    <d v="2016-09-14T00:00:00"/>
    <x v="1"/>
    <s v="Second Class"/>
    <s v="LC-17050"/>
    <x v="7"/>
    <s v="California"/>
    <x v="0"/>
    <x v="3"/>
    <x v="58"/>
    <x v="59"/>
    <x v="4"/>
  </r>
  <r>
    <x v="758"/>
    <d v="2016-09-14T00:00:00"/>
    <x v="1"/>
    <s v="Second Class"/>
    <s v="LC-17050"/>
    <x v="7"/>
    <s v="California"/>
    <x v="1"/>
    <x v="10"/>
    <x v="271"/>
    <x v="2081"/>
    <x v="1"/>
  </r>
  <r>
    <x v="758"/>
    <d v="2016-09-14T00:00:00"/>
    <x v="1"/>
    <s v="Second Class"/>
    <s v="LC-17050"/>
    <x v="7"/>
    <s v="California"/>
    <x v="0"/>
    <x v="0"/>
    <x v="1134"/>
    <x v="1375"/>
    <x v="11"/>
  </r>
  <r>
    <x v="758"/>
    <d v="2016-09-14T00:00:00"/>
    <x v="1"/>
    <s v="Standard Class"/>
    <s v="KD-16495"/>
    <x v="538"/>
    <s v="California"/>
    <x v="0"/>
    <x v="1"/>
    <x v="554"/>
    <x v="1993"/>
    <x v="0"/>
  </r>
  <r>
    <x v="758"/>
    <d v="2016-09-14T00:00:00"/>
    <x v="1"/>
    <s v="Standard Class"/>
    <s v="MC-17605"/>
    <x v="568"/>
    <s v="California"/>
    <x v="2"/>
    <x v="11"/>
    <x v="1264"/>
    <x v="2082"/>
    <x v="2"/>
  </r>
  <r>
    <x v="758"/>
    <d v="2016-09-15T00:00:00"/>
    <x v="4"/>
    <s v="Standard Class"/>
    <s v="DK-12835"/>
    <x v="35"/>
    <s v="Oregon"/>
    <x v="0"/>
    <x v="0"/>
    <x v="895"/>
    <x v="287"/>
    <x v="5"/>
  </r>
  <r>
    <x v="758"/>
    <d v="2016-09-15T00:00:00"/>
    <x v="4"/>
    <s v="Standard Class"/>
    <s v="DK-12835"/>
    <x v="35"/>
    <s v="Oregon"/>
    <x v="0"/>
    <x v="4"/>
    <x v="540"/>
    <x v="2083"/>
    <x v="6"/>
  </r>
  <r>
    <x v="759"/>
    <d v="2016-09-10T00:00:00"/>
    <x v="7"/>
    <s v="Same Day"/>
    <s v="FH-14275"/>
    <x v="47"/>
    <s v="California"/>
    <x v="1"/>
    <x v="10"/>
    <x v="344"/>
    <x v="1980"/>
    <x v="0"/>
  </r>
  <r>
    <x v="759"/>
    <d v="2016-09-10T00:00:00"/>
    <x v="7"/>
    <s v="Same Day"/>
    <s v="FH-14275"/>
    <x v="47"/>
    <s v="California"/>
    <x v="0"/>
    <x v="5"/>
    <x v="77"/>
    <x v="80"/>
    <x v="4"/>
  </r>
  <r>
    <x v="760"/>
    <d v="2016-09-12T00:00:00"/>
    <x v="3"/>
    <s v="Same Day"/>
    <s v="KF-16285"/>
    <x v="165"/>
    <s v="California"/>
    <x v="0"/>
    <x v="0"/>
    <x v="1174"/>
    <x v="28"/>
    <x v="4"/>
  </r>
  <r>
    <x v="760"/>
    <d v="2016-09-12T00:00:00"/>
    <x v="3"/>
    <s v="Same Day"/>
    <s v="KF-16285"/>
    <x v="165"/>
    <s v="California"/>
    <x v="0"/>
    <x v="6"/>
    <x v="1413"/>
    <x v="2084"/>
    <x v="4"/>
  </r>
  <r>
    <x v="760"/>
    <d v="2016-09-12T00:00:00"/>
    <x v="3"/>
    <s v="Same Day"/>
    <s v="KF-16285"/>
    <x v="165"/>
    <s v="California"/>
    <x v="1"/>
    <x v="10"/>
    <x v="129"/>
    <x v="2085"/>
    <x v="9"/>
  </r>
  <r>
    <x v="760"/>
    <d v="2016-09-11T00:00:00"/>
    <x v="7"/>
    <s v="Same Day"/>
    <s v="CB-12025"/>
    <x v="366"/>
    <s v="California"/>
    <x v="1"/>
    <x v="7"/>
    <x v="1099"/>
    <x v="2086"/>
    <x v="2"/>
  </r>
  <r>
    <x v="760"/>
    <d v="2016-09-11T00:00:00"/>
    <x v="7"/>
    <s v="Same Day"/>
    <s v="CB-12025"/>
    <x v="366"/>
    <s v="California"/>
    <x v="0"/>
    <x v="4"/>
    <x v="654"/>
    <x v="2087"/>
    <x v="1"/>
  </r>
  <r>
    <x v="760"/>
    <d v="2016-09-11T00:00:00"/>
    <x v="7"/>
    <s v="Same Day"/>
    <s v="JF-15415"/>
    <x v="300"/>
    <s v="Washington"/>
    <x v="1"/>
    <x v="10"/>
    <x v="703"/>
    <x v="2088"/>
    <x v="4"/>
  </r>
  <r>
    <x v="760"/>
    <d v="2016-09-11T00:00:00"/>
    <x v="7"/>
    <s v="Same Day"/>
    <s v="JF-15415"/>
    <x v="300"/>
    <s v="Washington"/>
    <x v="0"/>
    <x v="0"/>
    <x v="0"/>
    <x v="0"/>
    <x v="0"/>
  </r>
  <r>
    <x v="760"/>
    <d v="2016-09-11T00:00:00"/>
    <x v="7"/>
    <s v="Same Day"/>
    <s v="JF-15415"/>
    <x v="300"/>
    <s v="Washington"/>
    <x v="0"/>
    <x v="0"/>
    <x v="658"/>
    <x v="2089"/>
    <x v="12"/>
  </r>
  <r>
    <x v="760"/>
    <d v="2016-09-11T00:00:00"/>
    <x v="7"/>
    <s v="Same Day"/>
    <s v="JF-15415"/>
    <x v="300"/>
    <s v="Washington"/>
    <x v="0"/>
    <x v="5"/>
    <x v="258"/>
    <x v="2090"/>
    <x v="1"/>
  </r>
  <r>
    <x v="760"/>
    <d v="2016-09-11T00:00:00"/>
    <x v="7"/>
    <s v="Same Day"/>
    <s v="JF-15415"/>
    <x v="300"/>
    <s v="Washington"/>
    <x v="2"/>
    <x v="14"/>
    <x v="1414"/>
    <x v="2091"/>
    <x v="1"/>
  </r>
  <r>
    <x v="760"/>
    <d v="2016-09-13T00:00:00"/>
    <x v="0"/>
    <s v="Second Class"/>
    <s v="KH-16630"/>
    <x v="274"/>
    <s v="California"/>
    <x v="2"/>
    <x v="14"/>
    <x v="1053"/>
    <x v="2092"/>
    <x v="5"/>
  </r>
  <r>
    <x v="760"/>
    <d v="2016-09-13T00:00:00"/>
    <x v="0"/>
    <s v="Second Class"/>
    <s v="KH-16630"/>
    <x v="274"/>
    <s v="California"/>
    <x v="0"/>
    <x v="0"/>
    <x v="1196"/>
    <x v="0"/>
    <x v="0"/>
  </r>
  <r>
    <x v="761"/>
    <d v="2016-09-15T00:00:00"/>
    <x v="2"/>
    <s v="First Class"/>
    <s v="JM-15535"/>
    <x v="348"/>
    <s v="California"/>
    <x v="1"/>
    <x v="7"/>
    <x v="512"/>
    <x v="2093"/>
    <x v="4"/>
  </r>
  <r>
    <x v="761"/>
    <d v="2016-09-17T00:00:00"/>
    <x v="1"/>
    <s v="Second Class"/>
    <s v="JM-15865"/>
    <x v="361"/>
    <s v="California"/>
    <x v="0"/>
    <x v="0"/>
    <x v="1415"/>
    <x v="483"/>
    <x v="0"/>
  </r>
  <r>
    <x v="762"/>
    <d v="2016-09-18T00:00:00"/>
    <x v="5"/>
    <s v="Second Class"/>
    <s v="JB-16000"/>
    <x v="454"/>
    <s v="California"/>
    <x v="0"/>
    <x v="15"/>
    <x v="1416"/>
    <x v="2094"/>
    <x v="11"/>
  </r>
  <r>
    <x v="763"/>
    <d v="2016-09-21T00:00:00"/>
    <x v="4"/>
    <s v="Standard Class"/>
    <s v="ES-14020"/>
    <x v="156"/>
    <s v="California"/>
    <x v="0"/>
    <x v="5"/>
    <x v="71"/>
    <x v="2095"/>
    <x v="8"/>
  </r>
  <r>
    <x v="763"/>
    <d v="2016-09-21T00:00:00"/>
    <x v="4"/>
    <s v="Standard Class"/>
    <s v="ES-14020"/>
    <x v="156"/>
    <s v="California"/>
    <x v="2"/>
    <x v="14"/>
    <x v="803"/>
    <x v="2096"/>
    <x v="8"/>
  </r>
  <r>
    <x v="763"/>
    <d v="2016-09-21T00:00:00"/>
    <x v="4"/>
    <s v="Standard Class"/>
    <s v="ES-14020"/>
    <x v="156"/>
    <s v="California"/>
    <x v="1"/>
    <x v="10"/>
    <x v="558"/>
    <x v="636"/>
    <x v="0"/>
  </r>
  <r>
    <x v="763"/>
    <d v="2016-09-19T00:00:00"/>
    <x v="5"/>
    <s v="Standard Class"/>
    <s v="RD-19480"/>
    <x v="339"/>
    <s v="California"/>
    <x v="1"/>
    <x v="10"/>
    <x v="341"/>
    <x v="585"/>
    <x v="0"/>
  </r>
  <r>
    <x v="763"/>
    <d v="2016-09-19T00:00:00"/>
    <x v="5"/>
    <s v="Standard Class"/>
    <s v="RD-19480"/>
    <x v="339"/>
    <s v="California"/>
    <x v="1"/>
    <x v="7"/>
    <x v="1135"/>
    <x v="2097"/>
    <x v="1"/>
  </r>
  <r>
    <x v="763"/>
    <d v="2016-09-19T00:00:00"/>
    <x v="5"/>
    <s v="Standard Class"/>
    <s v="RD-19480"/>
    <x v="339"/>
    <s v="California"/>
    <x v="0"/>
    <x v="3"/>
    <x v="1417"/>
    <x v="2098"/>
    <x v="3"/>
  </r>
  <r>
    <x v="763"/>
    <d v="2016-09-19T00:00:00"/>
    <x v="5"/>
    <s v="Standard Class"/>
    <s v="RD-19480"/>
    <x v="339"/>
    <s v="California"/>
    <x v="0"/>
    <x v="4"/>
    <x v="1219"/>
    <x v="2099"/>
    <x v="4"/>
  </r>
  <r>
    <x v="763"/>
    <d v="2016-09-19T00:00:00"/>
    <x v="5"/>
    <s v="Standard Class"/>
    <s v="RD-19480"/>
    <x v="339"/>
    <s v="California"/>
    <x v="0"/>
    <x v="5"/>
    <x v="844"/>
    <x v="2100"/>
    <x v="6"/>
  </r>
  <r>
    <x v="763"/>
    <d v="2016-09-20T00:00:00"/>
    <x v="1"/>
    <s v="Standard Class"/>
    <s v="GM-14500"/>
    <x v="131"/>
    <s v="Washington"/>
    <x v="0"/>
    <x v="3"/>
    <x v="864"/>
    <x v="1329"/>
    <x v="0"/>
  </r>
  <r>
    <x v="763"/>
    <d v="2016-09-17T00:00:00"/>
    <x v="0"/>
    <s v="Second Class"/>
    <s v="DO-13645"/>
    <x v="645"/>
    <s v="Utah"/>
    <x v="0"/>
    <x v="5"/>
    <x v="85"/>
    <x v="2101"/>
    <x v="11"/>
  </r>
  <r>
    <x v="763"/>
    <d v="2016-09-17T00:00:00"/>
    <x v="0"/>
    <s v="Second Class"/>
    <s v="CS-12400"/>
    <x v="164"/>
    <s v="California"/>
    <x v="1"/>
    <x v="8"/>
    <x v="509"/>
    <x v="1850"/>
    <x v="6"/>
  </r>
  <r>
    <x v="764"/>
    <d v="2016-09-17T00:00:00"/>
    <x v="3"/>
    <s v="First Class"/>
    <s v="BB-10990"/>
    <x v="118"/>
    <s v="California"/>
    <x v="0"/>
    <x v="0"/>
    <x v="1101"/>
    <x v="708"/>
    <x v="4"/>
  </r>
  <r>
    <x v="764"/>
    <d v="2016-09-17T00:00:00"/>
    <x v="3"/>
    <s v="First Class"/>
    <s v="BB-10990"/>
    <x v="118"/>
    <s v="California"/>
    <x v="0"/>
    <x v="3"/>
    <x v="34"/>
    <x v="267"/>
    <x v="6"/>
  </r>
  <r>
    <x v="764"/>
    <d v="2016-09-20T00:00:00"/>
    <x v="5"/>
    <s v="Standard Class"/>
    <s v="CY-12745"/>
    <x v="342"/>
    <s v="California"/>
    <x v="0"/>
    <x v="9"/>
    <x v="1418"/>
    <x v="170"/>
    <x v="1"/>
  </r>
  <r>
    <x v="765"/>
    <d v="2016-09-17T00:00:00"/>
    <x v="7"/>
    <s v="Same Day"/>
    <s v="TP-21415"/>
    <x v="646"/>
    <s v="Washington"/>
    <x v="0"/>
    <x v="0"/>
    <x v="1419"/>
    <x v="28"/>
    <x v="4"/>
  </r>
  <r>
    <x v="765"/>
    <d v="2016-09-21T00:00:00"/>
    <x v="5"/>
    <s v="Second Class"/>
    <s v="AS-10225"/>
    <x v="578"/>
    <s v="Utah"/>
    <x v="0"/>
    <x v="5"/>
    <x v="77"/>
    <x v="1572"/>
    <x v="0"/>
  </r>
  <r>
    <x v="765"/>
    <d v="2016-09-21T00:00:00"/>
    <x v="5"/>
    <s v="Second Class"/>
    <s v="AS-10225"/>
    <x v="578"/>
    <s v="Utah"/>
    <x v="0"/>
    <x v="5"/>
    <x v="979"/>
    <x v="1359"/>
    <x v="0"/>
  </r>
  <r>
    <x v="765"/>
    <d v="2016-09-21T00:00:00"/>
    <x v="5"/>
    <s v="Second Class"/>
    <s v="AS-10225"/>
    <x v="578"/>
    <s v="Utah"/>
    <x v="0"/>
    <x v="0"/>
    <x v="494"/>
    <x v="528"/>
    <x v="0"/>
  </r>
  <r>
    <x v="765"/>
    <d v="2016-09-21T00:00:00"/>
    <x v="5"/>
    <s v="Second Class"/>
    <s v="AS-10225"/>
    <x v="578"/>
    <s v="Utah"/>
    <x v="1"/>
    <x v="2"/>
    <x v="1420"/>
    <x v="2102"/>
    <x v="0"/>
  </r>
  <r>
    <x v="765"/>
    <d v="2016-09-21T00:00:00"/>
    <x v="5"/>
    <s v="Second Class"/>
    <s v="AS-10225"/>
    <x v="578"/>
    <s v="Utah"/>
    <x v="0"/>
    <x v="5"/>
    <x v="1241"/>
    <x v="2103"/>
    <x v="4"/>
  </r>
  <r>
    <x v="765"/>
    <d v="2016-09-21T00:00:00"/>
    <x v="5"/>
    <s v="Second Class"/>
    <s v="AS-10225"/>
    <x v="578"/>
    <s v="Utah"/>
    <x v="0"/>
    <x v="1"/>
    <x v="958"/>
    <x v="1407"/>
    <x v="4"/>
  </r>
  <r>
    <x v="765"/>
    <d v="2016-09-21T00:00:00"/>
    <x v="5"/>
    <s v="Second Class"/>
    <s v="AS-10225"/>
    <x v="578"/>
    <s v="Utah"/>
    <x v="0"/>
    <x v="15"/>
    <x v="1421"/>
    <x v="2104"/>
    <x v="1"/>
  </r>
  <r>
    <x v="765"/>
    <d v="2016-09-20T00:00:00"/>
    <x v="2"/>
    <s v="First Class"/>
    <s v="SC-20380"/>
    <x v="346"/>
    <s v="Idaho"/>
    <x v="2"/>
    <x v="11"/>
    <x v="823"/>
    <x v="975"/>
    <x v="0"/>
  </r>
  <r>
    <x v="766"/>
    <d v="2016-09-23T00:00:00"/>
    <x v="1"/>
    <s v="Standard Class"/>
    <s v="SH-19975"/>
    <x v="245"/>
    <s v="California"/>
    <x v="0"/>
    <x v="3"/>
    <x v="419"/>
    <x v="708"/>
    <x v="0"/>
  </r>
  <r>
    <x v="766"/>
    <d v="2016-09-23T00:00:00"/>
    <x v="1"/>
    <s v="Standard Class"/>
    <s v="SH-19975"/>
    <x v="245"/>
    <s v="California"/>
    <x v="0"/>
    <x v="6"/>
    <x v="1085"/>
    <x v="721"/>
    <x v="0"/>
  </r>
  <r>
    <x v="766"/>
    <d v="2016-09-23T00:00:00"/>
    <x v="1"/>
    <s v="Standard Class"/>
    <s v="SH-19975"/>
    <x v="245"/>
    <s v="California"/>
    <x v="0"/>
    <x v="0"/>
    <x v="987"/>
    <x v="1204"/>
    <x v="0"/>
  </r>
  <r>
    <x v="766"/>
    <d v="2016-09-22T00:00:00"/>
    <x v="5"/>
    <s v="Standard Class"/>
    <s v="TS-21505"/>
    <x v="647"/>
    <s v="New Mexico"/>
    <x v="0"/>
    <x v="5"/>
    <x v="477"/>
    <x v="2105"/>
    <x v="8"/>
  </r>
  <r>
    <x v="766"/>
    <d v="2016-09-22T00:00:00"/>
    <x v="5"/>
    <s v="Standard Class"/>
    <s v="TS-21505"/>
    <x v="647"/>
    <s v="New Mexico"/>
    <x v="2"/>
    <x v="11"/>
    <x v="1422"/>
    <x v="2106"/>
    <x v="0"/>
  </r>
  <r>
    <x v="767"/>
    <d v="2016-09-25T00:00:00"/>
    <x v="4"/>
    <s v="Standard Class"/>
    <s v="JR-16210"/>
    <x v="459"/>
    <s v="Oregon"/>
    <x v="2"/>
    <x v="14"/>
    <x v="438"/>
    <x v="602"/>
    <x v="0"/>
  </r>
  <r>
    <x v="767"/>
    <d v="2016-09-25T00:00:00"/>
    <x v="4"/>
    <s v="Standard Class"/>
    <s v="JR-16210"/>
    <x v="459"/>
    <s v="Oregon"/>
    <x v="0"/>
    <x v="3"/>
    <x v="1417"/>
    <x v="2107"/>
    <x v="0"/>
  </r>
  <r>
    <x v="767"/>
    <d v="2016-09-25T00:00:00"/>
    <x v="4"/>
    <s v="Standard Class"/>
    <s v="JR-16210"/>
    <x v="459"/>
    <s v="Oregon"/>
    <x v="1"/>
    <x v="7"/>
    <x v="1072"/>
    <x v="2108"/>
    <x v="9"/>
  </r>
  <r>
    <x v="767"/>
    <d v="2016-09-25T00:00:00"/>
    <x v="4"/>
    <s v="Standard Class"/>
    <s v="JR-16210"/>
    <x v="459"/>
    <s v="Oregon"/>
    <x v="1"/>
    <x v="2"/>
    <x v="8"/>
    <x v="891"/>
    <x v="4"/>
  </r>
  <r>
    <x v="767"/>
    <d v="2016-09-24T00:00:00"/>
    <x v="1"/>
    <s v="Standard Class"/>
    <s v="DP-13105"/>
    <x v="503"/>
    <s v="California"/>
    <x v="2"/>
    <x v="11"/>
    <x v="1216"/>
    <x v="2109"/>
    <x v="1"/>
  </r>
  <r>
    <x v="767"/>
    <d v="2016-09-24T00:00:00"/>
    <x v="1"/>
    <s v="Standard Class"/>
    <s v="DP-13105"/>
    <x v="503"/>
    <s v="California"/>
    <x v="0"/>
    <x v="3"/>
    <x v="1215"/>
    <x v="1635"/>
    <x v="4"/>
  </r>
  <r>
    <x v="767"/>
    <d v="2016-09-24T00:00:00"/>
    <x v="1"/>
    <s v="Standard Class"/>
    <s v="DP-13105"/>
    <x v="503"/>
    <s v="California"/>
    <x v="0"/>
    <x v="3"/>
    <x v="1423"/>
    <x v="2110"/>
    <x v="0"/>
  </r>
  <r>
    <x v="767"/>
    <d v="2016-09-25T00:00:00"/>
    <x v="4"/>
    <s v="Standard Class"/>
    <s v="AB-10105"/>
    <x v="545"/>
    <s v="Arizona"/>
    <x v="0"/>
    <x v="1"/>
    <x v="246"/>
    <x v="2111"/>
    <x v="4"/>
  </r>
  <r>
    <x v="767"/>
    <d v="2016-09-25T00:00:00"/>
    <x v="4"/>
    <s v="Standard Class"/>
    <s v="AB-10105"/>
    <x v="545"/>
    <s v="Arizona"/>
    <x v="2"/>
    <x v="11"/>
    <x v="123"/>
    <x v="2112"/>
    <x v="4"/>
  </r>
  <r>
    <x v="767"/>
    <d v="2016-09-25T00:00:00"/>
    <x v="4"/>
    <s v="Standard Class"/>
    <s v="AB-10105"/>
    <x v="545"/>
    <s v="Arizona"/>
    <x v="2"/>
    <x v="14"/>
    <x v="1381"/>
    <x v="2113"/>
    <x v="4"/>
  </r>
  <r>
    <x v="767"/>
    <d v="2016-09-25T00:00:00"/>
    <x v="4"/>
    <s v="Standard Class"/>
    <s v="AB-10105"/>
    <x v="545"/>
    <s v="Arizona"/>
    <x v="0"/>
    <x v="5"/>
    <x v="389"/>
    <x v="2114"/>
    <x v="2"/>
  </r>
  <r>
    <x v="768"/>
    <d v="2016-09-23T00:00:00"/>
    <x v="0"/>
    <s v="First Class"/>
    <s v="ML-18265"/>
    <x v="648"/>
    <s v="Washington"/>
    <x v="2"/>
    <x v="11"/>
    <x v="862"/>
    <x v="2115"/>
    <x v="4"/>
  </r>
  <r>
    <x v="768"/>
    <d v="2016-09-23T00:00:00"/>
    <x v="0"/>
    <s v="First Class"/>
    <s v="ML-18265"/>
    <x v="648"/>
    <s v="Washington"/>
    <x v="2"/>
    <x v="11"/>
    <x v="1424"/>
    <x v="2116"/>
    <x v="4"/>
  </r>
  <r>
    <x v="768"/>
    <d v="2016-09-23T00:00:00"/>
    <x v="0"/>
    <s v="First Class"/>
    <s v="BM-11575"/>
    <x v="569"/>
    <s v="California"/>
    <x v="0"/>
    <x v="1"/>
    <x v="1425"/>
    <x v="898"/>
    <x v="6"/>
  </r>
  <r>
    <x v="768"/>
    <d v="2016-09-25T00:00:00"/>
    <x v="5"/>
    <s v="Standard Class"/>
    <s v="DB-13615"/>
    <x v="169"/>
    <s v="California"/>
    <x v="0"/>
    <x v="0"/>
    <x v="1426"/>
    <x v="2117"/>
    <x v="8"/>
  </r>
  <r>
    <x v="769"/>
    <d v="2016-09-28T00:00:00"/>
    <x v="4"/>
    <s v="Standard Class"/>
    <s v="DW-13195"/>
    <x v="2"/>
    <s v="New Mexico"/>
    <x v="0"/>
    <x v="0"/>
    <x v="1427"/>
    <x v="2118"/>
    <x v="0"/>
  </r>
  <r>
    <x v="769"/>
    <d v="2016-09-28T00:00:00"/>
    <x v="4"/>
    <s v="Standard Class"/>
    <s v="BK-11260"/>
    <x v="291"/>
    <s v="California"/>
    <x v="0"/>
    <x v="12"/>
    <x v="719"/>
    <x v="2119"/>
    <x v="4"/>
  </r>
  <r>
    <x v="770"/>
    <d v="2016-09-25T00:00:00"/>
    <x v="0"/>
    <s v="Second Class"/>
    <s v="DW-13540"/>
    <x v="649"/>
    <s v="Washington"/>
    <x v="0"/>
    <x v="4"/>
    <x v="1428"/>
    <x v="1637"/>
    <x v="4"/>
  </r>
  <r>
    <x v="770"/>
    <d v="2016-09-25T00:00:00"/>
    <x v="0"/>
    <s v="Second Class"/>
    <s v="DW-13540"/>
    <x v="649"/>
    <s v="Washington"/>
    <x v="0"/>
    <x v="1"/>
    <x v="730"/>
    <x v="845"/>
    <x v="0"/>
  </r>
  <r>
    <x v="770"/>
    <d v="2016-09-25T00:00:00"/>
    <x v="0"/>
    <s v="Second Class"/>
    <s v="DW-13540"/>
    <x v="649"/>
    <s v="Washington"/>
    <x v="0"/>
    <x v="5"/>
    <x v="1380"/>
    <x v="2120"/>
    <x v="6"/>
  </r>
  <r>
    <x v="770"/>
    <d v="2016-09-27T00:00:00"/>
    <x v="5"/>
    <s v="Standard Class"/>
    <s v="BG-11695"/>
    <x v="650"/>
    <s v="Colorado"/>
    <x v="1"/>
    <x v="7"/>
    <x v="147"/>
    <x v="2121"/>
    <x v="0"/>
  </r>
  <r>
    <x v="770"/>
    <d v="2016-09-26T00:00:00"/>
    <x v="2"/>
    <s v="First Class"/>
    <s v="KN-16705"/>
    <x v="514"/>
    <s v="Colorado"/>
    <x v="0"/>
    <x v="6"/>
    <x v="1429"/>
    <x v="400"/>
    <x v="0"/>
  </r>
  <r>
    <x v="770"/>
    <d v="2016-09-29T00:00:00"/>
    <x v="4"/>
    <s v="Standard Class"/>
    <s v="AP-10915"/>
    <x v="134"/>
    <s v="Colorado"/>
    <x v="1"/>
    <x v="2"/>
    <x v="1052"/>
    <x v="2122"/>
    <x v="4"/>
  </r>
  <r>
    <x v="770"/>
    <d v="2016-09-29T00:00:00"/>
    <x v="4"/>
    <s v="Standard Class"/>
    <s v="AP-10915"/>
    <x v="134"/>
    <s v="Colorado"/>
    <x v="2"/>
    <x v="11"/>
    <x v="466"/>
    <x v="2123"/>
    <x v="4"/>
  </r>
  <r>
    <x v="770"/>
    <d v="2016-09-30T00:00:00"/>
    <x v="6"/>
    <s v="Standard Class"/>
    <s v="BS-11755"/>
    <x v="121"/>
    <s v="California"/>
    <x v="0"/>
    <x v="5"/>
    <x v="304"/>
    <x v="1027"/>
    <x v="5"/>
  </r>
  <r>
    <x v="770"/>
    <d v="2016-09-30T00:00:00"/>
    <x v="6"/>
    <s v="Standard Class"/>
    <s v="BS-11755"/>
    <x v="121"/>
    <s v="California"/>
    <x v="0"/>
    <x v="4"/>
    <x v="454"/>
    <x v="2124"/>
    <x v="4"/>
  </r>
  <r>
    <x v="770"/>
    <d v="2016-09-29T00:00:00"/>
    <x v="4"/>
    <s v="Standard Class"/>
    <s v="DB-13660"/>
    <x v="651"/>
    <s v="California"/>
    <x v="0"/>
    <x v="0"/>
    <x v="160"/>
    <x v="2125"/>
    <x v="9"/>
  </r>
  <r>
    <x v="770"/>
    <d v="2016-09-29T00:00:00"/>
    <x v="4"/>
    <s v="Standard Class"/>
    <s v="DB-13660"/>
    <x v="651"/>
    <s v="California"/>
    <x v="1"/>
    <x v="10"/>
    <x v="112"/>
    <x v="2126"/>
    <x v="4"/>
  </r>
  <r>
    <x v="770"/>
    <d v="2016-09-29T00:00:00"/>
    <x v="4"/>
    <s v="Standard Class"/>
    <s v="DB-13660"/>
    <x v="651"/>
    <s v="California"/>
    <x v="0"/>
    <x v="5"/>
    <x v="1120"/>
    <x v="2127"/>
    <x v="0"/>
  </r>
  <r>
    <x v="771"/>
    <d v="2016-09-29T00:00:00"/>
    <x v="1"/>
    <s v="Standard Class"/>
    <s v="FA-14230"/>
    <x v="152"/>
    <s v="California"/>
    <x v="2"/>
    <x v="14"/>
    <x v="127"/>
    <x v="1467"/>
    <x v="0"/>
  </r>
  <r>
    <x v="771"/>
    <d v="2016-09-29T00:00:00"/>
    <x v="1"/>
    <s v="Standard Class"/>
    <s v="FA-14230"/>
    <x v="152"/>
    <s v="California"/>
    <x v="2"/>
    <x v="13"/>
    <x v="1430"/>
    <x v="2128"/>
    <x v="0"/>
  </r>
  <r>
    <x v="771"/>
    <d v="2016-09-24T00:00:00"/>
    <x v="7"/>
    <s v="Same Day"/>
    <s v="PB-19150"/>
    <x v="105"/>
    <s v="Washington"/>
    <x v="1"/>
    <x v="7"/>
    <x v="881"/>
    <x v="2129"/>
    <x v="3"/>
  </r>
  <r>
    <x v="771"/>
    <d v="2016-09-28T00:00:00"/>
    <x v="5"/>
    <s v="Second Class"/>
    <s v="NK-18490"/>
    <x v="327"/>
    <s v="California"/>
    <x v="0"/>
    <x v="0"/>
    <x v="1078"/>
    <x v="1008"/>
    <x v="5"/>
  </r>
  <r>
    <x v="771"/>
    <d v="2016-09-28T00:00:00"/>
    <x v="5"/>
    <s v="Second Class"/>
    <s v="NK-18490"/>
    <x v="327"/>
    <s v="California"/>
    <x v="0"/>
    <x v="12"/>
    <x v="309"/>
    <x v="322"/>
    <x v="4"/>
  </r>
  <r>
    <x v="772"/>
    <d v="2016-09-28T00:00:00"/>
    <x v="2"/>
    <s v="First Class"/>
    <s v="LS-17200"/>
    <x v="227"/>
    <s v="Montana"/>
    <x v="0"/>
    <x v="1"/>
    <x v="373"/>
    <x v="2130"/>
    <x v="1"/>
  </r>
  <r>
    <x v="773"/>
    <d v="2016-09-26T00:00:00"/>
    <x v="7"/>
    <s v="Same Day"/>
    <s v="RA-19885"/>
    <x v="511"/>
    <s v="California"/>
    <x v="0"/>
    <x v="6"/>
    <x v="74"/>
    <x v="2131"/>
    <x v="5"/>
  </r>
  <r>
    <x v="773"/>
    <d v="2016-09-26T00:00:00"/>
    <x v="7"/>
    <s v="Same Day"/>
    <s v="RA-19885"/>
    <x v="511"/>
    <s v="California"/>
    <x v="1"/>
    <x v="7"/>
    <x v="517"/>
    <x v="224"/>
    <x v="0"/>
  </r>
  <r>
    <x v="773"/>
    <d v="2016-09-26T00:00:00"/>
    <x v="7"/>
    <s v="Same Day"/>
    <s v="RA-19885"/>
    <x v="511"/>
    <s v="California"/>
    <x v="0"/>
    <x v="0"/>
    <x v="463"/>
    <x v="1496"/>
    <x v="5"/>
  </r>
  <r>
    <x v="773"/>
    <d v="2016-09-26T00:00:00"/>
    <x v="7"/>
    <s v="Same Day"/>
    <s v="RA-19885"/>
    <x v="511"/>
    <s v="California"/>
    <x v="0"/>
    <x v="5"/>
    <x v="289"/>
    <x v="1183"/>
    <x v="0"/>
  </r>
  <r>
    <x v="773"/>
    <d v="2016-09-26T00:00:00"/>
    <x v="7"/>
    <s v="Same Day"/>
    <s v="RA-19885"/>
    <x v="511"/>
    <s v="California"/>
    <x v="0"/>
    <x v="5"/>
    <x v="1389"/>
    <x v="2132"/>
    <x v="0"/>
  </r>
  <r>
    <x v="773"/>
    <d v="2016-09-28T00:00:00"/>
    <x v="0"/>
    <s v="First Class"/>
    <s v="SL-20155"/>
    <x v="652"/>
    <s v="Oregon"/>
    <x v="0"/>
    <x v="3"/>
    <x v="185"/>
    <x v="2133"/>
    <x v="6"/>
  </r>
  <r>
    <x v="774"/>
    <d v="2016-10-01T00:00:00"/>
    <x v="2"/>
    <s v="First Class"/>
    <s v="DS-13030"/>
    <x v="101"/>
    <s v="Colorado"/>
    <x v="1"/>
    <x v="7"/>
    <x v="251"/>
    <x v="2134"/>
    <x v="6"/>
  </r>
  <r>
    <x v="774"/>
    <d v="2016-10-01T00:00:00"/>
    <x v="2"/>
    <s v="First Class"/>
    <s v="DS-13030"/>
    <x v="101"/>
    <s v="Colorado"/>
    <x v="0"/>
    <x v="1"/>
    <x v="1431"/>
    <x v="2135"/>
    <x v="4"/>
  </r>
  <r>
    <x v="774"/>
    <d v="2016-10-01T00:00:00"/>
    <x v="2"/>
    <s v="First Class"/>
    <s v="DS-13030"/>
    <x v="101"/>
    <s v="Colorado"/>
    <x v="2"/>
    <x v="11"/>
    <x v="1432"/>
    <x v="2136"/>
    <x v="4"/>
  </r>
  <r>
    <x v="774"/>
    <d v="2016-10-01T00:00:00"/>
    <x v="2"/>
    <s v="First Class"/>
    <s v="DS-13030"/>
    <x v="101"/>
    <s v="Colorado"/>
    <x v="0"/>
    <x v="5"/>
    <x v="1211"/>
    <x v="2137"/>
    <x v="2"/>
  </r>
  <r>
    <x v="774"/>
    <d v="2016-10-01T00:00:00"/>
    <x v="2"/>
    <s v="First Class"/>
    <s v="DS-13030"/>
    <x v="101"/>
    <s v="Colorado"/>
    <x v="0"/>
    <x v="0"/>
    <x v="1433"/>
    <x v="400"/>
    <x v="0"/>
  </r>
  <r>
    <x v="774"/>
    <d v="2016-10-01T00:00:00"/>
    <x v="2"/>
    <s v="First Class"/>
    <s v="DS-13030"/>
    <x v="101"/>
    <s v="Colorado"/>
    <x v="0"/>
    <x v="4"/>
    <x v="1021"/>
    <x v="2138"/>
    <x v="4"/>
  </r>
  <r>
    <x v="774"/>
    <d v="2016-10-04T00:00:00"/>
    <x v="4"/>
    <s v="Standard Class"/>
    <s v="BD-11725"/>
    <x v="633"/>
    <s v="California"/>
    <x v="1"/>
    <x v="7"/>
    <x v="351"/>
    <x v="224"/>
    <x v="0"/>
  </r>
  <r>
    <x v="775"/>
    <d v="2016-10-02T00:00:00"/>
    <x v="2"/>
    <s v="First Class"/>
    <s v="PG-18820"/>
    <x v="66"/>
    <s v="California"/>
    <x v="0"/>
    <x v="9"/>
    <x v="489"/>
    <x v="1894"/>
    <x v="8"/>
  </r>
  <r>
    <x v="775"/>
    <d v="2016-10-02T00:00:00"/>
    <x v="2"/>
    <s v="First Class"/>
    <s v="PG-18820"/>
    <x v="66"/>
    <s v="California"/>
    <x v="1"/>
    <x v="10"/>
    <x v="341"/>
    <x v="2139"/>
    <x v="6"/>
  </r>
  <r>
    <x v="775"/>
    <d v="2016-10-02T00:00:00"/>
    <x v="2"/>
    <s v="First Class"/>
    <s v="PG-18820"/>
    <x v="66"/>
    <s v="California"/>
    <x v="0"/>
    <x v="4"/>
    <x v="997"/>
    <x v="2140"/>
    <x v="4"/>
  </r>
  <r>
    <x v="775"/>
    <d v="2016-10-02T00:00:00"/>
    <x v="2"/>
    <s v="First Class"/>
    <s v="PG-18820"/>
    <x v="66"/>
    <s v="California"/>
    <x v="1"/>
    <x v="7"/>
    <x v="1351"/>
    <x v="1991"/>
    <x v="6"/>
  </r>
  <r>
    <x v="775"/>
    <d v="2016-10-02T00:00:00"/>
    <x v="2"/>
    <s v="First Class"/>
    <s v="PG-18820"/>
    <x v="66"/>
    <s v="California"/>
    <x v="0"/>
    <x v="5"/>
    <x v="561"/>
    <x v="2141"/>
    <x v="4"/>
  </r>
  <r>
    <x v="775"/>
    <d v="2016-10-01T00:00:00"/>
    <x v="0"/>
    <s v="First Class"/>
    <s v="SC-20575"/>
    <x v="653"/>
    <s v="California"/>
    <x v="0"/>
    <x v="3"/>
    <x v="206"/>
    <x v="214"/>
    <x v="1"/>
  </r>
  <r>
    <x v="775"/>
    <d v="2016-10-06T00:00:00"/>
    <x v="6"/>
    <s v="Standard Class"/>
    <s v="JK-15730"/>
    <x v="643"/>
    <s v="California"/>
    <x v="0"/>
    <x v="12"/>
    <x v="1434"/>
    <x v="2142"/>
    <x v="8"/>
  </r>
  <r>
    <x v="776"/>
    <d v="2016-10-03T00:00:00"/>
    <x v="2"/>
    <s v="First Class"/>
    <s v="CS-11845"/>
    <x v="378"/>
    <s v="Washington"/>
    <x v="0"/>
    <x v="0"/>
    <x v="355"/>
    <x v="573"/>
    <x v="4"/>
  </r>
  <r>
    <x v="776"/>
    <d v="2016-10-03T00:00:00"/>
    <x v="2"/>
    <s v="First Class"/>
    <s v="CS-11845"/>
    <x v="378"/>
    <s v="Washington"/>
    <x v="0"/>
    <x v="0"/>
    <x v="1435"/>
    <x v="2143"/>
    <x v="0"/>
  </r>
  <r>
    <x v="776"/>
    <d v="2016-10-03T00:00:00"/>
    <x v="2"/>
    <s v="First Class"/>
    <s v="CS-11845"/>
    <x v="378"/>
    <s v="Washington"/>
    <x v="0"/>
    <x v="4"/>
    <x v="439"/>
    <x v="2144"/>
    <x v="6"/>
  </r>
  <r>
    <x v="776"/>
    <d v="2016-10-02T00:00:00"/>
    <x v="0"/>
    <s v="Second Class"/>
    <s v="BT-11530"/>
    <x v="73"/>
    <s v="California"/>
    <x v="2"/>
    <x v="11"/>
    <x v="1436"/>
    <x v="78"/>
    <x v="4"/>
  </r>
  <r>
    <x v="777"/>
    <d v="2016-10-08T00:00:00"/>
    <x v="6"/>
    <s v="Standard Class"/>
    <s v="EB-13840"/>
    <x v="295"/>
    <s v="Washington"/>
    <x v="0"/>
    <x v="0"/>
    <x v="750"/>
    <x v="2145"/>
    <x v="9"/>
  </r>
  <r>
    <x v="777"/>
    <d v="2016-10-08T00:00:00"/>
    <x v="6"/>
    <s v="Standard Class"/>
    <s v="EB-13840"/>
    <x v="295"/>
    <s v="Washington"/>
    <x v="0"/>
    <x v="5"/>
    <x v="1363"/>
    <x v="2146"/>
    <x v="8"/>
  </r>
  <r>
    <x v="777"/>
    <d v="2016-10-08T00:00:00"/>
    <x v="6"/>
    <s v="Standard Class"/>
    <s v="EB-13840"/>
    <x v="295"/>
    <s v="Washington"/>
    <x v="0"/>
    <x v="0"/>
    <x v="1187"/>
    <x v="0"/>
    <x v="0"/>
  </r>
  <r>
    <x v="777"/>
    <d v="2016-10-08T00:00:00"/>
    <x v="6"/>
    <s v="Standard Class"/>
    <s v="EB-13840"/>
    <x v="295"/>
    <s v="Washington"/>
    <x v="1"/>
    <x v="10"/>
    <x v="760"/>
    <x v="1558"/>
    <x v="0"/>
  </r>
  <r>
    <x v="777"/>
    <d v="2016-10-02T00:00:00"/>
    <x v="3"/>
    <s v="First Class"/>
    <s v="NS-18505"/>
    <x v="654"/>
    <s v="California"/>
    <x v="0"/>
    <x v="5"/>
    <x v="477"/>
    <x v="2147"/>
    <x v="6"/>
  </r>
  <r>
    <x v="777"/>
    <d v="2016-10-02T00:00:00"/>
    <x v="3"/>
    <s v="First Class"/>
    <s v="NS-18505"/>
    <x v="654"/>
    <s v="California"/>
    <x v="0"/>
    <x v="5"/>
    <x v="728"/>
    <x v="2148"/>
    <x v="13"/>
  </r>
  <r>
    <x v="777"/>
    <d v="2016-10-02T00:00:00"/>
    <x v="3"/>
    <s v="First Class"/>
    <s v="NS-18505"/>
    <x v="654"/>
    <s v="California"/>
    <x v="0"/>
    <x v="4"/>
    <x v="1437"/>
    <x v="2149"/>
    <x v="4"/>
  </r>
  <r>
    <x v="777"/>
    <d v="2016-10-02T00:00:00"/>
    <x v="3"/>
    <s v="First Class"/>
    <s v="NS-18505"/>
    <x v="654"/>
    <s v="California"/>
    <x v="1"/>
    <x v="10"/>
    <x v="1438"/>
    <x v="2150"/>
    <x v="2"/>
  </r>
  <r>
    <x v="777"/>
    <d v="2016-10-06T00:00:00"/>
    <x v="1"/>
    <s v="Standard Class"/>
    <s v="TN-21040"/>
    <x v="177"/>
    <s v="California"/>
    <x v="2"/>
    <x v="11"/>
    <x v="538"/>
    <x v="2151"/>
    <x v="1"/>
  </r>
  <r>
    <x v="778"/>
    <d v="2016-10-07T00:00:00"/>
    <x v="1"/>
    <s v="Standard Class"/>
    <s v="FG-14260"/>
    <x v="655"/>
    <s v="Washington"/>
    <x v="0"/>
    <x v="9"/>
    <x v="16"/>
    <x v="547"/>
    <x v="0"/>
  </r>
  <r>
    <x v="778"/>
    <d v="2016-10-07T00:00:00"/>
    <x v="1"/>
    <s v="Standard Class"/>
    <s v="FG-14260"/>
    <x v="655"/>
    <s v="Washington"/>
    <x v="2"/>
    <x v="14"/>
    <x v="968"/>
    <x v="1175"/>
    <x v="4"/>
  </r>
  <r>
    <x v="778"/>
    <d v="2016-10-08T00:00:00"/>
    <x v="4"/>
    <s v="Standard Class"/>
    <s v="PV-18985"/>
    <x v="501"/>
    <s v="California"/>
    <x v="0"/>
    <x v="5"/>
    <x v="849"/>
    <x v="2152"/>
    <x v="1"/>
  </r>
  <r>
    <x v="778"/>
    <d v="2016-10-08T00:00:00"/>
    <x v="4"/>
    <s v="Standard Class"/>
    <s v="PV-18985"/>
    <x v="501"/>
    <s v="California"/>
    <x v="0"/>
    <x v="1"/>
    <x v="1439"/>
    <x v="2153"/>
    <x v="8"/>
  </r>
  <r>
    <x v="778"/>
    <d v="2016-10-08T00:00:00"/>
    <x v="4"/>
    <s v="Standard Class"/>
    <s v="JK-16090"/>
    <x v="656"/>
    <s v="Oregon"/>
    <x v="1"/>
    <x v="2"/>
    <x v="8"/>
    <x v="2154"/>
    <x v="5"/>
  </r>
  <r>
    <x v="778"/>
    <d v="2016-10-08T00:00:00"/>
    <x v="4"/>
    <s v="Standard Class"/>
    <s v="JK-16090"/>
    <x v="656"/>
    <s v="Oregon"/>
    <x v="0"/>
    <x v="12"/>
    <x v="216"/>
    <x v="535"/>
    <x v="5"/>
  </r>
  <r>
    <x v="778"/>
    <d v="2016-10-08T00:00:00"/>
    <x v="4"/>
    <s v="Standard Class"/>
    <s v="JK-16090"/>
    <x v="656"/>
    <s v="Oregon"/>
    <x v="0"/>
    <x v="5"/>
    <x v="5"/>
    <x v="2155"/>
    <x v="8"/>
  </r>
  <r>
    <x v="778"/>
    <d v="2016-10-08T00:00:00"/>
    <x v="4"/>
    <s v="Standard Class"/>
    <s v="JK-16090"/>
    <x v="656"/>
    <s v="Oregon"/>
    <x v="0"/>
    <x v="3"/>
    <x v="954"/>
    <x v="2156"/>
    <x v="8"/>
  </r>
  <r>
    <x v="778"/>
    <d v="2016-10-06T00:00:00"/>
    <x v="5"/>
    <s v="Standard Class"/>
    <s v="CM-12115"/>
    <x v="657"/>
    <s v="California"/>
    <x v="1"/>
    <x v="7"/>
    <x v="1440"/>
    <x v="2157"/>
    <x v="4"/>
  </r>
  <r>
    <x v="778"/>
    <d v="2016-10-06T00:00:00"/>
    <x v="5"/>
    <s v="Standard Class"/>
    <s v="CM-12115"/>
    <x v="657"/>
    <s v="California"/>
    <x v="2"/>
    <x v="13"/>
    <x v="1441"/>
    <x v="2158"/>
    <x v="12"/>
  </r>
  <r>
    <x v="779"/>
    <d v="2016-10-08T00:00:00"/>
    <x v="1"/>
    <s v="Standard Class"/>
    <s v="AS-10045"/>
    <x v="547"/>
    <s v="California"/>
    <x v="1"/>
    <x v="8"/>
    <x v="1245"/>
    <x v="1892"/>
    <x v="0"/>
  </r>
  <r>
    <x v="780"/>
    <d v="2016-10-10T00:00:00"/>
    <x v="1"/>
    <s v="Standard Class"/>
    <s v="MP-18175"/>
    <x v="583"/>
    <s v="California"/>
    <x v="0"/>
    <x v="5"/>
    <x v="398"/>
    <x v="775"/>
    <x v="1"/>
  </r>
  <r>
    <x v="780"/>
    <d v="2016-10-10T00:00:00"/>
    <x v="1"/>
    <s v="Standard Class"/>
    <s v="MP-18175"/>
    <x v="583"/>
    <s v="California"/>
    <x v="0"/>
    <x v="0"/>
    <x v="53"/>
    <x v="402"/>
    <x v="4"/>
  </r>
  <r>
    <x v="780"/>
    <d v="2016-10-10T00:00:00"/>
    <x v="1"/>
    <s v="Standard Class"/>
    <s v="MP-18175"/>
    <x v="583"/>
    <s v="California"/>
    <x v="0"/>
    <x v="5"/>
    <x v="261"/>
    <x v="1113"/>
    <x v="2"/>
  </r>
  <r>
    <x v="780"/>
    <d v="2016-10-07T00:00:00"/>
    <x v="0"/>
    <s v="First Class"/>
    <s v="RB-19795"/>
    <x v="494"/>
    <s v="Colorado"/>
    <x v="2"/>
    <x v="11"/>
    <x v="1318"/>
    <x v="2159"/>
    <x v="4"/>
  </r>
  <r>
    <x v="780"/>
    <d v="2016-10-10T00:00:00"/>
    <x v="1"/>
    <s v="Standard Class"/>
    <s v="GG-14650"/>
    <x v="192"/>
    <s v="California"/>
    <x v="1"/>
    <x v="10"/>
    <x v="942"/>
    <x v="1140"/>
    <x v="2"/>
  </r>
  <r>
    <x v="780"/>
    <d v="2016-10-10T00:00:00"/>
    <x v="1"/>
    <s v="Standard Class"/>
    <s v="GG-14650"/>
    <x v="192"/>
    <s v="California"/>
    <x v="0"/>
    <x v="9"/>
    <x v="16"/>
    <x v="395"/>
    <x v="1"/>
  </r>
  <r>
    <x v="780"/>
    <d v="2016-10-10T00:00:00"/>
    <x v="1"/>
    <s v="Standard Class"/>
    <s v="GG-14650"/>
    <x v="192"/>
    <s v="California"/>
    <x v="0"/>
    <x v="4"/>
    <x v="1236"/>
    <x v="2160"/>
    <x v="2"/>
  </r>
  <r>
    <x v="780"/>
    <d v="2016-10-10T00:00:00"/>
    <x v="1"/>
    <s v="Standard Class"/>
    <s v="GG-14650"/>
    <x v="192"/>
    <s v="California"/>
    <x v="1"/>
    <x v="7"/>
    <x v="1442"/>
    <x v="2161"/>
    <x v="1"/>
  </r>
  <r>
    <x v="780"/>
    <d v="2016-10-10T00:00:00"/>
    <x v="1"/>
    <s v="Standard Class"/>
    <s v="GG-14650"/>
    <x v="192"/>
    <s v="California"/>
    <x v="1"/>
    <x v="8"/>
    <x v="148"/>
    <x v="2162"/>
    <x v="0"/>
  </r>
  <r>
    <x v="780"/>
    <d v="2016-10-10T00:00:00"/>
    <x v="1"/>
    <s v="Standard Class"/>
    <s v="GG-14650"/>
    <x v="192"/>
    <s v="California"/>
    <x v="2"/>
    <x v="14"/>
    <x v="1362"/>
    <x v="1952"/>
    <x v="6"/>
  </r>
  <r>
    <x v="781"/>
    <d v="2016-10-11T00:00:00"/>
    <x v="1"/>
    <s v="Standard Class"/>
    <s v="NZ-18565"/>
    <x v="362"/>
    <s v="Idaho"/>
    <x v="1"/>
    <x v="7"/>
    <x v="1024"/>
    <x v="1446"/>
    <x v="4"/>
  </r>
  <r>
    <x v="781"/>
    <d v="2016-10-11T00:00:00"/>
    <x v="1"/>
    <s v="Standard Class"/>
    <s v="NZ-18565"/>
    <x v="362"/>
    <s v="Idaho"/>
    <x v="0"/>
    <x v="4"/>
    <x v="1443"/>
    <x v="2163"/>
    <x v="2"/>
  </r>
  <r>
    <x v="781"/>
    <d v="2016-10-11T00:00:00"/>
    <x v="1"/>
    <s v="Standard Class"/>
    <s v="NZ-18565"/>
    <x v="362"/>
    <s v="Idaho"/>
    <x v="0"/>
    <x v="0"/>
    <x v="921"/>
    <x v="1024"/>
    <x v="4"/>
  </r>
  <r>
    <x v="781"/>
    <d v="2016-10-11T00:00:00"/>
    <x v="1"/>
    <s v="Standard Class"/>
    <s v="AJ-10945"/>
    <x v="426"/>
    <s v="Arizona"/>
    <x v="0"/>
    <x v="3"/>
    <x v="1444"/>
    <x v="2164"/>
    <x v="4"/>
  </r>
  <r>
    <x v="782"/>
    <d v="2016-10-13T00:00:00"/>
    <x v="4"/>
    <s v="Standard Class"/>
    <s v="DC-13285"/>
    <x v="658"/>
    <s v="California"/>
    <x v="1"/>
    <x v="2"/>
    <x v="1445"/>
    <x v="833"/>
    <x v="4"/>
  </r>
  <r>
    <x v="782"/>
    <d v="2016-10-11T00:00:00"/>
    <x v="5"/>
    <s v="Standard Class"/>
    <s v="MG-18145"/>
    <x v="659"/>
    <s v="California"/>
    <x v="2"/>
    <x v="11"/>
    <x v="827"/>
    <x v="2165"/>
    <x v="11"/>
  </r>
  <r>
    <x v="782"/>
    <d v="2016-10-11T00:00:00"/>
    <x v="5"/>
    <s v="Standard Class"/>
    <s v="MG-18145"/>
    <x v="659"/>
    <s v="California"/>
    <x v="2"/>
    <x v="14"/>
    <x v="781"/>
    <x v="2166"/>
    <x v="8"/>
  </r>
  <r>
    <x v="782"/>
    <d v="2016-10-11T00:00:00"/>
    <x v="5"/>
    <s v="Standard Class"/>
    <s v="MG-18145"/>
    <x v="659"/>
    <s v="California"/>
    <x v="2"/>
    <x v="14"/>
    <x v="1362"/>
    <x v="2167"/>
    <x v="3"/>
  </r>
  <r>
    <x v="783"/>
    <d v="2016-10-14T00:00:00"/>
    <x v="4"/>
    <s v="Standard Class"/>
    <s v="CS-12250"/>
    <x v="420"/>
    <s v="California"/>
    <x v="2"/>
    <x v="14"/>
    <x v="1274"/>
    <x v="2168"/>
    <x v="6"/>
  </r>
  <r>
    <x v="783"/>
    <d v="2016-10-14T00:00:00"/>
    <x v="4"/>
    <s v="Standard Class"/>
    <s v="CS-12250"/>
    <x v="420"/>
    <s v="California"/>
    <x v="2"/>
    <x v="11"/>
    <x v="1167"/>
    <x v="2169"/>
    <x v="4"/>
  </r>
  <r>
    <x v="783"/>
    <d v="2016-10-14T00:00:00"/>
    <x v="4"/>
    <s v="Standard Class"/>
    <s v="CS-12250"/>
    <x v="420"/>
    <s v="California"/>
    <x v="2"/>
    <x v="11"/>
    <x v="380"/>
    <x v="2170"/>
    <x v="2"/>
  </r>
  <r>
    <x v="783"/>
    <d v="2016-10-14T00:00:00"/>
    <x v="4"/>
    <s v="Standard Class"/>
    <s v="CS-12250"/>
    <x v="420"/>
    <s v="California"/>
    <x v="0"/>
    <x v="1"/>
    <x v="339"/>
    <x v="354"/>
    <x v="4"/>
  </r>
  <r>
    <x v="784"/>
    <d v="2016-10-11T00:00:00"/>
    <x v="0"/>
    <s v="First Class"/>
    <s v="XP-21865"/>
    <x v="176"/>
    <s v="California"/>
    <x v="0"/>
    <x v="0"/>
    <x v="1446"/>
    <x v="2171"/>
    <x v="1"/>
  </r>
  <r>
    <x v="785"/>
    <d v="2016-10-18T00:00:00"/>
    <x v="4"/>
    <s v="Standard Class"/>
    <s v="ML-18040"/>
    <x v="660"/>
    <s v="New Mexico"/>
    <x v="2"/>
    <x v="11"/>
    <x v="229"/>
    <x v="1576"/>
    <x v="1"/>
  </r>
  <r>
    <x v="785"/>
    <d v="2016-10-18T00:00:00"/>
    <x v="4"/>
    <s v="Standard Class"/>
    <s v="ML-18040"/>
    <x v="660"/>
    <s v="New Mexico"/>
    <x v="0"/>
    <x v="5"/>
    <x v="1056"/>
    <x v="2172"/>
    <x v="0"/>
  </r>
  <r>
    <x v="785"/>
    <d v="2016-10-14T00:00:00"/>
    <x v="0"/>
    <s v="First Class"/>
    <s v="NK-18490"/>
    <x v="327"/>
    <s v="California"/>
    <x v="2"/>
    <x v="11"/>
    <x v="928"/>
    <x v="2173"/>
    <x v="6"/>
  </r>
  <r>
    <x v="785"/>
    <d v="2016-10-14T00:00:00"/>
    <x v="0"/>
    <s v="First Class"/>
    <s v="NK-18490"/>
    <x v="327"/>
    <s v="California"/>
    <x v="0"/>
    <x v="5"/>
    <x v="1447"/>
    <x v="2174"/>
    <x v="1"/>
  </r>
  <r>
    <x v="785"/>
    <d v="2016-10-14T00:00:00"/>
    <x v="0"/>
    <s v="Second Class"/>
    <s v="RW-19690"/>
    <x v="661"/>
    <s v="California"/>
    <x v="2"/>
    <x v="11"/>
    <x v="1222"/>
    <x v="2175"/>
    <x v="7"/>
  </r>
  <r>
    <x v="785"/>
    <d v="2016-10-14T00:00:00"/>
    <x v="0"/>
    <s v="Second Class"/>
    <s v="RW-19690"/>
    <x v="661"/>
    <s v="California"/>
    <x v="0"/>
    <x v="3"/>
    <x v="419"/>
    <x v="312"/>
    <x v="4"/>
  </r>
  <r>
    <x v="786"/>
    <d v="2016-10-20T00:00:00"/>
    <x v="6"/>
    <s v="Standard Class"/>
    <s v="JW-15220"/>
    <x v="542"/>
    <s v="California"/>
    <x v="2"/>
    <x v="11"/>
    <x v="935"/>
    <x v="2176"/>
    <x v="5"/>
  </r>
  <r>
    <x v="786"/>
    <d v="2016-10-20T00:00:00"/>
    <x v="6"/>
    <s v="Standard Class"/>
    <s v="JW-15220"/>
    <x v="542"/>
    <s v="California"/>
    <x v="2"/>
    <x v="14"/>
    <x v="1088"/>
    <x v="1373"/>
    <x v="4"/>
  </r>
  <r>
    <x v="786"/>
    <d v="2016-10-20T00:00:00"/>
    <x v="6"/>
    <s v="Standard Class"/>
    <s v="JW-15220"/>
    <x v="542"/>
    <s v="California"/>
    <x v="0"/>
    <x v="5"/>
    <x v="442"/>
    <x v="2177"/>
    <x v="1"/>
  </r>
  <r>
    <x v="787"/>
    <d v="2016-10-17T00:00:00"/>
    <x v="2"/>
    <s v="First Class"/>
    <s v="JW-15955"/>
    <x v="612"/>
    <s v="California"/>
    <x v="1"/>
    <x v="7"/>
    <x v="81"/>
    <x v="2178"/>
    <x v="4"/>
  </r>
  <r>
    <x v="787"/>
    <d v="2016-10-19T00:00:00"/>
    <x v="1"/>
    <s v="Standard Class"/>
    <s v="BK-11260"/>
    <x v="291"/>
    <s v="California"/>
    <x v="2"/>
    <x v="11"/>
    <x v="1448"/>
    <x v="2179"/>
    <x v="2"/>
  </r>
  <r>
    <x v="788"/>
    <d v="2016-10-18T00:00:00"/>
    <x v="2"/>
    <s v="Second Class"/>
    <s v="FG-14260"/>
    <x v="655"/>
    <s v="California"/>
    <x v="0"/>
    <x v="3"/>
    <x v="1449"/>
    <x v="1184"/>
    <x v="2"/>
  </r>
  <r>
    <x v="788"/>
    <d v="2016-10-17T00:00:00"/>
    <x v="0"/>
    <s v="First Class"/>
    <s v="RS-19765"/>
    <x v="236"/>
    <s v="California"/>
    <x v="1"/>
    <x v="8"/>
    <x v="870"/>
    <x v="2180"/>
    <x v="0"/>
  </r>
  <r>
    <x v="788"/>
    <d v="2016-10-17T00:00:00"/>
    <x v="0"/>
    <s v="First Class"/>
    <s v="RS-19765"/>
    <x v="236"/>
    <s v="California"/>
    <x v="0"/>
    <x v="0"/>
    <x v="345"/>
    <x v="1947"/>
    <x v="1"/>
  </r>
  <r>
    <x v="788"/>
    <d v="2016-10-20T00:00:00"/>
    <x v="1"/>
    <s v="Standard Class"/>
    <s v="DL-13495"/>
    <x v="513"/>
    <s v="California"/>
    <x v="0"/>
    <x v="15"/>
    <x v="577"/>
    <x v="2181"/>
    <x v="1"/>
  </r>
  <r>
    <x v="788"/>
    <d v="2016-10-20T00:00:00"/>
    <x v="1"/>
    <s v="Standard Class"/>
    <s v="DL-13495"/>
    <x v="513"/>
    <s v="California"/>
    <x v="1"/>
    <x v="7"/>
    <x v="1450"/>
    <x v="298"/>
    <x v="6"/>
  </r>
  <r>
    <x v="788"/>
    <d v="2016-10-19T00:00:00"/>
    <x v="5"/>
    <s v="Standard Class"/>
    <s v="MC-17275"/>
    <x v="145"/>
    <s v="California"/>
    <x v="0"/>
    <x v="15"/>
    <x v="1314"/>
    <x v="730"/>
    <x v="0"/>
  </r>
  <r>
    <x v="788"/>
    <d v="2016-10-19T00:00:00"/>
    <x v="5"/>
    <s v="Standard Class"/>
    <s v="SV-20815"/>
    <x v="662"/>
    <s v="Utah"/>
    <x v="0"/>
    <x v="3"/>
    <x v="1444"/>
    <x v="868"/>
    <x v="4"/>
  </r>
  <r>
    <x v="789"/>
    <d v="2016-10-21T00:00:00"/>
    <x v="1"/>
    <s v="Standard Class"/>
    <s v="AJ-10780"/>
    <x v="324"/>
    <s v="Arizona"/>
    <x v="0"/>
    <x v="0"/>
    <x v="494"/>
    <x v="2182"/>
    <x v="8"/>
  </r>
  <r>
    <x v="789"/>
    <d v="2016-10-21T00:00:00"/>
    <x v="1"/>
    <s v="Standard Class"/>
    <s v="GH-14410"/>
    <x v="100"/>
    <s v="Arizona"/>
    <x v="2"/>
    <x v="13"/>
    <x v="52"/>
    <x v="2183"/>
    <x v="1"/>
  </r>
  <r>
    <x v="790"/>
    <d v="2016-10-19T00:00:00"/>
    <x v="0"/>
    <s v="Second Class"/>
    <s v="AJ-10960"/>
    <x v="663"/>
    <s v="California"/>
    <x v="0"/>
    <x v="3"/>
    <x v="42"/>
    <x v="1747"/>
    <x v="2"/>
  </r>
  <r>
    <x v="790"/>
    <d v="2016-10-19T00:00:00"/>
    <x v="0"/>
    <s v="Second Class"/>
    <s v="BF-11020"/>
    <x v="15"/>
    <s v="California"/>
    <x v="2"/>
    <x v="14"/>
    <x v="803"/>
    <x v="434"/>
    <x v="6"/>
  </r>
  <r>
    <x v="791"/>
    <d v="2016-10-24T00:00:00"/>
    <x v="1"/>
    <s v="Second Class"/>
    <s v="HH-15010"/>
    <x v="139"/>
    <s v="California"/>
    <x v="0"/>
    <x v="6"/>
    <x v="1451"/>
    <x v="1059"/>
    <x v="4"/>
  </r>
  <r>
    <x v="791"/>
    <d v="2016-10-24T00:00:00"/>
    <x v="1"/>
    <s v="Second Class"/>
    <s v="HH-15010"/>
    <x v="139"/>
    <s v="California"/>
    <x v="0"/>
    <x v="15"/>
    <x v="76"/>
    <x v="2184"/>
    <x v="3"/>
  </r>
  <r>
    <x v="791"/>
    <d v="2016-10-24T00:00:00"/>
    <x v="1"/>
    <s v="Second Class"/>
    <s v="HH-15010"/>
    <x v="139"/>
    <s v="California"/>
    <x v="1"/>
    <x v="7"/>
    <x v="1452"/>
    <x v="1165"/>
    <x v="4"/>
  </r>
  <r>
    <x v="791"/>
    <d v="2016-10-24T00:00:00"/>
    <x v="1"/>
    <s v="Second Class"/>
    <s v="HH-15010"/>
    <x v="139"/>
    <s v="California"/>
    <x v="1"/>
    <x v="8"/>
    <x v="1453"/>
    <x v="2185"/>
    <x v="4"/>
  </r>
  <r>
    <x v="791"/>
    <d v="2016-10-23T00:00:00"/>
    <x v="5"/>
    <s v="Standard Class"/>
    <s v="JS-16030"/>
    <x v="664"/>
    <s v="California"/>
    <x v="0"/>
    <x v="5"/>
    <x v="985"/>
    <x v="1410"/>
    <x v="0"/>
  </r>
  <r>
    <x v="792"/>
    <d v="2016-10-22T00:00:00"/>
    <x v="0"/>
    <s v="Second Class"/>
    <s v="JE-16165"/>
    <x v="665"/>
    <s v="California"/>
    <x v="0"/>
    <x v="15"/>
    <x v="1454"/>
    <x v="2186"/>
    <x v="6"/>
  </r>
  <r>
    <x v="792"/>
    <d v="2016-10-22T00:00:00"/>
    <x v="0"/>
    <s v="Second Class"/>
    <s v="JE-16165"/>
    <x v="665"/>
    <s v="California"/>
    <x v="0"/>
    <x v="5"/>
    <x v="1455"/>
    <x v="2187"/>
    <x v="2"/>
  </r>
  <r>
    <x v="793"/>
    <d v="2016-10-22T00:00:00"/>
    <x v="3"/>
    <s v="First Class"/>
    <s v="DK-12835"/>
    <x v="35"/>
    <s v="Oregon"/>
    <x v="0"/>
    <x v="0"/>
    <x v="882"/>
    <x v="1554"/>
    <x v="6"/>
  </r>
  <r>
    <x v="793"/>
    <d v="2016-10-22T00:00:00"/>
    <x v="3"/>
    <s v="First Class"/>
    <s v="DK-12835"/>
    <x v="35"/>
    <s v="Oregon"/>
    <x v="1"/>
    <x v="10"/>
    <x v="179"/>
    <x v="187"/>
    <x v="4"/>
  </r>
  <r>
    <x v="793"/>
    <d v="2016-10-22T00:00:00"/>
    <x v="3"/>
    <s v="First Class"/>
    <s v="DK-12835"/>
    <x v="35"/>
    <s v="Oregon"/>
    <x v="2"/>
    <x v="11"/>
    <x v="603"/>
    <x v="2188"/>
    <x v="4"/>
  </r>
  <r>
    <x v="793"/>
    <d v="2016-10-28T00:00:00"/>
    <x v="6"/>
    <s v="Standard Class"/>
    <s v="ND-18370"/>
    <x v="196"/>
    <s v="Arizona"/>
    <x v="0"/>
    <x v="5"/>
    <x v="773"/>
    <x v="2189"/>
    <x v="6"/>
  </r>
  <r>
    <x v="794"/>
    <d v="2016-10-27T00:00:00"/>
    <x v="1"/>
    <s v="Standard Class"/>
    <s v="DW-13195"/>
    <x v="2"/>
    <s v="Oregon"/>
    <x v="1"/>
    <x v="8"/>
    <x v="140"/>
    <x v="2190"/>
    <x v="1"/>
  </r>
  <r>
    <x v="794"/>
    <d v="2016-10-24T00:00:00"/>
    <x v="0"/>
    <s v="Second Class"/>
    <s v="HA-14905"/>
    <x v="439"/>
    <s v="Colorado"/>
    <x v="0"/>
    <x v="5"/>
    <x v="1022"/>
    <x v="2191"/>
    <x v="2"/>
  </r>
  <r>
    <x v="794"/>
    <d v="2016-10-24T00:00:00"/>
    <x v="0"/>
    <s v="Second Class"/>
    <s v="HA-14905"/>
    <x v="439"/>
    <s v="Colorado"/>
    <x v="1"/>
    <x v="10"/>
    <x v="1456"/>
    <x v="2192"/>
    <x v="2"/>
  </r>
  <r>
    <x v="795"/>
    <d v="2016-10-28T00:00:00"/>
    <x v="3"/>
    <s v="First Class"/>
    <s v="JO-15145"/>
    <x v="116"/>
    <s v="California"/>
    <x v="1"/>
    <x v="2"/>
    <x v="2"/>
    <x v="1190"/>
    <x v="1"/>
  </r>
  <r>
    <x v="795"/>
    <d v="2016-10-28T00:00:00"/>
    <x v="3"/>
    <s v="First Class"/>
    <s v="JO-15145"/>
    <x v="116"/>
    <s v="California"/>
    <x v="2"/>
    <x v="14"/>
    <x v="1457"/>
    <x v="2193"/>
    <x v="2"/>
  </r>
  <r>
    <x v="795"/>
    <d v="2016-10-29T00:00:00"/>
    <x v="0"/>
    <s v="First Class"/>
    <s v="JM-15655"/>
    <x v="48"/>
    <s v="California"/>
    <x v="1"/>
    <x v="8"/>
    <x v="155"/>
    <x v="2194"/>
    <x v="6"/>
  </r>
  <r>
    <x v="795"/>
    <d v="2016-10-29T00:00:00"/>
    <x v="0"/>
    <s v="First Class"/>
    <s v="JM-15655"/>
    <x v="48"/>
    <s v="California"/>
    <x v="2"/>
    <x v="14"/>
    <x v="65"/>
    <x v="1750"/>
    <x v="1"/>
  </r>
  <r>
    <x v="795"/>
    <d v="2016-11-01T00:00:00"/>
    <x v="1"/>
    <s v="Standard Class"/>
    <s v="TW-21025"/>
    <x v="429"/>
    <s v="Arizona"/>
    <x v="0"/>
    <x v="0"/>
    <x v="1435"/>
    <x v="2195"/>
    <x v="6"/>
  </r>
  <r>
    <x v="796"/>
    <d v="2016-11-03T00:00:00"/>
    <x v="5"/>
    <s v="Standard Class"/>
    <s v="JW-15220"/>
    <x v="542"/>
    <s v="Washington"/>
    <x v="1"/>
    <x v="7"/>
    <x v="923"/>
    <x v="2196"/>
    <x v="4"/>
  </r>
  <r>
    <x v="796"/>
    <d v="2016-11-06T00:00:00"/>
    <x v="6"/>
    <s v="Standard Class"/>
    <s v="MM-18055"/>
    <x v="51"/>
    <s v="Washington"/>
    <x v="0"/>
    <x v="5"/>
    <x v="686"/>
    <x v="703"/>
    <x v="0"/>
  </r>
  <r>
    <x v="796"/>
    <d v="2016-11-06T00:00:00"/>
    <x v="6"/>
    <s v="Standard Class"/>
    <s v="MM-18055"/>
    <x v="51"/>
    <s v="Washington"/>
    <x v="0"/>
    <x v="5"/>
    <x v="1458"/>
    <x v="1835"/>
    <x v="4"/>
  </r>
  <r>
    <x v="796"/>
    <d v="2016-11-05T00:00:00"/>
    <x v="4"/>
    <s v="Standard Class"/>
    <s v="JK-15205"/>
    <x v="666"/>
    <s v="California"/>
    <x v="0"/>
    <x v="15"/>
    <x v="563"/>
    <x v="2197"/>
    <x v="5"/>
  </r>
  <r>
    <x v="796"/>
    <d v="2016-11-05T00:00:00"/>
    <x v="4"/>
    <s v="Standard Class"/>
    <s v="JK-15205"/>
    <x v="666"/>
    <s v="California"/>
    <x v="2"/>
    <x v="14"/>
    <x v="929"/>
    <x v="2198"/>
    <x v="4"/>
  </r>
  <r>
    <x v="796"/>
    <d v="2016-11-05T00:00:00"/>
    <x v="4"/>
    <s v="Standard Class"/>
    <s v="JK-15205"/>
    <x v="666"/>
    <s v="California"/>
    <x v="0"/>
    <x v="0"/>
    <x v="1459"/>
    <x v="2199"/>
    <x v="4"/>
  </r>
  <r>
    <x v="796"/>
    <d v="2016-11-05T00:00:00"/>
    <x v="4"/>
    <s v="Standard Class"/>
    <s v="JK-15205"/>
    <x v="666"/>
    <s v="California"/>
    <x v="1"/>
    <x v="10"/>
    <x v="1055"/>
    <x v="2200"/>
    <x v="6"/>
  </r>
  <r>
    <x v="796"/>
    <d v="2016-11-05T00:00:00"/>
    <x v="4"/>
    <s v="Standard Class"/>
    <s v="JK-15205"/>
    <x v="666"/>
    <s v="California"/>
    <x v="0"/>
    <x v="3"/>
    <x v="3"/>
    <x v="3"/>
    <x v="1"/>
  </r>
  <r>
    <x v="796"/>
    <d v="2016-11-05T00:00:00"/>
    <x v="4"/>
    <s v="Standard Class"/>
    <s v="JK-15205"/>
    <x v="666"/>
    <s v="California"/>
    <x v="0"/>
    <x v="4"/>
    <x v="1323"/>
    <x v="2201"/>
    <x v="10"/>
  </r>
  <r>
    <x v="796"/>
    <d v="2016-11-02T00:00:00"/>
    <x v="2"/>
    <s v="First Class"/>
    <s v="JK-15625"/>
    <x v="241"/>
    <s v="Washington"/>
    <x v="1"/>
    <x v="10"/>
    <x v="271"/>
    <x v="719"/>
    <x v="4"/>
  </r>
  <r>
    <x v="796"/>
    <d v="2016-11-02T00:00:00"/>
    <x v="2"/>
    <s v="First Class"/>
    <s v="JK-15625"/>
    <x v="241"/>
    <s v="Washington"/>
    <x v="1"/>
    <x v="10"/>
    <x v="767"/>
    <x v="2202"/>
    <x v="9"/>
  </r>
  <r>
    <x v="796"/>
    <d v="2016-11-02T00:00:00"/>
    <x v="2"/>
    <s v="First Class"/>
    <s v="JK-15625"/>
    <x v="241"/>
    <s v="Washington"/>
    <x v="1"/>
    <x v="2"/>
    <x v="510"/>
    <x v="323"/>
    <x v="4"/>
  </r>
  <r>
    <x v="797"/>
    <d v="2016-11-03T00:00:00"/>
    <x v="0"/>
    <s v="Second Class"/>
    <s v="SF-20200"/>
    <x v="535"/>
    <s v="Washington"/>
    <x v="0"/>
    <x v="5"/>
    <x v="352"/>
    <x v="2203"/>
    <x v="1"/>
  </r>
  <r>
    <x v="797"/>
    <d v="2016-11-03T00:00:00"/>
    <x v="0"/>
    <s v="Second Class"/>
    <s v="SF-20200"/>
    <x v="535"/>
    <s v="Washington"/>
    <x v="1"/>
    <x v="8"/>
    <x v="611"/>
    <x v="2204"/>
    <x v="11"/>
  </r>
  <r>
    <x v="798"/>
    <d v="2016-11-06T00:00:00"/>
    <x v="5"/>
    <s v="Standard Class"/>
    <s v="KH-16630"/>
    <x v="274"/>
    <s v="Washington"/>
    <x v="0"/>
    <x v="0"/>
    <x v="1460"/>
    <x v="2205"/>
    <x v="1"/>
  </r>
  <r>
    <x v="798"/>
    <d v="2016-11-04T00:00:00"/>
    <x v="0"/>
    <s v="Second Class"/>
    <s v="NL-18310"/>
    <x v="194"/>
    <s v="California"/>
    <x v="0"/>
    <x v="6"/>
    <x v="1095"/>
    <x v="2206"/>
    <x v="8"/>
  </r>
  <r>
    <x v="798"/>
    <d v="2016-11-04T00:00:00"/>
    <x v="0"/>
    <s v="Second Class"/>
    <s v="NL-18310"/>
    <x v="194"/>
    <s v="California"/>
    <x v="0"/>
    <x v="3"/>
    <x v="1375"/>
    <x v="2207"/>
    <x v="1"/>
  </r>
  <r>
    <x v="798"/>
    <d v="2016-11-04T00:00:00"/>
    <x v="0"/>
    <s v="Second Class"/>
    <s v="NL-18310"/>
    <x v="194"/>
    <s v="California"/>
    <x v="0"/>
    <x v="5"/>
    <x v="1461"/>
    <x v="2208"/>
    <x v="5"/>
  </r>
  <r>
    <x v="798"/>
    <d v="2016-11-04T00:00:00"/>
    <x v="0"/>
    <s v="Second Class"/>
    <s v="NL-18310"/>
    <x v="194"/>
    <s v="California"/>
    <x v="0"/>
    <x v="9"/>
    <x v="260"/>
    <x v="1881"/>
    <x v="0"/>
  </r>
  <r>
    <x v="798"/>
    <d v="2016-11-04T00:00:00"/>
    <x v="0"/>
    <s v="Second Class"/>
    <s v="NL-18310"/>
    <x v="194"/>
    <s v="California"/>
    <x v="1"/>
    <x v="7"/>
    <x v="1462"/>
    <x v="2209"/>
    <x v="0"/>
  </r>
  <r>
    <x v="798"/>
    <d v="2016-11-04T00:00:00"/>
    <x v="0"/>
    <s v="Second Class"/>
    <s v="NL-18310"/>
    <x v="194"/>
    <s v="California"/>
    <x v="0"/>
    <x v="1"/>
    <x v="1255"/>
    <x v="2210"/>
    <x v="8"/>
  </r>
  <r>
    <x v="798"/>
    <d v="2016-11-07T00:00:00"/>
    <x v="1"/>
    <s v="Standard Class"/>
    <s v="JB-16000"/>
    <x v="454"/>
    <s v="Utah"/>
    <x v="0"/>
    <x v="0"/>
    <x v="28"/>
    <x v="0"/>
    <x v="0"/>
  </r>
  <r>
    <x v="798"/>
    <d v="2016-11-07T00:00:00"/>
    <x v="1"/>
    <s v="Standard Class"/>
    <s v="CS-12505"/>
    <x v="36"/>
    <s v="California"/>
    <x v="0"/>
    <x v="4"/>
    <x v="898"/>
    <x v="1961"/>
    <x v="1"/>
  </r>
  <r>
    <x v="799"/>
    <d v="2016-11-07T00:00:00"/>
    <x v="5"/>
    <s v="Standard Class"/>
    <s v="KC-16675"/>
    <x v="667"/>
    <s v="Washington"/>
    <x v="0"/>
    <x v="0"/>
    <x v="717"/>
    <x v="2211"/>
    <x v="8"/>
  </r>
  <r>
    <x v="799"/>
    <d v="2016-11-07T00:00:00"/>
    <x v="5"/>
    <s v="Standard Class"/>
    <s v="KC-16675"/>
    <x v="667"/>
    <s v="Washington"/>
    <x v="1"/>
    <x v="10"/>
    <x v="541"/>
    <x v="887"/>
    <x v="2"/>
  </r>
  <r>
    <x v="799"/>
    <d v="2016-11-08T00:00:00"/>
    <x v="1"/>
    <s v="Standard Class"/>
    <s v="DL-13330"/>
    <x v="668"/>
    <s v="New Mexico"/>
    <x v="1"/>
    <x v="7"/>
    <x v="786"/>
    <x v="2212"/>
    <x v="0"/>
  </r>
  <r>
    <x v="799"/>
    <d v="2016-11-05T00:00:00"/>
    <x v="0"/>
    <s v="Second Class"/>
    <s v="EJ-14155"/>
    <x v="20"/>
    <s v="Washington"/>
    <x v="2"/>
    <x v="11"/>
    <x v="764"/>
    <x v="2213"/>
    <x v="0"/>
  </r>
  <r>
    <x v="799"/>
    <d v="2016-11-08T00:00:00"/>
    <x v="1"/>
    <s v="Standard Class"/>
    <s v="PG-18895"/>
    <x v="443"/>
    <s v="California"/>
    <x v="0"/>
    <x v="0"/>
    <x v="1433"/>
    <x v="1496"/>
    <x v="5"/>
  </r>
  <r>
    <x v="799"/>
    <d v="2016-11-05T00:00:00"/>
    <x v="0"/>
    <s v="First Class"/>
    <s v="CR-12580"/>
    <x v="572"/>
    <s v="California"/>
    <x v="2"/>
    <x v="11"/>
    <x v="830"/>
    <x v="2214"/>
    <x v="1"/>
  </r>
  <r>
    <x v="799"/>
    <d v="2016-11-05T00:00:00"/>
    <x v="0"/>
    <s v="First Class"/>
    <s v="CR-12580"/>
    <x v="572"/>
    <s v="California"/>
    <x v="1"/>
    <x v="8"/>
    <x v="947"/>
    <x v="2215"/>
    <x v="7"/>
  </r>
  <r>
    <x v="799"/>
    <d v="2016-11-07T00:00:00"/>
    <x v="5"/>
    <s v="Standard Class"/>
    <s v="JO-15145"/>
    <x v="116"/>
    <s v="Washington"/>
    <x v="0"/>
    <x v="5"/>
    <x v="1463"/>
    <x v="2216"/>
    <x v="2"/>
  </r>
  <r>
    <x v="799"/>
    <d v="2016-11-09T00:00:00"/>
    <x v="4"/>
    <s v="Standard Class"/>
    <s v="BG-11740"/>
    <x v="337"/>
    <s v="California"/>
    <x v="1"/>
    <x v="8"/>
    <x v="795"/>
    <x v="2217"/>
    <x v="2"/>
  </r>
  <r>
    <x v="800"/>
    <d v="2016-11-12T00:00:00"/>
    <x v="6"/>
    <s v="Standard Class"/>
    <s v="TS-21610"/>
    <x v="626"/>
    <s v="Arizona"/>
    <x v="0"/>
    <x v="5"/>
    <x v="732"/>
    <x v="2218"/>
    <x v="4"/>
  </r>
  <r>
    <x v="800"/>
    <d v="2016-11-12T00:00:00"/>
    <x v="6"/>
    <s v="Standard Class"/>
    <s v="TS-21610"/>
    <x v="626"/>
    <s v="Arizona"/>
    <x v="0"/>
    <x v="1"/>
    <x v="782"/>
    <x v="2219"/>
    <x v="8"/>
  </r>
  <r>
    <x v="800"/>
    <d v="2016-11-06T00:00:00"/>
    <x v="3"/>
    <s v="First Class"/>
    <s v="RA-19885"/>
    <x v="511"/>
    <s v="New Mexico"/>
    <x v="2"/>
    <x v="11"/>
    <x v="213"/>
    <x v="2220"/>
    <x v="6"/>
  </r>
  <r>
    <x v="800"/>
    <d v="2016-11-09T00:00:00"/>
    <x v="5"/>
    <s v="Standard Class"/>
    <s v="AA-10645"/>
    <x v="506"/>
    <s v="California"/>
    <x v="0"/>
    <x v="0"/>
    <x v="1174"/>
    <x v="28"/>
    <x v="4"/>
  </r>
  <r>
    <x v="801"/>
    <d v="2016-11-12T00:00:00"/>
    <x v="4"/>
    <s v="Standard Class"/>
    <s v="RB-19705"/>
    <x v="669"/>
    <s v="Oregon"/>
    <x v="0"/>
    <x v="5"/>
    <x v="1464"/>
    <x v="2221"/>
    <x v="6"/>
  </r>
  <r>
    <x v="801"/>
    <d v="2016-11-11T00:00:00"/>
    <x v="1"/>
    <s v="Standard Class"/>
    <s v="ZC-21910"/>
    <x v="183"/>
    <s v="California"/>
    <x v="0"/>
    <x v="6"/>
    <x v="368"/>
    <x v="387"/>
    <x v="4"/>
  </r>
  <r>
    <x v="801"/>
    <d v="2016-11-11T00:00:00"/>
    <x v="1"/>
    <s v="Standard Class"/>
    <s v="ZC-21910"/>
    <x v="183"/>
    <s v="California"/>
    <x v="1"/>
    <x v="7"/>
    <x v="1440"/>
    <x v="1281"/>
    <x v="6"/>
  </r>
  <r>
    <x v="801"/>
    <d v="2016-11-11T00:00:00"/>
    <x v="1"/>
    <s v="Standard Class"/>
    <s v="ZC-21910"/>
    <x v="183"/>
    <s v="California"/>
    <x v="0"/>
    <x v="3"/>
    <x v="1465"/>
    <x v="2222"/>
    <x v="4"/>
  </r>
  <r>
    <x v="801"/>
    <d v="2016-11-06T00:00:00"/>
    <x v="7"/>
    <s v="Same Day"/>
    <s v="FM-14290"/>
    <x v="137"/>
    <s v="California"/>
    <x v="0"/>
    <x v="0"/>
    <x v="717"/>
    <x v="821"/>
    <x v="0"/>
  </r>
  <r>
    <x v="801"/>
    <d v="2016-11-06T00:00:00"/>
    <x v="7"/>
    <s v="Same Day"/>
    <s v="FM-14290"/>
    <x v="137"/>
    <s v="California"/>
    <x v="0"/>
    <x v="0"/>
    <x v="409"/>
    <x v="924"/>
    <x v="2"/>
  </r>
  <r>
    <x v="801"/>
    <d v="2016-11-06T00:00:00"/>
    <x v="7"/>
    <s v="Same Day"/>
    <s v="FM-14290"/>
    <x v="137"/>
    <s v="California"/>
    <x v="0"/>
    <x v="0"/>
    <x v="1134"/>
    <x v="854"/>
    <x v="1"/>
  </r>
  <r>
    <x v="801"/>
    <d v="2016-11-06T00:00:00"/>
    <x v="7"/>
    <s v="Same Day"/>
    <s v="FM-14290"/>
    <x v="137"/>
    <s v="California"/>
    <x v="0"/>
    <x v="15"/>
    <x v="790"/>
    <x v="508"/>
    <x v="2"/>
  </r>
  <r>
    <x v="801"/>
    <d v="2016-11-06T00:00:00"/>
    <x v="7"/>
    <s v="Same Day"/>
    <s v="FM-14290"/>
    <x v="137"/>
    <s v="California"/>
    <x v="2"/>
    <x v="11"/>
    <x v="79"/>
    <x v="2223"/>
    <x v="6"/>
  </r>
  <r>
    <x v="801"/>
    <d v="2016-11-13T00:00:00"/>
    <x v="6"/>
    <s v="Standard Class"/>
    <s v="AB-10060"/>
    <x v="379"/>
    <s v="Washington"/>
    <x v="1"/>
    <x v="8"/>
    <x v="188"/>
    <x v="2224"/>
    <x v="8"/>
  </r>
  <r>
    <x v="801"/>
    <d v="2016-11-13T00:00:00"/>
    <x v="6"/>
    <s v="Standard Class"/>
    <s v="AB-10060"/>
    <x v="379"/>
    <s v="Washington"/>
    <x v="1"/>
    <x v="10"/>
    <x v="225"/>
    <x v="2225"/>
    <x v="4"/>
  </r>
  <r>
    <x v="801"/>
    <d v="2016-11-13T00:00:00"/>
    <x v="6"/>
    <s v="Standard Class"/>
    <s v="AB-10060"/>
    <x v="379"/>
    <s v="Washington"/>
    <x v="2"/>
    <x v="11"/>
    <x v="1222"/>
    <x v="2226"/>
    <x v="0"/>
  </r>
  <r>
    <x v="802"/>
    <d v="2016-11-12T00:00:00"/>
    <x v="1"/>
    <s v="Second Class"/>
    <s v="DB-13270"/>
    <x v="10"/>
    <s v="California"/>
    <x v="2"/>
    <x v="11"/>
    <x v="1466"/>
    <x v="2227"/>
    <x v="0"/>
  </r>
  <r>
    <x v="802"/>
    <d v="2016-11-12T00:00:00"/>
    <x v="1"/>
    <s v="Second Class"/>
    <s v="DB-13270"/>
    <x v="10"/>
    <s v="California"/>
    <x v="2"/>
    <x v="14"/>
    <x v="683"/>
    <x v="2228"/>
    <x v="8"/>
  </r>
  <r>
    <x v="802"/>
    <d v="2016-11-12T00:00:00"/>
    <x v="1"/>
    <s v="Standard Class"/>
    <s v="TS-21505"/>
    <x v="647"/>
    <s v="California"/>
    <x v="0"/>
    <x v="5"/>
    <x v="806"/>
    <x v="2229"/>
    <x v="2"/>
  </r>
  <r>
    <x v="802"/>
    <d v="2016-11-12T00:00:00"/>
    <x v="1"/>
    <s v="Standard Class"/>
    <s v="TS-21505"/>
    <x v="647"/>
    <s v="California"/>
    <x v="2"/>
    <x v="11"/>
    <x v="1339"/>
    <x v="2230"/>
    <x v="2"/>
  </r>
  <r>
    <x v="803"/>
    <d v="2016-11-11T00:00:00"/>
    <x v="0"/>
    <s v="First Class"/>
    <s v="JB-15400"/>
    <x v="317"/>
    <s v="California"/>
    <x v="1"/>
    <x v="10"/>
    <x v="1055"/>
    <x v="1393"/>
    <x v="0"/>
  </r>
  <r>
    <x v="803"/>
    <d v="2016-11-14T00:00:00"/>
    <x v="1"/>
    <s v="Standard Class"/>
    <s v="MC-17590"/>
    <x v="670"/>
    <s v="California"/>
    <x v="0"/>
    <x v="1"/>
    <x v="240"/>
    <x v="2231"/>
    <x v="4"/>
  </r>
  <r>
    <x v="803"/>
    <d v="2016-11-14T00:00:00"/>
    <x v="1"/>
    <s v="Standard Class"/>
    <s v="MC-17590"/>
    <x v="670"/>
    <s v="California"/>
    <x v="2"/>
    <x v="11"/>
    <x v="86"/>
    <x v="148"/>
    <x v="6"/>
  </r>
  <r>
    <x v="803"/>
    <d v="2016-11-14T00:00:00"/>
    <x v="1"/>
    <s v="Standard Class"/>
    <s v="JE-15745"/>
    <x v="91"/>
    <s v="California"/>
    <x v="1"/>
    <x v="7"/>
    <x v="163"/>
    <x v="2232"/>
    <x v="9"/>
  </r>
  <r>
    <x v="803"/>
    <d v="2016-11-13T00:00:00"/>
    <x v="5"/>
    <s v="Standard Class"/>
    <s v="JE-15610"/>
    <x v="489"/>
    <s v="California"/>
    <x v="1"/>
    <x v="10"/>
    <x v="892"/>
    <x v="2233"/>
    <x v="0"/>
  </r>
  <r>
    <x v="804"/>
    <d v="2016-11-11T00:00:00"/>
    <x v="3"/>
    <s v="First Class"/>
    <s v="AB-10600"/>
    <x v="279"/>
    <s v="Arizona"/>
    <x v="0"/>
    <x v="5"/>
    <x v="416"/>
    <x v="2234"/>
    <x v="10"/>
  </r>
  <r>
    <x v="804"/>
    <d v="2016-11-11T00:00:00"/>
    <x v="3"/>
    <s v="First Class"/>
    <s v="AB-10600"/>
    <x v="279"/>
    <s v="Arizona"/>
    <x v="2"/>
    <x v="13"/>
    <x v="549"/>
    <x v="2235"/>
    <x v="4"/>
  </r>
  <r>
    <x v="804"/>
    <d v="2016-11-11T00:00:00"/>
    <x v="3"/>
    <s v="First Class"/>
    <s v="AB-10600"/>
    <x v="279"/>
    <s v="Arizona"/>
    <x v="2"/>
    <x v="11"/>
    <x v="452"/>
    <x v="2236"/>
    <x v="5"/>
  </r>
  <r>
    <x v="804"/>
    <d v="2016-11-11T00:00:00"/>
    <x v="3"/>
    <s v="First Class"/>
    <s v="AB-10600"/>
    <x v="279"/>
    <s v="Arizona"/>
    <x v="2"/>
    <x v="14"/>
    <x v="1150"/>
    <x v="141"/>
    <x v="4"/>
  </r>
  <r>
    <x v="804"/>
    <d v="2016-11-11T00:00:00"/>
    <x v="3"/>
    <s v="First Class"/>
    <s v="AB-10600"/>
    <x v="279"/>
    <s v="Arizona"/>
    <x v="1"/>
    <x v="10"/>
    <x v="225"/>
    <x v="2237"/>
    <x v="2"/>
  </r>
  <r>
    <x v="804"/>
    <d v="2016-11-12T00:00:00"/>
    <x v="0"/>
    <s v="Second Class"/>
    <s v="NC-18535"/>
    <x v="113"/>
    <s v="Washington"/>
    <x v="0"/>
    <x v="5"/>
    <x v="591"/>
    <x v="1377"/>
    <x v="0"/>
  </r>
  <r>
    <x v="804"/>
    <d v="2016-11-10T00:00:00"/>
    <x v="7"/>
    <s v="Same Day"/>
    <s v="TB-21190"/>
    <x v="671"/>
    <s v="California"/>
    <x v="0"/>
    <x v="3"/>
    <x v="1467"/>
    <x v="2238"/>
    <x v="0"/>
  </r>
  <r>
    <x v="804"/>
    <d v="2016-11-17T00:00:00"/>
    <x v="6"/>
    <s v="Standard Class"/>
    <s v="MC-17845"/>
    <x v="254"/>
    <s v="Washington"/>
    <x v="0"/>
    <x v="4"/>
    <x v="1468"/>
    <x v="2239"/>
    <x v="1"/>
  </r>
  <r>
    <x v="804"/>
    <d v="2016-11-17T00:00:00"/>
    <x v="6"/>
    <s v="Standard Class"/>
    <s v="MC-17845"/>
    <x v="254"/>
    <s v="Washington"/>
    <x v="0"/>
    <x v="5"/>
    <x v="1172"/>
    <x v="2240"/>
    <x v="6"/>
  </r>
  <r>
    <x v="804"/>
    <d v="2016-11-16T00:00:00"/>
    <x v="4"/>
    <s v="Standard Class"/>
    <s v="GH-14425"/>
    <x v="88"/>
    <s v="California"/>
    <x v="2"/>
    <x v="11"/>
    <x v="1469"/>
    <x v="2241"/>
    <x v="8"/>
  </r>
  <r>
    <x v="804"/>
    <d v="2016-11-17T00:00:00"/>
    <x v="6"/>
    <s v="Standard Class"/>
    <s v="ME-17320"/>
    <x v="495"/>
    <s v="California"/>
    <x v="1"/>
    <x v="10"/>
    <x v="470"/>
    <x v="2242"/>
    <x v="4"/>
  </r>
  <r>
    <x v="805"/>
    <d v="2016-11-16T00:00:00"/>
    <x v="1"/>
    <s v="Standard Class"/>
    <s v="GA-14725"/>
    <x v="39"/>
    <s v="California"/>
    <x v="0"/>
    <x v="4"/>
    <x v="636"/>
    <x v="2243"/>
    <x v="6"/>
  </r>
  <r>
    <x v="805"/>
    <d v="2016-11-16T00:00:00"/>
    <x v="1"/>
    <s v="Standard Class"/>
    <s v="GA-14725"/>
    <x v="39"/>
    <s v="California"/>
    <x v="0"/>
    <x v="0"/>
    <x v="1334"/>
    <x v="0"/>
    <x v="0"/>
  </r>
  <r>
    <x v="805"/>
    <d v="2016-11-16T00:00:00"/>
    <x v="1"/>
    <s v="Standard Class"/>
    <s v="GA-14725"/>
    <x v="39"/>
    <s v="California"/>
    <x v="0"/>
    <x v="5"/>
    <x v="1120"/>
    <x v="2244"/>
    <x v="1"/>
  </r>
  <r>
    <x v="805"/>
    <d v="2016-11-15T00:00:00"/>
    <x v="5"/>
    <s v="Second Class"/>
    <s v="TB-21190"/>
    <x v="671"/>
    <s v="California"/>
    <x v="1"/>
    <x v="7"/>
    <x v="1440"/>
    <x v="2245"/>
    <x v="2"/>
  </r>
  <r>
    <x v="806"/>
    <d v="2016-11-16T00:00:00"/>
    <x v="5"/>
    <s v="Standard Class"/>
    <s v="DB-13120"/>
    <x v="369"/>
    <s v="California"/>
    <x v="0"/>
    <x v="0"/>
    <x v="1298"/>
    <x v="44"/>
    <x v="4"/>
  </r>
  <r>
    <x v="806"/>
    <d v="2016-11-12T00:00:00"/>
    <x v="7"/>
    <s v="Same Day"/>
    <s v="EM-14140"/>
    <x v="107"/>
    <s v="Arizona"/>
    <x v="2"/>
    <x v="11"/>
    <x v="874"/>
    <x v="1230"/>
    <x v="2"/>
  </r>
  <r>
    <x v="806"/>
    <d v="2016-11-12T00:00:00"/>
    <x v="7"/>
    <s v="Same Day"/>
    <s v="EM-14140"/>
    <x v="107"/>
    <s v="Arizona"/>
    <x v="0"/>
    <x v="0"/>
    <x v="1090"/>
    <x v="2246"/>
    <x v="1"/>
  </r>
  <r>
    <x v="806"/>
    <d v="2016-11-12T00:00:00"/>
    <x v="7"/>
    <s v="Same Day"/>
    <s v="EM-14140"/>
    <x v="107"/>
    <s v="Arizona"/>
    <x v="1"/>
    <x v="10"/>
    <x v="1115"/>
    <x v="1432"/>
    <x v="4"/>
  </r>
  <r>
    <x v="806"/>
    <d v="2016-11-12T00:00:00"/>
    <x v="7"/>
    <s v="Same Day"/>
    <s v="EM-14140"/>
    <x v="107"/>
    <s v="Arizona"/>
    <x v="1"/>
    <x v="7"/>
    <x v="840"/>
    <x v="2247"/>
    <x v="4"/>
  </r>
  <r>
    <x v="806"/>
    <d v="2016-11-12T00:00:00"/>
    <x v="7"/>
    <s v="Same Day"/>
    <s v="EM-14140"/>
    <x v="107"/>
    <s v="Arizona"/>
    <x v="2"/>
    <x v="14"/>
    <x v="637"/>
    <x v="1104"/>
    <x v="4"/>
  </r>
  <r>
    <x v="806"/>
    <d v="2016-11-12T00:00:00"/>
    <x v="7"/>
    <s v="Same Day"/>
    <s v="EM-14140"/>
    <x v="107"/>
    <s v="Arizona"/>
    <x v="2"/>
    <x v="14"/>
    <x v="117"/>
    <x v="2248"/>
    <x v="4"/>
  </r>
  <r>
    <x v="806"/>
    <d v="2016-11-16T00:00:00"/>
    <x v="5"/>
    <s v="Standard Class"/>
    <s v="CS-12355"/>
    <x v="340"/>
    <s v="Washington"/>
    <x v="0"/>
    <x v="15"/>
    <x v="878"/>
    <x v="341"/>
    <x v="4"/>
  </r>
  <r>
    <x v="806"/>
    <d v="2016-11-16T00:00:00"/>
    <x v="5"/>
    <s v="Standard Class"/>
    <s v="CS-12355"/>
    <x v="340"/>
    <s v="Washington"/>
    <x v="0"/>
    <x v="3"/>
    <x v="1470"/>
    <x v="2249"/>
    <x v="0"/>
  </r>
  <r>
    <x v="806"/>
    <d v="2016-11-16T00:00:00"/>
    <x v="5"/>
    <s v="Standard Class"/>
    <s v="CS-12355"/>
    <x v="340"/>
    <s v="Washington"/>
    <x v="0"/>
    <x v="12"/>
    <x v="1471"/>
    <x v="2250"/>
    <x v="0"/>
  </r>
  <r>
    <x v="806"/>
    <d v="2016-11-15T00:00:00"/>
    <x v="2"/>
    <s v="First Class"/>
    <s v="JE-15610"/>
    <x v="489"/>
    <s v="California"/>
    <x v="0"/>
    <x v="5"/>
    <x v="1472"/>
    <x v="2251"/>
    <x v="2"/>
  </r>
  <r>
    <x v="806"/>
    <d v="2016-11-16T00:00:00"/>
    <x v="5"/>
    <s v="Second Class"/>
    <s v="MB-17305"/>
    <x v="126"/>
    <s v="Washington"/>
    <x v="0"/>
    <x v="9"/>
    <x v="16"/>
    <x v="1960"/>
    <x v="0"/>
  </r>
  <r>
    <x v="806"/>
    <d v="2016-11-16T00:00:00"/>
    <x v="5"/>
    <s v="Second Class"/>
    <s v="MB-17305"/>
    <x v="126"/>
    <s v="Washington"/>
    <x v="0"/>
    <x v="4"/>
    <x v="248"/>
    <x v="256"/>
    <x v="4"/>
  </r>
  <r>
    <x v="806"/>
    <d v="2016-11-16T00:00:00"/>
    <x v="5"/>
    <s v="Standard Class"/>
    <s v="DJ-13510"/>
    <x v="523"/>
    <s v="Arizona"/>
    <x v="2"/>
    <x v="11"/>
    <x v="498"/>
    <x v="2252"/>
    <x v="5"/>
  </r>
  <r>
    <x v="806"/>
    <d v="2016-11-15T00:00:00"/>
    <x v="2"/>
    <s v="Second Class"/>
    <s v="EP-13915"/>
    <x v="555"/>
    <s v="California"/>
    <x v="0"/>
    <x v="0"/>
    <x v="691"/>
    <x v="590"/>
    <x v="4"/>
  </r>
  <r>
    <x v="807"/>
    <d v="2016-11-18T00:00:00"/>
    <x v="1"/>
    <s v="Standard Class"/>
    <s v="TT-21070"/>
    <x v="482"/>
    <s v="Washington"/>
    <x v="1"/>
    <x v="10"/>
    <x v="207"/>
    <x v="2253"/>
    <x v="5"/>
  </r>
  <r>
    <x v="807"/>
    <d v="2016-11-18T00:00:00"/>
    <x v="1"/>
    <s v="Standard Class"/>
    <s v="TT-21070"/>
    <x v="482"/>
    <s v="Washington"/>
    <x v="0"/>
    <x v="5"/>
    <x v="1211"/>
    <x v="2254"/>
    <x v="12"/>
  </r>
  <r>
    <x v="807"/>
    <d v="2016-11-18T00:00:00"/>
    <x v="1"/>
    <s v="Standard Class"/>
    <s v="TT-21070"/>
    <x v="482"/>
    <s v="Washington"/>
    <x v="0"/>
    <x v="1"/>
    <x v="451"/>
    <x v="475"/>
    <x v="0"/>
  </r>
  <r>
    <x v="807"/>
    <d v="2016-11-18T00:00:00"/>
    <x v="1"/>
    <s v="Standard Class"/>
    <s v="TT-21070"/>
    <x v="482"/>
    <s v="Washington"/>
    <x v="0"/>
    <x v="15"/>
    <x v="884"/>
    <x v="526"/>
    <x v="0"/>
  </r>
  <r>
    <x v="807"/>
    <d v="2016-11-17T00:00:00"/>
    <x v="5"/>
    <s v="Second Class"/>
    <s v="SE-20110"/>
    <x v="50"/>
    <s v="California"/>
    <x v="2"/>
    <x v="11"/>
    <x v="1153"/>
    <x v="1513"/>
    <x v="1"/>
  </r>
  <r>
    <x v="807"/>
    <d v="2016-11-19T00:00:00"/>
    <x v="4"/>
    <s v="Standard Class"/>
    <s v="KL-16645"/>
    <x v="114"/>
    <s v="California"/>
    <x v="2"/>
    <x v="14"/>
    <x v="1473"/>
    <x v="2255"/>
    <x v="1"/>
  </r>
  <r>
    <x v="808"/>
    <d v="2016-11-19T00:00:00"/>
    <x v="1"/>
    <s v="Standard Class"/>
    <s v="LW-16990"/>
    <x v="480"/>
    <s v="California"/>
    <x v="1"/>
    <x v="10"/>
    <x v="1210"/>
    <x v="1622"/>
    <x v="4"/>
  </r>
  <r>
    <x v="808"/>
    <d v="2016-11-19T00:00:00"/>
    <x v="1"/>
    <s v="Standard Class"/>
    <s v="JE-15715"/>
    <x v="281"/>
    <s v="California"/>
    <x v="0"/>
    <x v="3"/>
    <x v="115"/>
    <x v="20"/>
    <x v="9"/>
  </r>
  <r>
    <x v="809"/>
    <d v="2016-11-22T00:00:00"/>
    <x v="4"/>
    <s v="Standard Class"/>
    <s v="SW-20275"/>
    <x v="603"/>
    <s v="California"/>
    <x v="0"/>
    <x v="1"/>
    <x v="401"/>
    <x v="2256"/>
    <x v="9"/>
  </r>
  <r>
    <x v="809"/>
    <d v="2016-11-16T00:00:00"/>
    <x v="7"/>
    <s v="Same Day"/>
    <s v="MW-18235"/>
    <x v="672"/>
    <s v="California"/>
    <x v="2"/>
    <x v="13"/>
    <x v="566"/>
    <x v="623"/>
    <x v="0"/>
  </r>
  <r>
    <x v="809"/>
    <d v="2016-11-20T00:00:00"/>
    <x v="5"/>
    <s v="Standard Class"/>
    <s v="JK-15370"/>
    <x v="301"/>
    <s v="California"/>
    <x v="0"/>
    <x v="1"/>
    <x v="741"/>
    <x v="156"/>
    <x v="8"/>
  </r>
  <r>
    <x v="809"/>
    <d v="2016-11-21T00:00:00"/>
    <x v="1"/>
    <s v="Standard Class"/>
    <s v="EK-13795"/>
    <x v="28"/>
    <s v="California"/>
    <x v="0"/>
    <x v="3"/>
    <x v="1359"/>
    <x v="2013"/>
    <x v="2"/>
  </r>
  <r>
    <x v="809"/>
    <d v="2016-11-19T00:00:00"/>
    <x v="2"/>
    <s v="First Class"/>
    <s v="CC-12220"/>
    <x v="469"/>
    <s v="Washington"/>
    <x v="0"/>
    <x v="0"/>
    <x v="488"/>
    <x v="2257"/>
    <x v="5"/>
  </r>
  <r>
    <x v="809"/>
    <d v="2016-11-19T00:00:00"/>
    <x v="2"/>
    <s v="First Class"/>
    <s v="CC-12220"/>
    <x v="469"/>
    <s v="Washington"/>
    <x v="1"/>
    <x v="7"/>
    <x v="1158"/>
    <x v="2258"/>
    <x v="4"/>
  </r>
  <r>
    <x v="809"/>
    <d v="2016-11-19T00:00:00"/>
    <x v="2"/>
    <s v="First Class"/>
    <s v="CC-12220"/>
    <x v="469"/>
    <s v="Washington"/>
    <x v="2"/>
    <x v="14"/>
    <x v="1392"/>
    <x v="2025"/>
    <x v="0"/>
  </r>
  <r>
    <x v="809"/>
    <d v="2016-11-19T00:00:00"/>
    <x v="2"/>
    <s v="First Class"/>
    <s v="CC-12220"/>
    <x v="469"/>
    <s v="Washington"/>
    <x v="0"/>
    <x v="1"/>
    <x v="554"/>
    <x v="606"/>
    <x v="6"/>
  </r>
  <r>
    <x v="809"/>
    <d v="2016-11-22T00:00:00"/>
    <x v="4"/>
    <s v="Standard Class"/>
    <s v="MB-18085"/>
    <x v="614"/>
    <s v="California"/>
    <x v="1"/>
    <x v="7"/>
    <x v="371"/>
    <x v="2259"/>
    <x v="0"/>
  </r>
  <r>
    <x v="809"/>
    <d v="2016-11-20T00:00:00"/>
    <x v="5"/>
    <s v="Standard Class"/>
    <s v="LC-16885"/>
    <x v="78"/>
    <s v="California"/>
    <x v="1"/>
    <x v="7"/>
    <x v="1474"/>
    <x v="2260"/>
    <x v="0"/>
  </r>
  <r>
    <x v="809"/>
    <d v="2016-11-20T00:00:00"/>
    <x v="5"/>
    <s v="Standard Class"/>
    <s v="LC-16885"/>
    <x v="78"/>
    <s v="California"/>
    <x v="1"/>
    <x v="7"/>
    <x v="1061"/>
    <x v="1329"/>
    <x v="0"/>
  </r>
  <r>
    <x v="810"/>
    <d v="2016-11-24T00:00:00"/>
    <x v="6"/>
    <s v="Standard Class"/>
    <s v="GG-14650"/>
    <x v="192"/>
    <s v="Washington"/>
    <x v="0"/>
    <x v="5"/>
    <x v="516"/>
    <x v="1835"/>
    <x v="4"/>
  </r>
  <r>
    <x v="810"/>
    <d v="2016-11-21T00:00:00"/>
    <x v="5"/>
    <s v="Standard Class"/>
    <s v="KH-16330"/>
    <x v="673"/>
    <s v="Oregon"/>
    <x v="0"/>
    <x v="0"/>
    <x v="1374"/>
    <x v="2261"/>
    <x v="0"/>
  </r>
  <r>
    <x v="810"/>
    <d v="2016-11-21T00:00:00"/>
    <x v="5"/>
    <s v="Standard Class"/>
    <s v="KH-16330"/>
    <x v="673"/>
    <s v="Oregon"/>
    <x v="0"/>
    <x v="5"/>
    <x v="859"/>
    <x v="1521"/>
    <x v="8"/>
  </r>
  <r>
    <x v="811"/>
    <d v="2016-11-21T00:00:00"/>
    <x v="2"/>
    <s v="First Class"/>
    <s v="CD-12280"/>
    <x v="674"/>
    <s v="Washington"/>
    <x v="0"/>
    <x v="1"/>
    <x v="396"/>
    <x v="2262"/>
    <x v="5"/>
  </r>
  <r>
    <x v="811"/>
    <d v="2016-11-21T00:00:00"/>
    <x v="2"/>
    <s v="First Class"/>
    <s v="CD-12280"/>
    <x v="674"/>
    <s v="Washington"/>
    <x v="2"/>
    <x v="11"/>
    <x v="1009"/>
    <x v="2263"/>
    <x v="2"/>
  </r>
  <r>
    <x v="811"/>
    <d v="2016-11-21T00:00:00"/>
    <x v="2"/>
    <s v="First Class"/>
    <s v="CD-12280"/>
    <x v="674"/>
    <s v="Washington"/>
    <x v="0"/>
    <x v="9"/>
    <x v="87"/>
    <x v="2264"/>
    <x v="4"/>
  </r>
  <r>
    <x v="811"/>
    <d v="2016-11-21T00:00:00"/>
    <x v="2"/>
    <s v="First Class"/>
    <s v="CD-12280"/>
    <x v="674"/>
    <s v="Washington"/>
    <x v="0"/>
    <x v="5"/>
    <x v="167"/>
    <x v="570"/>
    <x v="4"/>
  </r>
  <r>
    <x v="811"/>
    <d v="2016-11-21T00:00:00"/>
    <x v="2"/>
    <s v="First Class"/>
    <s v="CD-12280"/>
    <x v="674"/>
    <s v="Washington"/>
    <x v="0"/>
    <x v="1"/>
    <x v="1265"/>
    <x v="2265"/>
    <x v="0"/>
  </r>
  <r>
    <x v="812"/>
    <d v="2016-11-20T00:00:00"/>
    <x v="3"/>
    <s v="First Class"/>
    <s v="KD-16345"/>
    <x v="248"/>
    <s v="California"/>
    <x v="2"/>
    <x v="14"/>
    <x v="579"/>
    <x v="2266"/>
    <x v="2"/>
  </r>
  <r>
    <x v="812"/>
    <d v="2016-11-24T00:00:00"/>
    <x v="1"/>
    <s v="Standard Class"/>
    <s v="MC-18100"/>
    <x v="89"/>
    <s v="California"/>
    <x v="0"/>
    <x v="1"/>
    <x v="338"/>
    <x v="1137"/>
    <x v="11"/>
  </r>
  <r>
    <x v="812"/>
    <d v="2016-11-24T00:00:00"/>
    <x v="1"/>
    <s v="Standard Class"/>
    <s v="MC-18100"/>
    <x v="89"/>
    <s v="California"/>
    <x v="1"/>
    <x v="7"/>
    <x v="161"/>
    <x v="2267"/>
    <x v="6"/>
  </r>
  <r>
    <x v="813"/>
    <d v="2016-11-22T00:00:00"/>
    <x v="0"/>
    <s v="Second Class"/>
    <s v="LP-17080"/>
    <x v="93"/>
    <s v="California"/>
    <x v="1"/>
    <x v="7"/>
    <x v="824"/>
    <x v="976"/>
    <x v="0"/>
  </r>
  <r>
    <x v="813"/>
    <d v="2016-11-22T00:00:00"/>
    <x v="0"/>
    <s v="Second Class"/>
    <s v="LP-17080"/>
    <x v="93"/>
    <s v="California"/>
    <x v="0"/>
    <x v="5"/>
    <x v="983"/>
    <x v="2268"/>
    <x v="8"/>
  </r>
  <r>
    <x v="813"/>
    <d v="2016-11-25T00:00:00"/>
    <x v="1"/>
    <s v="Standard Class"/>
    <s v="KA-16525"/>
    <x v="396"/>
    <s v="California"/>
    <x v="1"/>
    <x v="10"/>
    <x v="799"/>
    <x v="1034"/>
    <x v="1"/>
  </r>
  <r>
    <x v="814"/>
    <d v="2016-11-25T00:00:00"/>
    <x v="5"/>
    <s v="Standard Class"/>
    <s v="BP-11230"/>
    <x v="57"/>
    <s v="Washington"/>
    <x v="1"/>
    <x v="8"/>
    <x v="211"/>
    <x v="2269"/>
    <x v="6"/>
  </r>
  <r>
    <x v="814"/>
    <d v="2016-11-25T00:00:00"/>
    <x v="5"/>
    <s v="Standard Class"/>
    <s v="BF-11005"/>
    <x v="162"/>
    <s v="California"/>
    <x v="0"/>
    <x v="1"/>
    <x v="396"/>
    <x v="1988"/>
    <x v="4"/>
  </r>
  <r>
    <x v="814"/>
    <d v="2016-11-25T00:00:00"/>
    <x v="5"/>
    <s v="Standard Class"/>
    <s v="BF-11005"/>
    <x v="162"/>
    <s v="California"/>
    <x v="0"/>
    <x v="3"/>
    <x v="1399"/>
    <x v="195"/>
    <x v="4"/>
  </r>
  <r>
    <x v="814"/>
    <d v="2016-11-25T00:00:00"/>
    <x v="5"/>
    <s v="Standard Class"/>
    <s v="BF-11005"/>
    <x v="162"/>
    <s v="California"/>
    <x v="0"/>
    <x v="9"/>
    <x v="522"/>
    <x v="2270"/>
    <x v="4"/>
  </r>
  <r>
    <x v="814"/>
    <d v="2016-11-25T00:00:00"/>
    <x v="5"/>
    <s v="Standard Class"/>
    <s v="BF-11005"/>
    <x v="162"/>
    <s v="California"/>
    <x v="0"/>
    <x v="4"/>
    <x v="1092"/>
    <x v="2271"/>
    <x v="6"/>
  </r>
  <r>
    <x v="814"/>
    <d v="2016-11-25T00:00:00"/>
    <x v="5"/>
    <s v="Standard Class"/>
    <s v="BF-11005"/>
    <x v="162"/>
    <s v="California"/>
    <x v="2"/>
    <x v="14"/>
    <x v="1280"/>
    <x v="1773"/>
    <x v="0"/>
  </r>
  <r>
    <x v="814"/>
    <d v="2016-11-25T00:00:00"/>
    <x v="5"/>
    <s v="Standard Class"/>
    <s v="PJ-18835"/>
    <x v="79"/>
    <s v="California"/>
    <x v="0"/>
    <x v="3"/>
    <x v="533"/>
    <x v="573"/>
    <x v="2"/>
  </r>
  <r>
    <x v="814"/>
    <d v="2016-11-25T00:00:00"/>
    <x v="5"/>
    <s v="Standard Class"/>
    <s v="PJ-18835"/>
    <x v="79"/>
    <s v="California"/>
    <x v="0"/>
    <x v="5"/>
    <x v="1447"/>
    <x v="2272"/>
    <x v="4"/>
  </r>
  <r>
    <x v="814"/>
    <d v="2016-11-25T00:00:00"/>
    <x v="5"/>
    <s v="Standard Class"/>
    <s v="CK-12205"/>
    <x v="394"/>
    <s v="Washington"/>
    <x v="0"/>
    <x v="5"/>
    <x v="178"/>
    <x v="2273"/>
    <x v="1"/>
  </r>
  <r>
    <x v="814"/>
    <d v="2016-11-25T00:00:00"/>
    <x v="5"/>
    <s v="Standard Class"/>
    <s v="CK-12205"/>
    <x v="394"/>
    <s v="Washington"/>
    <x v="2"/>
    <x v="13"/>
    <x v="1475"/>
    <x v="2274"/>
    <x v="6"/>
  </r>
  <r>
    <x v="814"/>
    <d v="2016-11-25T00:00:00"/>
    <x v="5"/>
    <s v="Standard Class"/>
    <s v="CK-12205"/>
    <x v="394"/>
    <s v="Washington"/>
    <x v="0"/>
    <x v="0"/>
    <x v="1476"/>
    <x v="2275"/>
    <x v="9"/>
  </r>
  <r>
    <x v="815"/>
    <d v="2016-11-29T00:00:00"/>
    <x v="1"/>
    <s v="Second Class"/>
    <s v="MV-17485"/>
    <x v="4"/>
    <s v="Arizona"/>
    <x v="0"/>
    <x v="5"/>
    <x v="19"/>
    <x v="2276"/>
    <x v="4"/>
  </r>
  <r>
    <x v="815"/>
    <d v="2016-11-29T00:00:00"/>
    <x v="1"/>
    <s v="Second Class"/>
    <s v="MV-17485"/>
    <x v="4"/>
    <s v="Arizona"/>
    <x v="0"/>
    <x v="1"/>
    <x v="860"/>
    <x v="2277"/>
    <x v="9"/>
  </r>
  <r>
    <x v="815"/>
    <d v="2016-11-27T00:00:00"/>
    <x v="2"/>
    <s v="First Class"/>
    <s v="PG-18820"/>
    <x v="66"/>
    <s v="California"/>
    <x v="0"/>
    <x v="3"/>
    <x v="1477"/>
    <x v="2278"/>
    <x v="2"/>
  </r>
  <r>
    <x v="815"/>
    <d v="2016-11-24T00:00:00"/>
    <x v="7"/>
    <s v="Same Day"/>
    <s v="PR-18880"/>
    <x v="637"/>
    <s v="California"/>
    <x v="0"/>
    <x v="0"/>
    <x v="432"/>
    <x v="462"/>
    <x v="6"/>
  </r>
  <r>
    <x v="815"/>
    <d v="2016-11-24T00:00:00"/>
    <x v="7"/>
    <s v="Same Day"/>
    <s v="BP-11290"/>
    <x v="472"/>
    <s v="California"/>
    <x v="1"/>
    <x v="8"/>
    <x v="1398"/>
    <x v="2279"/>
    <x v="4"/>
  </r>
  <r>
    <x v="815"/>
    <d v="2016-11-24T00:00:00"/>
    <x v="7"/>
    <s v="Same Day"/>
    <s v="BP-11290"/>
    <x v="472"/>
    <s v="California"/>
    <x v="1"/>
    <x v="8"/>
    <x v="578"/>
    <x v="1227"/>
    <x v="4"/>
  </r>
  <r>
    <x v="815"/>
    <d v="2016-11-30T00:00:00"/>
    <x v="4"/>
    <s v="Standard Class"/>
    <s v="JL-15835"/>
    <x v="55"/>
    <s v="California"/>
    <x v="2"/>
    <x v="11"/>
    <x v="1469"/>
    <x v="2280"/>
    <x v="10"/>
  </r>
  <r>
    <x v="816"/>
    <d v="2016-11-29T00:00:00"/>
    <x v="5"/>
    <s v="Standard Class"/>
    <s v="BD-11500"/>
    <x v="675"/>
    <s v="California"/>
    <x v="1"/>
    <x v="2"/>
    <x v="699"/>
    <x v="1046"/>
    <x v="0"/>
  </r>
  <r>
    <x v="816"/>
    <d v="2016-11-29T00:00:00"/>
    <x v="5"/>
    <s v="Standard Class"/>
    <s v="BD-11500"/>
    <x v="675"/>
    <s v="California"/>
    <x v="0"/>
    <x v="1"/>
    <x v="730"/>
    <x v="2281"/>
    <x v="6"/>
  </r>
  <r>
    <x v="816"/>
    <d v="2016-11-29T00:00:00"/>
    <x v="5"/>
    <s v="Second Class"/>
    <s v="EB-13750"/>
    <x v="470"/>
    <s v="California"/>
    <x v="2"/>
    <x v="14"/>
    <x v="1373"/>
    <x v="1207"/>
    <x v="1"/>
  </r>
  <r>
    <x v="816"/>
    <d v="2016-11-29T00:00:00"/>
    <x v="5"/>
    <s v="Second Class"/>
    <s v="EB-13750"/>
    <x v="470"/>
    <s v="California"/>
    <x v="0"/>
    <x v="0"/>
    <x v="992"/>
    <x v="2282"/>
    <x v="5"/>
  </r>
  <r>
    <x v="816"/>
    <d v="2016-12-01T00:00:00"/>
    <x v="4"/>
    <s v="Standard Class"/>
    <s v="TZ-21580"/>
    <x v="210"/>
    <s v="California"/>
    <x v="0"/>
    <x v="3"/>
    <x v="159"/>
    <x v="1292"/>
    <x v="4"/>
  </r>
  <r>
    <x v="817"/>
    <d v="2016-12-03T00:00:00"/>
    <x v="4"/>
    <s v="Standard Class"/>
    <s v="LW-16990"/>
    <x v="480"/>
    <s v="California"/>
    <x v="0"/>
    <x v="0"/>
    <x v="1478"/>
    <x v="1812"/>
    <x v="1"/>
  </r>
  <r>
    <x v="817"/>
    <d v="2016-12-03T00:00:00"/>
    <x v="4"/>
    <s v="Standard Class"/>
    <s v="LW-16990"/>
    <x v="480"/>
    <s v="California"/>
    <x v="2"/>
    <x v="11"/>
    <x v="75"/>
    <x v="2283"/>
    <x v="9"/>
  </r>
  <r>
    <x v="817"/>
    <d v="2016-12-02T00:00:00"/>
    <x v="1"/>
    <s v="Standard Class"/>
    <s v="BD-11320"/>
    <x v="473"/>
    <s v="California"/>
    <x v="0"/>
    <x v="5"/>
    <x v="1080"/>
    <x v="972"/>
    <x v="8"/>
  </r>
  <r>
    <x v="817"/>
    <d v="2016-12-02T00:00:00"/>
    <x v="1"/>
    <s v="Standard Class"/>
    <s v="BD-11320"/>
    <x v="473"/>
    <s v="California"/>
    <x v="1"/>
    <x v="7"/>
    <x v="676"/>
    <x v="1966"/>
    <x v="0"/>
  </r>
  <r>
    <x v="817"/>
    <d v="2016-12-03T00:00:00"/>
    <x v="4"/>
    <s v="Standard Class"/>
    <s v="DO-13645"/>
    <x v="645"/>
    <s v="California"/>
    <x v="2"/>
    <x v="14"/>
    <x v="65"/>
    <x v="2284"/>
    <x v="2"/>
  </r>
  <r>
    <x v="818"/>
    <d v="2016-12-01T00:00:00"/>
    <x v="2"/>
    <s v="First Class"/>
    <s v="RH-19495"/>
    <x v="676"/>
    <s v="Colorado"/>
    <x v="0"/>
    <x v="0"/>
    <x v="1415"/>
    <x v="2285"/>
    <x v="4"/>
  </r>
  <r>
    <x v="818"/>
    <d v="2016-12-02T00:00:00"/>
    <x v="5"/>
    <s v="Standard Class"/>
    <s v="EP-13915"/>
    <x v="555"/>
    <s v="California"/>
    <x v="0"/>
    <x v="15"/>
    <x v="1064"/>
    <x v="2286"/>
    <x v="1"/>
  </r>
  <r>
    <x v="819"/>
    <d v="2016-12-03T00:00:00"/>
    <x v="2"/>
    <s v="First Class"/>
    <s v="MZ-17335"/>
    <x v="412"/>
    <s v="California"/>
    <x v="1"/>
    <x v="7"/>
    <x v="1479"/>
    <x v="2287"/>
    <x v="0"/>
  </r>
  <r>
    <x v="820"/>
    <d v="2016-12-05T00:00:00"/>
    <x v="5"/>
    <s v="Standard Class"/>
    <s v="DV-13465"/>
    <x v="533"/>
    <s v="Colorado"/>
    <x v="2"/>
    <x v="14"/>
    <x v="520"/>
    <x v="1968"/>
    <x v="0"/>
  </r>
  <r>
    <x v="820"/>
    <d v="2016-12-05T00:00:00"/>
    <x v="5"/>
    <s v="Standard Class"/>
    <s v="DV-13465"/>
    <x v="533"/>
    <s v="Colorado"/>
    <x v="2"/>
    <x v="14"/>
    <x v="94"/>
    <x v="96"/>
    <x v="4"/>
  </r>
  <r>
    <x v="820"/>
    <d v="2016-12-05T00:00:00"/>
    <x v="5"/>
    <s v="Standard Class"/>
    <s v="DV-13465"/>
    <x v="533"/>
    <s v="Colorado"/>
    <x v="0"/>
    <x v="4"/>
    <x v="1282"/>
    <x v="2288"/>
    <x v="0"/>
  </r>
  <r>
    <x v="820"/>
    <d v="2016-12-05T00:00:00"/>
    <x v="5"/>
    <s v="Standard Class"/>
    <s v="DV-13465"/>
    <x v="533"/>
    <s v="Colorado"/>
    <x v="0"/>
    <x v="5"/>
    <x v="98"/>
    <x v="2289"/>
    <x v="8"/>
  </r>
  <r>
    <x v="820"/>
    <d v="2016-12-05T00:00:00"/>
    <x v="5"/>
    <s v="Standard Class"/>
    <s v="DV-13465"/>
    <x v="533"/>
    <s v="Colorado"/>
    <x v="2"/>
    <x v="14"/>
    <x v="835"/>
    <x v="2290"/>
    <x v="2"/>
  </r>
  <r>
    <x v="820"/>
    <d v="2016-12-05T00:00:00"/>
    <x v="5"/>
    <s v="Standard Class"/>
    <s v="CC-12550"/>
    <x v="624"/>
    <s v="California"/>
    <x v="0"/>
    <x v="0"/>
    <x v="1128"/>
    <x v="924"/>
    <x v="8"/>
  </r>
  <r>
    <x v="820"/>
    <d v="2016-12-05T00:00:00"/>
    <x v="5"/>
    <s v="Standard Class"/>
    <s v="CC-12550"/>
    <x v="624"/>
    <s v="California"/>
    <x v="0"/>
    <x v="5"/>
    <x v="1376"/>
    <x v="2291"/>
    <x v="4"/>
  </r>
  <r>
    <x v="820"/>
    <d v="2016-12-08T00:00:00"/>
    <x v="6"/>
    <s v="Standard Class"/>
    <s v="SO-20335"/>
    <x v="591"/>
    <s v="Washington"/>
    <x v="0"/>
    <x v="0"/>
    <x v="1259"/>
    <x v="1815"/>
    <x v="8"/>
  </r>
  <r>
    <x v="820"/>
    <d v="2016-12-08T00:00:00"/>
    <x v="6"/>
    <s v="Standard Class"/>
    <s v="SO-20335"/>
    <x v="591"/>
    <s v="Washington"/>
    <x v="1"/>
    <x v="2"/>
    <x v="851"/>
    <x v="641"/>
    <x v="4"/>
  </r>
  <r>
    <x v="820"/>
    <d v="2016-12-06T00:00:00"/>
    <x v="1"/>
    <s v="Standard Class"/>
    <s v="SH-19975"/>
    <x v="245"/>
    <s v="Washington"/>
    <x v="0"/>
    <x v="5"/>
    <x v="705"/>
    <x v="2292"/>
    <x v="1"/>
  </r>
  <r>
    <x v="820"/>
    <d v="2016-12-06T00:00:00"/>
    <x v="1"/>
    <s v="Standard Class"/>
    <s v="SH-19975"/>
    <x v="245"/>
    <s v="Washington"/>
    <x v="1"/>
    <x v="7"/>
    <x v="163"/>
    <x v="2293"/>
    <x v="7"/>
  </r>
  <r>
    <x v="820"/>
    <d v="2016-12-06T00:00:00"/>
    <x v="1"/>
    <s v="Standard Class"/>
    <s v="SH-19975"/>
    <x v="245"/>
    <s v="Washington"/>
    <x v="0"/>
    <x v="1"/>
    <x v="626"/>
    <x v="2294"/>
    <x v="2"/>
  </r>
  <r>
    <x v="820"/>
    <d v="2016-12-07T00:00:00"/>
    <x v="4"/>
    <s v="Standard Class"/>
    <s v="ML-17755"/>
    <x v="628"/>
    <s v="California"/>
    <x v="1"/>
    <x v="7"/>
    <x v="1158"/>
    <x v="2295"/>
    <x v="11"/>
  </r>
  <r>
    <x v="821"/>
    <d v="2016-12-05T00:00:00"/>
    <x v="2"/>
    <s v="First Class"/>
    <s v="VW-21775"/>
    <x v="275"/>
    <s v="California"/>
    <x v="0"/>
    <x v="1"/>
    <x v="350"/>
    <x v="2296"/>
    <x v="11"/>
  </r>
  <r>
    <x v="821"/>
    <d v="2016-12-05T00:00:00"/>
    <x v="2"/>
    <s v="First Class"/>
    <s v="VW-21775"/>
    <x v="275"/>
    <s v="California"/>
    <x v="0"/>
    <x v="0"/>
    <x v="290"/>
    <x v="299"/>
    <x v="4"/>
  </r>
  <r>
    <x v="821"/>
    <d v="2016-12-05T00:00:00"/>
    <x v="2"/>
    <s v="First Class"/>
    <s v="VW-21775"/>
    <x v="275"/>
    <s v="California"/>
    <x v="0"/>
    <x v="0"/>
    <x v="648"/>
    <x v="296"/>
    <x v="4"/>
  </r>
  <r>
    <x v="821"/>
    <d v="2016-12-03T00:00:00"/>
    <x v="3"/>
    <s v="Same Day"/>
    <s v="AM-10360"/>
    <x v="293"/>
    <s v="California"/>
    <x v="0"/>
    <x v="5"/>
    <x v="668"/>
    <x v="2297"/>
    <x v="5"/>
  </r>
  <r>
    <x v="821"/>
    <d v="2016-12-03T00:00:00"/>
    <x v="3"/>
    <s v="Same Day"/>
    <s v="AM-10360"/>
    <x v="293"/>
    <s v="California"/>
    <x v="0"/>
    <x v="5"/>
    <x v="273"/>
    <x v="281"/>
    <x v="4"/>
  </r>
  <r>
    <x v="821"/>
    <d v="2016-12-03T00:00:00"/>
    <x v="3"/>
    <s v="Same Day"/>
    <s v="AM-10360"/>
    <x v="293"/>
    <s v="California"/>
    <x v="0"/>
    <x v="0"/>
    <x v="327"/>
    <x v="721"/>
    <x v="4"/>
  </r>
  <r>
    <x v="821"/>
    <d v="2016-12-03T00:00:00"/>
    <x v="3"/>
    <s v="Same Day"/>
    <s v="AM-10360"/>
    <x v="293"/>
    <s v="California"/>
    <x v="0"/>
    <x v="4"/>
    <x v="72"/>
    <x v="2298"/>
    <x v="0"/>
  </r>
  <r>
    <x v="821"/>
    <d v="2016-12-03T00:00:00"/>
    <x v="3"/>
    <s v="Same Day"/>
    <s v="AM-10360"/>
    <x v="293"/>
    <s v="California"/>
    <x v="0"/>
    <x v="3"/>
    <x v="413"/>
    <x v="2299"/>
    <x v="5"/>
  </r>
  <r>
    <x v="821"/>
    <d v="2016-12-06T00:00:00"/>
    <x v="5"/>
    <s v="Standard Class"/>
    <s v="BB-11545"/>
    <x v="677"/>
    <s v="California"/>
    <x v="2"/>
    <x v="14"/>
    <x v="948"/>
    <x v="2300"/>
    <x v="6"/>
  </r>
  <r>
    <x v="821"/>
    <d v="2016-12-06T00:00:00"/>
    <x v="5"/>
    <s v="Standard Class"/>
    <s v="BB-11545"/>
    <x v="677"/>
    <s v="California"/>
    <x v="1"/>
    <x v="10"/>
    <x v="1480"/>
    <x v="2301"/>
    <x v="11"/>
  </r>
  <r>
    <x v="821"/>
    <d v="2016-12-06T00:00:00"/>
    <x v="5"/>
    <s v="Standard Class"/>
    <s v="BB-11545"/>
    <x v="677"/>
    <s v="California"/>
    <x v="0"/>
    <x v="3"/>
    <x v="1481"/>
    <x v="2302"/>
    <x v="1"/>
  </r>
  <r>
    <x v="821"/>
    <d v="2016-12-06T00:00:00"/>
    <x v="5"/>
    <s v="Standard Class"/>
    <s v="BS-11380"/>
    <x v="601"/>
    <s v="Colorado"/>
    <x v="0"/>
    <x v="1"/>
    <x v="534"/>
    <x v="2303"/>
    <x v="6"/>
  </r>
  <r>
    <x v="821"/>
    <d v="2016-12-06T00:00:00"/>
    <x v="5"/>
    <s v="Standard Class"/>
    <s v="BS-11380"/>
    <x v="601"/>
    <s v="Colorado"/>
    <x v="0"/>
    <x v="5"/>
    <x v="671"/>
    <x v="747"/>
    <x v="9"/>
  </r>
  <r>
    <x v="821"/>
    <d v="2016-12-06T00:00:00"/>
    <x v="5"/>
    <s v="Standard Class"/>
    <s v="BS-11380"/>
    <x v="601"/>
    <s v="Colorado"/>
    <x v="1"/>
    <x v="2"/>
    <x v="1482"/>
    <x v="568"/>
    <x v="9"/>
  </r>
  <r>
    <x v="821"/>
    <d v="2016-12-06T00:00:00"/>
    <x v="5"/>
    <s v="Standard Class"/>
    <s v="BS-11380"/>
    <x v="601"/>
    <s v="Colorado"/>
    <x v="2"/>
    <x v="14"/>
    <x v="536"/>
    <x v="2304"/>
    <x v="4"/>
  </r>
  <r>
    <x v="821"/>
    <d v="2016-12-06T00:00:00"/>
    <x v="5"/>
    <s v="Standard Class"/>
    <s v="BS-11380"/>
    <x v="601"/>
    <s v="Colorado"/>
    <x v="1"/>
    <x v="7"/>
    <x v="1135"/>
    <x v="2305"/>
    <x v="5"/>
  </r>
  <r>
    <x v="821"/>
    <d v="2016-12-06T00:00:00"/>
    <x v="5"/>
    <s v="Standard Class"/>
    <s v="BS-11380"/>
    <x v="601"/>
    <s v="Colorado"/>
    <x v="2"/>
    <x v="14"/>
    <x v="1043"/>
    <x v="2306"/>
    <x v="5"/>
  </r>
  <r>
    <x v="821"/>
    <d v="2016-12-06T00:00:00"/>
    <x v="5"/>
    <s v="Standard Class"/>
    <s v="BS-11380"/>
    <x v="601"/>
    <s v="Colorado"/>
    <x v="1"/>
    <x v="10"/>
    <x v="473"/>
    <x v="2307"/>
    <x v="1"/>
  </r>
  <r>
    <x v="821"/>
    <d v="2016-12-02T00:00:00"/>
    <x v="7"/>
    <s v="Same Day"/>
    <s v="SV-20935"/>
    <x v="613"/>
    <s v="Arizona"/>
    <x v="0"/>
    <x v="5"/>
    <x v="178"/>
    <x v="2308"/>
    <x v="5"/>
  </r>
  <r>
    <x v="822"/>
    <d v="2016-12-03T00:00:00"/>
    <x v="7"/>
    <s v="Same Day"/>
    <s v="TC-21295"/>
    <x v="255"/>
    <s v="California"/>
    <x v="0"/>
    <x v="0"/>
    <x v="460"/>
    <x v="483"/>
    <x v="0"/>
  </r>
  <r>
    <x v="822"/>
    <d v="2016-12-07T00:00:00"/>
    <x v="5"/>
    <s v="Second Class"/>
    <s v="CM-12655"/>
    <x v="409"/>
    <s v="Washington"/>
    <x v="1"/>
    <x v="8"/>
    <x v="32"/>
    <x v="2309"/>
    <x v="4"/>
  </r>
  <r>
    <x v="822"/>
    <d v="2016-12-06T00:00:00"/>
    <x v="2"/>
    <s v="Second Class"/>
    <s v="LC-16870"/>
    <x v="320"/>
    <s v="Colorado"/>
    <x v="0"/>
    <x v="3"/>
    <x v="1399"/>
    <x v="2069"/>
    <x v="5"/>
  </r>
  <r>
    <x v="822"/>
    <d v="2016-12-06T00:00:00"/>
    <x v="2"/>
    <s v="Second Class"/>
    <s v="LC-16870"/>
    <x v="320"/>
    <s v="Colorado"/>
    <x v="2"/>
    <x v="11"/>
    <x v="228"/>
    <x v="2310"/>
    <x v="5"/>
  </r>
  <r>
    <x v="822"/>
    <d v="2016-12-06T00:00:00"/>
    <x v="2"/>
    <s v="Second Class"/>
    <s v="LC-16870"/>
    <x v="320"/>
    <s v="Colorado"/>
    <x v="2"/>
    <x v="11"/>
    <x v="228"/>
    <x v="2311"/>
    <x v="9"/>
  </r>
  <r>
    <x v="822"/>
    <d v="2016-12-06T00:00:00"/>
    <x v="2"/>
    <s v="Second Class"/>
    <s v="LC-16870"/>
    <x v="320"/>
    <s v="Colorado"/>
    <x v="0"/>
    <x v="0"/>
    <x v="337"/>
    <x v="2312"/>
    <x v="4"/>
  </r>
  <r>
    <x v="822"/>
    <d v="2016-12-06T00:00:00"/>
    <x v="2"/>
    <s v="Second Class"/>
    <s v="LC-16870"/>
    <x v="320"/>
    <s v="Colorado"/>
    <x v="0"/>
    <x v="12"/>
    <x v="753"/>
    <x v="2313"/>
    <x v="8"/>
  </r>
  <r>
    <x v="822"/>
    <d v="2016-12-06T00:00:00"/>
    <x v="2"/>
    <s v="Second Class"/>
    <s v="LC-16870"/>
    <x v="320"/>
    <s v="Colorado"/>
    <x v="1"/>
    <x v="7"/>
    <x v="221"/>
    <x v="2314"/>
    <x v="0"/>
  </r>
  <r>
    <x v="822"/>
    <d v="2016-12-06T00:00:00"/>
    <x v="2"/>
    <s v="Second Class"/>
    <s v="LC-16870"/>
    <x v="320"/>
    <s v="Colorado"/>
    <x v="1"/>
    <x v="7"/>
    <x v="512"/>
    <x v="2315"/>
    <x v="1"/>
  </r>
  <r>
    <x v="822"/>
    <d v="2016-12-06T00:00:00"/>
    <x v="2"/>
    <s v="Second Class"/>
    <s v="LC-16870"/>
    <x v="320"/>
    <s v="Colorado"/>
    <x v="1"/>
    <x v="7"/>
    <x v="1411"/>
    <x v="2316"/>
    <x v="6"/>
  </r>
  <r>
    <x v="823"/>
    <d v="2016-12-06T00:00:00"/>
    <x v="0"/>
    <s v="First Class"/>
    <s v="CS-12250"/>
    <x v="420"/>
    <s v="California"/>
    <x v="0"/>
    <x v="0"/>
    <x v="355"/>
    <x v="573"/>
    <x v="4"/>
  </r>
  <r>
    <x v="824"/>
    <d v="2016-12-07T00:00:00"/>
    <x v="0"/>
    <s v="Second Class"/>
    <s v="NP-18325"/>
    <x v="69"/>
    <s v="California"/>
    <x v="0"/>
    <x v="0"/>
    <x v="321"/>
    <x v="276"/>
    <x v="0"/>
  </r>
  <r>
    <x v="824"/>
    <d v="2016-12-09T00:00:00"/>
    <x v="5"/>
    <s v="Standard Class"/>
    <s v="AB-10165"/>
    <x v="296"/>
    <s v="Washington"/>
    <x v="0"/>
    <x v="5"/>
    <x v="45"/>
    <x v="2317"/>
    <x v="0"/>
  </r>
  <r>
    <x v="824"/>
    <d v="2016-12-09T00:00:00"/>
    <x v="5"/>
    <s v="Standard Class"/>
    <s v="AB-10165"/>
    <x v="296"/>
    <s v="Washington"/>
    <x v="0"/>
    <x v="5"/>
    <x v="1046"/>
    <x v="2318"/>
    <x v="5"/>
  </r>
  <r>
    <x v="824"/>
    <d v="2016-12-06T00:00:00"/>
    <x v="3"/>
    <s v="First Class"/>
    <s v="PB-18805"/>
    <x v="418"/>
    <s v="Washington"/>
    <x v="0"/>
    <x v="5"/>
    <x v="635"/>
    <x v="307"/>
    <x v="1"/>
  </r>
  <r>
    <x v="824"/>
    <d v="2016-12-06T00:00:00"/>
    <x v="3"/>
    <s v="First Class"/>
    <s v="PB-18805"/>
    <x v="418"/>
    <s v="Washington"/>
    <x v="1"/>
    <x v="7"/>
    <x v="1474"/>
    <x v="2319"/>
    <x v="1"/>
  </r>
  <r>
    <x v="824"/>
    <d v="2016-12-06T00:00:00"/>
    <x v="3"/>
    <s v="First Class"/>
    <s v="PB-18805"/>
    <x v="418"/>
    <s v="Washington"/>
    <x v="2"/>
    <x v="14"/>
    <x v="1065"/>
    <x v="2320"/>
    <x v="0"/>
  </r>
  <r>
    <x v="824"/>
    <d v="2016-12-06T00:00:00"/>
    <x v="3"/>
    <s v="First Class"/>
    <s v="PB-18805"/>
    <x v="418"/>
    <s v="Washington"/>
    <x v="0"/>
    <x v="5"/>
    <x v="1172"/>
    <x v="2321"/>
    <x v="5"/>
  </r>
  <r>
    <x v="824"/>
    <d v="2016-12-06T00:00:00"/>
    <x v="3"/>
    <s v="First Class"/>
    <s v="PB-18805"/>
    <x v="418"/>
    <s v="Washington"/>
    <x v="0"/>
    <x v="5"/>
    <x v="630"/>
    <x v="1519"/>
    <x v="4"/>
  </r>
  <r>
    <x v="825"/>
    <d v="2016-12-08T00:00:00"/>
    <x v="0"/>
    <s v="Second Class"/>
    <s v="BN-11470"/>
    <x v="678"/>
    <s v="California"/>
    <x v="0"/>
    <x v="1"/>
    <x v="48"/>
    <x v="2322"/>
    <x v="6"/>
  </r>
  <r>
    <x v="826"/>
    <d v="2016-12-10T00:00:00"/>
    <x v="2"/>
    <s v="First Class"/>
    <s v="FP-14320"/>
    <x v="237"/>
    <s v="California"/>
    <x v="2"/>
    <x v="14"/>
    <x v="1206"/>
    <x v="2323"/>
    <x v="0"/>
  </r>
  <r>
    <x v="826"/>
    <d v="2016-12-14T00:00:00"/>
    <x v="6"/>
    <s v="Standard Class"/>
    <s v="TC-21535"/>
    <x v="200"/>
    <s v="California"/>
    <x v="0"/>
    <x v="0"/>
    <x v="595"/>
    <x v="2324"/>
    <x v="5"/>
  </r>
  <r>
    <x v="827"/>
    <d v="2016-12-12T00:00:00"/>
    <x v="5"/>
    <s v="Standard Class"/>
    <s v="KH-16510"/>
    <x v="175"/>
    <s v="California"/>
    <x v="2"/>
    <x v="11"/>
    <x v="862"/>
    <x v="2325"/>
    <x v="1"/>
  </r>
  <r>
    <x v="827"/>
    <d v="2016-12-12T00:00:00"/>
    <x v="5"/>
    <s v="Standard Class"/>
    <s v="KH-16510"/>
    <x v="175"/>
    <s v="California"/>
    <x v="2"/>
    <x v="16"/>
    <x v="249"/>
    <x v="257"/>
    <x v="0"/>
  </r>
  <r>
    <x v="827"/>
    <d v="2016-12-12T00:00:00"/>
    <x v="5"/>
    <s v="Standard Class"/>
    <s v="KH-16510"/>
    <x v="175"/>
    <s v="California"/>
    <x v="0"/>
    <x v="0"/>
    <x v="327"/>
    <x v="2326"/>
    <x v="1"/>
  </r>
  <r>
    <x v="827"/>
    <d v="2016-12-12T00:00:00"/>
    <x v="5"/>
    <s v="Standard Class"/>
    <s v="KH-16510"/>
    <x v="175"/>
    <s v="California"/>
    <x v="1"/>
    <x v="8"/>
    <x v="415"/>
    <x v="2327"/>
    <x v="8"/>
  </r>
  <r>
    <x v="827"/>
    <d v="2016-12-12T00:00:00"/>
    <x v="5"/>
    <s v="Standard Class"/>
    <s v="KH-16510"/>
    <x v="175"/>
    <s v="California"/>
    <x v="0"/>
    <x v="0"/>
    <x v="9"/>
    <x v="2328"/>
    <x v="6"/>
  </r>
  <r>
    <x v="827"/>
    <d v="2016-12-12T00:00:00"/>
    <x v="5"/>
    <s v="Standard Class"/>
    <s v="KH-16510"/>
    <x v="175"/>
    <s v="California"/>
    <x v="0"/>
    <x v="15"/>
    <x v="663"/>
    <x v="2329"/>
    <x v="11"/>
  </r>
  <r>
    <x v="827"/>
    <d v="2016-12-12T00:00:00"/>
    <x v="5"/>
    <s v="Standard Class"/>
    <s v="KH-16510"/>
    <x v="175"/>
    <s v="California"/>
    <x v="0"/>
    <x v="0"/>
    <x v="1266"/>
    <x v="2330"/>
    <x v="6"/>
  </r>
  <r>
    <x v="827"/>
    <d v="2016-12-12T00:00:00"/>
    <x v="5"/>
    <s v="Standard Class"/>
    <s v="KH-16510"/>
    <x v="175"/>
    <s v="California"/>
    <x v="1"/>
    <x v="2"/>
    <x v="8"/>
    <x v="2331"/>
    <x v="13"/>
  </r>
  <r>
    <x v="827"/>
    <d v="2016-12-12T00:00:00"/>
    <x v="5"/>
    <s v="Standard Class"/>
    <s v="KH-16510"/>
    <x v="175"/>
    <s v="California"/>
    <x v="1"/>
    <x v="10"/>
    <x v="799"/>
    <x v="2247"/>
    <x v="4"/>
  </r>
  <r>
    <x v="827"/>
    <d v="2016-12-09T00:00:00"/>
    <x v="3"/>
    <s v="First Class"/>
    <s v="LF-17185"/>
    <x v="679"/>
    <s v="California"/>
    <x v="0"/>
    <x v="1"/>
    <x v="1483"/>
    <x v="2332"/>
    <x v="0"/>
  </r>
  <r>
    <x v="827"/>
    <d v="2016-12-09T00:00:00"/>
    <x v="3"/>
    <s v="First Class"/>
    <s v="LF-17185"/>
    <x v="679"/>
    <s v="California"/>
    <x v="1"/>
    <x v="7"/>
    <x v="1484"/>
    <x v="2333"/>
    <x v="4"/>
  </r>
  <r>
    <x v="827"/>
    <d v="2016-12-09T00:00:00"/>
    <x v="3"/>
    <s v="First Class"/>
    <s v="LF-17185"/>
    <x v="679"/>
    <s v="California"/>
    <x v="0"/>
    <x v="0"/>
    <x v="1293"/>
    <x v="1488"/>
    <x v="11"/>
  </r>
  <r>
    <x v="827"/>
    <d v="2016-12-12T00:00:00"/>
    <x v="5"/>
    <s v="Second Class"/>
    <s v="AS-10225"/>
    <x v="578"/>
    <s v="California"/>
    <x v="0"/>
    <x v="4"/>
    <x v="1485"/>
    <x v="2334"/>
    <x v="6"/>
  </r>
  <r>
    <x v="827"/>
    <d v="2016-12-14T00:00:00"/>
    <x v="4"/>
    <s v="Standard Class"/>
    <s v="DM-13345"/>
    <x v="680"/>
    <s v="California"/>
    <x v="0"/>
    <x v="0"/>
    <x v="1486"/>
    <x v="1184"/>
    <x v="2"/>
  </r>
  <r>
    <x v="827"/>
    <d v="2016-12-14T00:00:00"/>
    <x v="4"/>
    <s v="Standard Class"/>
    <s v="DM-13345"/>
    <x v="680"/>
    <s v="California"/>
    <x v="0"/>
    <x v="5"/>
    <x v="849"/>
    <x v="2335"/>
    <x v="6"/>
  </r>
  <r>
    <x v="827"/>
    <d v="2016-12-14T00:00:00"/>
    <x v="4"/>
    <s v="Standard Class"/>
    <s v="DM-13345"/>
    <x v="680"/>
    <s v="California"/>
    <x v="0"/>
    <x v="5"/>
    <x v="178"/>
    <x v="2336"/>
    <x v="0"/>
  </r>
  <r>
    <x v="827"/>
    <d v="2016-12-14T00:00:00"/>
    <x v="4"/>
    <s v="Standard Class"/>
    <s v="DM-13345"/>
    <x v="680"/>
    <s v="California"/>
    <x v="0"/>
    <x v="1"/>
    <x v="1487"/>
    <x v="2337"/>
    <x v="6"/>
  </r>
  <r>
    <x v="828"/>
    <d v="2016-12-14T00:00:00"/>
    <x v="1"/>
    <s v="Standard Class"/>
    <s v="LE-16810"/>
    <x v="681"/>
    <s v="California"/>
    <x v="2"/>
    <x v="14"/>
    <x v="1017"/>
    <x v="2338"/>
    <x v="2"/>
  </r>
  <r>
    <x v="828"/>
    <d v="2016-12-13T00:00:00"/>
    <x v="5"/>
    <s v="Second Class"/>
    <s v="AT-10435"/>
    <x v="263"/>
    <s v="California"/>
    <x v="0"/>
    <x v="3"/>
    <x v="1331"/>
    <x v="76"/>
    <x v="4"/>
  </r>
  <r>
    <x v="828"/>
    <d v="2016-12-13T00:00:00"/>
    <x v="5"/>
    <s v="Second Class"/>
    <s v="AT-10435"/>
    <x v="263"/>
    <s v="California"/>
    <x v="1"/>
    <x v="8"/>
    <x v="90"/>
    <x v="2339"/>
    <x v="11"/>
  </r>
  <r>
    <x v="828"/>
    <d v="2016-12-13T00:00:00"/>
    <x v="5"/>
    <s v="Second Class"/>
    <s v="AT-10435"/>
    <x v="263"/>
    <s v="California"/>
    <x v="0"/>
    <x v="4"/>
    <x v="1488"/>
    <x v="2340"/>
    <x v="6"/>
  </r>
  <r>
    <x v="828"/>
    <d v="2016-12-13T00:00:00"/>
    <x v="5"/>
    <s v="Standard Class"/>
    <s v="NC-18535"/>
    <x v="113"/>
    <s v="Arizona"/>
    <x v="0"/>
    <x v="0"/>
    <x v="590"/>
    <x v="2341"/>
    <x v="1"/>
  </r>
  <r>
    <x v="828"/>
    <d v="2016-12-13T00:00:00"/>
    <x v="5"/>
    <s v="Standard Class"/>
    <s v="NC-18535"/>
    <x v="113"/>
    <s v="Arizona"/>
    <x v="0"/>
    <x v="5"/>
    <x v="1489"/>
    <x v="2342"/>
    <x v="0"/>
  </r>
  <r>
    <x v="828"/>
    <d v="2016-12-11T00:00:00"/>
    <x v="0"/>
    <s v="Second Class"/>
    <s v="DB-12910"/>
    <x v="552"/>
    <s v="California"/>
    <x v="1"/>
    <x v="2"/>
    <x v="1345"/>
    <x v="2343"/>
    <x v="0"/>
  </r>
  <r>
    <x v="829"/>
    <d v="2016-12-17T00:00:00"/>
    <x v="6"/>
    <s v="Standard Class"/>
    <s v="BP-11185"/>
    <x v="534"/>
    <s v="California"/>
    <x v="0"/>
    <x v="5"/>
    <x v="261"/>
    <x v="1113"/>
    <x v="2"/>
  </r>
  <r>
    <x v="829"/>
    <d v="2016-12-17T00:00:00"/>
    <x v="6"/>
    <s v="Standard Class"/>
    <s v="BP-11185"/>
    <x v="534"/>
    <s v="California"/>
    <x v="0"/>
    <x v="5"/>
    <x v="181"/>
    <x v="87"/>
    <x v="4"/>
  </r>
  <r>
    <x v="829"/>
    <d v="2016-12-14T00:00:00"/>
    <x v="5"/>
    <s v="Second Class"/>
    <s v="MC-17845"/>
    <x v="254"/>
    <s v="Nevada"/>
    <x v="1"/>
    <x v="8"/>
    <x v="1031"/>
    <x v="2344"/>
    <x v="2"/>
  </r>
  <r>
    <x v="829"/>
    <d v="2016-12-12T00:00:00"/>
    <x v="0"/>
    <s v="Second Class"/>
    <s v="BP-11185"/>
    <x v="534"/>
    <s v="Washington"/>
    <x v="2"/>
    <x v="11"/>
    <x v="245"/>
    <x v="2345"/>
    <x v="0"/>
  </r>
  <r>
    <x v="829"/>
    <d v="2016-12-12T00:00:00"/>
    <x v="0"/>
    <s v="Second Class"/>
    <s v="BP-11185"/>
    <x v="534"/>
    <s v="Washington"/>
    <x v="0"/>
    <x v="1"/>
    <x v="860"/>
    <x v="2346"/>
    <x v="1"/>
  </r>
  <r>
    <x v="829"/>
    <d v="2016-12-12T00:00:00"/>
    <x v="0"/>
    <s v="Second Class"/>
    <s v="BP-11185"/>
    <x v="534"/>
    <s v="Washington"/>
    <x v="0"/>
    <x v="3"/>
    <x v="1490"/>
    <x v="1960"/>
    <x v="0"/>
  </r>
  <r>
    <x v="829"/>
    <d v="2016-12-12T00:00:00"/>
    <x v="0"/>
    <s v="Second Class"/>
    <s v="AG-10330"/>
    <x v="682"/>
    <s v="California"/>
    <x v="2"/>
    <x v="14"/>
    <x v="1457"/>
    <x v="2193"/>
    <x v="2"/>
  </r>
  <r>
    <x v="829"/>
    <d v="2016-12-12T00:00:00"/>
    <x v="0"/>
    <s v="Second Class"/>
    <s v="AG-10330"/>
    <x v="682"/>
    <s v="California"/>
    <x v="0"/>
    <x v="0"/>
    <x v="0"/>
    <x v="28"/>
    <x v="4"/>
  </r>
  <r>
    <x v="830"/>
    <d v="2016-12-13T00:00:00"/>
    <x v="7"/>
    <s v="Same Day"/>
    <s v="MW-18220"/>
    <x v="136"/>
    <s v="Washington"/>
    <x v="0"/>
    <x v="1"/>
    <x v="730"/>
    <x v="845"/>
    <x v="0"/>
  </r>
  <r>
    <x v="830"/>
    <d v="2016-12-18T00:00:00"/>
    <x v="1"/>
    <s v="Standard Class"/>
    <s v="EP-13915"/>
    <x v="555"/>
    <s v="California"/>
    <x v="0"/>
    <x v="15"/>
    <x v="182"/>
    <x v="526"/>
    <x v="0"/>
  </r>
  <r>
    <x v="830"/>
    <d v="2016-12-18T00:00:00"/>
    <x v="1"/>
    <s v="Standard Class"/>
    <s v="EP-13915"/>
    <x v="555"/>
    <s v="California"/>
    <x v="0"/>
    <x v="0"/>
    <x v="1174"/>
    <x v="1259"/>
    <x v="5"/>
  </r>
  <r>
    <x v="830"/>
    <d v="2016-12-18T00:00:00"/>
    <x v="1"/>
    <s v="Standard Class"/>
    <s v="EP-13915"/>
    <x v="555"/>
    <s v="California"/>
    <x v="1"/>
    <x v="7"/>
    <x v="1491"/>
    <x v="2347"/>
    <x v="9"/>
  </r>
  <r>
    <x v="830"/>
    <d v="2016-12-18T00:00:00"/>
    <x v="1"/>
    <s v="Standard Class"/>
    <s v="EP-13915"/>
    <x v="555"/>
    <s v="California"/>
    <x v="0"/>
    <x v="0"/>
    <x v="1290"/>
    <x v="28"/>
    <x v="4"/>
  </r>
  <r>
    <x v="831"/>
    <d v="2016-12-18T00:00:00"/>
    <x v="5"/>
    <s v="Standard Class"/>
    <s v="MP-18175"/>
    <x v="583"/>
    <s v="California"/>
    <x v="1"/>
    <x v="7"/>
    <x v="1335"/>
    <x v="1987"/>
    <x v="0"/>
  </r>
  <r>
    <x v="831"/>
    <d v="2016-12-18T00:00:00"/>
    <x v="5"/>
    <s v="Standard Class"/>
    <s v="MP-18175"/>
    <x v="583"/>
    <s v="California"/>
    <x v="0"/>
    <x v="5"/>
    <x v="951"/>
    <x v="1187"/>
    <x v="10"/>
  </r>
  <r>
    <x v="831"/>
    <d v="2016-12-18T00:00:00"/>
    <x v="5"/>
    <s v="Standard Class"/>
    <s v="MP-18175"/>
    <x v="583"/>
    <s v="California"/>
    <x v="0"/>
    <x v="6"/>
    <x v="766"/>
    <x v="2348"/>
    <x v="1"/>
  </r>
  <r>
    <x v="832"/>
    <d v="2016-12-20T00:00:00"/>
    <x v="1"/>
    <s v="Standard Class"/>
    <s v="PL-18925"/>
    <x v="197"/>
    <s v="Washington"/>
    <x v="1"/>
    <x v="7"/>
    <x v="1492"/>
    <x v="2349"/>
    <x v="0"/>
  </r>
  <r>
    <x v="832"/>
    <d v="2016-12-19T00:00:00"/>
    <x v="5"/>
    <s v="Standard Class"/>
    <s v="KM-16660"/>
    <x v="258"/>
    <s v="California"/>
    <x v="0"/>
    <x v="0"/>
    <x v="201"/>
    <x v="210"/>
    <x v="0"/>
  </r>
  <r>
    <x v="832"/>
    <d v="2016-12-19T00:00:00"/>
    <x v="5"/>
    <s v="Standard Class"/>
    <s v="KM-16660"/>
    <x v="258"/>
    <s v="California"/>
    <x v="0"/>
    <x v="4"/>
    <x v="1301"/>
    <x v="2068"/>
    <x v="2"/>
  </r>
  <r>
    <x v="832"/>
    <d v="2016-12-19T00:00:00"/>
    <x v="5"/>
    <s v="Standard Class"/>
    <s v="KM-16660"/>
    <x v="258"/>
    <s v="California"/>
    <x v="2"/>
    <x v="14"/>
    <x v="1268"/>
    <x v="1756"/>
    <x v="0"/>
  </r>
  <r>
    <x v="833"/>
    <d v="2016-12-21T00:00:00"/>
    <x v="1"/>
    <s v="Second Class"/>
    <s v="AY-10555"/>
    <x v="46"/>
    <s v="California"/>
    <x v="1"/>
    <x v="10"/>
    <x v="361"/>
    <x v="2350"/>
    <x v="4"/>
  </r>
  <r>
    <x v="833"/>
    <d v="2016-12-21T00:00:00"/>
    <x v="1"/>
    <s v="Second Class"/>
    <s v="AY-10555"/>
    <x v="46"/>
    <s v="California"/>
    <x v="1"/>
    <x v="10"/>
    <x v="244"/>
    <x v="2351"/>
    <x v="4"/>
  </r>
  <r>
    <x v="833"/>
    <d v="2016-12-21T00:00:00"/>
    <x v="1"/>
    <s v="Second Class"/>
    <s v="AY-10555"/>
    <x v="46"/>
    <s v="California"/>
    <x v="0"/>
    <x v="5"/>
    <x v="650"/>
    <x v="2352"/>
    <x v="1"/>
  </r>
  <r>
    <x v="833"/>
    <d v="2016-12-21T00:00:00"/>
    <x v="1"/>
    <s v="Second Class"/>
    <s v="AY-10555"/>
    <x v="46"/>
    <s v="California"/>
    <x v="1"/>
    <x v="7"/>
    <x v="1306"/>
    <x v="2353"/>
    <x v="4"/>
  </r>
  <r>
    <x v="833"/>
    <d v="2016-12-21T00:00:00"/>
    <x v="1"/>
    <s v="Second Class"/>
    <s v="RB-19465"/>
    <x v="487"/>
    <s v="California"/>
    <x v="0"/>
    <x v="0"/>
    <x v="807"/>
    <x v="300"/>
    <x v="4"/>
  </r>
  <r>
    <x v="833"/>
    <d v="2016-12-21T00:00:00"/>
    <x v="1"/>
    <s v="Second Class"/>
    <s v="RB-19465"/>
    <x v="487"/>
    <s v="California"/>
    <x v="0"/>
    <x v="1"/>
    <x v="240"/>
    <x v="248"/>
    <x v="1"/>
  </r>
  <r>
    <x v="833"/>
    <d v="2016-12-20T00:00:00"/>
    <x v="5"/>
    <s v="Second Class"/>
    <s v="KM-16225"/>
    <x v="683"/>
    <s v="California"/>
    <x v="0"/>
    <x v="5"/>
    <x v="383"/>
    <x v="2354"/>
    <x v="4"/>
  </r>
  <r>
    <x v="833"/>
    <d v="2016-12-20T00:00:00"/>
    <x v="5"/>
    <s v="Second Class"/>
    <s v="KM-16225"/>
    <x v="683"/>
    <s v="California"/>
    <x v="2"/>
    <x v="11"/>
    <x v="834"/>
    <x v="2355"/>
    <x v="1"/>
  </r>
  <r>
    <x v="833"/>
    <d v="2016-12-20T00:00:00"/>
    <x v="5"/>
    <s v="Second Class"/>
    <s v="KM-16225"/>
    <x v="683"/>
    <s v="California"/>
    <x v="2"/>
    <x v="11"/>
    <x v="1216"/>
    <x v="2109"/>
    <x v="1"/>
  </r>
  <r>
    <x v="833"/>
    <d v="2016-12-20T00:00:00"/>
    <x v="5"/>
    <s v="Second Class"/>
    <s v="KM-16225"/>
    <x v="683"/>
    <s v="California"/>
    <x v="0"/>
    <x v="3"/>
    <x v="1493"/>
    <x v="2356"/>
    <x v="1"/>
  </r>
  <r>
    <x v="833"/>
    <d v="2016-12-20T00:00:00"/>
    <x v="5"/>
    <s v="Second Class"/>
    <s v="KM-16225"/>
    <x v="683"/>
    <s v="California"/>
    <x v="0"/>
    <x v="15"/>
    <x v="408"/>
    <x v="70"/>
    <x v="0"/>
  </r>
  <r>
    <x v="834"/>
    <d v="2016-12-21T00:00:00"/>
    <x v="5"/>
    <s v="Standard Class"/>
    <s v="LC-17140"/>
    <x v="428"/>
    <s v="California"/>
    <x v="0"/>
    <x v="5"/>
    <x v="702"/>
    <x v="1089"/>
    <x v="1"/>
  </r>
  <r>
    <x v="834"/>
    <d v="2016-12-21T00:00:00"/>
    <x v="5"/>
    <s v="Standard Class"/>
    <s v="LC-17140"/>
    <x v="428"/>
    <s v="California"/>
    <x v="0"/>
    <x v="0"/>
    <x v="1101"/>
    <x v="2357"/>
    <x v="0"/>
  </r>
  <r>
    <x v="834"/>
    <d v="2016-12-20T00:00:00"/>
    <x v="2"/>
    <s v="First Class"/>
    <s v="HR-14770"/>
    <x v="684"/>
    <s v="California"/>
    <x v="0"/>
    <x v="5"/>
    <x v="1039"/>
    <x v="913"/>
    <x v="4"/>
  </r>
  <r>
    <x v="834"/>
    <d v="2016-12-21T00:00:00"/>
    <x v="5"/>
    <s v="Standard Class"/>
    <s v="CA-12310"/>
    <x v="685"/>
    <s v="California"/>
    <x v="0"/>
    <x v="1"/>
    <x v="1240"/>
    <x v="1691"/>
    <x v="2"/>
  </r>
  <r>
    <x v="834"/>
    <d v="2016-12-21T00:00:00"/>
    <x v="5"/>
    <s v="Standard Class"/>
    <s v="CA-12310"/>
    <x v="685"/>
    <s v="California"/>
    <x v="0"/>
    <x v="12"/>
    <x v="1239"/>
    <x v="1014"/>
    <x v="6"/>
  </r>
  <r>
    <x v="835"/>
    <d v="2016-12-23T00:00:00"/>
    <x v="1"/>
    <s v="Second Class"/>
    <s v="RA-19915"/>
    <x v="195"/>
    <s v="California"/>
    <x v="0"/>
    <x v="5"/>
    <x v="561"/>
    <x v="2141"/>
    <x v="4"/>
  </r>
  <r>
    <x v="835"/>
    <d v="2016-12-23T00:00:00"/>
    <x v="1"/>
    <s v="Second Class"/>
    <s v="RA-19915"/>
    <x v="195"/>
    <s v="California"/>
    <x v="1"/>
    <x v="2"/>
    <x v="1494"/>
    <x v="194"/>
    <x v="6"/>
  </r>
  <r>
    <x v="835"/>
    <d v="2016-12-23T00:00:00"/>
    <x v="1"/>
    <s v="Second Class"/>
    <s v="RA-19915"/>
    <x v="195"/>
    <s v="California"/>
    <x v="2"/>
    <x v="11"/>
    <x v="380"/>
    <x v="742"/>
    <x v="4"/>
  </r>
  <r>
    <x v="835"/>
    <d v="2016-12-19T00:00:00"/>
    <x v="3"/>
    <s v="First Class"/>
    <s v="EP-13915"/>
    <x v="555"/>
    <s v="California"/>
    <x v="0"/>
    <x v="3"/>
    <x v="1495"/>
    <x v="732"/>
    <x v="0"/>
  </r>
  <r>
    <x v="835"/>
    <d v="2016-12-19T00:00:00"/>
    <x v="3"/>
    <s v="First Class"/>
    <s v="EP-13915"/>
    <x v="555"/>
    <s v="California"/>
    <x v="0"/>
    <x v="0"/>
    <x v="1174"/>
    <x v="28"/>
    <x v="4"/>
  </r>
  <r>
    <x v="835"/>
    <d v="2016-12-19T00:00:00"/>
    <x v="3"/>
    <s v="First Class"/>
    <s v="EP-13915"/>
    <x v="555"/>
    <s v="California"/>
    <x v="0"/>
    <x v="0"/>
    <x v="897"/>
    <x v="182"/>
    <x v="1"/>
  </r>
  <r>
    <x v="835"/>
    <d v="2016-12-24T00:00:00"/>
    <x v="4"/>
    <s v="Standard Class"/>
    <s v="TT-21460"/>
    <x v="592"/>
    <s v="California"/>
    <x v="0"/>
    <x v="3"/>
    <x v="1496"/>
    <x v="943"/>
    <x v="4"/>
  </r>
  <r>
    <x v="836"/>
    <d v="2016-12-24T00:00:00"/>
    <x v="1"/>
    <s v="Second Class"/>
    <s v="MM-17920"/>
    <x v="595"/>
    <s v="California"/>
    <x v="0"/>
    <x v="5"/>
    <x v="829"/>
    <x v="2358"/>
    <x v="4"/>
  </r>
  <r>
    <x v="836"/>
    <d v="2016-12-23T00:00:00"/>
    <x v="5"/>
    <s v="Standard Class"/>
    <s v="TS-21505"/>
    <x v="647"/>
    <s v="Colorado"/>
    <x v="1"/>
    <x v="7"/>
    <x v="420"/>
    <x v="2359"/>
    <x v="1"/>
  </r>
  <r>
    <x v="836"/>
    <d v="2016-12-23T00:00:00"/>
    <x v="5"/>
    <s v="Standard Class"/>
    <s v="TS-21505"/>
    <x v="647"/>
    <s v="Colorado"/>
    <x v="0"/>
    <x v="1"/>
    <x v="871"/>
    <x v="2360"/>
    <x v="4"/>
  </r>
  <r>
    <x v="836"/>
    <d v="2016-12-23T00:00:00"/>
    <x v="5"/>
    <s v="Standard Class"/>
    <s v="TS-21505"/>
    <x v="647"/>
    <s v="Colorado"/>
    <x v="1"/>
    <x v="2"/>
    <x v="943"/>
    <x v="2361"/>
    <x v="8"/>
  </r>
  <r>
    <x v="837"/>
    <d v="2016-12-25T00:00:00"/>
    <x v="5"/>
    <s v="Standard Class"/>
    <s v="BN-11515"/>
    <x v="149"/>
    <s v="California"/>
    <x v="0"/>
    <x v="3"/>
    <x v="1495"/>
    <x v="732"/>
    <x v="0"/>
  </r>
  <r>
    <x v="837"/>
    <d v="2016-12-25T00:00:00"/>
    <x v="5"/>
    <s v="Standard Class"/>
    <s v="BN-11515"/>
    <x v="149"/>
    <s v="California"/>
    <x v="0"/>
    <x v="3"/>
    <x v="642"/>
    <x v="312"/>
    <x v="4"/>
  </r>
  <r>
    <x v="837"/>
    <d v="2016-12-25T00:00:00"/>
    <x v="5"/>
    <s v="Standard Class"/>
    <s v="YS-21880"/>
    <x v="436"/>
    <s v="California"/>
    <x v="0"/>
    <x v="1"/>
    <x v="534"/>
    <x v="2020"/>
    <x v="8"/>
  </r>
  <r>
    <x v="837"/>
    <d v="2016-12-27T00:00:00"/>
    <x v="4"/>
    <s v="Standard Class"/>
    <s v="SE-20110"/>
    <x v="50"/>
    <s v="California"/>
    <x v="0"/>
    <x v="1"/>
    <x v="350"/>
    <x v="2362"/>
    <x v="4"/>
  </r>
  <r>
    <x v="838"/>
    <d v="2016-12-26T00:00:00"/>
    <x v="5"/>
    <s v="Standard Class"/>
    <s v="JM-15655"/>
    <x v="48"/>
    <s v="New Mexico"/>
    <x v="0"/>
    <x v="3"/>
    <x v="1497"/>
    <x v="2363"/>
    <x v="0"/>
  </r>
  <r>
    <x v="838"/>
    <d v="2016-12-26T00:00:00"/>
    <x v="5"/>
    <s v="Standard Class"/>
    <s v="JM-15655"/>
    <x v="48"/>
    <s v="New Mexico"/>
    <x v="2"/>
    <x v="14"/>
    <x v="1188"/>
    <x v="2364"/>
    <x v="2"/>
  </r>
  <r>
    <x v="838"/>
    <d v="2016-12-26T00:00:00"/>
    <x v="5"/>
    <s v="Standard Class"/>
    <s v="JM-15655"/>
    <x v="48"/>
    <s v="New Mexico"/>
    <x v="0"/>
    <x v="1"/>
    <x v="93"/>
    <x v="705"/>
    <x v="0"/>
  </r>
  <r>
    <x v="838"/>
    <d v="2016-12-26T00:00:00"/>
    <x v="5"/>
    <s v="Standard Class"/>
    <s v="JM-15655"/>
    <x v="48"/>
    <s v="New Mexico"/>
    <x v="0"/>
    <x v="15"/>
    <x v="1303"/>
    <x v="2365"/>
    <x v="1"/>
  </r>
  <r>
    <x v="838"/>
    <d v="2016-12-25T00:00:00"/>
    <x v="2"/>
    <s v="Second Class"/>
    <s v="AG-10330"/>
    <x v="682"/>
    <s v="Arizona"/>
    <x v="1"/>
    <x v="8"/>
    <x v="459"/>
    <x v="2366"/>
    <x v="4"/>
  </r>
  <r>
    <x v="838"/>
    <d v="2016-12-24T00:00:00"/>
    <x v="0"/>
    <s v="First Class"/>
    <s v="CM-12115"/>
    <x v="657"/>
    <s v="California"/>
    <x v="2"/>
    <x v="11"/>
    <x v="462"/>
    <x v="2367"/>
    <x v="1"/>
  </r>
  <r>
    <x v="839"/>
    <d v="2016-12-23T00:00:00"/>
    <x v="7"/>
    <s v="Same Day"/>
    <s v="GZ-14470"/>
    <x v="144"/>
    <s v="California"/>
    <x v="0"/>
    <x v="3"/>
    <x v="1498"/>
    <x v="2368"/>
    <x v="2"/>
  </r>
  <r>
    <x v="840"/>
    <d v="2016-12-31T00:00:00"/>
    <x v="6"/>
    <s v="Standard Class"/>
    <s v="AH-10210"/>
    <x v="230"/>
    <s v="Washington"/>
    <x v="0"/>
    <x v="1"/>
    <x v="475"/>
    <x v="2369"/>
    <x v="5"/>
  </r>
  <r>
    <x v="840"/>
    <d v="2016-12-25T00:00:00"/>
    <x v="3"/>
    <s v="First Class"/>
    <s v="RM-19675"/>
    <x v="398"/>
    <s v="California"/>
    <x v="2"/>
    <x v="16"/>
    <x v="729"/>
    <x v="2370"/>
    <x v="5"/>
  </r>
  <r>
    <x v="840"/>
    <d v="2016-12-25T00:00:00"/>
    <x v="3"/>
    <s v="First Class"/>
    <s v="RM-19675"/>
    <x v="398"/>
    <s v="California"/>
    <x v="0"/>
    <x v="5"/>
    <x v="178"/>
    <x v="2336"/>
    <x v="0"/>
  </r>
  <r>
    <x v="840"/>
    <d v="2016-12-31T00:00:00"/>
    <x v="6"/>
    <s v="Standard Class"/>
    <s v="JL-15175"/>
    <x v="268"/>
    <s v="Arizona"/>
    <x v="1"/>
    <x v="7"/>
    <x v="171"/>
    <x v="1790"/>
    <x v="2"/>
  </r>
  <r>
    <x v="840"/>
    <d v="2016-12-31T00:00:00"/>
    <x v="6"/>
    <s v="Standard Class"/>
    <s v="JL-15175"/>
    <x v="268"/>
    <s v="Arizona"/>
    <x v="1"/>
    <x v="10"/>
    <x v="1190"/>
    <x v="2371"/>
    <x v="0"/>
  </r>
  <r>
    <x v="840"/>
    <d v="2016-12-30T00:00:00"/>
    <x v="4"/>
    <s v="Standard Class"/>
    <s v="DP-13105"/>
    <x v="503"/>
    <s v="Idaho"/>
    <x v="0"/>
    <x v="5"/>
    <x v="1499"/>
    <x v="2372"/>
    <x v="0"/>
  </r>
  <r>
    <x v="841"/>
    <d v="2016-12-29T00:00:00"/>
    <x v="5"/>
    <s v="Standard Class"/>
    <s v="FH-14365"/>
    <x v="290"/>
    <s v="California"/>
    <x v="0"/>
    <x v="5"/>
    <x v="1211"/>
    <x v="1623"/>
    <x v="0"/>
  </r>
  <r>
    <x v="841"/>
    <d v="2016-12-29T00:00:00"/>
    <x v="5"/>
    <s v="Standard Class"/>
    <s v="FH-14365"/>
    <x v="290"/>
    <s v="California"/>
    <x v="0"/>
    <x v="1"/>
    <x v="626"/>
    <x v="2373"/>
    <x v="4"/>
  </r>
  <r>
    <x v="841"/>
    <d v="2016-12-29T00:00:00"/>
    <x v="5"/>
    <s v="Standard Class"/>
    <s v="GD-14590"/>
    <x v="621"/>
    <s v="Washington"/>
    <x v="0"/>
    <x v="5"/>
    <x v="187"/>
    <x v="2374"/>
    <x v="6"/>
  </r>
  <r>
    <x v="842"/>
    <d v="2017-01-02T00:00:00"/>
    <x v="1"/>
    <s v="Second Class"/>
    <s v="KH-16690"/>
    <x v="404"/>
    <s v="California"/>
    <x v="0"/>
    <x v="1"/>
    <x v="411"/>
    <x v="1788"/>
    <x v="2"/>
  </r>
  <r>
    <x v="842"/>
    <d v="2017-01-02T00:00:00"/>
    <x v="1"/>
    <s v="Standard Class"/>
    <s v="HM-14860"/>
    <x v="431"/>
    <s v="Washington"/>
    <x v="1"/>
    <x v="7"/>
    <x v="1214"/>
    <x v="2375"/>
    <x v="4"/>
  </r>
  <r>
    <x v="842"/>
    <d v="2016-12-31T00:00:00"/>
    <x v="2"/>
    <s v="Second Class"/>
    <s v="PC-18745"/>
    <x v="564"/>
    <s v="Colorado"/>
    <x v="0"/>
    <x v="5"/>
    <x v="859"/>
    <x v="2376"/>
    <x v="4"/>
  </r>
  <r>
    <x v="842"/>
    <d v="2016-12-31T00:00:00"/>
    <x v="2"/>
    <s v="First Class"/>
    <s v="JG-15310"/>
    <x v="491"/>
    <s v="California"/>
    <x v="1"/>
    <x v="10"/>
    <x v="688"/>
    <x v="2377"/>
    <x v="5"/>
  </r>
  <r>
    <x v="842"/>
    <d v="2017-01-01T00:00:00"/>
    <x v="5"/>
    <s v="Standard Class"/>
    <s v="SV-20935"/>
    <x v="613"/>
    <s v="New Mexico"/>
    <x v="0"/>
    <x v="1"/>
    <x v="210"/>
    <x v="2378"/>
    <x v="1"/>
  </r>
  <r>
    <x v="842"/>
    <d v="2017-01-01T00:00:00"/>
    <x v="5"/>
    <s v="Standard Class"/>
    <s v="SV-20935"/>
    <x v="613"/>
    <s v="New Mexico"/>
    <x v="0"/>
    <x v="0"/>
    <x v="649"/>
    <x v="822"/>
    <x v="6"/>
  </r>
  <r>
    <x v="843"/>
    <d v="2017-01-02T00:00:00"/>
    <x v="5"/>
    <s v="Standard Class"/>
    <s v="JG-15160"/>
    <x v="445"/>
    <s v="California"/>
    <x v="1"/>
    <x v="10"/>
    <x v="965"/>
    <x v="2379"/>
    <x v="2"/>
  </r>
  <r>
    <x v="843"/>
    <d v="2017-01-02T00:00:00"/>
    <x v="5"/>
    <s v="Standard Class"/>
    <s v="JG-15160"/>
    <x v="445"/>
    <s v="California"/>
    <x v="2"/>
    <x v="14"/>
    <x v="1150"/>
    <x v="68"/>
    <x v="0"/>
  </r>
  <r>
    <x v="843"/>
    <d v="2017-01-05T00:00:00"/>
    <x v="6"/>
    <s v="Standard Class"/>
    <s v="BP-11185"/>
    <x v="534"/>
    <s v="California"/>
    <x v="1"/>
    <x v="7"/>
    <x v="1123"/>
    <x v="2380"/>
    <x v="9"/>
  </r>
  <r>
    <x v="843"/>
    <d v="2017-01-02T00:00:00"/>
    <x v="5"/>
    <s v="Standard Class"/>
    <s v="BS-11755"/>
    <x v="121"/>
    <s v="Washington"/>
    <x v="0"/>
    <x v="9"/>
    <x v="1500"/>
    <x v="2381"/>
    <x v="1"/>
  </r>
  <r>
    <x v="843"/>
    <d v="2017-01-02T00:00:00"/>
    <x v="5"/>
    <s v="Standard Class"/>
    <s v="BS-11755"/>
    <x v="121"/>
    <s v="Washington"/>
    <x v="1"/>
    <x v="7"/>
    <x v="567"/>
    <x v="1889"/>
    <x v="4"/>
  </r>
  <r>
    <x v="844"/>
    <d v="2017-01-03T00:00:00"/>
    <x v="5"/>
    <s v="Standard Class"/>
    <s v="EB-13975"/>
    <x v="458"/>
    <s v="California"/>
    <x v="0"/>
    <x v="5"/>
    <x v="516"/>
    <x v="1835"/>
    <x v="4"/>
  </r>
  <r>
    <x v="844"/>
    <d v="2017-01-03T00:00:00"/>
    <x v="5"/>
    <s v="Standard Class"/>
    <s v="EB-13975"/>
    <x v="458"/>
    <s v="California"/>
    <x v="0"/>
    <x v="5"/>
    <x v="1501"/>
    <x v="2382"/>
    <x v="4"/>
  </r>
  <r>
    <x v="844"/>
    <d v="2017-01-03T00:00:00"/>
    <x v="5"/>
    <s v="Standard Class"/>
    <s v="JM-15580"/>
    <x v="483"/>
    <s v="Colorado"/>
    <x v="0"/>
    <x v="9"/>
    <x v="1502"/>
    <x v="238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5">
  <r>
    <x v="0"/>
    <d v="2013-01-08T00:00:00"/>
    <n v="2"/>
    <x v="0"/>
    <s v="LS-17230"/>
    <s v="Lycoris Saunders"/>
    <s v="California"/>
    <x v="0"/>
    <s v="Paper"/>
    <s v="Xerox 225"/>
    <n v="19.440000000000001"/>
    <n v="3"/>
  </r>
  <r>
    <x v="1"/>
    <d v="2013-01-18T00:00:00"/>
    <n v="5"/>
    <x v="1"/>
    <s v="BD-11605"/>
    <s v="Brian Dahlen"/>
    <s v="California"/>
    <x v="0"/>
    <s v="Storage"/>
    <s v="Tennsco 6- and 18-Compartment Lockers"/>
    <n v="1325.8500000000001"/>
    <n v="5"/>
  </r>
  <r>
    <x v="1"/>
    <d v="2013-01-18T00:00:00"/>
    <n v="5"/>
    <x v="1"/>
    <s v="BD-11605"/>
    <s v="Brian Dahlen"/>
    <s v="California"/>
    <x v="1"/>
    <s v="Bookcases"/>
    <s v="O'Sullivan Elevations Bookcase, Cherry Finish"/>
    <n v="333.99899999999997"/>
    <n v="3"/>
  </r>
  <r>
    <x v="1"/>
    <d v="2013-01-18T00:00:00"/>
    <n v="5"/>
    <x v="1"/>
    <s v="BD-11605"/>
    <s v="Brian Dahlen"/>
    <s v="California"/>
    <x v="0"/>
    <s v="Art"/>
    <s v="4009 Highlighters by Sanford"/>
    <n v="19.899999999999999"/>
    <n v="5"/>
  </r>
  <r>
    <x v="2"/>
    <d v="2013-01-21T00:00:00"/>
    <n v="3"/>
    <x v="0"/>
    <s v="DW-13195"/>
    <s v="David Wiener"/>
    <s v="Oregon"/>
    <x v="0"/>
    <s v="Appliances"/>
    <s v="Fellowes Mighty 8 Compact Surge Protector"/>
    <n v="64.864000000000004"/>
    <n v="4"/>
  </r>
  <r>
    <x v="3"/>
    <d v="2013-01-20T00:00:00"/>
    <n v="1"/>
    <x v="2"/>
    <s v="TS-21340"/>
    <s v="Toby Swindell"/>
    <s v="Arizona"/>
    <x v="0"/>
    <s v="Binders"/>
    <s v="GBC Standard Recycled Report Covers, Clear Plastic Sheets"/>
    <n v="32.340000000000003"/>
    <n v="10"/>
  </r>
  <r>
    <x v="3"/>
    <d v="2013-01-20T00:00:00"/>
    <n v="1"/>
    <x v="2"/>
    <s v="TS-21340"/>
    <s v="Toby Swindell"/>
    <s v="Arizona"/>
    <x v="0"/>
    <s v="Paper"/>
    <s v="TOPS Carbonless Receipt Book, Four 2-3/4 x 7-1/4 Money Receipts per Page"/>
    <n v="56.064"/>
    <n v="4"/>
  </r>
  <r>
    <x v="3"/>
    <d v="2013-01-20T00:00:00"/>
    <n v="1"/>
    <x v="2"/>
    <s v="TS-21340"/>
    <s v="Toby Swindell"/>
    <s v="Arizona"/>
    <x v="0"/>
    <s v="Envelopes"/>
    <s v="Tyvek  Top-Opening Peel &amp; Seel Envelopes, Plain White"/>
    <n v="108.72"/>
    <n v="5"/>
  </r>
  <r>
    <x v="3"/>
    <d v="2013-01-20T00:00:00"/>
    <n v="1"/>
    <x v="2"/>
    <s v="TS-21340"/>
    <s v="Toby Swindell"/>
    <s v="Arizona"/>
    <x v="1"/>
    <s v="Bookcases"/>
    <s v="O'Sullivan 4-Shelf Bookcase in Odessa Pine"/>
    <n v="181.47000000000003"/>
    <n v="5"/>
  </r>
  <r>
    <x v="4"/>
    <d v="2013-01-25T00:00:00"/>
    <n v="5"/>
    <x v="1"/>
    <s v="MV-17485"/>
    <s v="Mark Van Huff"/>
    <s v="California"/>
    <x v="0"/>
    <s v="Paper"/>
    <s v="Wirebound Service Call Books, 5 1/2&quot; x 4&quot;"/>
    <n v="19.36"/>
    <n v="2"/>
  </r>
  <r>
    <x v="4"/>
    <d v="2013-01-25T00:00:00"/>
    <n v="5"/>
    <x v="1"/>
    <s v="MV-17485"/>
    <s v="Mark Van Huff"/>
    <s v="California"/>
    <x v="1"/>
    <s v="Furnishings"/>
    <s v="Eldon Expressions Desk Accessory, Wood Pencil Holder, Oak"/>
    <n v="19.3"/>
    <n v="2"/>
  </r>
  <r>
    <x v="5"/>
    <d v="2013-01-28T00:00:00"/>
    <n v="5"/>
    <x v="1"/>
    <s v="IM-15055"/>
    <s v="Ionia McGrath"/>
    <s v="Nevada"/>
    <x v="0"/>
    <s v="Paper"/>
    <s v="Xerox 195"/>
    <n v="40.08"/>
    <n v="6"/>
  </r>
  <r>
    <x v="6"/>
    <d v="2013-02-02T00:00:00"/>
    <n v="6"/>
    <x v="1"/>
    <s v="EJ-13720"/>
    <s v="Ed Jacobs"/>
    <s v="California"/>
    <x v="0"/>
    <s v="Storage"/>
    <s v="Recycled Steel Personal File for Hanging File Folders"/>
    <n v="57.23"/>
    <n v="1"/>
  </r>
  <r>
    <x v="6"/>
    <d v="2013-02-02T00:00:00"/>
    <n v="6"/>
    <x v="1"/>
    <s v="EJ-13720"/>
    <s v="Ed Jacobs"/>
    <s v="California"/>
    <x v="1"/>
    <s v="Tables"/>
    <s v="Balt Split Level Computer Training Table"/>
    <n v="333"/>
    <n v="3"/>
  </r>
  <r>
    <x v="6"/>
    <d v="2013-02-02T00:00:00"/>
    <n v="6"/>
    <x v="1"/>
    <s v="EJ-13720"/>
    <s v="Ed Jacobs"/>
    <s v="California"/>
    <x v="0"/>
    <s v="Art"/>
    <s v="Dixon Ticonderoga Core-Lock Colored Pencils"/>
    <n v="36.44"/>
    <n v="4"/>
  </r>
  <r>
    <x v="7"/>
    <d v="2013-02-02T00:00:00"/>
    <n v="2"/>
    <x v="2"/>
    <s v="LC-17050"/>
    <s v="Liz Carlisle"/>
    <s v="California"/>
    <x v="1"/>
    <s v="Bookcases"/>
    <s v="Sauder Facets Collection Library, Sky Alder Finish"/>
    <n v="290.666"/>
    <n v="2"/>
  </r>
  <r>
    <x v="8"/>
    <d v="2013-02-06T00:00:00"/>
    <n v="4"/>
    <x v="1"/>
    <s v="CD-12790"/>
    <s v="Cynthia Delaney"/>
    <s v="California"/>
    <x v="0"/>
    <s v="Fasteners"/>
    <s v="Staples"/>
    <n v="12.350000000000001"/>
    <n v="5"/>
  </r>
  <r>
    <x v="9"/>
    <d v="2013-02-06T00:00:00"/>
    <n v="3"/>
    <x v="0"/>
    <s v="TB-21400"/>
    <s v="Tom Boeckenhauer"/>
    <s v="Washington"/>
    <x v="0"/>
    <s v="Binders"/>
    <s v="Ibico Laser Imprintable Binding System Covers"/>
    <n v="83.84"/>
    <n v="2"/>
  </r>
  <r>
    <x v="9"/>
    <d v="2013-02-06T00:00:00"/>
    <n v="3"/>
    <x v="0"/>
    <s v="TB-21400"/>
    <s v="Tom Boeckenhauer"/>
    <s v="Washington"/>
    <x v="0"/>
    <s v="Binders"/>
    <s v="Avery Durable Poly Binders"/>
    <n v="13.272000000000002"/>
    <n v="3"/>
  </r>
  <r>
    <x v="10"/>
    <d v="2013-02-08T00:00:00"/>
    <n v="4"/>
    <x v="1"/>
    <s v="DB-13270"/>
    <s v="Deborah Brumfield"/>
    <s v="California"/>
    <x v="0"/>
    <s v="Binders"/>
    <s v="GBC Recycled Grain Textured Covers"/>
    <n v="82.896000000000001"/>
    <n v="3"/>
  </r>
  <r>
    <x v="10"/>
    <d v="2013-02-08T00:00:00"/>
    <n v="4"/>
    <x v="1"/>
    <s v="DB-13270"/>
    <s v="Deborah Brumfield"/>
    <s v="California"/>
    <x v="0"/>
    <s v="Paper"/>
    <s v="Message Book, Standard Line &quot;While You Were Out&quot;, 5 1/2&quot; X 4&quot;, 200 Sets/Book"/>
    <n v="34.24"/>
    <n v="4"/>
  </r>
  <r>
    <x v="10"/>
    <d v="2013-02-08T00:00:00"/>
    <n v="4"/>
    <x v="0"/>
    <s v="MH-17440"/>
    <s v="Mark Haberlin"/>
    <s v="California"/>
    <x v="0"/>
    <s v="Binders"/>
    <s v="GBC Standard Recycled Report Covers, Clear Plastic Sheets"/>
    <n v="17.248000000000001"/>
    <n v="2"/>
  </r>
  <r>
    <x v="11"/>
    <d v="2013-02-09T00:00:00"/>
    <n v="1"/>
    <x v="2"/>
    <s v="NM-18445"/>
    <s v="Nathan Mautz"/>
    <s v="Nevada"/>
    <x v="1"/>
    <s v="Furnishings"/>
    <s v="Master Caster Door Stop, Large Brown"/>
    <n v="14.56"/>
    <n v="2"/>
  </r>
  <r>
    <x v="12"/>
    <d v="2013-02-18T00:00:00"/>
    <n v="6"/>
    <x v="1"/>
    <s v="SC-20095"/>
    <s v="Sanjit Chand"/>
    <s v="California"/>
    <x v="1"/>
    <s v="Chairs"/>
    <s v="Global Geo Office Task Chair, Gray"/>
    <n v="129.56800000000001"/>
    <n v="2"/>
  </r>
  <r>
    <x v="13"/>
    <d v="2013-02-18T00:00:00"/>
    <n v="4"/>
    <x v="1"/>
    <s v="ML-17395"/>
    <s v="Marina Lichtenstein"/>
    <s v="Washington"/>
    <x v="2"/>
    <s v="Accessories"/>
    <s v="Logitech G600 MMO Gaming Mouse"/>
    <n v="239.96999999999997"/>
    <n v="3"/>
  </r>
  <r>
    <x v="13"/>
    <d v="2013-02-18T00:00:00"/>
    <n v="4"/>
    <x v="1"/>
    <s v="ML-17395"/>
    <s v="Marina Lichtenstein"/>
    <s v="Washington"/>
    <x v="0"/>
    <s v="Appliances"/>
    <s v="Belkin 8 Outlet Surge Protector"/>
    <n v="81.96"/>
    <n v="2"/>
  </r>
  <r>
    <x v="13"/>
    <d v="2013-02-18T00:00:00"/>
    <n v="4"/>
    <x v="1"/>
    <s v="ML-17395"/>
    <s v="Marina Lichtenstein"/>
    <s v="Washington"/>
    <x v="0"/>
    <s v="Supplies"/>
    <s v="Compact Automatic Electric Letter Opener"/>
    <n v="238.62"/>
    <n v="2"/>
  </r>
  <r>
    <x v="14"/>
    <d v="2013-02-19T00:00:00"/>
    <n v="4"/>
    <x v="1"/>
    <s v="BF-11020"/>
    <s v="Barry Französisch"/>
    <s v="Washington"/>
    <x v="0"/>
    <s v="Binders"/>
    <s v="Pressboard Data Binders by Wilson Jones"/>
    <n v="21.36"/>
    <n v="5"/>
  </r>
  <r>
    <x v="15"/>
    <d v="2013-02-24T00:00:00"/>
    <n v="4"/>
    <x v="1"/>
    <s v="SR-20740"/>
    <s v="Steven Roelle"/>
    <s v="California"/>
    <x v="0"/>
    <s v="Paper"/>
    <s v="Xerox 204"/>
    <n v="12.96"/>
    <n v="2"/>
  </r>
  <r>
    <x v="16"/>
    <d v="2013-02-24T00:00:00"/>
    <n v="2"/>
    <x v="2"/>
    <s v="SA-20830"/>
    <s v="Sue Ann Reed"/>
    <s v="California"/>
    <x v="0"/>
    <s v="Paper"/>
    <s v="Xerox 220"/>
    <n v="19.440000000000001"/>
    <n v="3"/>
  </r>
  <r>
    <x v="17"/>
    <d v="2013-03-02T00:00:00"/>
    <n v="6"/>
    <x v="1"/>
    <s v="JH-15430"/>
    <s v="Jennifer Halladay"/>
    <s v="Oregon"/>
    <x v="0"/>
    <s v="Paper"/>
    <s v="Message Book, Wirebound, Four 5 1/2&quot; X 4&quot; Forms/Pg., 200 Dupl. Sets/Book"/>
    <n v="32.896000000000001"/>
    <n v="4"/>
  </r>
  <r>
    <x v="17"/>
    <d v="2013-03-02T00:00:00"/>
    <n v="6"/>
    <x v="1"/>
    <s v="JH-15430"/>
    <s v="Jennifer Halladay"/>
    <s v="Oregon"/>
    <x v="0"/>
    <s v="Paper"/>
    <s v="TOPS 4 x 6 Fluorescent Color Memo Sheets, 500 Sheets per Pack"/>
    <n v="22.776000000000003"/>
    <n v="3"/>
  </r>
  <r>
    <x v="18"/>
    <d v="2013-03-06T00:00:00"/>
    <n v="5"/>
    <x v="0"/>
    <s v="DB-13060"/>
    <s v="Dave Brooks"/>
    <s v="Washington"/>
    <x v="1"/>
    <s v="Chairs"/>
    <s v="Global Deluxe High-Back Manager's Chair"/>
    <n v="457.56800000000004"/>
    <n v="2"/>
  </r>
  <r>
    <x v="19"/>
    <d v="2013-03-07T00:00:00"/>
    <n v="4"/>
    <x v="1"/>
    <s v="EJ-14155"/>
    <s v="Eva Jacobs"/>
    <s v="California"/>
    <x v="1"/>
    <s v="Tables"/>
    <s v="Bevis Oval Conference Table, Walnut"/>
    <n v="626.35200000000009"/>
    <n v="3"/>
  </r>
  <r>
    <x v="20"/>
    <d v="2013-03-08T00:00:00"/>
    <n v="1"/>
    <x v="2"/>
    <s v="AB-10015"/>
    <s v="Aaron Bergman"/>
    <s v="Washington"/>
    <x v="1"/>
    <s v="Chairs"/>
    <s v="Global Push Button Manager's Chair, Indigo"/>
    <n v="48.712000000000003"/>
    <n v="1"/>
  </r>
  <r>
    <x v="20"/>
    <d v="2013-03-08T00:00:00"/>
    <n v="1"/>
    <x v="2"/>
    <s v="AB-10015"/>
    <s v="Aaron Bergman"/>
    <s v="Washington"/>
    <x v="0"/>
    <s v="Art"/>
    <s v="Newell 330"/>
    <n v="17.940000000000001"/>
    <n v="3"/>
  </r>
  <r>
    <x v="20"/>
    <d v="2013-03-08T00:00:00"/>
    <n v="1"/>
    <x v="2"/>
    <s v="AB-10015"/>
    <s v="Aaron Bergman"/>
    <s v="Washington"/>
    <x v="0"/>
    <s v="Storage"/>
    <s v="Carina 42&quot;Hx23 3/4&quot;W Media Storage Unit"/>
    <n v="242.94"/>
    <n v="3"/>
  </r>
  <r>
    <x v="20"/>
    <d v="2013-03-11T00:00:00"/>
    <n v="4"/>
    <x v="0"/>
    <s v="NP-18685"/>
    <s v="Nora Pelletier"/>
    <s v="Washington"/>
    <x v="0"/>
    <s v="Binders"/>
    <s v="Catalog Binders with Expanding Posts"/>
    <n v="107.64800000000001"/>
    <n v="2"/>
  </r>
  <r>
    <x v="20"/>
    <d v="2013-03-12T00:00:00"/>
    <n v="5"/>
    <x v="1"/>
    <s v="CM-12715"/>
    <s v="Craig Molinari"/>
    <s v="Washington"/>
    <x v="0"/>
    <s v="Art"/>
    <s v="Newell Chalk Holder"/>
    <n v="20.65"/>
    <n v="5"/>
  </r>
  <r>
    <x v="20"/>
    <d v="2013-03-12T00:00:00"/>
    <n v="5"/>
    <x v="1"/>
    <s v="CM-12715"/>
    <s v="Craig Molinari"/>
    <s v="Washington"/>
    <x v="0"/>
    <s v="Storage"/>
    <s v="Contico 72&quot;H Heavy-Duty Storage System"/>
    <n v="204.89999999999998"/>
    <n v="5"/>
  </r>
  <r>
    <x v="20"/>
    <d v="2013-03-12T00:00:00"/>
    <n v="5"/>
    <x v="1"/>
    <s v="CM-12715"/>
    <s v="Craig Molinari"/>
    <s v="Washington"/>
    <x v="1"/>
    <s v="Chairs"/>
    <s v="Office Star - Task Chair with Contemporary Loop Arms"/>
    <n v="436.70400000000006"/>
    <n v="6"/>
  </r>
  <r>
    <x v="20"/>
    <d v="2013-03-12T00:00:00"/>
    <n v="5"/>
    <x v="1"/>
    <s v="CM-12715"/>
    <s v="Craig Molinari"/>
    <s v="Washington"/>
    <x v="1"/>
    <s v="Chairs"/>
    <s v="Global Leather and Oak Executive Chair, Black"/>
    <n v="481.56800000000004"/>
    <n v="2"/>
  </r>
  <r>
    <x v="21"/>
    <d v="2013-03-17T00:00:00"/>
    <n v="7"/>
    <x v="1"/>
    <s v="KT-16480"/>
    <s v="Kean Thornton"/>
    <s v="Colorado"/>
    <x v="0"/>
    <s v="Storage"/>
    <s v="Tennsco 6- and 18-Compartment Lockers"/>
    <n v="636.40800000000013"/>
    <n v="3"/>
  </r>
  <r>
    <x v="21"/>
    <d v="2013-03-17T00:00:00"/>
    <n v="7"/>
    <x v="1"/>
    <s v="KT-16480"/>
    <s v="Kean Thornton"/>
    <s v="Colorado"/>
    <x v="0"/>
    <s v="Art"/>
    <s v="BOSTON Ranger #55 Pencil Sharpener, Black"/>
    <n v="83.168000000000006"/>
    <n v="4"/>
  </r>
  <r>
    <x v="22"/>
    <d v="2013-03-15T00:00:00"/>
    <n v="4"/>
    <x v="1"/>
    <s v="RB-19435"/>
    <s v="Richard Bierner"/>
    <s v="California"/>
    <x v="0"/>
    <s v="Art"/>
    <s v="Economy #2 Pencils"/>
    <n v="7.98"/>
    <n v="3"/>
  </r>
  <r>
    <x v="23"/>
    <d v="2013-03-18T00:00:00"/>
    <n v="4"/>
    <x v="1"/>
    <s v="DK-13225"/>
    <s v="Dean Katz"/>
    <s v="California"/>
    <x v="0"/>
    <s v="Paper"/>
    <s v="Xerox 1972"/>
    <n v="10.56"/>
    <n v="2"/>
  </r>
  <r>
    <x v="23"/>
    <d v="2013-03-18T00:00:00"/>
    <n v="4"/>
    <x v="1"/>
    <s v="DK-13225"/>
    <s v="Dean Katz"/>
    <s v="California"/>
    <x v="0"/>
    <s v="Art"/>
    <s v="Avery Hi-Liter Fluorescent Desk Style Markers"/>
    <n v="3.38"/>
    <n v="1"/>
  </r>
  <r>
    <x v="23"/>
    <d v="2013-03-19T00:00:00"/>
    <n v="5"/>
    <x v="1"/>
    <s v="JF-15295"/>
    <s v="Jason Fortune-"/>
    <s v="Utah"/>
    <x v="0"/>
    <s v="Binders"/>
    <s v="GBC Wire Binding Combs"/>
    <n v="33.088000000000001"/>
    <n v="4"/>
  </r>
  <r>
    <x v="23"/>
    <d v="2013-03-19T00:00:00"/>
    <n v="5"/>
    <x v="1"/>
    <s v="JF-15295"/>
    <s v="Jason Fortune-"/>
    <s v="Utah"/>
    <x v="0"/>
    <s v="Storage"/>
    <s v="Carina Double Wide Media Storage Towers in Natural &amp; Black"/>
    <n v="80.98"/>
    <n v="1"/>
  </r>
  <r>
    <x v="23"/>
    <d v="2013-03-19T00:00:00"/>
    <n v="5"/>
    <x v="1"/>
    <s v="JF-15295"/>
    <s v="Jason Fortune-"/>
    <s v="Utah"/>
    <x v="2"/>
    <s v="Accessories"/>
    <s v="Imation 30456 USB Flash Drive 8GB"/>
    <n v="82.800000000000011"/>
    <n v="12"/>
  </r>
  <r>
    <x v="23"/>
    <d v="2013-03-19T00:00:00"/>
    <n v="5"/>
    <x v="1"/>
    <s v="JF-15295"/>
    <s v="Jason Fortune-"/>
    <s v="Utah"/>
    <x v="0"/>
    <s v="Storage"/>
    <s v="Staple magnet"/>
    <n v="21.36"/>
    <n v="2"/>
  </r>
  <r>
    <x v="23"/>
    <d v="2013-03-19T00:00:00"/>
    <n v="5"/>
    <x v="1"/>
    <s v="JF-15295"/>
    <s v="Jason Fortune-"/>
    <s v="Utah"/>
    <x v="0"/>
    <s v="Binders"/>
    <s v="Premium Transparent Presentation Covers, No Pattern/Clear, 8 1/2&quot; x 11&quot;"/>
    <n v="62.048000000000002"/>
    <n v="2"/>
  </r>
  <r>
    <x v="24"/>
    <d v="2013-03-21T00:00:00"/>
    <n v="3"/>
    <x v="0"/>
    <s v="EK-13795"/>
    <s v="Eileen Kiefer"/>
    <s v="California"/>
    <x v="1"/>
    <s v="Bookcases"/>
    <s v="Bush Heritage Pine Collection 5-Shelf Bookcase, Albany Pine Finish, *Special Order"/>
    <n v="1198.33"/>
    <n v="10"/>
  </r>
  <r>
    <x v="24"/>
    <d v="2013-03-24T00:00:00"/>
    <n v="6"/>
    <x v="1"/>
    <s v="SC-20050"/>
    <s v="Sample Company A"/>
    <s v="California"/>
    <x v="1"/>
    <s v="Furnishings"/>
    <s v="Eldon Cleatmat Chair Mats for Medium Pile Carpets"/>
    <n v="111"/>
    <n v="2"/>
  </r>
  <r>
    <x v="24"/>
    <d v="2013-03-24T00:00:00"/>
    <n v="6"/>
    <x v="1"/>
    <s v="SC-20050"/>
    <s v="Sample Company A"/>
    <s v="California"/>
    <x v="2"/>
    <s v="Machines"/>
    <s v="Swingline SM12-08 MicroCut Jam Free Shredder"/>
    <n v="1279.9680000000001"/>
    <n v="4"/>
  </r>
  <r>
    <x v="24"/>
    <d v="2013-03-24T00:00:00"/>
    <n v="6"/>
    <x v="1"/>
    <s v="SC-20050"/>
    <s v="Sample Company A"/>
    <s v="California"/>
    <x v="0"/>
    <s v="Storage"/>
    <s v="Tennsco 6- and 18-Compartment Lockers"/>
    <n v="1856.19"/>
    <n v="7"/>
  </r>
  <r>
    <x v="25"/>
    <d v="2013-03-26T00:00:00"/>
    <n v="4"/>
    <x v="1"/>
    <s v="BF-11275"/>
    <s v="Beth Fritzler"/>
    <s v="Arizona"/>
    <x v="0"/>
    <s v="Paper"/>
    <s v="Xerox 1951"/>
    <n v="74.352000000000004"/>
    <n v="3"/>
  </r>
  <r>
    <x v="25"/>
    <d v="2013-03-26T00:00:00"/>
    <n v="4"/>
    <x v="1"/>
    <s v="BF-11275"/>
    <s v="Beth Fritzler"/>
    <s v="Arizona"/>
    <x v="1"/>
    <s v="Chairs"/>
    <s v="Office Star - Mesh Screen back chair with Vinyl seat"/>
    <n v="314.35199999999998"/>
    <n v="3"/>
  </r>
  <r>
    <x v="26"/>
    <d v="2013-03-26T00:00:00"/>
    <n v="3"/>
    <x v="0"/>
    <s v="PO-18865"/>
    <s v="Patrick O'Donnell"/>
    <s v="California"/>
    <x v="0"/>
    <s v="Storage"/>
    <s v="Economy Rollaway Files"/>
    <n v="330.4"/>
    <n v="2"/>
  </r>
  <r>
    <x v="26"/>
    <d v="2013-03-26T00:00:00"/>
    <n v="3"/>
    <x v="0"/>
    <s v="PO-18865"/>
    <s v="Patrick O'Donnell"/>
    <s v="California"/>
    <x v="2"/>
    <s v="Phones"/>
    <s v="Ooma Telo VoIP Home Phone System"/>
    <n v="604.75199999999995"/>
    <n v="6"/>
  </r>
  <r>
    <x v="27"/>
    <d v="2013-03-29T00:00:00"/>
    <n v="5"/>
    <x v="0"/>
    <s v="MS-17710"/>
    <s v="Maurice Satty"/>
    <s v="California"/>
    <x v="1"/>
    <s v="Furnishings"/>
    <s v="DAX Contemporary Wood Frame with Silver Metal Mat, Desktop, 11 x 14 Size"/>
    <n v="40.479999999999997"/>
    <n v="2"/>
  </r>
  <r>
    <x v="28"/>
    <d v="2013-03-30T00:00:00"/>
    <n v="5"/>
    <x v="1"/>
    <s v="CA-12265"/>
    <s v="Christina Anderson"/>
    <s v="California"/>
    <x v="0"/>
    <s v="Art"/>
    <s v="Newell 35"/>
    <n v="6.56"/>
    <n v="2"/>
  </r>
  <r>
    <x v="28"/>
    <d v="2013-03-30T00:00:00"/>
    <n v="5"/>
    <x v="1"/>
    <s v="CA-12265"/>
    <s v="Christina Anderson"/>
    <s v="California"/>
    <x v="0"/>
    <s v="Art"/>
    <s v="Eberhard Faber 3 1/2&quot; Golf Pencils"/>
    <n v="14.88"/>
    <n v="2"/>
  </r>
  <r>
    <x v="28"/>
    <d v="2013-03-30T00:00:00"/>
    <n v="5"/>
    <x v="1"/>
    <s v="CA-12265"/>
    <s v="Christina Anderson"/>
    <s v="California"/>
    <x v="2"/>
    <s v="Accessories"/>
    <s v="Imation Swivel Flash Drive USB flash drive - 8 GB"/>
    <n v="45.48"/>
    <n v="4"/>
  </r>
  <r>
    <x v="28"/>
    <d v="2013-03-30T00:00:00"/>
    <n v="5"/>
    <x v="1"/>
    <s v="CA-12265"/>
    <s v="Christina Anderson"/>
    <s v="California"/>
    <x v="0"/>
    <s v="Art"/>
    <s v="BIC Brite Liner Grip Highlighters, Assorted, 5/Pack"/>
    <n v="25.44"/>
    <n v="6"/>
  </r>
  <r>
    <x v="29"/>
    <d v="2013-03-30T00:00:00"/>
    <n v="4"/>
    <x v="1"/>
    <s v="JD-15895"/>
    <s v="Jonathan Doherty"/>
    <s v="California"/>
    <x v="2"/>
    <s v="Accessories"/>
    <s v="SanDisk Ultra 32 GB MicroSDHC Class 10 Memory Card"/>
    <n v="66.300000000000011"/>
    <n v="3"/>
  </r>
  <r>
    <x v="29"/>
    <d v="2013-03-31T00:00:00"/>
    <n v="5"/>
    <x v="0"/>
    <s v="DK-12835"/>
    <s v="Damala Kotsonis"/>
    <s v="California"/>
    <x v="0"/>
    <s v="Art"/>
    <s v="Newell 308"/>
    <n v="3.36"/>
    <n v="2"/>
  </r>
  <r>
    <x v="29"/>
    <d v="2013-03-31T00:00:00"/>
    <n v="5"/>
    <x v="0"/>
    <s v="DK-12835"/>
    <s v="Damala Kotsonis"/>
    <s v="California"/>
    <x v="0"/>
    <s v="Binders"/>
    <s v="Wilson Jones Leather-Like Binders with DublLock Round Rings"/>
    <n v="27.936000000000003"/>
    <n v="4"/>
  </r>
  <r>
    <x v="29"/>
    <d v="2013-03-31T00:00:00"/>
    <n v="5"/>
    <x v="0"/>
    <s v="DK-12835"/>
    <s v="Damala Kotsonis"/>
    <s v="California"/>
    <x v="2"/>
    <s v="Phones"/>
    <s v="Griffin GC17055 Auxiliary Audio Cable"/>
    <n v="28.783999999999999"/>
    <n v="2"/>
  </r>
  <r>
    <x v="29"/>
    <d v="2013-03-30T00:00:00"/>
    <n v="4"/>
    <x v="0"/>
    <s v="CS-12505"/>
    <s v="Cindy Stewart"/>
    <s v="California"/>
    <x v="0"/>
    <s v="Labels"/>
    <s v="Smead Alpha-Z Color-Coded Name Labels First Letter Starter Set"/>
    <n v="18.75"/>
    <n v="5"/>
  </r>
  <r>
    <x v="30"/>
    <d v="2013-04-01T00:00:00"/>
    <n v="4"/>
    <x v="1"/>
    <s v="DR-12940"/>
    <s v="Daniel Raglin"/>
    <s v="New Mexico"/>
    <x v="2"/>
    <s v="Phones"/>
    <s v="AT&amp;T TR1909W"/>
    <n v="302.37599999999998"/>
    <n v="3"/>
  </r>
  <r>
    <x v="31"/>
    <d v="2013-04-04T00:00:00"/>
    <n v="5"/>
    <x v="1"/>
    <s v="Dl-13600"/>
    <s v="Dorris liebe"/>
    <s v="Washington"/>
    <x v="0"/>
    <s v="Storage"/>
    <s v="Sterilite Show Offs Storage Containers"/>
    <n v="15.84"/>
    <n v="3"/>
  </r>
  <r>
    <x v="31"/>
    <d v="2013-04-04T00:00:00"/>
    <n v="5"/>
    <x v="1"/>
    <s v="Dl-13600"/>
    <s v="Dorris liebe"/>
    <s v="Washington"/>
    <x v="0"/>
    <s v="Labels"/>
    <s v="Avery 490"/>
    <n v="44.400000000000006"/>
    <n v="3"/>
  </r>
  <r>
    <x v="31"/>
    <d v="2013-04-04T00:00:00"/>
    <n v="5"/>
    <x v="1"/>
    <s v="GA-14725"/>
    <s v="Guy Armstrong"/>
    <s v="California"/>
    <x v="1"/>
    <s v="Bookcases"/>
    <s v="O'Sullivan Living Dimensions 2-Shelf Bookcases"/>
    <n v="205.666"/>
    <n v="2"/>
  </r>
  <r>
    <x v="32"/>
    <d v="2013-04-05T00:00:00"/>
    <n v="5"/>
    <x v="1"/>
    <s v="AA-10315"/>
    <s v="Alex Avila"/>
    <s v="California"/>
    <x v="0"/>
    <s v="Binders"/>
    <s v="GBC DocuBind 200 Manual Binding Machine"/>
    <n v="673.5680000000001"/>
    <n v="2"/>
  </r>
  <r>
    <x v="32"/>
    <d v="2013-04-05T00:00:00"/>
    <n v="5"/>
    <x v="1"/>
    <s v="AA-10315"/>
    <s v="Alex Avila"/>
    <s v="California"/>
    <x v="0"/>
    <s v="Appliances"/>
    <s v="Fellowes Advanced Computer Series Surge Protectors"/>
    <n v="52.98"/>
    <n v="2"/>
  </r>
  <r>
    <x v="33"/>
    <d v="2013-04-06T00:00:00"/>
    <n v="5"/>
    <x v="0"/>
    <s v="KM-16720"/>
    <s v="Kunst Miller"/>
    <s v="California"/>
    <x v="0"/>
    <s v="Labels"/>
    <s v="Avery 490"/>
    <n v="29.6"/>
    <n v="2"/>
  </r>
  <r>
    <x v="33"/>
    <d v="2013-04-06T00:00:00"/>
    <n v="5"/>
    <x v="0"/>
    <s v="KM-16720"/>
    <s v="Kunst Miller"/>
    <s v="California"/>
    <x v="0"/>
    <s v="Binders"/>
    <s v="Pressboard Data Binder, Crimson, 12&quot; X 8 1/2&quot;"/>
    <n v="17.088000000000001"/>
    <n v="4"/>
  </r>
  <r>
    <x v="34"/>
    <d v="2013-04-08T00:00:00"/>
    <n v="5"/>
    <x v="1"/>
    <s v="KE-16420"/>
    <s v="Katrina Edelman"/>
    <s v="California"/>
    <x v="0"/>
    <s v="Envelopes"/>
    <s v="Staple envelope"/>
    <n v="11.16"/>
    <n v="2"/>
  </r>
  <r>
    <x v="34"/>
    <d v="2013-04-08T00:00:00"/>
    <n v="5"/>
    <x v="1"/>
    <s v="KE-16420"/>
    <s v="Katrina Edelman"/>
    <s v="California"/>
    <x v="2"/>
    <s v="Accessories"/>
    <s v="Enermax Briskie RF Wireless Keyboard and Mouse Combo"/>
    <n v="62.31"/>
    <n v="3"/>
  </r>
  <r>
    <x v="34"/>
    <d v="2013-04-08T00:00:00"/>
    <n v="5"/>
    <x v="1"/>
    <s v="KE-16420"/>
    <s v="Katrina Edelman"/>
    <s v="California"/>
    <x v="2"/>
    <s v="Accessories"/>
    <s v="Logitech G600 MMO Gaming Mouse"/>
    <n v="159.97999999999999"/>
    <n v="2"/>
  </r>
  <r>
    <x v="35"/>
    <d v="2013-04-09T00:00:00"/>
    <n v="5"/>
    <x v="1"/>
    <s v="PK-18910"/>
    <s v="Paul Knutson"/>
    <s v="California"/>
    <x v="0"/>
    <s v="Labels"/>
    <s v="Avery 518"/>
    <n v="18.899999999999999"/>
    <n v="6"/>
  </r>
  <r>
    <x v="35"/>
    <d v="2013-04-05T00:00:00"/>
    <n v="1"/>
    <x v="2"/>
    <s v="MZ-17515"/>
    <s v="Mary Zewe"/>
    <s v="California"/>
    <x v="0"/>
    <s v="Binders"/>
    <s v="Avery Non-Stick Binders"/>
    <n v="7.1840000000000011"/>
    <n v="2"/>
  </r>
  <r>
    <x v="36"/>
    <d v="2013-04-12T00:00:00"/>
    <n v="6"/>
    <x v="1"/>
    <s v="SC-20260"/>
    <s v="Scott Cohen"/>
    <s v="Washington"/>
    <x v="1"/>
    <s v="Tables"/>
    <s v="Chromcraft Bull-Nose Wood Round Conference Table Top, Wood Base"/>
    <n v="653.54999999999995"/>
    <n v="3"/>
  </r>
  <r>
    <x v="36"/>
    <d v="2013-04-12T00:00:00"/>
    <n v="6"/>
    <x v="1"/>
    <s v="SC-20260"/>
    <s v="Scott Cohen"/>
    <s v="Washington"/>
    <x v="2"/>
    <s v="Accessories"/>
    <s v="Kingston Digital DataTraveler 32GB USB 2.0"/>
    <n v="33.9"/>
    <n v="2"/>
  </r>
  <r>
    <x v="36"/>
    <d v="2013-04-12T00:00:00"/>
    <n v="6"/>
    <x v="1"/>
    <s v="AY-10555"/>
    <s v="Andy Yotov"/>
    <s v="California"/>
    <x v="1"/>
    <s v="Furnishings"/>
    <s v="Tenex B1-RE Series Chair Mats for Low Pile Carpets"/>
    <n v="91.96"/>
    <n v="2"/>
  </r>
  <r>
    <x v="36"/>
    <d v="2013-04-12T00:00:00"/>
    <n v="6"/>
    <x v="1"/>
    <s v="AY-10555"/>
    <s v="Andy Yotov"/>
    <s v="California"/>
    <x v="1"/>
    <s v="Furnishings"/>
    <s v="C-Line Cubicle Keepers Polyproplyene Holder With Velcro Backings"/>
    <n v="33.11"/>
    <n v="7"/>
  </r>
  <r>
    <x v="36"/>
    <d v="2013-04-12T00:00:00"/>
    <n v="6"/>
    <x v="1"/>
    <s v="AY-10555"/>
    <s v="Andy Yotov"/>
    <s v="California"/>
    <x v="0"/>
    <s v="Paper"/>
    <s v="Xerox 211"/>
    <n v="19.440000000000001"/>
    <n v="3"/>
  </r>
  <r>
    <x v="36"/>
    <d v="2013-04-12T00:00:00"/>
    <n v="6"/>
    <x v="1"/>
    <s v="AY-10555"/>
    <s v="Andy Yotov"/>
    <s v="California"/>
    <x v="0"/>
    <s v="Paper"/>
    <s v="Xerox 194"/>
    <n v="55.48"/>
    <n v="1"/>
  </r>
  <r>
    <x v="36"/>
    <d v="2013-04-10T00:00:00"/>
    <n v="4"/>
    <x v="0"/>
    <s v="FH-14275"/>
    <s v="Frank Hawley"/>
    <s v="California"/>
    <x v="0"/>
    <s v="Art"/>
    <s v="Boston Home &amp; Office Model 2000 Electric Pencil Sharpeners"/>
    <n v="70.949999999999989"/>
    <n v="3"/>
  </r>
  <r>
    <x v="36"/>
    <d v="2013-04-10T00:00:00"/>
    <n v="4"/>
    <x v="0"/>
    <s v="FH-14275"/>
    <s v="Frank Hawley"/>
    <s v="California"/>
    <x v="0"/>
    <s v="Binders"/>
    <s v="Avery Trapezoid Ring Binder, 3&quot; Capacity, Black, 1040 sheets"/>
    <n v="65.567999999999998"/>
    <n v="2"/>
  </r>
  <r>
    <x v="36"/>
    <d v="2013-04-10T00:00:00"/>
    <n v="4"/>
    <x v="0"/>
    <s v="FH-14275"/>
    <s v="Frank Hawley"/>
    <s v="California"/>
    <x v="2"/>
    <s v="Accessories"/>
    <s v="Razer Kraken 7.1 Surround Sound Over Ear USB Gaming Headset"/>
    <n v="299.96999999999997"/>
    <n v="3"/>
  </r>
  <r>
    <x v="37"/>
    <d v="2013-04-15T00:00:00"/>
    <n v="7"/>
    <x v="1"/>
    <s v="JM-15655"/>
    <s v="Jim Mitchum"/>
    <s v="Arizona"/>
    <x v="0"/>
    <s v="Fasteners"/>
    <s v="Binder Clips by OIC"/>
    <n v="2.3679999999999999"/>
    <n v="2"/>
  </r>
  <r>
    <x v="37"/>
    <d v="2013-04-15T00:00:00"/>
    <n v="7"/>
    <x v="1"/>
    <s v="JM-15655"/>
    <s v="Jim Mitchum"/>
    <s v="Arizona"/>
    <x v="0"/>
    <s v="Paper"/>
    <s v="Things To Do Today Spiral Book"/>
    <n v="19.008000000000003"/>
    <n v="3"/>
  </r>
  <r>
    <x v="37"/>
    <d v="2013-04-13T00:00:00"/>
    <n v="5"/>
    <x v="1"/>
    <s v="PC-19000"/>
    <s v="Pauline Chand"/>
    <s v="Arizona"/>
    <x v="0"/>
    <s v="Fasteners"/>
    <s v="Alliance Super-Size Bands, Assorted Sizes"/>
    <n v="49.792000000000002"/>
    <n v="8"/>
  </r>
  <r>
    <x v="37"/>
    <d v="2013-04-12T00:00:00"/>
    <n v="4"/>
    <x v="1"/>
    <s v="NM-18445"/>
    <s v="Nathan Mautz"/>
    <s v="California"/>
    <x v="1"/>
    <s v="Tables"/>
    <s v="Bevis 36 x 72 Conference Tables"/>
    <n v="99.591999999999999"/>
    <n v="1"/>
  </r>
  <r>
    <x v="37"/>
    <d v="2013-04-12T00:00:00"/>
    <n v="4"/>
    <x v="1"/>
    <s v="NM-18445"/>
    <s v="Nathan Mautz"/>
    <s v="California"/>
    <x v="2"/>
    <s v="Accessories"/>
    <s v="Logitech Wireless Headset h800"/>
    <n v="399.96"/>
    <n v="4"/>
  </r>
  <r>
    <x v="38"/>
    <d v="2013-04-16T00:00:00"/>
    <n v="5"/>
    <x v="1"/>
    <s v="SE-20110"/>
    <s v="Sanjit Engle"/>
    <s v="Idaho"/>
    <x v="0"/>
    <s v="Binders"/>
    <s v="GBC Personal VeloBind Strips"/>
    <n v="9.5840000000000014"/>
    <n v="1"/>
  </r>
  <r>
    <x v="38"/>
    <d v="2013-04-18T00:00:00"/>
    <n v="7"/>
    <x v="1"/>
    <s v="MM-18055"/>
    <s v="Michelle Moray"/>
    <s v="Montana"/>
    <x v="0"/>
    <s v="Storage"/>
    <s v="Eldon Simplefile Box Office"/>
    <n v="87.08"/>
    <n v="7"/>
  </r>
  <r>
    <x v="38"/>
    <d v="2013-04-18T00:00:00"/>
    <n v="7"/>
    <x v="1"/>
    <s v="MM-18055"/>
    <s v="Michelle Moray"/>
    <s v="Montana"/>
    <x v="2"/>
    <s v="Phones"/>
    <s v="AT&amp;T SB67148 SynJ"/>
    <n v="105.584"/>
    <n v="2"/>
  </r>
  <r>
    <x v="38"/>
    <d v="2013-04-18T00:00:00"/>
    <n v="7"/>
    <x v="1"/>
    <s v="MM-18055"/>
    <s v="Michelle Moray"/>
    <s v="Montana"/>
    <x v="2"/>
    <s v="Accessories"/>
    <s v="Memorex Mini Travel Drive 64 GB USB 2.0 Flash Drive"/>
    <n v="217.44"/>
    <n v="6"/>
  </r>
  <r>
    <x v="39"/>
    <d v="2013-04-17T00:00:00"/>
    <n v="5"/>
    <x v="1"/>
    <s v="KN-16450"/>
    <s v="Kean Nguyen"/>
    <s v="California"/>
    <x v="2"/>
    <s v="Phones"/>
    <s v="Pyle PMP37LED"/>
    <n v="1075.088"/>
    <n v="14"/>
  </r>
  <r>
    <x v="39"/>
    <d v="2013-04-17T00:00:00"/>
    <n v="5"/>
    <x v="1"/>
    <s v="KN-16450"/>
    <s v="Kean Nguyen"/>
    <s v="California"/>
    <x v="2"/>
    <s v="Phones"/>
    <s v="AT&amp;T 1080 Corded phone"/>
    <n v="438.36800000000005"/>
    <n v="4"/>
  </r>
  <r>
    <x v="39"/>
    <d v="2013-04-17T00:00:00"/>
    <n v="5"/>
    <x v="1"/>
    <s v="KN-16450"/>
    <s v="Kean Nguyen"/>
    <s v="California"/>
    <x v="0"/>
    <s v="Binders"/>
    <s v="Recycled Pressboard Report Cover with Reinforced Top Hinge"/>
    <n v="18.088000000000001"/>
    <n v="7"/>
  </r>
  <r>
    <x v="39"/>
    <d v="2013-04-17T00:00:00"/>
    <n v="5"/>
    <x v="1"/>
    <s v="KN-16450"/>
    <s v="Kean Nguyen"/>
    <s v="California"/>
    <x v="1"/>
    <s v="Bookcases"/>
    <s v="O'Sullivan Living Dimensions 2-Shelf Bookcases"/>
    <n v="308.49900000000002"/>
    <n v="3"/>
  </r>
  <r>
    <x v="39"/>
    <d v="2013-04-18T00:00:00"/>
    <n v="6"/>
    <x v="1"/>
    <s v="EH-13765"/>
    <s v="Edward Hooks"/>
    <s v="California"/>
    <x v="0"/>
    <s v="Art"/>
    <s v="Prismacolor Color Pencil Set"/>
    <n v="39.68"/>
    <n v="2"/>
  </r>
  <r>
    <x v="40"/>
    <d v="2013-04-15T00:00:00"/>
    <n v="0"/>
    <x v="3"/>
    <s v="PS-18970"/>
    <s v="Paul Stevenson"/>
    <s v="California"/>
    <x v="0"/>
    <s v="Appliances"/>
    <s v="Belkin F9G930V10-GRY 9 Outlet Surge"/>
    <n v="106.96"/>
    <n v="2"/>
  </r>
  <r>
    <x v="40"/>
    <d v="2013-04-15T00:00:00"/>
    <n v="0"/>
    <x v="3"/>
    <s v="PS-18970"/>
    <s v="Paul Stevenson"/>
    <s v="California"/>
    <x v="1"/>
    <s v="Furnishings"/>
    <s v="Howard Miller 13&quot; Diameter Goldtone Round Wall Clock"/>
    <n v="187.76"/>
    <n v="4"/>
  </r>
  <r>
    <x v="41"/>
    <d v="2013-04-23T00:00:00"/>
    <n v="5"/>
    <x v="1"/>
    <s v="JL-15835"/>
    <s v="John Lee"/>
    <s v="California"/>
    <x v="2"/>
    <s v="Machines"/>
    <s v="Ativa MDM8000 8-Sheet Micro-Cut Shredder"/>
    <n v="287.96800000000002"/>
    <n v="4"/>
  </r>
  <r>
    <x v="41"/>
    <d v="2013-04-23T00:00:00"/>
    <n v="5"/>
    <x v="1"/>
    <s v="JL-15835"/>
    <s v="John Lee"/>
    <s v="California"/>
    <x v="0"/>
    <s v="Art"/>
    <s v="Newell 351"/>
    <n v="13.12"/>
    <n v="4"/>
  </r>
  <r>
    <x v="41"/>
    <d v="2013-04-23T00:00:00"/>
    <n v="5"/>
    <x v="1"/>
    <s v="JL-15835"/>
    <s v="John Lee"/>
    <s v="California"/>
    <x v="0"/>
    <s v="Art"/>
    <s v="Binney &amp; Smith inkTank Desk Highlighter, Chisel Tip, Yellow, 12/Box"/>
    <n v="10.75"/>
    <n v="5"/>
  </r>
  <r>
    <x v="41"/>
    <d v="2013-04-23T00:00:00"/>
    <n v="5"/>
    <x v="1"/>
    <s v="JL-15835"/>
    <s v="John Lee"/>
    <s v="California"/>
    <x v="0"/>
    <s v="Fasteners"/>
    <s v="Advantus Push Pins, Aluminum Head"/>
    <n v="11.62"/>
    <n v="2"/>
  </r>
  <r>
    <x v="42"/>
    <d v="2013-04-21T00:00:00"/>
    <n v="2"/>
    <x v="0"/>
    <s v="NF-18595"/>
    <s v="Nicole Fjeld"/>
    <s v="California"/>
    <x v="1"/>
    <s v="Furnishings"/>
    <s v="Executive Impressions 13&quot; Chairman Wall Clock"/>
    <n v="76.14"/>
    <n v="3"/>
  </r>
  <r>
    <x v="43"/>
    <d v="2013-04-25T00:00:00"/>
    <n v="5"/>
    <x v="1"/>
    <s v="BP-11230"/>
    <s v="Benjamin Patterson"/>
    <s v="California"/>
    <x v="1"/>
    <s v="Furnishings"/>
    <s v="GE 4 Foot Flourescent Tube, 40 Watt"/>
    <n v="59.92"/>
    <n v="4"/>
  </r>
  <r>
    <x v="44"/>
    <d v="2013-04-25T00:00:00"/>
    <n v="4"/>
    <x v="1"/>
    <s v="AA-10375"/>
    <s v="Allen Armold"/>
    <s v="California"/>
    <x v="0"/>
    <s v="Binders"/>
    <s v="ACCOHIDE Binder by Acco"/>
    <n v="16.520000000000003"/>
    <n v="5"/>
  </r>
  <r>
    <x v="45"/>
    <d v="2013-04-26T00:00:00"/>
    <n v="3"/>
    <x v="0"/>
    <s v="NM-18445"/>
    <s v="Nathan Mautz"/>
    <s v="California"/>
    <x v="0"/>
    <s v="Paper"/>
    <s v="Xerox 1891"/>
    <n v="48.91"/>
    <n v="1"/>
  </r>
  <r>
    <x v="46"/>
    <d v="2013-04-30T00:00:00"/>
    <n v="5"/>
    <x v="1"/>
    <s v="BT-11305"/>
    <s v="Beth Thompson"/>
    <s v="California"/>
    <x v="1"/>
    <s v="Furnishings"/>
    <s v="Tenex Traditional Chairmats for Medium Pile Carpet, Standard Lip, 36&quot; x 48&quot;"/>
    <n v="303.25"/>
    <n v="5"/>
  </r>
  <r>
    <x v="46"/>
    <d v="2013-04-30T00:00:00"/>
    <n v="5"/>
    <x v="1"/>
    <s v="BT-11305"/>
    <s v="Beth Thompson"/>
    <s v="California"/>
    <x v="0"/>
    <s v="Appliances"/>
    <s v="Kensington 6 Outlet MasterPiece HOMEOFFICE Power Control Center"/>
    <n v="270.71999999999997"/>
    <n v="3"/>
  </r>
  <r>
    <x v="46"/>
    <d v="2013-04-30T00:00:00"/>
    <n v="5"/>
    <x v="1"/>
    <s v="BT-11305"/>
    <s v="Beth Thompson"/>
    <s v="California"/>
    <x v="1"/>
    <s v="Chairs"/>
    <s v="GuestStacker Chair with Chrome Finish Legs"/>
    <n v="1487.04"/>
    <n v="5"/>
  </r>
  <r>
    <x v="47"/>
    <d v="2013-05-03T00:00:00"/>
    <n v="7"/>
    <x v="1"/>
    <s v="AG-10300"/>
    <s v="Aleksandra Gannaway"/>
    <s v="California"/>
    <x v="1"/>
    <s v="Chairs"/>
    <s v="Bevis Steel Folding Chairs"/>
    <n v="230.28000000000003"/>
    <n v="3"/>
  </r>
  <r>
    <x v="47"/>
    <d v="2013-05-03T00:00:00"/>
    <n v="7"/>
    <x v="1"/>
    <s v="AG-10300"/>
    <s v="Aleksandra Gannaway"/>
    <s v="California"/>
    <x v="0"/>
    <s v="Binders"/>
    <s v="Acco Pressboard Covers with Storage Hooks, 14 7/8&quot; x 11&quot;, Executive Red"/>
    <n v="18.288"/>
    <n v="6"/>
  </r>
  <r>
    <x v="47"/>
    <d v="2013-04-30T00:00:00"/>
    <n v="4"/>
    <x v="1"/>
    <s v="MH-17290"/>
    <s v="Marc Harrigan"/>
    <s v="California"/>
    <x v="0"/>
    <s v="Art"/>
    <s v="Newell 347"/>
    <n v="21.400000000000002"/>
    <n v="5"/>
  </r>
  <r>
    <x v="47"/>
    <d v="2013-04-30T00:00:00"/>
    <n v="4"/>
    <x v="1"/>
    <s v="MH-17290"/>
    <s v="Marc Harrigan"/>
    <s v="California"/>
    <x v="0"/>
    <s v="Labels"/>
    <s v="Avery 495"/>
    <n v="12.6"/>
    <n v="2"/>
  </r>
  <r>
    <x v="48"/>
    <d v="2013-04-30T00:00:00"/>
    <n v="2"/>
    <x v="2"/>
    <s v="AI-10855"/>
    <s v="Arianne Irving"/>
    <s v="California"/>
    <x v="2"/>
    <s v="Phones"/>
    <s v="Samsung Galaxy Mega 6.3"/>
    <n v="1679.96"/>
    <n v="5"/>
  </r>
  <r>
    <x v="49"/>
    <d v="2013-05-07T00:00:00"/>
    <n v="3"/>
    <x v="2"/>
    <s v="BS-11365"/>
    <s v="Bill Shonely"/>
    <s v="Washington"/>
    <x v="1"/>
    <s v="Furnishings"/>
    <s v="Eldon Regeneration Recycled Desk Accessories, Smoke"/>
    <n v="12.18"/>
    <n v="7"/>
  </r>
  <r>
    <x v="49"/>
    <d v="2013-05-07T00:00:00"/>
    <n v="3"/>
    <x v="2"/>
    <s v="BS-11365"/>
    <s v="Bill Shonely"/>
    <s v="Washington"/>
    <x v="0"/>
    <s v="Appliances"/>
    <s v="Holmes Odor Grabber"/>
    <n v="57.68"/>
    <n v="4"/>
  </r>
  <r>
    <x v="50"/>
    <d v="2013-05-10T00:00:00"/>
    <n v="4"/>
    <x v="1"/>
    <s v="HP-14815"/>
    <s v="Harold Pawlan"/>
    <s v="California"/>
    <x v="0"/>
    <s v="Binders"/>
    <s v="Wilson Jones Legal Size Ring Binders"/>
    <n v="140.73599999999999"/>
    <n v="8"/>
  </r>
  <r>
    <x v="50"/>
    <d v="2013-05-11T00:00:00"/>
    <n v="5"/>
    <x v="1"/>
    <s v="SN-20710"/>
    <s v="Steve Nguyen"/>
    <s v="California"/>
    <x v="0"/>
    <s v="Labels"/>
    <s v="Staple-on labels"/>
    <n v="5.78"/>
    <n v="2"/>
  </r>
  <r>
    <x v="50"/>
    <d v="2013-05-11T00:00:00"/>
    <n v="5"/>
    <x v="1"/>
    <s v="SN-20710"/>
    <s v="Steve Nguyen"/>
    <s v="California"/>
    <x v="0"/>
    <s v="Art"/>
    <s v="Model L Table or Wall-Mount Pencil Sharpener"/>
    <n v="107.94"/>
    <n v="6"/>
  </r>
  <r>
    <x v="51"/>
    <d v="2013-05-15T00:00:00"/>
    <n v="6"/>
    <x v="1"/>
    <s v="PG-18820"/>
    <s v="Patrick Gardner"/>
    <s v="California"/>
    <x v="2"/>
    <s v="Accessories"/>
    <s v="Kingston Digital DataTraveler 32GB USB 2.0"/>
    <n v="67.8"/>
    <n v="4"/>
  </r>
  <r>
    <x v="51"/>
    <d v="2013-05-15T00:00:00"/>
    <n v="6"/>
    <x v="1"/>
    <s v="PG-18820"/>
    <s v="Patrick Gardner"/>
    <s v="California"/>
    <x v="2"/>
    <s v="Accessories"/>
    <s v="Sony Micro Vault Click 16 GB USB 2.0 Flash Drive"/>
    <n v="167.97"/>
    <n v="3"/>
  </r>
  <r>
    <x v="52"/>
    <d v="2013-05-15T00:00:00"/>
    <n v="5"/>
    <x v="1"/>
    <s v="AI-10855"/>
    <s v="Arianne Irving"/>
    <s v="Washington"/>
    <x v="0"/>
    <s v="Envelopes"/>
    <s v="Strathmore #10 Envelopes, Ultimate White"/>
    <n v="158.13"/>
    <n v="3"/>
  </r>
  <r>
    <x v="52"/>
    <d v="2013-05-15T00:00:00"/>
    <n v="5"/>
    <x v="1"/>
    <s v="AI-10855"/>
    <s v="Arianne Irving"/>
    <s v="Washington"/>
    <x v="2"/>
    <s v="Phones"/>
    <s v="LF Elite 3D Dazzle Designer Hard Case Cover, Lf Stylus Pen and Wiper For Apple Iphone 5c Mini Lite"/>
    <n v="43.6"/>
    <n v="5"/>
  </r>
  <r>
    <x v="52"/>
    <d v="2013-05-15T00:00:00"/>
    <n v="5"/>
    <x v="1"/>
    <s v="GM-14680"/>
    <s v="Greg Matthias"/>
    <s v="California"/>
    <x v="0"/>
    <s v="Paper"/>
    <s v="Southworth 25% Cotton Premium Laser Paper and Envelopes"/>
    <n v="39.96"/>
    <n v="2"/>
  </r>
  <r>
    <x v="52"/>
    <d v="2013-05-15T00:00:00"/>
    <n v="5"/>
    <x v="1"/>
    <s v="GM-14680"/>
    <s v="Greg Matthias"/>
    <s v="California"/>
    <x v="2"/>
    <s v="Phones"/>
    <s v="Wilson Electronics DB Pro Signal Booster"/>
    <n v="1432.0000000000002"/>
    <n v="5"/>
  </r>
  <r>
    <x v="52"/>
    <d v="2013-05-15T00:00:00"/>
    <n v="5"/>
    <x v="1"/>
    <s v="GM-14680"/>
    <s v="Greg Matthias"/>
    <s v="California"/>
    <x v="0"/>
    <s v="Supplies"/>
    <s v="Acme Design Stainless Steel Bent Scissors"/>
    <n v="41.04"/>
    <n v="6"/>
  </r>
  <r>
    <x v="52"/>
    <d v="2013-05-15T00:00:00"/>
    <n v="5"/>
    <x v="1"/>
    <s v="GM-14680"/>
    <s v="Greg Matthias"/>
    <s v="California"/>
    <x v="1"/>
    <s v="Chairs"/>
    <s v="Hon Pagoda Stacking Chairs"/>
    <n v="256.78400000000005"/>
    <n v="1"/>
  </r>
  <r>
    <x v="53"/>
    <d v="2013-05-15T00:00:00"/>
    <n v="2"/>
    <x v="0"/>
    <s v="AG-10270"/>
    <s v="Alejandro Grove"/>
    <s v="Utah"/>
    <x v="0"/>
    <s v="Storage"/>
    <s v="Fellowes Super Stor/Drawer"/>
    <n v="55.5"/>
    <n v="2"/>
  </r>
  <r>
    <x v="53"/>
    <d v="2013-05-17T00:00:00"/>
    <n v="4"/>
    <x v="1"/>
    <s v="NP-18325"/>
    <s v="Naresj Patel"/>
    <s v="California"/>
    <x v="2"/>
    <s v="Accessories"/>
    <s v="Plantronics Audio 478 Stereo USB Headset"/>
    <n v="149.97"/>
    <n v="3"/>
  </r>
  <r>
    <x v="53"/>
    <d v="2013-05-19T00:00:00"/>
    <n v="6"/>
    <x v="1"/>
    <s v="AH-10030"/>
    <s v="Aaron Hawkins"/>
    <s v="California"/>
    <x v="1"/>
    <s v="Chairs"/>
    <s v="Iceberg Nesting Folding Chair, 19w x 6d x 43h"/>
    <n v="279.45600000000002"/>
    <n v="6"/>
  </r>
  <r>
    <x v="53"/>
    <d v="2013-05-19T00:00:00"/>
    <n v="6"/>
    <x v="1"/>
    <s v="AH-10030"/>
    <s v="Aaron Hawkins"/>
    <s v="California"/>
    <x v="0"/>
    <s v="Paper"/>
    <s v="EcoTones Memo Sheets"/>
    <n v="8"/>
    <n v="2"/>
  </r>
  <r>
    <x v="54"/>
    <d v="2013-05-23T00:00:00"/>
    <n v="7"/>
    <x v="1"/>
    <s v="PW-19030"/>
    <s v="Pauline Webber"/>
    <s v="California"/>
    <x v="1"/>
    <s v="Chairs"/>
    <s v="Iceberg Nesting Folding Chair, 19w x 6d x 43h"/>
    <n v="232.88"/>
    <n v="5"/>
  </r>
  <r>
    <x v="54"/>
    <d v="2013-05-20T00:00:00"/>
    <n v="4"/>
    <x v="1"/>
    <s v="CC-12475"/>
    <s v="Cindy Chapman"/>
    <s v="California"/>
    <x v="2"/>
    <s v="Accessories"/>
    <s v="Imation Clip USB flash drive - 8 GB"/>
    <n v="56.400000000000006"/>
    <n v="3"/>
  </r>
  <r>
    <x v="55"/>
    <d v="2013-05-25T00:00:00"/>
    <n v="4"/>
    <x v="1"/>
    <s v="BT-11530"/>
    <s v="Bradley Talbott"/>
    <s v="California"/>
    <x v="0"/>
    <s v="Art"/>
    <s v="4009 Highlighters by Sanford"/>
    <n v="31.84"/>
    <n v="8"/>
  </r>
  <r>
    <x v="56"/>
    <d v="2013-05-27T00:00:00"/>
    <n v="4"/>
    <x v="1"/>
    <s v="EH-13990"/>
    <s v="Erica Hackney"/>
    <s v="Washington"/>
    <x v="0"/>
    <s v="Paper"/>
    <s v="Xerox 1999"/>
    <n v="12.96"/>
    <n v="2"/>
  </r>
  <r>
    <x v="57"/>
    <d v="2013-05-30T00:00:00"/>
    <n v="4"/>
    <x v="1"/>
    <s v="ML-17395"/>
    <s v="Marina Lichtenstein"/>
    <s v="California"/>
    <x v="1"/>
    <s v="Bookcases"/>
    <s v="Sauder Inglewood Library Bookcases"/>
    <n v="290.666"/>
    <n v="2"/>
  </r>
  <r>
    <x v="57"/>
    <d v="2013-05-30T00:00:00"/>
    <n v="4"/>
    <x v="1"/>
    <s v="ML-17395"/>
    <s v="Marina Lichtenstein"/>
    <s v="California"/>
    <x v="2"/>
    <s v="Phones"/>
    <s v="VTech DS6151"/>
    <n v="201.584"/>
    <n v="2"/>
  </r>
  <r>
    <x v="57"/>
    <d v="2013-05-30T00:00:00"/>
    <n v="4"/>
    <x v="1"/>
    <s v="ML-17395"/>
    <s v="Marina Lichtenstein"/>
    <s v="California"/>
    <x v="2"/>
    <s v="Phones"/>
    <s v="netTALK DUO VoIP Telephone Service"/>
    <n v="83.984000000000009"/>
    <n v="2"/>
  </r>
  <r>
    <x v="57"/>
    <d v="2013-05-30T00:00:00"/>
    <n v="4"/>
    <x v="1"/>
    <s v="HF-14995"/>
    <s v="Herbert Flentye"/>
    <s v="California"/>
    <x v="1"/>
    <s v="Chairs"/>
    <s v="Hon Olson Stacker Stools"/>
    <n v="225.29600000000002"/>
    <n v="2"/>
  </r>
  <r>
    <x v="57"/>
    <d v="2013-05-29T00:00:00"/>
    <n v="3"/>
    <x v="2"/>
    <s v="Dp-13240"/>
    <s v="Dean percer"/>
    <s v="Utah"/>
    <x v="0"/>
    <s v="Paper"/>
    <s v="Wirebound Service Call Books, 5 1/2&quot; x 4&quot;"/>
    <n v="48.4"/>
    <n v="5"/>
  </r>
  <r>
    <x v="58"/>
    <d v="2013-05-27T00:00:00"/>
    <n v="0"/>
    <x v="3"/>
    <s v="MH-17785"/>
    <s v="Maya Herman"/>
    <s v="California"/>
    <x v="1"/>
    <s v="Tables"/>
    <s v="KI Conference Tables"/>
    <n v="567.12"/>
    <n v="10"/>
  </r>
  <r>
    <x v="58"/>
    <d v="2013-05-27T00:00:00"/>
    <n v="0"/>
    <x v="3"/>
    <s v="MH-17785"/>
    <s v="Maya Herman"/>
    <s v="California"/>
    <x v="0"/>
    <s v="Storage"/>
    <s v="Fellowes Officeware Wire Shelving"/>
    <n v="359.32"/>
    <n v="4"/>
  </r>
  <r>
    <x v="58"/>
    <d v="2013-06-01T00:00:00"/>
    <n v="5"/>
    <x v="0"/>
    <s v="LC-16885"/>
    <s v="Lena Creighton"/>
    <s v="California"/>
    <x v="2"/>
    <s v="Phones"/>
    <s v="Plantronics HL10 Handset Lifter"/>
    <n v="1113.5039999999999"/>
    <n v="12"/>
  </r>
  <r>
    <x v="58"/>
    <d v="2013-06-01T00:00:00"/>
    <n v="5"/>
    <x v="0"/>
    <s v="LC-16885"/>
    <s v="Lena Creighton"/>
    <s v="California"/>
    <x v="2"/>
    <s v="Accessories"/>
    <s v="Logitech Wireless Performance Mouse MX for PC and Mac"/>
    <n v="99.99"/>
    <n v="1"/>
  </r>
  <r>
    <x v="59"/>
    <d v="2013-06-02T00:00:00"/>
    <n v="5"/>
    <x v="1"/>
    <s v="PJ-18835"/>
    <s v="Patrick Jones"/>
    <s v="Washington"/>
    <x v="2"/>
    <s v="Phones"/>
    <s v="I Need's 3d Hello Kitty Hybrid Silicone Case Cover for HTC One X 4g with 3d Hello Kitty Stylus Pen Green/pink"/>
    <n v="57.408000000000008"/>
    <n v="6"/>
  </r>
  <r>
    <x v="59"/>
    <d v="2013-06-02T00:00:00"/>
    <n v="5"/>
    <x v="1"/>
    <s v="PJ-18835"/>
    <s v="Patrick Jones"/>
    <s v="Washington"/>
    <x v="2"/>
    <s v="Accessories"/>
    <s v="Imation 30456 USB Flash Drive 8GB"/>
    <n v="27.6"/>
    <n v="4"/>
  </r>
  <r>
    <x v="59"/>
    <d v="2013-06-01T00:00:00"/>
    <n v="4"/>
    <x v="1"/>
    <s v="MM-17260"/>
    <s v="Magdelene Morse"/>
    <s v="Washington"/>
    <x v="0"/>
    <s v="Binders"/>
    <s v="Green Canvas Binder for 8-1/2&quot; x 14&quot; Sheets"/>
    <n v="136.96"/>
    <n v="4"/>
  </r>
  <r>
    <x v="60"/>
    <d v="2013-06-07T00:00:00"/>
    <n v="5"/>
    <x v="1"/>
    <s v="CK-12325"/>
    <s v="Christine Kargatis"/>
    <s v="Utah"/>
    <x v="0"/>
    <s v="Binders"/>
    <s v="GBC Standard Therm-A-Bind Covers"/>
    <n v="59.808000000000007"/>
    <n v="3"/>
  </r>
  <r>
    <x v="60"/>
    <d v="2013-06-07T00:00:00"/>
    <n v="5"/>
    <x v="1"/>
    <s v="CK-12325"/>
    <s v="Christine Kargatis"/>
    <s v="Utah"/>
    <x v="1"/>
    <s v="Furnishings"/>
    <s v="Aluminum Document Frame"/>
    <n v="73.320000000000007"/>
    <n v="6"/>
  </r>
  <r>
    <x v="61"/>
    <d v="2013-06-07T00:00:00"/>
    <n v="4"/>
    <x v="0"/>
    <s v="SC-20725"/>
    <s v="Steven Cartwright"/>
    <s v="Washington"/>
    <x v="1"/>
    <s v="Tables"/>
    <s v="KI Adjustable-Height Table"/>
    <n v="515.88"/>
    <n v="6"/>
  </r>
  <r>
    <x v="62"/>
    <d v="2013-06-14T00:00:00"/>
    <n v="6"/>
    <x v="1"/>
    <s v="CS-11950"/>
    <s v="Carlos Soltero"/>
    <s v="Washington"/>
    <x v="1"/>
    <s v="Chairs"/>
    <s v="Hon Deluxe Fabric Upholstered Stacking Chairs, Squared Back"/>
    <n v="585.55200000000002"/>
    <n v="3"/>
  </r>
  <r>
    <x v="63"/>
    <d v="2013-06-14T00:00:00"/>
    <n v="5"/>
    <x v="1"/>
    <s v="BH-11710"/>
    <s v="Brosina Hoffman"/>
    <s v="California"/>
    <x v="1"/>
    <s v="Furnishings"/>
    <s v="Eldon Expressions Wood and Plastic Desk Accessories, Cherry Wood"/>
    <n v="48.86"/>
    <n v="7"/>
  </r>
  <r>
    <x v="63"/>
    <d v="2013-06-14T00:00:00"/>
    <n v="5"/>
    <x v="1"/>
    <s v="BH-11710"/>
    <s v="Brosina Hoffman"/>
    <s v="California"/>
    <x v="0"/>
    <s v="Art"/>
    <s v="Newell 322"/>
    <n v="7.28"/>
    <n v="4"/>
  </r>
  <r>
    <x v="63"/>
    <d v="2013-06-14T00:00:00"/>
    <n v="5"/>
    <x v="1"/>
    <s v="BH-11710"/>
    <s v="Brosina Hoffman"/>
    <s v="California"/>
    <x v="2"/>
    <s v="Phones"/>
    <s v="Mitel 5320 IP Phone VoIP phone"/>
    <n v="907.15200000000004"/>
    <n v="6"/>
  </r>
  <r>
    <x v="63"/>
    <d v="2013-06-14T00:00:00"/>
    <n v="5"/>
    <x v="1"/>
    <s v="BH-11710"/>
    <s v="Brosina Hoffman"/>
    <s v="California"/>
    <x v="0"/>
    <s v="Binders"/>
    <s v="DXL Angle-View Binders with Locking Rings by Samsill"/>
    <n v="18.504000000000001"/>
    <n v="3"/>
  </r>
  <r>
    <x v="63"/>
    <d v="2013-06-14T00:00:00"/>
    <n v="5"/>
    <x v="1"/>
    <s v="BH-11710"/>
    <s v="Brosina Hoffman"/>
    <s v="California"/>
    <x v="0"/>
    <s v="Appliances"/>
    <s v="Belkin F5C206VTEL 6 Outlet Surge"/>
    <n v="114.9"/>
    <n v="5"/>
  </r>
  <r>
    <x v="63"/>
    <d v="2013-06-14T00:00:00"/>
    <n v="5"/>
    <x v="1"/>
    <s v="BH-11710"/>
    <s v="Brosina Hoffman"/>
    <s v="California"/>
    <x v="1"/>
    <s v="Tables"/>
    <s v="Chromcraft Rectangular Conference Tables"/>
    <n v="1706.1840000000002"/>
    <n v="9"/>
  </r>
  <r>
    <x v="63"/>
    <d v="2013-06-14T00:00:00"/>
    <n v="5"/>
    <x v="1"/>
    <s v="BH-11710"/>
    <s v="Brosina Hoffman"/>
    <s v="California"/>
    <x v="2"/>
    <s v="Phones"/>
    <s v="Konftel 250 Conference phone - Charcoal black"/>
    <n v="911.42399999999998"/>
    <n v="4"/>
  </r>
  <r>
    <x v="63"/>
    <d v="2013-06-16T00:00:00"/>
    <n v="7"/>
    <x v="1"/>
    <s v="CM-12445"/>
    <s v="Chuck Magee"/>
    <s v="California"/>
    <x v="0"/>
    <s v="Supplies"/>
    <s v="Staple remover"/>
    <n v="7.36"/>
    <n v="2"/>
  </r>
  <r>
    <x v="63"/>
    <d v="2013-06-16T00:00:00"/>
    <n v="7"/>
    <x v="1"/>
    <s v="CM-12445"/>
    <s v="Chuck Magee"/>
    <s v="California"/>
    <x v="0"/>
    <s v="Art"/>
    <s v="Deluxe Chalkboard Eraser Cleaner"/>
    <n v="23.1"/>
    <n v="2"/>
  </r>
  <r>
    <x v="63"/>
    <d v="2013-06-13T00:00:00"/>
    <n v="4"/>
    <x v="0"/>
    <s v="TS-21205"/>
    <s v="Thomas Seio"/>
    <s v="Nevada"/>
    <x v="0"/>
    <s v="Art"/>
    <s v="DIXON Oriole Pencils"/>
    <n v="18.060000000000002"/>
    <n v="7"/>
  </r>
  <r>
    <x v="63"/>
    <d v="2013-06-13T00:00:00"/>
    <n v="4"/>
    <x v="0"/>
    <s v="TS-21205"/>
    <s v="Thomas Seio"/>
    <s v="Nevada"/>
    <x v="0"/>
    <s v="Paper"/>
    <s v="Xerox 1909"/>
    <n v="79.14"/>
    <n v="3"/>
  </r>
  <r>
    <x v="63"/>
    <d v="2013-06-13T00:00:00"/>
    <n v="4"/>
    <x v="0"/>
    <s v="TS-21205"/>
    <s v="Thomas Seio"/>
    <s v="Nevada"/>
    <x v="1"/>
    <s v="Furnishings"/>
    <s v="Executive Impressions 13-1/2&quot; Indoor/Outdoor Wall Clock"/>
    <n v="37.4"/>
    <n v="2"/>
  </r>
  <r>
    <x v="64"/>
    <d v="2013-06-17T00:00:00"/>
    <n v="4"/>
    <x v="1"/>
    <s v="FM-14215"/>
    <s v="Filia McAdams"/>
    <s v="California"/>
    <x v="0"/>
    <s v="Art"/>
    <s v="Staples in misc. colors"/>
    <n v="14.52"/>
    <n v="3"/>
  </r>
  <r>
    <x v="65"/>
    <d v="2013-06-21T00:00:00"/>
    <n v="4"/>
    <x v="1"/>
    <s v="GH-14425"/>
    <s v="Gary Hwang"/>
    <s v="Washington"/>
    <x v="1"/>
    <s v="Furnishings"/>
    <s v="Eldon Wave Desk Accessories"/>
    <n v="6.24"/>
    <n v="3"/>
  </r>
  <r>
    <x v="65"/>
    <d v="2013-06-21T00:00:00"/>
    <n v="4"/>
    <x v="1"/>
    <s v="GH-14425"/>
    <s v="Gary Hwang"/>
    <s v="Washington"/>
    <x v="0"/>
    <s v="Fasteners"/>
    <s v="OIC Binder Clips"/>
    <n v="17.899999999999999"/>
    <n v="5"/>
  </r>
  <r>
    <x v="65"/>
    <d v="2013-06-21T00:00:00"/>
    <n v="4"/>
    <x v="1"/>
    <s v="GH-14425"/>
    <s v="Gary Hwang"/>
    <s v="Washington"/>
    <x v="0"/>
    <s v="Binders"/>
    <s v="GBC DocuBind P400 Electric Binding System"/>
    <n v="3266.3760000000002"/>
    <n v="3"/>
  </r>
  <r>
    <x v="66"/>
    <d v="2013-06-23T00:00:00"/>
    <n v="5"/>
    <x v="1"/>
    <s v="MC-18100"/>
    <s v="Mick Crebagga"/>
    <s v="California"/>
    <x v="2"/>
    <s v="Phones"/>
    <s v="Plantronics Cordless Phone Headset with In-line Volume - M214C"/>
    <n v="139.80000000000001"/>
    <n v="5"/>
  </r>
  <r>
    <x v="67"/>
    <d v="2013-06-21T00:00:00"/>
    <n v="0"/>
    <x v="3"/>
    <s v="SV-20785"/>
    <s v="Stewart Visinsky"/>
    <s v="Colorado"/>
    <x v="0"/>
    <s v="Binders"/>
    <s v="Wilson Jones 1&quot; Hanging DublLock Ring Binders"/>
    <n v="11.088000000000003"/>
    <n v="7"/>
  </r>
  <r>
    <x v="67"/>
    <d v="2013-06-21T00:00:00"/>
    <n v="0"/>
    <x v="3"/>
    <s v="SV-20785"/>
    <s v="Stewart Visinsky"/>
    <s v="Colorado"/>
    <x v="0"/>
    <s v="Binders"/>
    <s v="Avery Trapezoid Extra Heavy Duty 4&quot; Binders"/>
    <n v="25.164000000000001"/>
    <n v="2"/>
  </r>
  <r>
    <x v="68"/>
    <d v="2013-06-25T00:00:00"/>
    <n v="3"/>
    <x v="2"/>
    <s v="JE-15745"/>
    <s v="Joel Eaton"/>
    <s v="Colorado"/>
    <x v="2"/>
    <s v="Accessories"/>
    <s v="KeyTronic 6101 Series - Keyboard - Black"/>
    <n v="196.75200000000001"/>
    <n v="6"/>
  </r>
  <r>
    <x v="68"/>
    <d v="2013-06-22T00:00:00"/>
    <n v="0"/>
    <x v="3"/>
    <s v="TB-21280"/>
    <s v="Toby Braunhardt"/>
    <s v="Arizona"/>
    <x v="0"/>
    <s v="Binders"/>
    <s v="SpineVue Locking Slant-D Ring Binders by Cardinal"/>
    <n v="8.2260000000000009"/>
    <n v="3"/>
  </r>
  <r>
    <x v="69"/>
    <d v="2013-06-28T00:00:00"/>
    <n v="4"/>
    <x v="1"/>
    <s v="LP-17080"/>
    <s v="Liz Pelletier"/>
    <s v="Arizona"/>
    <x v="1"/>
    <s v="Furnishings"/>
    <s v="Acrylic Self-Standing Desk Frames"/>
    <n v="4.2720000000000002"/>
    <n v="2"/>
  </r>
  <r>
    <x v="70"/>
    <d v="2013-06-28T00:00:00"/>
    <n v="3"/>
    <x v="2"/>
    <s v="NS-18640"/>
    <s v="Noel Staavos"/>
    <s v="California"/>
    <x v="1"/>
    <s v="Tables"/>
    <s v="Hon 4060 Series Tables"/>
    <n v="447.84"/>
    <n v="5"/>
  </r>
  <r>
    <x v="70"/>
    <d v="2013-06-27T00:00:00"/>
    <n v="2"/>
    <x v="0"/>
    <s v="GK-14620"/>
    <s v="Grace Kelly"/>
    <s v="Oregon"/>
    <x v="2"/>
    <s v="Phones"/>
    <s v="Plantronics 81402"/>
    <n v="263.96000000000004"/>
    <n v="5"/>
  </r>
  <r>
    <x v="70"/>
    <d v="2013-06-27T00:00:00"/>
    <n v="2"/>
    <x v="0"/>
    <s v="GK-14620"/>
    <s v="Grace Kelly"/>
    <s v="Oregon"/>
    <x v="0"/>
    <s v="Art"/>
    <s v="Avery Hi-Liter EverBold Pen Style Fluorescent Highlighters, 4/Pack"/>
    <n v="71.632000000000005"/>
    <n v="11"/>
  </r>
  <r>
    <x v="70"/>
    <d v="2013-06-27T00:00:00"/>
    <n v="2"/>
    <x v="0"/>
    <s v="GK-14620"/>
    <s v="Grace Kelly"/>
    <s v="Oregon"/>
    <x v="0"/>
    <s v="Art"/>
    <s v="Hunt BOSTON Vista Battery-Operated Pencil Sharpener, Black"/>
    <n v="9.3280000000000012"/>
    <n v="1"/>
  </r>
  <r>
    <x v="71"/>
    <d v="2013-07-03T00:00:00"/>
    <n v="3"/>
    <x v="0"/>
    <s v="AR-10825"/>
    <s v="Anthony Rawles"/>
    <s v="California"/>
    <x v="0"/>
    <s v="Art"/>
    <s v="BIC Brite Liner Highlighters, Chisel Tip"/>
    <n v="32.400000000000006"/>
    <n v="5"/>
  </r>
  <r>
    <x v="72"/>
    <d v="2013-07-06T00:00:00"/>
    <n v="5"/>
    <x v="0"/>
    <s v="Dl-13600"/>
    <s v="Dorris liebe"/>
    <s v="Washington"/>
    <x v="0"/>
    <s v="Binders"/>
    <s v="Cardinal Holdit Business Card Pockets"/>
    <n v="19.920000000000002"/>
    <n v="5"/>
  </r>
  <r>
    <x v="73"/>
    <d v="2013-07-07T00:00:00"/>
    <n v="3"/>
    <x v="2"/>
    <s v="KE-16420"/>
    <s v="Katrina Edelman"/>
    <s v="Colorado"/>
    <x v="0"/>
    <s v="Paper"/>
    <s v="Xerox 194"/>
    <n v="177.536"/>
    <n v="4"/>
  </r>
  <r>
    <x v="73"/>
    <d v="2013-07-07T00:00:00"/>
    <n v="3"/>
    <x v="2"/>
    <s v="KE-16420"/>
    <s v="Katrina Edelman"/>
    <s v="Colorado"/>
    <x v="0"/>
    <s v="Appliances"/>
    <s v="Fellowes Mighty 8 Compact Surge Protector"/>
    <n v="32.432000000000002"/>
    <n v="2"/>
  </r>
  <r>
    <x v="74"/>
    <d v="2013-07-11T00:00:00"/>
    <n v="6"/>
    <x v="1"/>
    <s v="DP-13390"/>
    <s v="Dennis Pardue"/>
    <s v="California"/>
    <x v="0"/>
    <s v="Binders"/>
    <s v="Vinyl Sectional Post Binders"/>
    <n v="180.96000000000004"/>
    <n v="6"/>
  </r>
  <r>
    <x v="75"/>
    <d v="2013-07-12T00:00:00"/>
    <n v="6"/>
    <x v="1"/>
    <s v="BC-11125"/>
    <s v="Becky Castell"/>
    <s v="California"/>
    <x v="1"/>
    <s v="Chairs"/>
    <s v="Global Comet Stacking Armless Chair"/>
    <n v="478.48"/>
    <n v="2"/>
  </r>
  <r>
    <x v="76"/>
    <d v="2013-07-12T00:00:00"/>
    <n v="4"/>
    <x v="1"/>
    <s v="EB-13705"/>
    <s v="Ed Braxton"/>
    <s v="California"/>
    <x v="1"/>
    <s v="Tables"/>
    <s v="Hon 2111 Invitation Series Corner Table"/>
    <n v="502.48800000000006"/>
    <n v="3"/>
  </r>
  <r>
    <x v="76"/>
    <d v="2013-07-12T00:00:00"/>
    <n v="4"/>
    <x v="1"/>
    <s v="EB-13705"/>
    <s v="Ed Braxton"/>
    <s v="California"/>
    <x v="0"/>
    <s v="Binders"/>
    <s v="Wilson Jones Ledger-Size, Piano-Hinge Binder, 2&quot;, Blue"/>
    <n v="196.70400000000001"/>
    <n v="6"/>
  </r>
  <r>
    <x v="77"/>
    <d v="2013-07-13T00:00:00"/>
    <n v="4"/>
    <x v="1"/>
    <s v="GH-14410"/>
    <s v="Gary Hansen"/>
    <s v="California"/>
    <x v="0"/>
    <s v="Labels"/>
    <s v="Avery 49"/>
    <n v="2.88"/>
    <n v="1"/>
  </r>
  <r>
    <x v="77"/>
    <d v="2013-07-13T00:00:00"/>
    <n v="4"/>
    <x v="1"/>
    <s v="GH-14410"/>
    <s v="Gary Hansen"/>
    <s v="California"/>
    <x v="0"/>
    <s v="Binders"/>
    <s v="Wilson Jones Leather-Like Binders with DublLock Round Rings"/>
    <n v="41.904000000000003"/>
    <n v="6"/>
  </r>
  <r>
    <x v="77"/>
    <d v="2013-07-13T00:00:00"/>
    <n v="4"/>
    <x v="1"/>
    <s v="GH-14410"/>
    <s v="Gary Hansen"/>
    <s v="California"/>
    <x v="0"/>
    <s v="Storage"/>
    <s v="Perma STOR-ALL Hanging File Box, 13 1/8&quot;W x 12 1/4&quot;D x 10 1/2&quot;H"/>
    <n v="23.92"/>
    <n v="4"/>
  </r>
  <r>
    <x v="77"/>
    <d v="2013-07-14T00:00:00"/>
    <n v="5"/>
    <x v="1"/>
    <s v="DS-13030"/>
    <s v="Darrin Sayre"/>
    <s v="California"/>
    <x v="0"/>
    <s v="Binders"/>
    <s v="Avery Hidden Tab Dividers for Binding Systems"/>
    <n v="14.303999999999998"/>
    <n v="6"/>
  </r>
  <r>
    <x v="77"/>
    <d v="2013-07-14T00:00:00"/>
    <n v="5"/>
    <x v="1"/>
    <s v="DS-13030"/>
    <s v="Darrin Sayre"/>
    <s v="California"/>
    <x v="1"/>
    <s v="Bookcases"/>
    <s v="Bush Heritage Pine Collection 5-Shelf Bookcase, Albany Pine Finish, *Special Order"/>
    <n v="119.83299999999998"/>
    <n v="1"/>
  </r>
  <r>
    <x v="77"/>
    <d v="2013-07-14T00:00:00"/>
    <n v="5"/>
    <x v="1"/>
    <s v="DS-13030"/>
    <s v="Darrin Sayre"/>
    <s v="California"/>
    <x v="0"/>
    <s v="Art"/>
    <s v="Prang Drawing Pencil Set"/>
    <n v="5.56"/>
    <n v="2"/>
  </r>
  <r>
    <x v="77"/>
    <d v="2013-07-14T00:00:00"/>
    <n v="5"/>
    <x v="1"/>
    <s v="DS-13030"/>
    <s v="Darrin Sayre"/>
    <s v="California"/>
    <x v="0"/>
    <s v="Paper"/>
    <s v="Xerox 1967"/>
    <n v="32.400000000000006"/>
    <n v="5"/>
  </r>
  <r>
    <x v="78"/>
    <d v="2013-07-17T00:00:00"/>
    <n v="5"/>
    <x v="1"/>
    <s v="AC-10420"/>
    <s v="Alyssa Crouse"/>
    <s v="California"/>
    <x v="0"/>
    <s v="Binders"/>
    <s v="Tuff Stuff Recycled Round Ring Binders"/>
    <n v="7.7120000000000006"/>
    <n v="2"/>
  </r>
  <r>
    <x v="78"/>
    <d v="2013-07-17T00:00:00"/>
    <n v="5"/>
    <x v="1"/>
    <s v="AC-10420"/>
    <s v="Alyssa Crouse"/>
    <s v="California"/>
    <x v="1"/>
    <s v="Tables"/>
    <s v="Hon 5100 Series Wood Tables"/>
    <n v="698.35200000000009"/>
    <n v="3"/>
  </r>
  <r>
    <x v="78"/>
    <d v="2013-07-16T00:00:00"/>
    <n v="4"/>
    <x v="1"/>
    <s v="BF-11170"/>
    <s v="Ben Ferrer"/>
    <s v="California"/>
    <x v="0"/>
    <s v="Storage"/>
    <s v="Fellowes Super Stor/Drawer"/>
    <n v="249.75"/>
    <n v="9"/>
  </r>
  <r>
    <x v="78"/>
    <d v="2013-07-16T00:00:00"/>
    <n v="4"/>
    <x v="1"/>
    <s v="BF-11170"/>
    <s v="Ben Ferrer"/>
    <s v="California"/>
    <x v="2"/>
    <s v="Phones"/>
    <s v="GE DSL Phone Line Filter"/>
    <n v="255.93600000000004"/>
    <n v="8"/>
  </r>
  <r>
    <x v="78"/>
    <d v="2013-07-18T00:00:00"/>
    <n v="6"/>
    <x v="1"/>
    <s v="CL-12565"/>
    <s v="Clay Ludtke"/>
    <s v="Washington"/>
    <x v="1"/>
    <s v="Chairs"/>
    <s v="Safco Chair Connectors, 6/Carton"/>
    <n v="123.136"/>
    <n v="4"/>
  </r>
  <r>
    <x v="78"/>
    <d v="2013-07-18T00:00:00"/>
    <n v="6"/>
    <x v="1"/>
    <s v="CL-12565"/>
    <s v="Clay Ludtke"/>
    <s v="Washington"/>
    <x v="0"/>
    <s v="Binders"/>
    <s v="Self-Adhesive Ring Binder Labels"/>
    <n v="11.264000000000001"/>
    <n v="4"/>
  </r>
  <r>
    <x v="79"/>
    <d v="2013-07-17T00:00:00"/>
    <n v="4"/>
    <x v="1"/>
    <s v="GK-14620"/>
    <s v="Grace Kelly"/>
    <s v="California"/>
    <x v="1"/>
    <s v="Tables"/>
    <s v="Bevis Round Conference Table Top &amp; Single Column Base"/>
    <n v="351.21600000000001"/>
    <n v="3"/>
  </r>
  <r>
    <x v="80"/>
    <d v="2013-07-21T00:00:00"/>
    <n v="7"/>
    <x v="1"/>
    <s v="PB-19150"/>
    <s v="Philip Brown"/>
    <s v="Arizona"/>
    <x v="0"/>
    <s v="Storage"/>
    <s v="Eldon Fold 'N Roll Cart System"/>
    <n v="55.92"/>
    <n v="5"/>
  </r>
  <r>
    <x v="81"/>
    <d v="2013-07-18T00:00:00"/>
    <n v="0"/>
    <x v="3"/>
    <s v="AH-10120"/>
    <s v="Adrian Hane"/>
    <s v="Arizona"/>
    <x v="1"/>
    <s v="Chairs"/>
    <s v="Office Star - Ergonomically Designed Knee Chair"/>
    <n v="259.13600000000002"/>
    <n v="4"/>
  </r>
  <r>
    <x v="82"/>
    <d v="2013-07-24T00:00:00"/>
    <n v="5"/>
    <x v="1"/>
    <s v="EM-14140"/>
    <s v="Eugene Moren"/>
    <s v="Montana"/>
    <x v="0"/>
    <s v="Binders"/>
    <s v="Acco Pressboard Covers with Storage Hooks, 14 7/8&quot; x 11&quot;, Dark Blue"/>
    <n v="6.0960000000000001"/>
    <n v="2"/>
  </r>
  <r>
    <x v="83"/>
    <d v="2013-07-22T00:00:00"/>
    <n v="2"/>
    <x v="2"/>
    <s v="CC-12145"/>
    <s v="Charles Crestani"/>
    <s v="California"/>
    <x v="0"/>
    <s v="Paper"/>
    <s v="Xerox 189"/>
    <n v="104.85"/>
    <n v="1"/>
  </r>
  <r>
    <x v="83"/>
    <d v="2013-07-22T00:00:00"/>
    <n v="2"/>
    <x v="2"/>
    <s v="CC-12145"/>
    <s v="Charles Crestani"/>
    <s v="California"/>
    <x v="0"/>
    <s v="Binders"/>
    <s v="Wilson Jones Custom Binder Spines &amp; Labels"/>
    <n v="8.7040000000000006"/>
    <n v="2"/>
  </r>
  <r>
    <x v="83"/>
    <d v="2013-07-22T00:00:00"/>
    <n v="2"/>
    <x v="2"/>
    <s v="CC-12145"/>
    <s v="Charles Crestani"/>
    <s v="California"/>
    <x v="0"/>
    <s v="Paper"/>
    <s v="Xerox 1897"/>
    <n v="19.920000000000002"/>
    <n v="4"/>
  </r>
  <r>
    <x v="83"/>
    <d v="2013-07-22T00:00:00"/>
    <n v="2"/>
    <x v="2"/>
    <s v="CC-12145"/>
    <s v="Charles Crestani"/>
    <s v="California"/>
    <x v="1"/>
    <s v="Furnishings"/>
    <s v="Nu-Dell Leatherette Frames"/>
    <n v="43.019999999999996"/>
    <n v="3"/>
  </r>
  <r>
    <x v="83"/>
    <d v="2013-07-22T00:00:00"/>
    <n v="2"/>
    <x v="2"/>
    <s v="RD-19720"/>
    <s v="Roger Demir"/>
    <s v="California"/>
    <x v="0"/>
    <s v="Binders"/>
    <s v="Clear Mylar Reinforcing Strips"/>
    <n v="89.712000000000018"/>
    <n v="6"/>
  </r>
  <r>
    <x v="83"/>
    <d v="2013-07-22T00:00:00"/>
    <n v="2"/>
    <x v="2"/>
    <s v="RD-19720"/>
    <s v="Roger Demir"/>
    <s v="California"/>
    <x v="0"/>
    <s v="Paper"/>
    <s v="Wirebound Message Books, Two 4 1/4&quot; x 5&quot; Forms per Page"/>
    <n v="22.830000000000002"/>
    <n v="3"/>
  </r>
  <r>
    <x v="83"/>
    <d v="2013-07-23T00:00:00"/>
    <n v="3"/>
    <x v="2"/>
    <s v="JD-15895"/>
    <s v="Jonathan Doherty"/>
    <s v="California"/>
    <x v="2"/>
    <s v="Accessories"/>
    <s v="Maxell 74 Minute CD-R Spindle, 50/Pack"/>
    <n v="41.94"/>
    <n v="2"/>
  </r>
  <r>
    <x v="83"/>
    <d v="2013-07-23T00:00:00"/>
    <n v="3"/>
    <x v="2"/>
    <s v="JD-15895"/>
    <s v="Jonathan Doherty"/>
    <s v="California"/>
    <x v="0"/>
    <s v="Paper"/>
    <s v="Xerox 1965"/>
    <n v="11.96"/>
    <n v="2"/>
  </r>
  <r>
    <x v="83"/>
    <d v="2013-07-23T00:00:00"/>
    <n v="3"/>
    <x v="2"/>
    <s v="JD-15895"/>
    <s v="Jonathan Doherty"/>
    <s v="California"/>
    <x v="0"/>
    <s v="Art"/>
    <s v="Newell 348"/>
    <n v="13.12"/>
    <n v="4"/>
  </r>
  <r>
    <x v="83"/>
    <d v="2013-07-23T00:00:00"/>
    <n v="3"/>
    <x v="2"/>
    <s v="JD-15895"/>
    <s v="Jonathan Doherty"/>
    <s v="California"/>
    <x v="0"/>
    <s v="Storage"/>
    <s v="Hot File 7-Pocket, Floor Stand"/>
    <n v="535.41"/>
    <n v="3"/>
  </r>
  <r>
    <x v="84"/>
    <d v="2013-07-25T00:00:00"/>
    <n v="4"/>
    <x v="1"/>
    <s v="ME-18010"/>
    <s v="Michelle Ellison"/>
    <s v="California"/>
    <x v="0"/>
    <s v="Art"/>
    <s v="Newell 334"/>
    <n v="99.2"/>
    <n v="5"/>
  </r>
  <r>
    <x v="84"/>
    <d v="2013-07-25T00:00:00"/>
    <n v="4"/>
    <x v="1"/>
    <s v="ME-18010"/>
    <s v="Michelle Ellison"/>
    <s v="California"/>
    <x v="1"/>
    <s v="Chairs"/>
    <s v="Global Troy Executive Leather Low-Back Tilter"/>
    <n v="801.5680000000001"/>
    <n v="2"/>
  </r>
  <r>
    <x v="84"/>
    <d v="2013-07-25T00:00:00"/>
    <n v="4"/>
    <x v="1"/>
    <s v="ME-18010"/>
    <s v="Michelle Ellison"/>
    <s v="California"/>
    <x v="1"/>
    <s v="Tables"/>
    <s v="Hon 30&quot; x 60&quot; Table with Locking Drawer"/>
    <n v="272.84800000000001"/>
    <n v="1"/>
  </r>
  <r>
    <x v="85"/>
    <d v="2013-07-24T00:00:00"/>
    <n v="2"/>
    <x v="0"/>
    <s v="NP-18325"/>
    <s v="Naresj Patel"/>
    <s v="California"/>
    <x v="0"/>
    <s v="Art"/>
    <s v="Newell 32"/>
    <n v="11.52"/>
    <n v="4"/>
  </r>
  <r>
    <x v="85"/>
    <d v="2013-07-24T00:00:00"/>
    <n v="2"/>
    <x v="0"/>
    <s v="NP-18325"/>
    <s v="Naresj Patel"/>
    <s v="California"/>
    <x v="1"/>
    <s v="Chairs"/>
    <s v="Global Comet Stacking Armless Chair"/>
    <n v="717.72"/>
    <n v="3"/>
  </r>
  <r>
    <x v="85"/>
    <d v="2013-07-24T00:00:00"/>
    <n v="2"/>
    <x v="0"/>
    <s v="NP-18325"/>
    <s v="Naresj Patel"/>
    <s v="California"/>
    <x v="0"/>
    <s v="Storage"/>
    <s v="Eldon Mobile Mega Data Cart  Mega Stackable  Add-On Trays"/>
    <n v="236.5"/>
    <n v="10"/>
  </r>
  <r>
    <x v="85"/>
    <d v="2013-07-24T00:00:00"/>
    <n v="2"/>
    <x v="0"/>
    <s v="NP-18325"/>
    <s v="Naresj Patel"/>
    <s v="California"/>
    <x v="1"/>
    <s v="Tables"/>
    <s v="Safco Drafting Table"/>
    <n v="170.35200000000003"/>
    <n v="3"/>
  </r>
  <r>
    <x v="85"/>
    <d v="2013-07-28T00:00:00"/>
    <n v="6"/>
    <x v="1"/>
    <s v="AB-10255"/>
    <s v="Alejandro Ballentine"/>
    <s v="California"/>
    <x v="0"/>
    <s v="Art"/>
    <s v="Crayola Colored Pencils"/>
    <n v="19.68"/>
    <n v="6"/>
  </r>
  <r>
    <x v="86"/>
    <d v="2013-07-27T00:00:00"/>
    <n v="4"/>
    <x v="1"/>
    <s v="AG-10900"/>
    <s v="Arthur Gainer"/>
    <s v="Arizona"/>
    <x v="0"/>
    <s v="Binders"/>
    <s v="Wilson Jones Custom Binder Spines &amp; Labels"/>
    <n v="8.1600000000000019"/>
    <n v="5"/>
  </r>
  <r>
    <x v="86"/>
    <d v="2013-07-27T00:00:00"/>
    <n v="4"/>
    <x v="1"/>
    <s v="AG-10900"/>
    <s v="Arthur Gainer"/>
    <s v="Arizona"/>
    <x v="2"/>
    <s v="Accessories"/>
    <s v="NETGEAR AC1750 Dual Band Gigabit Smart WiFi Router"/>
    <n v="1023.9360000000001"/>
    <n v="8"/>
  </r>
  <r>
    <x v="86"/>
    <d v="2013-07-27T00:00:00"/>
    <n v="4"/>
    <x v="1"/>
    <s v="AG-10900"/>
    <s v="Arthur Gainer"/>
    <s v="Arizona"/>
    <x v="0"/>
    <s v="Art"/>
    <s v="Newell 324"/>
    <n v="9.24"/>
    <n v="1"/>
  </r>
  <r>
    <x v="86"/>
    <d v="2013-07-27T00:00:00"/>
    <n v="4"/>
    <x v="1"/>
    <s v="AG-10900"/>
    <s v="Arthur Gainer"/>
    <s v="Arizona"/>
    <x v="2"/>
    <s v="Accessories"/>
    <s v="Microsoft Natural Keyboard Elite"/>
    <n v="479.04"/>
    <n v="10"/>
  </r>
  <r>
    <x v="86"/>
    <d v="2013-07-27T00:00:00"/>
    <n v="4"/>
    <x v="1"/>
    <s v="NC-18535"/>
    <s v="Nick Crebassa"/>
    <s v="California"/>
    <x v="2"/>
    <s v="Phones"/>
    <s v="VTech DS6151"/>
    <n v="604.75199999999995"/>
    <n v="6"/>
  </r>
  <r>
    <x v="86"/>
    <d v="2013-07-27T00:00:00"/>
    <n v="4"/>
    <x v="1"/>
    <s v="NC-18535"/>
    <s v="Nick Crebassa"/>
    <s v="California"/>
    <x v="0"/>
    <s v="Supplies"/>
    <s v="Acme Softgrip Scissors"/>
    <n v="40.700000000000003"/>
    <n v="5"/>
  </r>
  <r>
    <x v="86"/>
    <d v="2013-07-27T00:00:00"/>
    <n v="4"/>
    <x v="1"/>
    <s v="NC-18535"/>
    <s v="Nick Crebassa"/>
    <s v="California"/>
    <x v="2"/>
    <s v="Phones"/>
    <s v="AT&amp;T CL2909"/>
    <n v="302.37599999999998"/>
    <n v="3"/>
  </r>
  <r>
    <x v="86"/>
    <d v="2013-07-27T00:00:00"/>
    <n v="4"/>
    <x v="1"/>
    <s v="NC-18535"/>
    <s v="Nick Crebassa"/>
    <s v="California"/>
    <x v="2"/>
    <s v="Accessories"/>
    <s v="Imation 8gb Micro Traveldrive Usb 2.0 Flash Drive"/>
    <n v="45"/>
    <n v="3"/>
  </r>
  <r>
    <x v="87"/>
    <d v="2013-07-27T00:00:00"/>
    <n v="2"/>
    <x v="0"/>
    <s v="KL-16645"/>
    <s v="Ken Lonsdale"/>
    <s v="California"/>
    <x v="0"/>
    <s v="Storage"/>
    <s v="Fellowes Personal Hanging Folder Files, Navy"/>
    <n v="53.72"/>
    <n v="4"/>
  </r>
  <r>
    <x v="87"/>
    <d v="2013-07-27T00:00:00"/>
    <n v="2"/>
    <x v="0"/>
    <s v="KL-16645"/>
    <s v="Ken Lonsdale"/>
    <s v="California"/>
    <x v="0"/>
    <s v="Supplies"/>
    <s v="High Speed Automatic Electric Letter Opener"/>
    <n v="8187.65"/>
    <n v="5"/>
  </r>
  <r>
    <x v="87"/>
    <d v="2013-07-27T00:00:00"/>
    <n v="2"/>
    <x v="0"/>
    <s v="KL-16645"/>
    <s v="Ken Lonsdale"/>
    <s v="California"/>
    <x v="1"/>
    <s v="Furnishings"/>
    <s v="Staple-based wall hangings"/>
    <n v="77.92"/>
    <n v="8"/>
  </r>
  <r>
    <x v="87"/>
    <d v="2013-07-27T00:00:00"/>
    <n v="2"/>
    <x v="0"/>
    <s v="VF-21715"/>
    <s v="Vicky Freymann"/>
    <s v="California"/>
    <x v="0"/>
    <s v="Paper"/>
    <s v="Xerox 1966"/>
    <n v="6.48"/>
    <n v="1"/>
  </r>
  <r>
    <x v="87"/>
    <d v="2013-07-27T00:00:00"/>
    <n v="2"/>
    <x v="0"/>
    <s v="VF-21715"/>
    <s v="Vicky Freymann"/>
    <s v="California"/>
    <x v="0"/>
    <s v="Supplies"/>
    <s v="Acme Kleen Earth Office Shears"/>
    <n v="15.52"/>
    <n v="4"/>
  </r>
  <r>
    <x v="88"/>
    <d v="2013-08-02T00:00:00"/>
    <n v="7"/>
    <x v="1"/>
    <s v="KM-16720"/>
    <s v="Kunst Miller"/>
    <s v="Nevada"/>
    <x v="2"/>
    <s v="Phones"/>
    <s v="Apple iPhone 5S"/>
    <n v="911.98400000000004"/>
    <n v="2"/>
  </r>
  <r>
    <x v="88"/>
    <d v="2013-08-02T00:00:00"/>
    <n v="7"/>
    <x v="1"/>
    <s v="KM-16720"/>
    <s v="Kunst Miller"/>
    <s v="Nevada"/>
    <x v="1"/>
    <s v="Chairs"/>
    <s v="Hon 2090 “Pillow Soft” Series Mid Back Swivel/Tilt Chairs"/>
    <n v="674.35200000000009"/>
    <n v="3"/>
  </r>
  <r>
    <x v="88"/>
    <d v="2013-08-02T00:00:00"/>
    <n v="7"/>
    <x v="1"/>
    <s v="KM-16720"/>
    <s v="Kunst Miller"/>
    <s v="Nevada"/>
    <x v="1"/>
    <s v="Furnishings"/>
    <s v="Tensor Computer Mounted Lamp"/>
    <n v="134.01"/>
    <n v="9"/>
  </r>
  <r>
    <x v="88"/>
    <d v="2013-08-02T00:00:00"/>
    <n v="7"/>
    <x v="1"/>
    <s v="KM-16720"/>
    <s v="Kunst Miller"/>
    <s v="Nevada"/>
    <x v="2"/>
    <s v="Accessories"/>
    <s v="Logitech Illuminated Ultrathin Keyboard with Backlighting"/>
    <n v="170.97"/>
    <n v="3"/>
  </r>
  <r>
    <x v="88"/>
    <d v="2013-08-01T00:00:00"/>
    <n v="6"/>
    <x v="1"/>
    <s v="JO-15145"/>
    <s v="Jack O'Briant"/>
    <s v="Utah"/>
    <x v="2"/>
    <s v="Accessories"/>
    <s v="Memorex Micro Travel Drive 16 GB"/>
    <n v="111.93"/>
    <n v="7"/>
  </r>
  <r>
    <x v="89"/>
    <d v="2013-07-29T00:00:00"/>
    <n v="2"/>
    <x v="0"/>
    <s v="GW-14605"/>
    <s v="Giulietta Weimer"/>
    <s v="California"/>
    <x v="2"/>
    <s v="Accessories"/>
    <s v="WD My Passport Ultra 2TB Portable External Hard Drive"/>
    <n v="238"/>
    <n v="2"/>
  </r>
  <r>
    <x v="89"/>
    <d v="2013-07-30T00:00:00"/>
    <n v="3"/>
    <x v="0"/>
    <s v="BB-10990"/>
    <s v="Barry Blumstein"/>
    <s v="California"/>
    <x v="0"/>
    <s v="Storage"/>
    <s v="SAFCO Commercial Wire Shelving, Black"/>
    <n v="276.27999999999997"/>
    <n v="2"/>
  </r>
  <r>
    <x v="90"/>
    <d v="2013-08-05T00:00:00"/>
    <n v="6"/>
    <x v="1"/>
    <s v="TS-21430"/>
    <s v="Tom Stivers"/>
    <s v="Washington"/>
    <x v="1"/>
    <s v="Bookcases"/>
    <s v="Rush Hierlooms Collection 1&quot; Thick Stackable Bookcases"/>
    <n v="1367.84"/>
    <n v="8"/>
  </r>
  <r>
    <x v="91"/>
    <d v="2013-08-03T00:00:00"/>
    <n v="2"/>
    <x v="2"/>
    <s v="IL-15100"/>
    <s v="Ivan Liston"/>
    <s v="California"/>
    <x v="0"/>
    <s v="Binders"/>
    <s v="Wilson Jones data.warehouse D-Ring Binders with DublLock"/>
    <n v="19.752000000000002"/>
    <n v="3"/>
  </r>
  <r>
    <x v="92"/>
    <d v="2013-08-05T00:00:00"/>
    <n v="2"/>
    <x v="2"/>
    <s v="BS-11755"/>
    <s v="Bruce Stewart"/>
    <s v="Colorado"/>
    <x v="1"/>
    <s v="Tables"/>
    <s v="BoxOffice By Design Rectangular and Half-Moon Meeting Room Tables"/>
    <n v="218.75"/>
    <n v="2"/>
  </r>
  <r>
    <x v="92"/>
    <d v="2013-08-05T00:00:00"/>
    <n v="2"/>
    <x v="2"/>
    <s v="BS-11755"/>
    <s v="Bruce Stewart"/>
    <s v="Colorado"/>
    <x v="0"/>
    <s v="Appliances"/>
    <s v="Bravo II Megaboss 12-Amp Hard Body Upright, Replacement Belts, 2 Belts per Pack"/>
    <n v="2.6"/>
    <n v="1"/>
  </r>
  <r>
    <x v="92"/>
    <d v="2013-08-05T00:00:00"/>
    <n v="2"/>
    <x v="0"/>
    <s v="GH-14410"/>
    <s v="Gary Hansen"/>
    <s v="Arizona"/>
    <x v="0"/>
    <s v="Paper"/>
    <s v="White Computer Printout Paper by Universal"/>
    <n v="93.024000000000001"/>
    <n v="3"/>
  </r>
  <r>
    <x v="93"/>
    <d v="2013-08-09T00:00:00"/>
    <n v="5"/>
    <x v="0"/>
    <s v="VD-21670"/>
    <s v="Valerie Dominguez"/>
    <s v="Utah"/>
    <x v="0"/>
    <s v="Appliances"/>
    <s v="Hoover WindTunnel Plus Canister Vacuum"/>
    <n v="1089.75"/>
    <n v="3"/>
  </r>
  <r>
    <x v="93"/>
    <d v="2013-08-09T00:00:00"/>
    <n v="5"/>
    <x v="0"/>
    <s v="VD-21670"/>
    <s v="Valerie Dominguez"/>
    <s v="Utah"/>
    <x v="0"/>
    <s v="Paper"/>
    <s v="Xerox 1934"/>
    <n v="447.84"/>
    <n v="8"/>
  </r>
  <r>
    <x v="93"/>
    <d v="2013-08-09T00:00:00"/>
    <n v="5"/>
    <x v="0"/>
    <s v="VD-21670"/>
    <s v="Valerie Dominguez"/>
    <s v="Utah"/>
    <x v="0"/>
    <s v="Art"/>
    <s v="Newell 329"/>
    <n v="16.399999999999999"/>
    <n v="5"/>
  </r>
  <r>
    <x v="93"/>
    <d v="2013-08-09T00:00:00"/>
    <n v="5"/>
    <x v="0"/>
    <s v="VD-21670"/>
    <s v="Valerie Dominguez"/>
    <s v="Utah"/>
    <x v="2"/>
    <s v="Phones"/>
    <s v="Panasonic KX T7731-B Digital phone"/>
    <n v="399.96000000000004"/>
    <n v="5"/>
  </r>
  <r>
    <x v="93"/>
    <d v="2013-08-09T00:00:00"/>
    <n v="5"/>
    <x v="0"/>
    <s v="VD-21670"/>
    <s v="Valerie Dominguez"/>
    <s v="Utah"/>
    <x v="0"/>
    <s v="Storage"/>
    <s v="Safco Wire Cube Shelving System, For Use as 4 or 5 14&quot; Cubes, Black"/>
    <n v="158.9"/>
    <n v="5"/>
  </r>
  <r>
    <x v="93"/>
    <d v="2013-08-09T00:00:00"/>
    <n v="5"/>
    <x v="0"/>
    <s v="VD-21670"/>
    <s v="Valerie Dominguez"/>
    <s v="Utah"/>
    <x v="0"/>
    <s v="Binders"/>
    <s v="Ibico Standard Transparent Covers"/>
    <n v="13.184000000000001"/>
    <n v="1"/>
  </r>
  <r>
    <x v="94"/>
    <d v="2013-08-09T00:00:00"/>
    <n v="4"/>
    <x v="1"/>
    <s v="CS-12130"/>
    <s v="Chad Sievert"/>
    <s v="California"/>
    <x v="0"/>
    <s v="Paper"/>
    <s v="Adams Phone Message Book, Professional, 400 Message Capacity, 5 3/6” x 11”"/>
    <n v="20.94"/>
    <n v="3"/>
  </r>
  <r>
    <x v="94"/>
    <d v="2013-08-09T00:00:00"/>
    <n v="4"/>
    <x v="1"/>
    <s v="CS-12130"/>
    <s v="Chad Sievert"/>
    <s v="California"/>
    <x v="0"/>
    <s v="Paper"/>
    <s v="Xerox 1913"/>
    <n v="110.96"/>
    <n v="2"/>
  </r>
  <r>
    <x v="94"/>
    <d v="2013-08-09T00:00:00"/>
    <n v="4"/>
    <x v="1"/>
    <s v="CS-12130"/>
    <s v="Chad Sievert"/>
    <s v="California"/>
    <x v="1"/>
    <s v="Chairs"/>
    <s v="Global Value Steno Chair, Gray"/>
    <n v="340.14400000000006"/>
    <n v="7"/>
  </r>
  <r>
    <x v="94"/>
    <d v="2013-08-11T00:00:00"/>
    <n v="6"/>
    <x v="1"/>
    <s v="SS-20590"/>
    <s v="Sonia Sunley"/>
    <s v="California"/>
    <x v="2"/>
    <s v="Accessories"/>
    <s v="Logitech Desktop MK120 Mouse and keyboard Combo"/>
    <n v="16.36"/>
    <n v="1"/>
  </r>
  <r>
    <x v="94"/>
    <d v="2013-08-11T00:00:00"/>
    <n v="6"/>
    <x v="1"/>
    <s v="SS-20590"/>
    <s v="Sonia Sunley"/>
    <s v="California"/>
    <x v="0"/>
    <s v="Storage"/>
    <s v="Akro Stacking Bins"/>
    <n v="15.78"/>
    <n v="2"/>
  </r>
  <r>
    <x v="94"/>
    <d v="2013-08-11T00:00:00"/>
    <n v="6"/>
    <x v="1"/>
    <s v="SS-20590"/>
    <s v="Sonia Sunley"/>
    <s v="California"/>
    <x v="0"/>
    <s v="Art"/>
    <s v="Boston KS Multi-Size Manual Pencil Sharpener"/>
    <n v="45.98"/>
    <n v="2"/>
  </r>
  <r>
    <x v="95"/>
    <d v="2013-08-15T00:00:00"/>
    <n v="7"/>
    <x v="1"/>
    <s v="LR-16915"/>
    <s v="Lena Radford"/>
    <s v="California"/>
    <x v="0"/>
    <s v="Appliances"/>
    <s v="Fellowes Superior 10 Outlet Split Surge Protector"/>
    <n v="76.12"/>
    <n v="2"/>
  </r>
  <r>
    <x v="95"/>
    <d v="2013-08-15T00:00:00"/>
    <n v="7"/>
    <x v="1"/>
    <s v="LR-16915"/>
    <s v="Lena Radford"/>
    <s v="California"/>
    <x v="2"/>
    <s v="Copiers"/>
    <s v="Sharp AL-1530CS Digital Copier"/>
    <n v="1199.9760000000001"/>
    <n v="3"/>
  </r>
  <r>
    <x v="95"/>
    <d v="2013-08-15T00:00:00"/>
    <n v="7"/>
    <x v="1"/>
    <s v="LR-16915"/>
    <s v="Lena Radford"/>
    <s v="California"/>
    <x v="2"/>
    <s v="Phones"/>
    <s v="AT&amp;T 1070 Corded Phone"/>
    <n v="445.96000000000004"/>
    <n v="5"/>
  </r>
  <r>
    <x v="95"/>
    <d v="2013-08-15T00:00:00"/>
    <n v="7"/>
    <x v="1"/>
    <s v="LR-16915"/>
    <s v="Lena Radford"/>
    <s v="California"/>
    <x v="1"/>
    <s v="Furnishings"/>
    <s v="Dana Halogen Swing-Arm Architect Lamp"/>
    <n v="327.76"/>
    <n v="8"/>
  </r>
  <r>
    <x v="95"/>
    <d v="2013-08-14T00:00:00"/>
    <n v="6"/>
    <x v="1"/>
    <s v="MB-17305"/>
    <s v="Maria Bertelson"/>
    <s v="Arizona"/>
    <x v="1"/>
    <s v="Furnishings"/>
    <s v="Eldon Delta Triangular Chair Mat, 52&quot; x 58&quot;, Clear"/>
    <n v="121.376"/>
    <n v="4"/>
  </r>
  <r>
    <x v="95"/>
    <d v="2013-08-14T00:00:00"/>
    <n v="6"/>
    <x v="1"/>
    <s v="MB-17305"/>
    <s v="Maria Bertelson"/>
    <s v="Arizona"/>
    <x v="2"/>
    <s v="Accessories"/>
    <s v="SanDisk Ultra 64 GB MicroSDHC Class 10 Memory Card"/>
    <n v="95.976000000000013"/>
    <n v="3"/>
  </r>
  <r>
    <x v="95"/>
    <d v="2013-08-11T00:00:00"/>
    <n v="3"/>
    <x v="0"/>
    <s v="TM-21010"/>
    <s v="Tamara Manning"/>
    <s v="California"/>
    <x v="0"/>
    <s v="Storage"/>
    <s v="Advantus Rolling Drawer Organizers"/>
    <n v="423.28"/>
    <n v="11"/>
  </r>
  <r>
    <x v="96"/>
    <d v="2013-08-16T00:00:00"/>
    <n v="7"/>
    <x v="1"/>
    <s v="ED-13885"/>
    <s v="Emily Ducich"/>
    <s v="California"/>
    <x v="0"/>
    <s v="Labels"/>
    <s v="Avery 494"/>
    <n v="20.88"/>
    <n v="8"/>
  </r>
  <r>
    <x v="96"/>
    <d v="2013-08-13T00:00:00"/>
    <n v="4"/>
    <x v="1"/>
    <s v="MG-17650"/>
    <s v="Matthew Grinstein"/>
    <s v="Washington"/>
    <x v="2"/>
    <s v="Phones"/>
    <s v="Cisco Unified IP Phone 7945G VoIP phone"/>
    <n v="1091.1680000000001"/>
    <n v="4"/>
  </r>
  <r>
    <x v="96"/>
    <d v="2013-08-13T00:00:00"/>
    <n v="4"/>
    <x v="1"/>
    <s v="MG-17650"/>
    <s v="Matthew Grinstein"/>
    <s v="Washington"/>
    <x v="2"/>
    <s v="Phones"/>
    <s v="Jawbone MINI JAMBOX Wireless Bluetooth Speaker"/>
    <n v="219.16800000000001"/>
    <n v="2"/>
  </r>
  <r>
    <x v="96"/>
    <d v="2013-08-13T00:00:00"/>
    <n v="4"/>
    <x v="1"/>
    <s v="JH-15985"/>
    <s v="Joseph Holt"/>
    <s v="Washington"/>
    <x v="0"/>
    <s v="Binders"/>
    <s v="Ibico Ibimaster 300 Manual Binding System"/>
    <n v="2060.7440000000001"/>
    <n v="7"/>
  </r>
  <r>
    <x v="96"/>
    <d v="2013-08-14T00:00:00"/>
    <n v="5"/>
    <x v="1"/>
    <s v="GM-14500"/>
    <s v="Gene McClure"/>
    <s v="California"/>
    <x v="0"/>
    <s v="Paper"/>
    <s v="Great White Multi-Use Recycled Paper (20Lb. and 84 Bright)"/>
    <n v="5.98"/>
    <n v="1"/>
  </r>
  <r>
    <x v="96"/>
    <d v="2013-08-13T00:00:00"/>
    <n v="4"/>
    <x v="1"/>
    <s v="RD-19720"/>
    <s v="Roger Demir"/>
    <s v="Arizona"/>
    <x v="0"/>
    <s v="Fasteners"/>
    <s v="Super Bands, 12/Pack"/>
    <n v="4.4640000000000004"/>
    <n v="3"/>
  </r>
  <r>
    <x v="96"/>
    <d v="2013-08-13T00:00:00"/>
    <n v="4"/>
    <x v="1"/>
    <s v="RD-19720"/>
    <s v="Roger Demir"/>
    <s v="Arizona"/>
    <x v="0"/>
    <s v="Binders"/>
    <s v="Avery Hole Reinforcements"/>
    <n v="9.3450000000000024"/>
    <n v="5"/>
  </r>
  <r>
    <x v="97"/>
    <d v="2013-08-15T00:00:00"/>
    <n v="4"/>
    <x v="1"/>
    <s v="GM-14680"/>
    <s v="Greg Matthias"/>
    <s v="Washington"/>
    <x v="1"/>
    <s v="Furnishings"/>
    <s v="Eldon Image Series Desk Accessories, Ebony"/>
    <n v="12.35"/>
    <n v="1"/>
  </r>
  <r>
    <x v="97"/>
    <d v="2013-08-15T00:00:00"/>
    <n v="4"/>
    <x v="1"/>
    <s v="GM-14680"/>
    <s v="Greg Matthias"/>
    <s v="Washington"/>
    <x v="0"/>
    <s v="Art"/>
    <s v="Sanford 52201 APSCO Electric Pencil Sharpener"/>
    <n v="40.97"/>
    <n v="1"/>
  </r>
  <r>
    <x v="97"/>
    <d v="2013-08-15T00:00:00"/>
    <n v="4"/>
    <x v="1"/>
    <s v="GM-14680"/>
    <s v="Greg Matthias"/>
    <s v="Washington"/>
    <x v="0"/>
    <s v="Fasteners"/>
    <s v="Vinyl Coated Wire Paper Clips in Organizer Box, 800/Box"/>
    <n v="22.96"/>
    <n v="2"/>
  </r>
  <r>
    <x v="98"/>
    <d v="2013-08-16T00:00:00"/>
    <n v="4"/>
    <x v="1"/>
    <s v="BW-11200"/>
    <s v="Ben Wallace"/>
    <s v="California"/>
    <x v="2"/>
    <s v="Phones"/>
    <s v="BlackBerry Q10"/>
    <n v="806.33600000000001"/>
    <n v="8"/>
  </r>
  <r>
    <x v="98"/>
    <d v="2013-08-16T00:00:00"/>
    <n v="4"/>
    <x v="1"/>
    <s v="BW-11200"/>
    <s v="Ben Wallace"/>
    <s v="California"/>
    <x v="1"/>
    <s v="Furnishings"/>
    <s v="Seth Thomas 14&quot; Day/Date Wall Clock"/>
    <n v="85.44"/>
    <n v="3"/>
  </r>
  <r>
    <x v="99"/>
    <d v="2013-08-19T00:00:00"/>
    <n v="4"/>
    <x v="1"/>
    <s v="BD-11605"/>
    <s v="Brian Dahlen"/>
    <s v="California"/>
    <x v="0"/>
    <s v="Appliances"/>
    <s v="Tripp Lite TLP810NET Broadband Surge for Modem/Fax"/>
    <n v="152.91"/>
    <n v="3"/>
  </r>
  <r>
    <x v="99"/>
    <d v="2013-08-19T00:00:00"/>
    <n v="4"/>
    <x v="1"/>
    <s v="BD-11605"/>
    <s v="Brian Dahlen"/>
    <s v="California"/>
    <x v="0"/>
    <s v="Paper"/>
    <s v="Xerox 1925"/>
    <n v="92.94"/>
    <n v="3"/>
  </r>
  <r>
    <x v="99"/>
    <d v="2013-08-19T00:00:00"/>
    <n v="4"/>
    <x v="1"/>
    <s v="BD-11605"/>
    <s v="Brian Dahlen"/>
    <s v="California"/>
    <x v="0"/>
    <s v="Binders"/>
    <s v="Avery Heavy-Duty EZD  Binder With Locking Rings"/>
    <n v="17.856000000000002"/>
    <n v="4"/>
  </r>
  <r>
    <x v="99"/>
    <d v="2013-08-19T00:00:00"/>
    <n v="4"/>
    <x v="1"/>
    <s v="BD-11605"/>
    <s v="Brian Dahlen"/>
    <s v="California"/>
    <x v="0"/>
    <s v="Binders"/>
    <s v="GBC Durable Plastic Covers"/>
    <n v="46.440000000000005"/>
    <n v="3"/>
  </r>
  <r>
    <x v="99"/>
    <d v="2013-08-19T00:00:00"/>
    <n v="4"/>
    <x v="1"/>
    <s v="BD-11605"/>
    <s v="Brian Dahlen"/>
    <s v="California"/>
    <x v="1"/>
    <s v="Chairs"/>
    <s v="Novimex Fabric Task Chair"/>
    <n v="195.136"/>
    <n v="4"/>
  </r>
  <r>
    <x v="100"/>
    <d v="2013-08-21T00:00:00"/>
    <n v="2"/>
    <x v="0"/>
    <s v="DW-13195"/>
    <s v="David Wiener"/>
    <s v="California"/>
    <x v="1"/>
    <s v="Furnishings"/>
    <s v="Deflect-o EconoMat Studded, No Bevel Mat for Low Pile Carpeting"/>
    <n v="289.24"/>
    <n v="7"/>
  </r>
  <r>
    <x v="100"/>
    <d v="2013-08-21T00:00:00"/>
    <n v="2"/>
    <x v="0"/>
    <s v="DW-13195"/>
    <s v="David Wiener"/>
    <s v="California"/>
    <x v="0"/>
    <s v="Binders"/>
    <s v="Satellite Sectional Post Binders"/>
    <n v="69.456000000000003"/>
    <n v="2"/>
  </r>
  <r>
    <x v="101"/>
    <d v="2013-08-27T00:00:00"/>
    <n v="4"/>
    <x v="0"/>
    <s v="RB-19645"/>
    <s v="Robert Barroso"/>
    <s v="California"/>
    <x v="0"/>
    <s v="Binders"/>
    <s v="GBC Linen Binding Covers"/>
    <n v="49.568000000000005"/>
    <n v="2"/>
  </r>
  <r>
    <x v="101"/>
    <d v="2013-08-27T00:00:00"/>
    <n v="4"/>
    <x v="1"/>
    <s v="AP-10915"/>
    <s v="Arthur Prichep"/>
    <s v="Colorado"/>
    <x v="0"/>
    <s v="Paper"/>
    <s v="Xerox 1976"/>
    <n v="15.552000000000003"/>
    <n v="3"/>
  </r>
  <r>
    <x v="101"/>
    <d v="2013-08-27T00:00:00"/>
    <n v="4"/>
    <x v="1"/>
    <s v="AP-10915"/>
    <s v="Arthur Prichep"/>
    <s v="Colorado"/>
    <x v="0"/>
    <s v="Supplies"/>
    <s v="Acme Titanium Bonded Scissors"/>
    <n v="6.8000000000000007"/>
    <n v="1"/>
  </r>
  <r>
    <x v="101"/>
    <d v="2013-08-27T00:00:00"/>
    <n v="4"/>
    <x v="1"/>
    <s v="AP-10915"/>
    <s v="Arthur Prichep"/>
    <s v="Colorado"/>
    <x v="1"/>
    <s v="Furnishings"/>
    <s v="Regeneration Desk Collection"/>
    <n v="4.2240000000000002"/>
    <n v="3"/>
  </r>
  <r>
    <x v="101"/>
    <d v="2013-08-27T00:00:00"/>
    <n v="4"/>
    <x v="1"/>
    <s v="AP-10915"/>
    <s v="Arthur Prichep"/>
    <s v="Colorado"/>
    <x v="2"/>
    <s v="Phones"/>
    <s v="Cisco SPA525G2 IP Phone - Wireless"/>
    <n v="143.64000000000001"/>
    <n v="9"/>
  </r>
  <r>
    <x v="101"/>
    <d v="2013-08-27T00:00:00"/>
    <n v="4"/>
    <x v="1"/>
    <s v="AP-10915"/>
    <s v="Arthur Prichep"/>
    <s v="Colorado"/>
    <x v="0"/>
    <s v="Paper"/>
    <s v="Xerox 1931"/>
    <n v="31.104000000000006"/>
    <n v="6"/>
  </r>
  <r>
    <x v="101"/>
    <d v="2013-08-27T00:00:00"/>
    <n v="4"/>
    <x v="1"/>
    <s v="AP-10915"/>
    <s v="Arthur Prichep"/>
    <s v="Colorado"/>
    <x v="0"/>
    <s v="Paper"/>
    <s v="Xerox 1988"/>
    <n v="223.05600000000001"/>
    <n v="9"/>
  </r>
  <r>
    <x v="102"/>
    <d v="2013-08-24T00:00:00"/>
    <n v="0"/>
    <x v="3"/>
    <s v="RB-19645"/>
    <s v="Robert Barroso"/>
    <s v="Montana"/>
    <x v="0"/>
    <s v="Binders"/>
    <s v="SlimView Poly Binder, 3/8&quot;"/>
    <n v="8.2880000000000003"/>
    <n v="2"/>
  </r>
  <r>
    <x v="103"/>
    <d v="2013-08-29T00:00:00"/>
    <n v="4"/>
    <x v="1"/>
    <s v="JM-15265"/>
    <s v="Janet Molinari"/>
    <s v="California"/>
    <x v="1"/>
    <s v="Furnishings"/>
    <s v="Eldon 200 Class Desk Accessories, Smoke"/>
    <n v="6.28"/>
    <n v="1"/>
  </r>
  <r>
    <x v="103"/>
    <d v="2013-08-29T00:00:00"/>
    <n v="4"/>
    <x v="1"/>
    <s v="JM-15265"/>
    <s v="Janet Molinari"/>
    <s v="California"/>
    <x v="2"/>
    <s v="Accessories"/>
    <s v="SanDisk Cruzer 32 GB USB Flash Drive"/>
    <n v="95.1"/>
    <n v="5"/>
  </r>
  <r>
    <x v="103"/>
    <d v="2013-08-29T00:00:00"/>
    <n v="4"/>
    <x v="1"/>
    <s v="JM-15265"/>
    <s v="Janet Molinari"/>
    <s v="California"/>
    <x v="0"/>
    <s v="Paper"/>
    <s v="Xerox 23"/>
    <n v="25.92"/>
    <n v="4"/>
  </r>
  <r>
    <x v="103"/>
    <d v="2013-08-29T00:00:00"/>
    <n v="4"/>
    <x v="1"/>
    <s v="JM-15265"/>
    <s v="Janet Molinari"/>
    <s v="California"/>
    <x v="0"/>
    <s v="Storage"/>
    <s v="Portable Personal File Box"/>
    <n v="48.84"/>
    <n v="4"/>
  </r>
  <r>
    <x v="103"/>
    <d v="2013-08-30T00:00:00"/>
    <n v="5"/>
    <x v="1"/>
    <s v="MW-18220"/>
    <s v="Mitch Webber"/>
    <s v="Washington"/>
    <x v="2"/>
    <s v="Phones"/>
    <s v="Polycom VVX 310 VoIP phone"/>
    <n v="1007.9440000000002"/>
    <n v="7"/>
  </r>
  <r>
    <x v="104"/>
    <d v="2013-08-30T00:00:00"/>
    <n v="4"/>
    <x v="1"/>
    <s v="FM-14290"/>
    <s v="Frank Merwin"/>
    <s v="California"/>
    <x v="2"/>
    <s v="Accessories"/>
    <s v="SanDisk Ultra 32 GB MicroSDHC Class 10 Memory Card"/>
    <n v="176.8"/>
    <n v="8"/>
  </r>
  <r>
    <x v="105"/>
    <d v="2013-09-01T00:00:00"/>
    <n v="5"/>
    <x v="0"/>
    <s v="ZD-21925"/>
    <s v="Zuschuss Donatelli"/>
    <s v="California"/>
    <x v="0"/>
    <s v="Art"/>
    <s v="Newell 341"/>
    <n v="8.56"/>
    <n v="2"/>
  </r>
  <r>
    <x v="105"/>
    <d v="2013-09-01T00:00:00"/>
    <n v="5"/>
    <x v="0"/>
    <s v="ZD-21925"/>
    <s v="Zuschuss Donatelli"/>
    <s v="California"/>
    <x v="2"/>
    <s v="Phones"/>
    <s v="Cisco SPA 501G IP Phone"/>
    <n v="213.48000000000002"/>
    <n v="3"/>
  </r>
  <r>
    <x v="105"/>
    <d v="2013-09-01T00:00:00"/>
    <n v="5"/>
    <x v="0"/>
    <s v="ZD-21925"/>
    <s v="Zuschuss Donatelli"/>
    <s v="California"/>
    <x v="0"/>
    <s v="Binders"/>
    <s v="Wilson Jones Hanging View Binder, White, 1&quot;"/>
    <n v="22.72"/>
    <n v="4"/>
  </r>
  <r>
    <x v="106"/>
    <d v="2013-08-29T00:00:00"/>
    <n v="0"/>
    <x v="3"/>
    <s v="HH-15010"/>
    <s v="Hilary Holden"/>
    <s v="California"/>
    <x v="0"/>
    <s v="Paper"/>
    <s v="Xerox 1940"/>
    <n v="109.92"/>
    <n v="2"/>
  </r>
  <r>
    <x v="106"/>
    <d v="2013-08-29T00:00:00"/>
    <n v="0"/>
    <x v="3"/>
    <s v="HH-15010"/>
    <s v="Hilary Holden"/>
    <s v="California"/>
    <x v="0"/>
    <s v="Paper"/>
    <s v="Xerox 1986"/>
    <n v="13.36"/>
    <n v="2"/>
  </r>
  <r>
    <x v="107"/>
    <d v="2013-09-05T00:00:00"/>
    <n v="5"/>
    <x v="1"/>
    <s v="SJ-20500"/>
    <s v="Shirley Jackson"/>
    <s v="New Mexico"/>
    <x v="2"/>
    <s v="Accessories"/>
    <s v="KeyTronic KT400U2 - Keyboard - Black"/>
    <n v="92.52"/>
    <n v="9"/>
  </r>
  <r>
    <x v="108"/>
    <d v="2013-09-05T00:00:00"/>
    <n v="4"/>
    <x v="0"/>
    <s v="LT-16765"/>
    <s v="Larry Tron"/>
    <s v="California"/>
    <x v="0"/>
    <s v="Art"/>
    <s v="BOSTON Model 1800 Electric Pencil Sharpeners, Putty/Woodgrain"/>
    <n v="53.94"/>
    <n v="3"/>
  </r>
  <r>
    <x v="109"/>
    <d v="2013-09-09T00:00:00"/>
    <n v="3"/>
    <x v="2"/>
    <s v="VP-21760"/>
    <s v="Victoria Pisteka"/>
    <s v="California"/>
    <x v="1"/>
    <s v="Furnishings"/>
    <s v="Eldon Expressions Wood and Plastic Desk Accessories, Cherry Wood"/>
    <n v="41.88"/>
    <n v="6"/>
  </r>
  <r>
    <x v="109"/>
    <d v="2013-09-09T00:00:00"/>
    <n v="3"/>
    <x v="2"/>
    <s v="VP-21760"/>
    <s v="Victoria Pisteka"/>
    <s v="California"/>
    <x v="0"/>
    <s v="Labels"/>
    <s v="Avery 516"/>
    <n v="58.48"/>
    <n v="8"/>
  </r>
  <r>
    <x v="110"/>
    <d v="2013-09-12T00:00:00"/>
    <n v="5"/>
    <x v="0"/>
    <s v="LR-17035"/>
    <s v="Lisa Ryan"/>
    <s v="California"/>
    <x v="0"/>
    <s v="Supplies"/>
    <s v="Acme Design Line 8&quot; Stainless Steel Bent Scissors w/Champagne Handles, 3-1/8&quot; Cut"/>
    <n v="27.36"/>
    <n v="4"/>
  </r>
  <r>
    <x v="110"/>
    <d v="2013-09-12T00:00:00"/>
    <n v="5"/>
    <x v="0"/>
    <s v="LR-17035"/>
    <s v="Lisa Ryan"/>
    <s v="California"/>
    <x v="0"/>
    <s v="Paper"/>
    <s v="Message Book, Wirebound, Four 5 1/2&quot; X 4&quot; Forms/Pg., 200 Dupl. Sets/Book"/>
    <n v="20.56"/>
    <n v="2"/>
  </r>
  <r>
    <x v="110"/>
    <d v="2013-09-12T00:00:00"/>
    <n v="5"/>
    <x v="0"/>
    <s v="LR-17035"/>
    <s v="Lisa Ryan"/>
    <s v="California"/>
    <x v="0"/>
    <s v="Binders"/>
    <s v="Avery Legal 4-Ring Binder"/>
    <n v="83.920000000000016"/>
    <n v="5"/>
  </r>
  <r>
    <x v="111"/>
    <d v="2013-09-12T00:00:00"/>
    <n v="4"/>
    <x v="1"/>
    <s v="GZ-14470"/>
    <s v="Gary Zandusky"/>
    <s v="California"/>
    <x v="2"/>
    <s v="Accessories"/>
    <s v="Logitech Wireless Touch Keyboard K400"/>
    <n v="49.98"/>
    <n v="2"/>
  </r>
  <r>
    <x v="111"/>
    <d v="2013-09-14T00:00:00"/>
    <n v="6"/>
    <x v="1"/>
    <s v="DP-13390"/>
    <s v="Dennis Pardue"/>
    <s v="California"/>
    <x v="0"/>
    <s v="Appliances"/>
    <s v="Holmes Replacement Filter for HEPA Air Cleaner, Medium Room"/>
    <n v="56.65"/>
    <n v="5"/>
  </r>
  <r>
    <x v="111"/>
    <d v="2013-09-14T00:00:00"/>
    <n v="6"/>
    <x v="1"/>
    <s v="DP-13390"/>
    <s v="Dennis Pardue"/>
    <s v="California"/>
    <x v="0"/>
    <s v="Storage"/>
    <s v="Pizazz Global Quick File"/>
    <n v="14.97"/>
    <n v="1"/>
  </r>
  <r>
    <x v="111"/>
    <d v="2013-09-14T00:00:00"/>
    <n v="6"/>
    <x v="1"/>
    <s v="DP-13390"/>
    <s v="Dennis Pardue"/>
    <s v="California"/>
    <x v="0"/>
    <s v="Fasteners"/>
    <s v="Ideal Clamps"/>
    <n v="4.0199999999999996"/>
    <n v="2"/>
  </r>
  <r>
    <x v="111"/>
    <d v="2013-09-14T00:00:00"/>
    <n v="6"/>
    <x v="1"/>
    <s v="MC-17275"/>
    <s v="Marc Crier"/>
    <s v="Washington"/>
    <x v="0"/>
    <s v="Art"/>
    <s v="Prang Colored Pencils"/>
    <n v="5.88"/>
    <n v="2"/>
  </r>
  <r>
    <x v="111"/>
    <d v="2013-09-14T00:00:00"/>
    <n v="6"/>
    <x v="1"/>
    <s v="MC-17275"/>
    <s v="Marc Crier"/>
    <s v="Washington"/>
    <x v="1"/>
    <s v="Chairs"/>
    <s v="Hon Deluxe Fabric Upholstered Stacking Chairs, Rounded Back"/>
    <n v="975.92"/>
    <n v="5"/>
  </r>
  <r>
    <x v="111"/>
    <d v="2013-09-14T00:00:00"/>
    <n v="6"/>
    <x v="1"/>
    <s v="MC-17275"/>
    <s v="Marc Crier"/>
    <s v="Washington"/>
    <x v="0"/>
    <s v="Art"/>
    <s v="Hunt PowerHouse Electric Pencil Sharpener, Blue"/>
    <n v="303.83999999999997"/>
    <n v="8"/>
  </r>
  <r>
    <x v="111"/>
    <d v="2013-09-14T00:00:00"/>
    <n v="6"/>
    <x v="1"/>
    <s v="MC-17275"/>
    <s v="Marc Crier"/>
    <s v="Washington"/>
    <x v="0"/>
    <s v="Storage"/>
    <s v="Carina Double Wide Media Storage Towers in Natural &amp; Black"/>
    <n v="485.88"/>
    <n v="6"/>
  </r>
  <r>
    <x v="111"/>
    <d v="2013-09-13T00:00:00"/>
    <n v="5"/>
    <x v="1"/>
    <s v="TS-21340"/>
    <s v="Toby Swindell"/>
    <s v="California"/>
    <x v="0"/>
    <s v="Binders"/>
    <s v="Acco PRESSTEX Data Binder with Storage Hooks, Light Blue, 9 1/2&quot; X 11&quot;"/>
    <n v="8.6080000000000005"/>
    <n v="2"/>
  </r>
  <r>
    <x v="112"/>
    <d v="2013-09-16T00:00:00"/>
    <n v="6"/>
    <x v="1"/>
    <s v="CL-12565"/>
    <s v="Clay Ludtke"/>
    <s v="Oregon"/>
    <x v="0"/>
    <s v="Envelopes"/>
    <s v="Peel &amp; Seel Envelopes"/>
    <n v="21.728000000000002"/>
    <n v="7"/>
  </r>
  <r>
    <x v="112"/>
    <d v="2013-09-16T00:00:00"/>
    <n v="6"/>
    <x v="1"/>
    <s v="CL-12565"/>
    <s v="Clay Ludtke"/>
    <s v="Oregon"/>
    <x v="1"/>
    <s v="Chairs"/>
    <s v="GuestStacker Chair with Chrome Finish Legs"/>
    <n v="1487.04"/>
    <n v="5"/>
  </r>
  <r>
    <x v="113"/>
    <d v="2013-09-16T00:00:00"/>
    <n v="5"/>
    <x v="1"/>
    <s v="LW-17125"/>
    <s v="Liz Willingham"/>
    <s v="California"/>
    <x v="1"/>
    <s v="Furnishings"/>
    <s v="Deflect-o DuraMat Lighweight, Studded, Beveled Mat for Low Pile Carpeting"/>
    <n v="127.94999999999999"/>
    <n v="3"/>
  </r>
  <r>
    <x v="114"/>
    <d v="2013-09-17T00:00:00"/>
    <n v="4"/>
    <x v="1"/>
    <s v="ON-18715"/>
    <s v="Odella Nelson"/>
    <s v="Arizona"/>
    <x v="0"/>
    <s v="Storage"/>
    <s v="Eldon File Chest Portable File"/>
    <n v="79.400000000000006"/>
    <n v="5"/>
  </r>
  <r>
    <x v="114"/>
    <d v="2013-09-13T00:00:00"/>
    <n v="0"/>
    <x v="3"/>
    <s v="RP-19390"/>
    <s v="Resi Pölking"/>
    <s v="Washington"/>
    <x v="0"/>
    <s v="Fasteners"/>
    <s v="OIC Thumb-Tacks"/>
    <n v="5.6999999999999993"/>
    <n v="5"/>
  </r>
  <r>
    <x v="114"/>
    <d v="2013-09-13T00:00:00"/>
    <n v="0"/>
    <x v="3"/>
    <s v="RP-19390"/>
    <s v="Resi Pölking"/>
    <s v="Washington"/>
    <x v="1"/>
    <s v="Furnishings"/>
    <s v="C-Line Cubicle Keepers Polyproplyene Holder With Velcro Backings"/>
    <n v="14.190000000000001"/>
    <n v="3"/>
  </r>
  <r>
    <x v="114"/>
    <d v="2013-09-13T00:00:00"/>
    <n v="0"/>
    <x v="3"/>
    <s v="RP-19390"/>
    <s v="Resi Pölking"/>
    <s v="Washington"/>
    <x v="0"/>
    <s v="Supplies"/>
    <s v="Acme Value Line Scissors"/>
    <n v="7.3"/>
    <n v="2"/>
  </r>
  <r>
    <x v="114"/>
    <d v="2013-09-13T00:00:00"/>
    <n v="0"/>
    <x v="3"/>
    <s v="RP-19390"/>
    <s v="Resi Pölking"/>
    <s v="Washington"/>
    <x v="2"/>
    <s v="Accessories"/>
    <s v="Logitech Wireless Performance Mouse MX for PC and Mac"/>
    <n v="199.98"/>
    <n v="2"/>
  </r>
  <r>
    <x v="114"/>
    <d v="2013-09-13T00:00:00"/>
    <n v="0"/>
    <x v="3"/>
    <s v="RP-19390"/>
    <s v="Resi Pölking"/>
    <s v="Washington"/>
    <x v="2"/>
    <s v="Accessories"/>
    <s v="Memorex Mini Travel Drive 64 GB USB 2.0 Flash Drive"/>
    <n v="144.96"/>
    <n v="4"/>
  </r>
  <r>
    <x v="114"/>
    <d v="2013-09-13T00:00:00"/>
    <n v="0"/>
    <x v="3"/>
    <s v="RP-19390"/>
    <s v="Resi Pölking"/>
    <s v="Washington"/>
    <x v="2"/>
    <s v="Accessories"/>
    <s v="WD My Passport Ultra 500GB Portable External Hard Drive"/>
    <n v="118"/>
    <n v="2"/>
  </r>
  <r>
    <x v="114"/>
    <d v="2013-09-13T00:00:00"/>
    <n v="0"/>
    <x v="3"/>
    <s v="RP-19390"/>
    <s v="Resi Pölking"/>
    <s v="Washington"/>
    <x v="0"/>
    <s v="Paper"/>
    <s v="Xerox 1942"/>
    <n v="48.94"/>
    <n v="1"/>
  </r>
  <r>
    <x v="114"/>
    <d v="2013-09-13T00:00:00"/>
    <n v="0"/>
    <x v="3"/>
    <s v="RP-19390"/>
    <s v="Resi Pölking"/>
    <s v="Washington"/>
    <x v="0"/>
    <s v="Appliances"/>
    <s v="Holmes Replacement Filter for HEPA Air Cleaner, Medium Room"/>
    <n v="22.66"/>
    <n v="2"/>
  </r>
  <r>
    <x v="115"/>
    <d v="2013-09-21T00:00:00"/>
    <n v="4"/>
    <x v="1"/>
    <s v="BN-11515"/>
    <s v="Bradley Nguyen"/>
    <s v="Washington"/>
    <x v="0"/>
    <s v="Storage"/>
    <s v="Eldon Gobal File Keepers"/>
    <n v="30.28"/>
    <n v="2"/>
  </r>
  <r>
    <x v="115"/>
    <d v="2013-09-21T00:00:00"/>
    <n v="4"/>
    <x v="1"/>
    <s v="BN-11515"/>
    <s v="Bradley Nguyen"/>
    <s v="Washington"/>
    <x v="0"/>
    <s v="Storage"/>
    <s v="Eldon ProFile File 'N Store Portable File Tub Letter/Legal Size Black"/>
    <n v="57.929999999999993"/>
    <n v="3"/>
  </r>
  <r>
    <x v="115"/>
    <d v="2013-09-21T00:00:00"/>
    <n v="4"/>
    <x v="1"/>
    <s v="BN-11515"/>
    <s v="Bradley Nguyen"/>
    <s v="Washington"/>
    <x v="1"/>
    <s v="Furnishings"/>
    <s v="Executive Impressions 12&quot; Wall Clock"/>
    <n v="35.340000000000003"/>
    <n v="2"/>
  </r>
  <r>
    <x v="115"/>
    <d v="2013-09-21T00:00:00"/>
    <n v="4"/>
    <x v="1"/>
    <s v="BN-11515"/>
    <s v="Bradley Nguyen"/>
    <s v="Washington"/>
    <x v="0"/>
    <s v="Binders"/>
    <s v="GBC Prestige Therm-A-Bind Covers"/>
    <n v="137.24"/>
    <n v="5"/>
  </r>
  <r>
    <x v="115"/>
    <d v="2013-09-21T00:00:00"/>
    <n v="4"/>
    <x v="1"/>
    <s v="NR-18550"/>
    <s v="Nick Radford"/>
    <s v="California"/>
    <x v="0"/>
    <s v="Envelopes"/>
    <s v="Tyvek Interoffice Envelopes, 9 1/2&quot; x 12 1/2&quot;, 100/Box"/>
    <n v="182.94"/>
    <n v="3"/>
  </r>
  <r>
    <x v="115"/>
    <d v="2013-09-22T00:00:00"/>
    <n v="5"/>
    <x v="1"/>
    <s v="JA-15970"/>
    <s v="Joseph Airdo"/>
    <s v="Oregon"/>
    <x v="0"/>
    <s v="Art"/>
    <s v="Newell 313"/>
    <n v="5.2480000000000002"/>
    <n v="2"/>
  </r>
  <r>
    <x v="115"/>
    <d v="2013-09-22T00:00:00"/>
    <n v="5"/>
    <x v="1"/>
    <s v="JA-15970"/>
    <s v="Joseph Airdo"/>
    <s v="Oregon"/>
    <x v="0"/>
    <s v="Art"/>
    <s v="Boston 16701 Slimline Battery Pencil Sharpener"/>
    <n v="38.256"/>
    <n v="3"/>
  </r>
  <r>
    <x v="115"/>
    <d v="2013-09-22T00:00:00"/>
    <n v="5"/>
    <x v="1"/>
    <s v="JA-15970"/>
    <s v="Joseph Airdo"/>
    <s v="Oregon"/>
    <x v="0"/>
    <s v="Paper"/>
    <s v="Riverleaf Stik-Withit Designer Note Cubes"/>
    <n v="40.24"/>
    <n v="5"/>
  </r>
  <r>
    <x v="115"/>
    <d v="2013-09-22T00:00:00"/>
    <n v="5"/>
    <x v="1"/>
    <s v="JA-15970"/>
    <s v="Joseph Airdo"/>
    <s v="Oregon"/>
    <x v="2"/>
    <s v="Machines"/>
    <s v="Plantronics Single Ear Headset"/>
    <n v="29.925000000000001"/>
    <n v="5"/>
  </r>
  <r>
    <x v="115"/>
    <d v="2013-09-22T00:00:00"/>
    <n v="5"/>
    <x v="1"/>
    <s v="JA-15970"/>
    <s v="Joseph Airdo"/>
    <s v="Oregon"/>
    <x v="0"/>
    <s v="Paper"/>
    <s v="Xerox 1960"/>
    <n v="148.70400000000001"/>
    <n v="6"/>
  </r>
  <r>
    <x v="115"/>
    <d v="2013-09-22T00:00:00"/>
    <n v="5"/>
    <x v="1"/>
    <s v="JA-15970"/>
    <s v="Joseph Airdo"/>
    <s v="Oregon"/>
    <x v="2"/>
    <s v="Accessories"/>
    <s v="Verbatim 25 GB 6x Blu-ray Single Layer Recordable Disc, 3/Pack"/>
    <n v="55.92"/>
    <n v="10"/>
  </r>
  <r>
    <x v="116"/>
    <d v="2013-09-24T00:00:00"/>
    <n v="5"/>
    <x v="1"/>
    <s v="FA-14230"/>
    <s v="Frank Atkinson"/>
    <s v="California"/>
    <x v="0"/>
    <s v="Fasteners"/>
    <s v="OIC Binder Clips"/>
    <n v="7.16"/>
    <n v="2"/>
  </r>
  <r>
    <x v="116"/>
    <d v="2013-09-23T00:00:00"/>
    <n v="4"/>
    <x v="1"/>
    <s v="MC-18130"/>
    <s v="Mike Caudle"/>
    <s v="Washington"/>
    <x v="0"/>
    <s v="Storage"/>
    <s v="Decoflex Hanging Personal Folder File, Blue"/>
    <n v="92.52"/>
    <n v="6"/>
  </r>
  <r>
    <x v="116"/>
    <d v="2013-09-19T00:00:00"/>
    <n v="0"/>
    <x v="3"/>
    <s v="JK-15640"/>
    <s v="Jim Kriz"/>
    <s v="California"/>
    <x v="0"/>
    <s v="Fasteners"/>
    <s v="Revere Boxed Rubber Bands by Revere"/>
    <n v="5.67"/>
    <n v="3"/>
  </r>
  <r>
    <x v="116"/>
    <d v="2013-09-24T00:00:00"/>
    <n v="5"/>
    <x v="1"/>
    <s v="ND-18460"/>
    <s v="Neil Ducich"/>
    <s v="Arizona"/>
    <x v="1"/>
    <s v="Tables"/>
    <s v="Hon 2111 Invitation Series Straight Table"/>
    <n v="73.915000000000006"/>
    <n v="1"/>
  </r>
  <r>
    <x v="117"/>
    <d v="2013-09-26T00:00:00"/>
    <n v="6"/>
    <x v="1"/>
    <s v="ES-14020"/>
    <s v="Erica Smith"/>
    <s v="California"/>
    <x v="0"/>
    <s v="Labels"/>
    <s v="Avery 499"/>
    <n v="9.9600000000000009"/>
    <n v="2"/>
  </r>
  <r>
    <x v="117"/>
    <d v="2013-09-26T00:00:00"/>
    <n v="6"/>
    <x v="1"/>
    <s v="ES-14020"/>
    <s v="Erica Smith"/>
    <s v="California"/>
    <x v="0"/>
    <s v="Paper"/>
    <s v="Wirebound Message Book, 4 per Page"/>
    <n v="21.72"/>
    <n v="4"/>
  </r>
  <r>
    <x v="117"/>
    <d v="2013-09-26T00:00:00"/>
    <n v="6"/>
    <x v="1"/>
    <s v="MA-17995"/>
    <s v="Michelle Arnett"/>
    <s v="California"/>
    <x v="0"/>
    <s v="Appliances"/>
    <s v="Staple holder"/>
    <n v="43.92"/>
    <n v="4"/>
  </r>
  <r>
    <x v="117"/>
    <d v="2013-09-26T00:00:00"/>
    <n v="6"/>
    <x v="1"/>
    <s v="MA-17995"/>
    <s v="Michelle Arnett"/>
    <s v="California"/>
    <x v="0"/>
    <s v="Binders"/>
    <s v="Ibico Plastic and Wire Spiral Binding Combs"/>
    <n v="20.231999999999999"/>
    <n v="3"/>
  </r>
  <r>
    <x v="117"/>
    <d v="2013-09-24T00:00:00"/>
    <n v="4"/>
    <x v="1"/>
    <s v="HG-14965"/>
    <s v="Henry Goldwyn"/>
    <s v="California"/>
    <x v="0"/>
    <s v="Paper"/>
    <s v="Xerox 1900"/>
    <n v="8.56"/>
    <n v="2"/>
  </r>
  <r>
    <x v="118"/>
    <d v="2013-09-23T00:00:00"/>
    <n v="2"/>
    <x v="0"/>
    <s v="JG-15115"/>
    <s v="Jack Garza"/>
    <s v="Washington"/>
    <x v="2"/>
    <s v="Phones"/>
    <s v="Nortel Meridian M3904 Professional Digital phone"/>
    <n v="246.38400000000001"/>
    <n v="2"/>
  </r>
  <r>
    <x v="118"/>
    <d v="2013-09-23T00:00:00"/>
    <n v="2"/>
    <x v="0"/>
    <s v="JG-15115"/>
    <s v="Jack Garza"/>
    <s v="Washington"/>
    <x v="2"/>
    <s v="Copiers"/>
    <s v="Canon PC1080F Personal Copier"/>
    <n v="1799.97"/>
    <n v="3"/>
  </r>
  <r>
    <x v="118"/>
    <d v="2013-09-25T00:00:00"/>
    <n v="4"/>
    <x v="1"/>
    <s v="HF-14995"/>
    <s v="Herbert Flentye"/>
    <s v="California"/>
    <x v="0"/>
    <s v="Envelopes"/>
    <s v="Staple envelope"/>
    <n v="15.56"/>
    <n v="2"/>
  </r>
  <r>
    <x v="118"/>
    <d v="2013-09-25T00:00:00"/>
    <n v="4"/>
    <x v="1"/>
    <s v="HF-14995"/>
    <s v="Herbert Flentye"/>
    <s v="California"/>
    <x v="0"/>
    <s v="Envelopes"/>
    <s v="#10 White Business Envelopes,4 1/8 x 9 1/2"/>
    <n v="78.349999999999994"/>
    <n v="5"/>
  </r>
  <r>
    <x v="118"/>
    <d v="2013-09-25T00:00:00"/>
    <n v="4"/>
    <x v="1"/>
    <s v="HF-14995"/>
    <s v="Herbert Flentye"/>
    <s v="California"/>
    <x v="0"/>
    <s v="Art"/>
    <s v="Newell 34"/>
    <n v="59.519999999999996"/>
    <n v="3"/>
  </r>
  <r>
    <x v="118"/>
    <d v="2013-09-25T00:00:00"/>
    <n v="4"/>
    <x v="1"/>
    <s v="HF-14995"/>
    <s v="Herbert Flentye"/>
    <s v="California"/>
    <x v="0"/>
    <s v="Paper"/>
    <s v="Xerox 1971"/>
    <n v="38.520000000000003"/>
    <n v="9"/>
  </r>
  <r>
    <x v="118"/>
    <d v="2013-09-25T00:00:00"/>
    <n v="4"/>
    <x v="1"/>
    <s v="HF-14995"/>
    <s v="Herbert Flentye"/>
    <s v="California"/>
    <x v="2"/>
    <s v="Phones"/>
    <s v="Polycom CX300 Desktop Phone USB VoIP phone"/>
    <n v="239.98400000000004"/>
    <n v="2"/>
  </r>
  <r>
    <x v="118"/>
    <d v="2013-09-25T00:00:00"/>
    <n v="4"/>
    <x v="1"/>
    <s v="HF-14995"/>
    <s v="Herbert Flentye"/>
    <s v="California"/>
    <x v="0"/>
    <s v="Paper"/>
    <s v="Wirebound Four 2-3/4 x 5 Forms per Page, 400 Sets per Book"/>
    <n v="19.350000000000001"/>
    <n v="3"/>
  </r>
  <r>
    <x v="119"/>
    <d v="2013-09-28T00:00:00"/>
    <n v="6"/>
    <x v="1"/>
    <s v="SE-20110"/>
    <s v="Sanjit Engle"/>
    <s v="California"/>
    <x v="0"/>
    <s v="Storage"/>
    <s v="File Shuttle II and Handi-File, Black"/>
    <n v="169.45"/>
    <n v="5"/>
  </r>
  <r>
    <x v="119"/>
    <d v="2013-09-28T00:00:00"/>
    <n v="6"/>
    <x v="1"/>
    <s v="SE-20110"/>
    <s v="Sanjit Engle"/>
    <s v="California"/>
    <x v="0"/>
    <s v="Storage"/>
    <s v="Tennsco Commercial Shelving"/>
    <n v="40.68"/>
    <n v="2"/>
  </r>
  <r>
    <x v="120"/>
    <d v="2013-09-28T00:00:00"/>
    <n v="5"/>
    <x v="1"/>
    <s v="BM-11650"/>
    <s v="Brian Moss"/>
    <s v="California"/>
    <x v="1"/>
    <s v="Bookcases"/>
    <s v="Rush Hierlooms Collection 1&quot; Thick Stackable Bookcases"/>
    <n v="435.99900000000002"/>
    <n v="3"/>
  </r>
  <r>
    <x v="120"/>
    <d v="2013-09-28T00:00:00"/>
    <n v="5"/>
    <x v="1"/>
    <s v="BM-11650"/>
    <s v="Brian Moss"/>
    <s v="California"/>
    <x v="2"/>
    <s v="Phones"/>
    <s v="netTALK DUO VoIP Telephone Service"/>
    <n v="83.984000000000009"/>
    <n v="2"/>
  </r>
  <r>
    <x v="121"/>
    <d v="2013-09-29T00:00:00"/>
    <n v="5"/>
    <x v="1"/>
    <s v="JD-16060"/>
    <s v="Julia Dunbar"/>
    <s v="California"/>
    <x v="0"/>
    <s v="Storage"/>
    <s v="Gould Plastics 9-Pocket Panel Bin, 18-3/8w x 5-1/4d x 20-1/2h, Black"/>
    <n v="211.96"/>
    <n v="4"/>
  </r>
  <r>
    <x v="122"/>
    <d v="2013-09-30T00:00:00"/>
    <n v="5"/>
    <x v="1"/>
    <s v="BF-11005"/>
    <s v="Barry Franz"/>
    <s v="Colorado"/>
    <x v="0"/>
    <s v="Art"/>
    <s v="Dixon Ticonderoga Core-Lock Colored Pencils"/>
    <n v="14.576000000000001"/>
    <n v="2"/>
  </r>
  <r>
    <x v="123"/>
    <d v="2013-10-01T00:00:00"/>
    <n v="5"/>
    <x v="0"/>
    <s v="KT-16465"/>
    <s v="Kean Takahito"/>
    <s v="California"/>
    <x v="1"/>
    <s v="Chairs"/>
    <s v="Leather Task Chair, Black"/>
    <n v="145.56800000000001"/>
    <n v="2"/>
  </r>
  <r>
    <x v="123"/>
    <d v="2013-09-30T00:00:00"/>
    <n v="4"/>
    <x v="1"/>
    <s v="CS-12400"/>
    <s v="Christopher Schild"/>
    <s v="Washington"/>
    <x v="0"/>
    <s v="Storage"/>
    <s v="Dual Level, Single-Width Filing Carts"/>
    <n v="310.12"/>
    <n v="2"/>
  </r>
  <r>
    <x v="123"/>
    <d v="2013-09-27T00:00:00"/>
    <n v="1"/>
    <x v="2"/>
    <s v="KF-16285"/>
    <s v="Karen Ferguson"/>
    <s v="California"/>
    <x v="1"/>
    <s v="Chairs"/>
    <s v="Hon Deluxe Fabric Upholstered Stacking Chairs, Rounded Back"/>
    <n v="585.55200000000002"/>
    <n v="3"/>
  </r>
  <r>
    <x v="123"/>
    <d v="2013-09-27T00:00:00"/>
    <n v="1"/>
    <x v="2"/>
    <s v="KF-16285"/>
    <s v="Karen Ferguson"/>
    <s v="California"/>
    <x v="0"/>
    <s v="Paper"/>
    <s v="Xerox 217"/>
    <n v="19.440000000000001"/>
    <n v="3"/>
  </r>
  <r>
    <x v="124"/>
    <d v="2013-10-01T00:00:00"/>
    <n v="4"/>
    <x v="1"/>
    <s v="TH-21100"/>
    <s v="Thea Hendricks"/>
    <s v="California"/>
    <x v="1"/>
    <s v="Chairs"/>
    <s v="DMI Arturo Collection Mission-style Design Wood Chair"/>
    <n v="603.91999999999996"/>
    <n v="5"/>
  </r>
  <r>
    <x v="124"/>
    <d v="2013-10-01T00:00:00"/>
    <n v="4"/>
    <x v="1"/>
    <s v="TH-21100"/>
    <s v="Thea Hendricks"/>
    <s v="California"/>
    <x v="0"/>
    <s v="Paper"/>
    <s v="Xerox 1919"/>
    <n v="81.98"/>
    <n v="2"/>
  </r>
  <r>
    <x v="125"/>
    <d v="2013-10-03T00:00:00"/>
    <n v="4"/>
    <x v="1"/>
    <s v="AP-10915"/>
    <s v="Arthur Prichep"/>
    <s v="California"/>
    <x v="1"/>
    <s v="Furnishings"/>
    <s v="Luxo Professional Combination Clamp-On Lamps"/>
    <n v="204.6"/>
    <n v="2"/>
  </r>
  <r>
    <x v="125"/>
    <d v="2013-10-03T00:00:00"/>
    <n v="4"/>
    <x v="1"/>
    <s v="AP-10915"/>
    <s v="Arthur Prichep"/>
    <s v="California"/>
    <x v="0"/>
    <s v="Fasteners"/>
    <s v="Stockwell Push Pins"/>
    <n v="8.7200000000000006"/>
    <n v="4"/>
  </r>
  <r>
    <x v="125"/>
    <d v="2013-10-03T00:00:00"/>
    <n v="4"/>
    <x v="1"/>
    <s v="AP-10915"/>
    <s v="Arthur Prichep"/>
    <s v="California"/>
    <x v="0"/>
    <s v="Paper"/>
    <s v="Xerox 223"/>
    <n v="6.48"/>
    <n v="1"/>
  </r>
  <r>
    <x v="125"/>
    <d v="2013-10-03T00:00:00"/>
    <n v="4"/>
    <x v="1"/>
    <s v="AP-10915"/>
    <s v="Arthur Prichep"/>
    <s v="California"/>
    <x v="2"/>
    <s v="Machines"/>
    <s v="Star Micronics TSP800 TSP847IIU Receipt Printer"/>
    <n v="686.32"/>
    <n v="2"/>
  </r>
  <r>
    <x v="125"/>
    <d v="2013-10-03T00:00:00"/>
    <n v="4"/>
    <x v="1"/>
    <s v="AP-10915"/>
    <s v="Arthur Prichep"/>
    <s v="California"/>
    <x v="0"/>
    <s v="Storage"/>
    <s v="Fellowes Mobile File Cart, Black"/>
    <n v="62.18"/>
    <n v="1"/>
  </r>
  <r>
    <x v="125"/>
    <d v="2013-10-01T00:00:00"/>
    <n v="2"/>
    <x v="0"/>
    <s v="PP-18955"/>
    <s v="Paul Prost"/>
    <s v="Washington"/>
    <x v="1"/>
    <s v="Furnishings"/>
    <s v="Longer-Life Soft White Bulbs"/>
    <n v="6.16"/>
    <n v="2"/>
  </r>
  <r>
    <x v="125"/>
    <d v="2013-10-01T00:00:00"/>
    <n v="2"/>
    <x v="0"/>
    <s v="PP-18955"/>
    <s v="Paul Prost"/>
    <s v="Washington"/>
    <x v="1"/>
    <s v="Tables"/>
    <s v="Bevis Oval Conference Table, Walnut"/>
    <n v="2348.8200000000002"/>
    <n v="9"/>
  </r>
  <r>
    <x v="125"/>
    <d v="2013-10-04T00:00:00"/>
    <n v="5"/>
    <x v="1"/>
    <s v="EB-14170"/>
    <s v="Evan Bailliet"/>
    <s v="Washington"/>
    <x v="0"/>
    <s v="Binders"/>
    <s v="GBC Standard Plastic Binding Systems' Combs"/>
    <n v="10.048000000000002"/>
    <n v="2"/>
  </r>
  <r>
    <x v="125"/>
    <d v="2013-10-04T00:00:00"/>
    <n v="5"/>
    <x v="1"/>
    <s v="EB-14170"/>
    <s v="Evan Bailliet"/>
    <s v="Washington"/>
    <x v="0"/>
    <s v="Storage"/>
    <s v="Fellowes Super Stor/Drawer Files"/>
    <n v="807.75"/>
    <n v="5"/>
  </r>
  <r>
    <x v="126"/>
    <d v="2013-10-04T00:00:00"/>
    <n v="4"/>
    <x v="1"/>
    <s v="DB-13615"/>
    <s v="Doug Bickford"/>
    <s v="Washington"/>
    <x v="0"/>
    <s v="Binders"/>
    <s v="DXL Angle-View Binders with Locking Rings by Samsill"/>
    <n v="43.176000000000002"/>
    <n v="7"/>
  </r>
  <r>
    <x v="127"/>
    <d v="2013-10-05T00:00:00"/>
    <n v="4"/>
    <x v="1"/>
    <s v="NF-18475"/>
    <s v="Neil Französisch"/>
    <s v="Nevada"/>
    <x v="0"/>
    <s v="Fasteners"/>
    <s v="Sterling Rubber Bands by Alliance"/>
    <n v="4.71"/>
    <n v="1"/>
  </r>
  <r>
    <x v="128"/>
    <d v="2013-10-05T00:00:00"/>
    <n v="3"/>
    <x v="2"/>
    <s v="ES-14080"/>
    <s v="Erin Smith"/>
    <s v="Arizona"/>
    <x v="0"/>
    <s v="Paper"/>
    <s v="Adams Telephone Message Book W/Dividers/Space For Phone Numbers, 5 1/4&quot;X8 1/2&quot;, 300/Messages"/>
    <n v="9.4079999999999995"/>
    <n v="2"/>
  </r>
  <r>
    <x v="128"/>
    <d v="2013-10-05T00:00:00"/>
    <n v="3"/>
    <x v="2"/>
    <s v="ES-14080"/>
    <s v="Erin Smith"/>
    <s v="Arizona"/>
    <x v="0"/>
    <s v="Fasteners"/>
    <s v="Staples"/>
    <n v="4.6719999999999997"/>
    <n v="2"/>
  </r>
  <r>
    <x v="128"/>
    <d v="2013-10-05T00:00:00"/>
    <n v="3"/>
    <x v="2"/>
    <s v="ES-14080"/>
    <s v="Erin Smith"/>
    <s v="Arizona"/>
    <x v="2"/>
    <s v="Phones"/>
    <s v="Bose SoundLink Bluetooth Speaker"/>
    <n v="318.40000000000003"/>
    <n v="2"/>
  </r>
  <r>
    <x v="128"/>
    <d v="2013-10-05T00:00:00"/>
    <n v="3"/>
    <x v="2"/>
    <s v="ES-14080"/>
    <s v="Erin Smith"/>
    <s v="Arizona"/>
    <x v="0"/>
    <s v="Envelopes"/>
    <s v="Letter or Legal Size Expandable Poly String Tie Envelopes"/>
    <n v="12.768000000000001"/>
    <n v="6"/>
  </r>
  <r>
    <x v="128"/>
    <d v="2013-10-05T00:00:00"/>
    <n v="3"/>
    <x v="2"/>
    <s v="ES-14080"/>
    <s v="Erin Smith"/>
    <s v="Arizona"/>
    <x v="0"/>
    <s v="Supplies"/>
    <s v="Stiletto Hand Letter Openers"/>
    <n v="15.36"/>
    <n v="2"/>
  </r>
  <r>
    <x v="128"/>
    <d v="2013-10-05T00:00:00"/>
    <n v="3"/>
    <x v="2"/>
    <s v="ES-14080"/>
    <s v="Erin Smith"/>
    <s v="Arizona"/>
    <x v="2"/>
    <s v="Phones"/>
    <s v="Pyle PMP37LED"/>
    <n v="230.376"/>
    <n v="3"/>
  </r>
  <r>
    <x v="128"/>
    <d v="2013-10-05T00:00:00"/>
    <n v="3"/>
    <x v="2"/>
    <s v="ES-14080"/>
    <s v="Erin Smith"/>
    <s v="Arizona"/>
    <x v="2"/>
    <s v="Accessories"/>
    <s v="Kingston Digital DataTraveler 16GB USB 2.0"/>
    <n v="7.16"/>
    <n v="1"/>
  </r>
  <r>
    <x v="129"/>
    <d v="2013-10-08T00:00:00"/>
    <n v="5"/>
    <x v="0"/>
    <s v="AR-10405"/>
    <s v="Allen Rosenblatt"/>
    <s v="California"/>
    <x v="1"/>
    <s v="Tables"/>
    <s v="Bevis Round Conference Room Tables and Bases"/>
    <n v="143.43199999999999"/>
    <n v="1"/>
  </r>
  <r>
    <x v="129"/>
    <d v="2013-10-08T00:00:00"/>
    <n v="5"/>
    <x v="0"/>
    <s v="AR-10405"/>
    <s v="Allen Rosenblatt"/>
    <s v="California"/>
    <x v="1"/>
    <s v="Chairs"/>
    <s v="Global Deluxe Stacking Chair, Gray"/>
    <n v="122.352"/>
    <n v="3"/>
  </r>
  <r>
    <x v="130"/>
    <d v="2013-10-08T00:00:00"/>
    <n v="4"/>
    <x v="1"/>
    <s v="DF-13135"/>
    <s v="David Flashing"/>
    <s v="California"/>
    <x v="0"/>
    <s v="Labels"/>
    <s v="Avery 512"/>
    <n v="14.450000000000001"/>
    <n v="5"/>
  </r>
  <r>
    <x v="130"/>
    <d v="2013-10-08T00:00:00"/>
    <n v="4"/>
    <x v="1"/>
    <s v="DF-13135"/>
    <s v="David Flashing"/>
    <s v="California"/>
    <x v="0"/>
    <s v="Binders"/>
    <s v="GBC Recycled Regency Composition Covers"/>
    <n v="95.64800000000001"/>
    <n v="2"/>
  </r>
  <r>
    <x v="130"/>
    <d v="2013-10-09T00:00:00"/>
    <n v="5"/>
    <x v="1"/>
    <s v="JD-16015"/>
    <s v="Joy Daniels"/>
    <s v="Washington"/>
    <x v="0"/>
    <s v="Labels"/>
    <s v="Avery 519"/>
    <n v="29.24"/>
    <n v="4"/>
  </r>
  <r>
    <x v="131"/>
    <d v="2013-10-06T00:00:00"/>
    <n v="1"/>
    <x v="2"/>
    <s v="KH-16510"/>
    <s v="Keith Herrera"/>
    <s v="California"/>
    <x v="2"/>
    <s v="Accessories"/>
    <s v="Plantronics Audio 478 Stereo USB Headset"/>
    <n v="99.98"/>
    <n v="2"/>
  </r>
  <r>
    <x v="132"/>
    <d v="2013-10-10T00:00:00"/>
    <n v="4"/>
    <x v="1"/>
    <s v="XP-21865"/>
    <s v="Xylona Preis"/>
    <s v="California"/>
    <x v="2"/>
    <s v="Accessories"/>
    <s v="Imation USB 2.0 Swivel Flash Drive USB flash drive - 4 GB - Pink"/>
    <n v="9.09"/>
    <n v="3"/>
  </r>
  <r>
    <x v="133"/>
    <d v="2013-10-14T00:00:00"/>
    <n v="5"/>
    <x v="1"/>
    <s v="SJ-20500"/>
    <s v="Shirley Jackson"/>
    <s v="California"/>
    <x v="0"/>
    <s v="Art"/>
    <s v="Boston Heavy-Duty Trimline Electric Pencil Sharpeners"/>
    <n v="144.60000000000002"/>
    <n v="3"/>
  </r>
  <r>
    <x v="133"/>
    <d v="2013-10-14T00:00:00"/>
    <n v="5"/>
    <x v="1"/>
    <s v="SJ-20500"/>
    <s v="Shirley Jackson"/>
    <s v="California"/>
    <x v="2"/>
    <s v="Phones"/>
    <s v="iOttie HLCRIO102 Car Mount"/>
    <n v="15.991999999999999"/>
    <n v="1"/>
  </r>
  <r>
    <x v="134"/>
    <d v="2013-10-10T00:00:00"/>
    <n v="0"/>
    <x v="3"/>
    <s v="TN-21040"/>
    <s v="Tanja Norvell"/>
    <s v="California"/>
    <x v="1"/>
    <s v="Chairs"/>
    <s v="Global Deluxe Stacking Chair, Gray"/>
    <n v="122.352"/>
    <n v="3"/>
  </r>
  <r>
    <x v="134"/>
    <d v="2013-10-10T00:00:00"/>
    <n v="0"/>
    <x v="3"/>
    <s v="TN-21040"/>
    <s v="Tanja Norvell"/>
    <s v="California"/>
    <x v="0"/>
    <s v="Envelopes"/>
    <s v="#10- 4 1/8&quot; x 9 1/2&quot; Security-Tint Envelopes"/>
    <n v="15.28"/>
    <n v="2"/>
  </r>
  <r>
    <x v="134"/>
    <d v="2013-10-14T00:00:00"/>
    <n v="4"/>
    <x v="1"/>
    <s v="SD-20485"/>
    <s v="Shirley Daniels"/>
    <s v="Arizona"/>
    <x v="1"/>
    <s v="Furnishings"/>
    <s v="Westinghouse Clip-On Gooseneck Lamps"/>
    <n v="46.872"/>
    <n v="7"/>
  </r>
  <r>
    <x v="134"/>
    <d v="2013-10-10T00:00:00"/>
    <n v="0"/>
    <x v="3"/>
    <s v="FC-14335"/>
    <s v="Fred Chung"/>
    <s v="New Mexico"/>
    <x v="0"/>
    <s v="Art"/>
    <s v="Dixon Ticonderoga Core-Lock Colored Pencils, 48-Color Set"/>
    <n v="255.84999999999997"/>
    <n v="7"/>
  </r>
  <r>
    <x v="135"/>
    <d v="2013-10-16T00:00:00"/>
    <n v="5"/>
    <x v="1"/>
    <s v="Dp-13240"/>
    <s v="Dean percer"/>
    <s v="Washington"/>
    <x v="1"/>
    <s v="Furnishings"/>
    <s v="DAX Cubicle Frames - 8x10"/>
    <n v="63.47"/>
    <n v="11"/>
  </r>
  <r>
    <x v="135"/>
    <d v="2013-10-16T00:00:00"/>
    <n v="5"/>
    <x v="1"/>
    <s v="Dp-13240"/>
    <s v="Dean percer"/>
    <s v="Washington"/>
    <x v="2"/>
    <s v="Accessories"/>
    <s v="WD My Passport Ultra 1TB Portable External Hard Drive"/>
    <n v="345"/>
    <n v="5"/>
  </r>
  <r>
    <x v="135"/>
    <d v="2013-10-13T00:00:00"/>
    <n v="2"/>
    <x v="2"/>
    <s v="HA-14920"/>
    <s v="Helen Andreada"/>
    <s v="California"/>
    <x v="0"/>
    <s v="Storage"/>
    <s v="Iris Project Case"/>
    <n v="31.92"/>
    <n v="4"/>
  </r>
  <r>
    <x v="135"/>
    <d v="2013-10-13T00:00:00"/>
    <n v="2"/>
    <x v="2"/>
    <s v="HA-14920"/>
    <s v="Helen Andreada"/>
    <s v="California"/>
    <x v="1"/>
    <s v="Chairs"/>
    <s v="Global Enterprise Series Seating High-Back Swivel/Tilt Chairs"/>
    <n v="433.56800000000004"/>
    <n v="2"/>
  </r>
  <r>
    <x v="135"/>
    <d v="2013-10-15T00:00:00"/>
    <n v="4"/>
    <x v="1"/>
    <s v="AS-10240"/>
    <s v="Alan Shonely"/>
    <s v="California"/>
    <x v="0"/>
    <s v="Envelopes"/>
    <s v="#10- 4 1/8&quot; x 9 1/2&quot; Security-Tint Envelopes"/>
    <n v="7.64"/>
    <n v="1"/>
  </r>
  <r>
    <x v="136"/>
    <d v="2013-10-16T00:00:00"/>
    <n v="4"/>
    <x v="1"/>
    <s v="DN-13690"/>
    <s v="Duane Noonan"/>
    <s v="California"/>
    <x v="0"/>
    <s v="Art"/>
    <s v="Premium Writing Pencils, Soft, #2 by Central Association for the Blind"/>
    <n v="14.9"/>
    <n v="5"/>
  </r>
  <r>
    <x v="136"/>
    <d v="2013-10-16T00:00:00"/>
    <n v="4"/>
    <x v="1"/>
    <s v="DN-13690"/>
    <s v="Duane Noonan"/>
    <s v="California"/>
    <x v="0"/>
    <s v="Storage"/>
    <s v="Sortfiler Multipurpose Personal File Organizer, Black"/>
    <n v="21.39"/>
    <n v="1"/>
  </r>
  <r>
    <x v="137"/>
    <d v="2013-10-15T00:00:00"/>
    <n v="2"/>
    <x v="2"/>
    <s v="ZC-21910"/>
    <s v="Zuschuss Carroll"/>
    <s v="Washington"/>
    <x v="0"/>
    <s v="Art"/>
    <s v="Newell 32"/>
    <n v="11.52"/>
    <n v="4"/>
  </r>
  <r>
    <x v="137"/>
    <d v="2013-10-15T00:00:00"/>
    <n v="2"/>
    <x v="2"/>
    <s v="ZC-21910"/>
    <s v="Zuschuss Carroll"/>
    <s v="Washington"/>
    <x v="1"/>
    <s v="Tables"/>
    <s v="Bevis Round Bullnose 29&quot; High Table Top"/>
    <n v="1298.55"/>
    <n v="5"/>
  </r>
  <r>
    <x v="137"/>
    <d v="2013-10-15T00:00:00"/>
    <n v="2"/>
    <x v="2"/>
    <s v="ZC-21910"/>
    <s v="Zuschuss Carroll"/>
    <s v="Washington"/>
    <x v="0"/>
    <s v="Appliances"/>
    <s v="Belkin F9G930V10-GRY 9 Outlet Surge"/>
    <n v="213.92"/>
    <n v="4"/>
  </r>
  <r>
    <x v="137"/>
    <d v="2013-10-15T00:00:00"/>
    <n v="2"/>
    <x v="2"/>
    <s v="ZC-21910"/>
    <s v="Zuschuss Carroll"/>
    <s v="Washington"/>
    <x v="2"/>
    <s v="Accessories"/>
    <s v="Sony 16GB Class 10 Micro SDHC R40 Memory Card"/>
    <n v="25.78"/>
    <n v="2"/>
  </r>
  <r>
    <x v="138"/>
    <d v="2013-10-17T00:00:00"/>
    <n v="1"/>
    <x v="3"/>
    <s v="LS-17245"/>
    <s v="Lynn Smith"/>
    <s v="California"/>
    <x v="0"/>
    <s v="Binders"/>
    <s v="Avery Non-Stick Heavy Duty View Round Locking Ring Binders"/>
    <n v="14.352000000000002"/>
    <n v="3"/>
  </r>
  <r>
    <x v="138"/>
    <d v="2013-10-17T00:00:00"/>
    <n v="1"/>
    <x v="3"/>
    <s v="LS-17245"/>
    <s v="Lynn Smith"/>
    <s v="California"/>
    <x v="2"/>
    <s v="Accessories"/>
    <s v="Logitech Illuminated - Keyboard"/>
    <n v="179.97"/>
    <n v="3"/>
  </r>
  <r>
    <x v="139"/>
    <d v="2013-10-23T00:00:00"/>
    <n v="5"/>
    <x v="0"/>
    <s v="IG-15085"/>
    <s v="Ivan Gibson"/>
    <s v="Washington"/>
    <x v="0"/>
    <s v="Paper"/>
    <s v="Xerox 1925"/>
    <n v="61.96"/>
    <n v="2"/>
  </r>
  <r>
    <x v="139"/>
    <d v="2013-10-23T00:00:00"/>
    <n v="5"/>
    <x v="0"/>
    <s v="IG-15085"/>
    <s v="Ivan Gibson"/>
    <s v="Washington"/>
    <x v="0"/>
    <s v="Binders"/>
    <s v="Computer Printout Index Tabs"/>
    <n v="1.3440000000000001"/>
    <n v="1"/>
  </r>
  <r>
    <x v="140"/>
    <d v="2013-10-19T00:00:00"/>
    <n v="0"/>
    <x v="3"/>
    <s v="JF-15490"/>
    <s v="Jeremy Farry"/>
    <s v="California"/>
    <x v="0"/>
    <s v="Paper"/>
    <s v="Spiral Phone Message Books with Labels by Adams"/>
    <n v="13.440000000000001"/>
    <n v="3"/>
  </r>
  <r>
    <x v="140"/>
    <d v="2013-10-22T00:00:00"/>
    <n v="3"/>
    <x v="0"/>
    <s v="RP-19270"/>
    <s v="Rachel Payne"/>
    <s v="California"/>
    <x v="0"/>
    <s v="Binders"/>
    <s v="Accohide Poly Flexible Ring Binders"/>
    <n v="2.9920000000000004"/>
    <n v="1"/>
  </r>
  <r>
    <x v="140"/>
    <d v="2013-10-22T00:00:00"/>
    <n v="3"/>
    <x v="0"/>
    <s v="RP-19270"/>
    <s v="Rachel Payne"/>
    <s v="California"/>
    <x v="0"/>
    <s v="Binders"/>
    <s v="Avery Durable Slant Ring Binders With Label Holder"/>
    <n v="20.064"/>
    <n v="6"/>
  </r>
  <r>
    <x v="140"/>
    <d v="2013-10-22T00:00:00"/>
    <n v="3"/>
    <x v="0"/>
    <s v="RP-19270"/>
    <s v="Rachel Payne"/>
    <s v="California"/>
    <x v="0"/>
    <s v="Paper"/>
    <s v="Xerox 1917"/>
    <n v="146.72999999999999"/>
    <n v="3"/>
  </r>
  <r>
    <x v="140"/>
    <d v="2013-10-22T00:00:00"/>
    <n v="3"/>
    <x v="0"/>
    <s v="RP-19270"/>
    <s v="Rachel Payne"/>
    <s v="California"/>
    <x v="0"/>
    <s v="Labels"/>
    <s v="Avery 480"/>
    <n v="18.75"/>
    <n v="5"/>
  </r>
  <r>
    <x v="140"/>
    <d v="2013-10-22T00:00:00"/>
    <n v="3"/>
    <x v="0"/>
    <s v="RP-19270"/>
    <s v="Rachel Payne"/>
    <s v="California"/>
    <x v="2"/>
    <s v="Phones"/>
    <s v="Panasonic KX TS208W Corded phone"/>
    <n v="117.57600000000002"/>
    <n v="3"/>
  </r>
  <r>
    <x v="140"/>
    <d v="2013-10-24T00:00:00"/>
    <n v="5"/>
    <x v="1"/>
    <s v="EH-14125"/>
    <s v="Eugene Hildebrand"/>
    <s v="California"/>
    <x v="2"/>
    <s v="Phones"/>
    <s v="RCA Visys Integrated PBX 8-Line Router"/>
    <n v="321.55200000000002"/>
    <n v="6"/>
  </r>
  <r>
    <x v="141"/>
    <d v="2013-10-26T00:00:00"/>
    <n v="5"/>
    <x v="1"/>
    <s v="SF-20965"/>
    <s v="Sylvia Foulston"/>
    <s v="California"/>
    <x v="0"/>
    <s v="Binders"/>
    <s v="Plastic Binding Combs"/>
    <n v="36.36"/>
    <n v="3"/>
  </r>
  <r>
    <x v="142"/>
    <d v="2013-10-29T00:00:00"/>
    <n v="5"/>
    <x v="1"/>
    <s v="AA-10375"/>
    <s v="Allen Armold"/>
    <s v="California"/>
    <x v="0"/>
    <s v="Binders"/>
    <s v="Avery Premier Heavy-Duty Binder with Round Locking Rings"/>
    <n v="34.271999999999998"/>
    <n v="3"/>
  </r>
  <r>
    <x v="143"/>
    <d v="2013-10-28T00:00:00"/>
    <n v="3"/>
    <x v="2"/>
    <s v="AH-10030"/>
    <s v="Aaron Hawkins"/>
    <s v="California"/>
    <x v="0"/>
    <s v="Binders"/>
    <s v="GBC VeloBind Cover Sets"/>
    <n v="49.408000000000001"/>
    <n v="4"/>
  </r>
  <r>
    <x v="144"/>
    <d v="2013-10-30T00:00:00"/>
    <n v="4"/>
    <x v="0"/>
    <s v="AH-10585"/>
    <s v="Angele Hood"/>
    <s v="Washington"/>
    <x v="1"/>
    <s v="Furnishings"/>
    <s v="Tenex Chairmats For Use With Carpeted Floors"/>
    <n v="63.92"/>
    <n v="4"/>
  </r>
  <r>
    <x v="144"/>
    <d v="2013-10-30T00:00:00"/>
    <n v="4"/>
    <x v="0"/>
    <s v="AH-10585"/>
    <s v="Angele Hood"/>
    <s v="Washington"/>
    <x v="2"/>
    <s v="Phones"/>
    <s v="Vtech CS6719"/>
    <n v="383.96000000000004"/>
    <n v="5"/>
  </r>
  <r>
    <x v="145"/>
    <d v="2013-10-31T00:00:00"/>
    <n v="3"/>
    <x v="2"/>
    <s v="TS-21370"/>
    <s v="Todd Sumrall"/>
    <s v="California"/>
    <x v="0"/>
    <s v="Binders"/>
    <s v="Avery Non-Stick Binders"/>
    <n v="7.1840000000000011"/>
    <n v="2"/>
  </r>
  <r>
    <x v="145"/>
    <d v="2013-10-31T00:00:00"/>
    <n v="3"/>
    <x v="2"/>
    <s v="TS-21370"/>
    <s v="Todd Sumrall"/>
    <s v="California"/>
    <x v="0"/>
    <s v="Supplies"/>
    <s v="Serrated Blade or Curved Handle Hand Letter Openers"/>
    <n v="6.28"/>
    <n v="2"/>
  </r>
  <r>
    <x v="145"/>
    <d v="2013-10-31T00:00:00"/>
    <n v="3"/>
    <x v="2"/>
    <s v="TS-21370"/>
    <s v="Todd Sumrall"/>
    <s v="California"/>
    <x v="0"/>
    <s v="Supplies"/>
    <s v="Premier Automatic Letter Opener"/>
    <n v="480.74"/>
    <n v="2"/>
  </r>
  <r>
    <x v="145"/>
    <d v="2013-10-31T00:00:00"/>
    <n v="3"/>
    <x v="2"/>
    <s v="TS-21370"/>
    <s v="Todd Sumrall"/>
    <s v="California"/>
    <x v="1"/>
    <s v="Bookcases"/>
    <s v="O'Sullivan Living Dimensions 2-Shelf Bookcases"/>
    <n v="616.99800000000005"/>
    <n v="6"/>
  </r>
  <r>
    <x v="145"/>
    <d v="2013-10-31T00:00:00"/>
    <n v="3"/>
    <x v="2"/>
    <s v="TS-21370"/>
    <s v="Todd Sumrall"/>
    <s v="California"/>
    <x v="0"/>
    <s v="Storage"/>
    <s v="Eldon Portable Mobile Manager"/>
    <n v="141.4"/>
    <n v="5"/>
  </r>
  <r>
    <x v="146"/>
    <d v="2013-11-04T00:00:00"/>
    <n v="4"/>
    <x v="1"/>
    <s v="GG-14650"/>
    <s v="Greg Guthrie"/>
    <s v="California"/>
    <x v="0"/>
    <s v="Fasteners"/>
    <s v="Staples"/>
    <n v="11.34"/>
    <n v="3"/>
  </r>
  <r>
    <x v="146"/>
    <d v="2013-11-04T00:00:00"/>
    <n v="4"/>
    <x v="1"/>
    <s v="GG-14650"/>
    <s v="Greg Guthrie"/>
    <s v="California"/>
    <x v="0"/>
    <s v="Storage"/>
    <s v="Letter/Legal File Tote with Clear Snap-On Lid, Black Granite"/>
    <n v="80.3"/>
    <n v="5"/>
  </r>
  <r>
    <x v="146"/>
    <d v="2013-11-04T00:00:00"/>
    <n v="4"/>
    <x v="1"/>
    <s v="GG-14650"/>
    <s v="Greg Guthrie"/>
    <s v="California"/>
    <x v="0"/>
    <s v="Binders"/>
    <s v="Avery Framed View Binder, EZD Ring (Locking), Navy, 1 1/2&quot;"/>
    <n v="15.968000000000002"/>
    <n v="2"/>
  </r>
  <r>
    <x v="146"/>
    <d v="2013-11-04T00:00:00"/>
    <n v="4"/>
    <x v="1"/>
    <s v="GG-14650"/>
    <s v="Greg Guthrie"/>
    <s v="California"/>
    <x v="0"/>
    <s v="Paper"/>
    <s v="Xerox 1952"/>
    <n v="64.740000000000009"/>
    <n v="13"/>
  </r>
  <r>
    <x v="146"/>
    <d v="2013-11-04T00:00:00"/>
    <n v="4"/>
    <x v="1"/>
    <s v="GG-14650"/>
    <s v="Greg Guthrie"/>
    <s v="California"/>
    <x v="0"/>
    <s v="Binders"/>
    <s v="Fellowes Twister Kit, Gray/Clear, 3/pkg"/>
    <n v="19.295999999999999"/>
    <n v="3"/>
  </r>
  <r>
    <x v="146"/>
    <d v="2013-11-04T00:00:00"/>
    <n v="4"/>
    <x v="1"/>
    <s v="GG-14650"/>
    <s v="Greg Guthrie"/>
    <s v="California"/>
    <x v="0"/>
    <s v="Storage"/>
    <s v="Tennsco Regal Shelving Units"/>
    <n v="405.64"/>
    <n v="4"/>
  </r>
  <r>
    <x v="146"/>
    <d v="2013-11-04T00:00:00"/>
    <n v="4"/>
    <x v="1"/>
    <s v="GG-14650"/>
    <s v="Greg Guthrie"/>
    <s v="California"/>
    <x v="1"/>
    <s v="Chairs"/>
    <s v="Novimex Fabric Task Chair"/>
    <n v="146.352"/>
    <n v="3"/>
  </r>
  <r>
    <x v="146"/>
    <d v="2013-11-04T00:00:00"/>
    <n v="4"/>
    <x v="1"/>
    <s v="GG-14650"/>
    <s v="Greg Guthrie"/>
    <s v="California"/>
    <x v="2"/>
    <s v="Accessories"/>
    <s v="Maxell LTO Ultrium - 800 GB"/>
    <n v="251.91"/>
    <n v="9"/>
  </r>
  <r>
    <x v="146"/>
    <d v="2013-11-04T00:00:00"/>
    <n v="4"/>
    <x v="1"/>
    <s v="GG-14650"/>
    <s v="Greg Guthrie"/>
    <s v="California"/>
    <x v="0"/>
    <s v="Art"/>
    <s v="Newell 325"/>
    <n v="12.39"/>
    <n v="3"/>
  </r>
  <r>
    <x v="146"/>
    <d v="2013-11-03T00:00:00"/>
    <n v="3"/>
    <x v="0"/>
    <s v="AC-10450"/>
    <s v="Amy Cox"/>
    <s v="Arizona"/>
    <x v="2"/>
    <s v="Phones"/>
    <s v="Plantronics HL10 Handset Lifter"/>
    <n v="742.33600000000001"/>
    <n v="8"/>
  </r>
  <r>
    <x v="146"/>
    <d v="2013-11-02T00:00:00"/>
    <n v="2"/>
    <x v="0"/>
    <s v="NL-18310"/>
    <s v="Nancy Lomonaco"/>
    <s v="California"/>
    <x v="2"/>
    <s v="Phones"/>
    <s v="Motorola L804"/>
    <n v="73.584000000000003"/>
    <n v="2"/>
  </r>
  <r>
    <x v="147"/>
    <d v="2013-11-07T00:00:00"/>
    <n v="6"/>
    <x v="1"/>
    <s v="RA-19915"/>
    <s v="Russell Applegate"/>
    <s v="Colorado"/>
    <x v="0"/>
    <s v="Art"/>
    <s v="Model L Table or Wall-Mount Pencil Sharpener"/>
    <n v="43.176000000000002"/>
    <n v="3"/>
  </r>
  <r>
    <x v="147"/>
    <d v="2013-11-07T00:00:00"/>
    <n v="6"/>
    <x v="1"/>
    <s v="RA-19915"/>
    <s v="Russell Applegate"/>
    <s v="Colorado"/>
    <x v="2"/>
    <s v="Phones"/>
    <s v="ClearOne CHATAttach 160 - speaker phone"/>
    <n v="1983.9680000000001"/>
    <n v="4"/>
  </r>
  <r>
    <x v="147"/>
    <d v="2013-11-05T00:00:00"/>
    <n v="4"/>
    <x v="1"/>
    <s v="ND-18370"/>
    <s v="Natalie DeCherney"/>
    <s v="Oregon"/>
    <x v="0"/>
    <s v="Storage"/>
    <s v="Carina Mini System Audio Rack, Model AR050B"/>
    <n v="443.92"/>
    <n v="5"/>
  </r>
  <r>
    <x v="147"/>
    <d v="2013-11-05T00:00:00"/>
    <n v="4"/>
    <x v="1"/>
    <s v="ND-18370"/>
    <s v="Natalie DeCherney"/>
    <s v="Oregon"/>
    <x v="2"/>
    <s v="Phones"/>
    <s v="Plantronics Voyager Pro HD - Bluetooth Headset"/>
    <n v="155.976"/>
    <n v="3"/>
  </r>
  <r>
    <x v="147"/>
    <d v="2013-11-08T00:00:00"/>
    <n v="7"/>
    <x v="1"/>
    <s v="PL-18925"/>
    <s v="Paul Lucas"/>
    <s v="California"/>
    <x v="0"/>
    <s v="Labels"/>
    <s v="Avery 475"/>
    <n v="44.400000000000006"/>
    <n v="3"/>
  </r>
  <r>
    <x v="147"/>
    <d v="2013-11-08T00:00:00"/>
    <n v="7"/>
    <x v="1"/>
    <s v="PL-18925"/>
    <s v="Paul Lucas"/>
    <s v="California"/>
    <x v="0"/>
    <s v="Paper"/>
    <s v="Easy-staple paper"/>
    <n v="21.400000000000002"/>
    <n v="5"/>
  </r>
  <r>
    <x v="148"/>
    <d v="2013-11-06T00:00:00"/>
    <n v="4"/>
    <x v="1"/>
    <s v="SH-20395"/>
    <s v="Shahid Hopkins"/>
    <s v="California"/>
    <x v="2"/>
    <s v="Phones"/>
    <s v="AT&amp;T CL82213"/>
    <n v="46.384"/>
    <n v="2"/>
  </r>
  <r>
    <x v="148"/>
    <d v="2013-11-06T00:00:00"/>
    <n v="4"/>
    <x v="1"/>
    <s v="SH-20395"/>
    <s v="Shahid Hopkins"/>
    <s v="California"/>
    <x v="0"/>
    <s v="Storage"/>
    <s v="Adjustable Depth Letter/Legal Cart"/>
    <n v="362.92"/>
    <n v="2"/>
  </r>
  <r>
    <x v="148"/>
    <d v="2013-11-07T00:00:00"/>
    <n v="5"/>
    <x v="0"/>
    <s v="SW-20755"/>
    <s v="Steven Ward"/>
    <s v="Washington"/>
    <x v="2"/>
    <s v="Accessories"/>
    <s v="Maxell 74 Minute CD-R Spindle, 50/Pack"/>
    <n v="41.94"/>
    <n v="2"/>
  </r>
  <r>
    <x v="148"/>
    <d v="2013-11-07T00:00:00"/>
    <n v="5"/>
    <x v="0"/>
    <s v="SW-20755"/>
    <s v="Steven Ward"/>
    <s v="Washington"/>
    <x v="2"/>
    <s v="Phones"/>
    <s v="Samsung Rugby III"/>
    <n v="52.792000000000002"/>
    <n v="1"/>
  </r>
  <r>
    <x v="149"/>
    <d v="2013-11-03T00:00:00"/>
    <n v="0"/>
    <x v="3"/>
    <s v="TC-21535"/>
    <s v="Tracy Collins"/>
    <s v="California"/>
    <x v="0"/>
    <s v="Art"/>
    <s v="Prang Dustless Chalk Sticks"/>
    <n v="6.72"/>
    <n v="4"/>
  </r>
  <r>
    <x v="150"/>
    <d v="2013-11-08T00:00:00"/>
    <n v="4"/>
    <x v="1"/>
    <s v="MS-17530"/>
    <s v="MaryBeth Skach"/>
    <s v="California"/>
    <x v="1"/>
    <s v="Furnishings"/>
    <s v="Executive Impressions 12&quot; Wall Clock"/>
    <n v="35.340000000000003"/>
    <n v="2"/>
  </r>
  <r>
    <x v="150"/>
    <d v="2013-11-11T00:00:00"/>
    <n v="7"/>
    <x v="1"/>
    <s v="WB-21850"/>
    <s v="William Brown"/>
    <s v="California"/>
    <x v="2"/>
    <s v="Phones"/>
    <s v="Polycom SoundPoint Pro SE-225 Corded phone"/>
    <n v="666.34400000000005"/>
    <n v="7"/>
  </r>
  <r>
    <x v="150"/>
    <d v="2013-11-11T00:00:00"/>
    <n v="7"/>
    <x v="1"/>
    <s v="WB-21850"/>
    <s v="William Brown"/>
    <s v="California"/>
    <x v="1"/>
    <s v="Tables"/>
    <s v="Bevis Round Conference Table Top, X-Base"/>
    <n v="573.72799999999995"/>
    <n v="4"/>
  </r>
  <r>
    <x v="150"/>
    <d v="2013-11-11T00:00:00"/>
    <n v="7"/>
    <x v="1"/>
    <s v="WB-21850"/>
    <s v="William Brown"/>
    <s v="California"/>
    <x v="0"/>
    <s v="Binders"/>
    <s v="Cardinal EasyOpen D-Ring Binders"/>
    <n v="21.936000000000003"/>
    <n v="3"/>
  </r>
  <r>
    <x v="150"/>
    <d v="2013-11-11T00:00:00"/>
    <n v="7"/>
    <x v="1"/>
    <s v="WB-21850"/>
    <s v="William Brown"/>
    <s v="California"/>
    <x v="0"/>
    <s v="Paper"/>
    <s v="Xerox 2000"/>
    <n v="19.440000000000001"/>
    <n v="3"/>
  </r>
  <r>
    <x v="150"/>
    <d v="2013-11-11T00:00:00"/>
    <n v="7"/>
    <x v="1"/>
    <s v="WB-21850"/>
    <s v="William Brown"/>
    <s v="California"/>
    <x v="2"/>
    <s v="Machines"/>
    <s v="Hewlett-Packard Deskjet D4360 Printer"/>
    <n v="447.96800000000007"/>
    <n v="4"/>
  </r>
  <r>
    <x v="150"/>
    <d v="2013-11-11T00:00:00"/>
    <n v="7"/>
    <x v="1"/>
    <s v="TH-21235"/>
    <s v="Tiffany House"/>
    <s v="California"/>
    <x v="0"/>
    <s v="Art"/>
    <s v="Newell 343"/>
    <n v="2.94"/>
    <n v="1"/>
  </r>
  <r>
    <x v="151"/>
    <d v="2013-11-10T00:00:00"/>
    <n v="5"/>
    <x v="1"/>
    <s v="DE-13255"/>
    <s v="Deanra Eno"/>
    <s v="California"/>
    <x v="1"/>
    <s v="Furnishings"/>
    <s v="OIC Stacking Trays"/>
    <n v="20.04"/>
    <n v="6"/>
  </r>
  <r>
    <x v="152"/>
    <d v="2013-11-12T00:00:00"/>
    <n v="5"/>
    <x v="1"/>
    <s v="LH-16900"/>
    <s v="Lena Hernandez"/>
    <s v="California"/>
    <x v="0"/>
    <s v="Binders"/>
    <s v="Wilson Jones Legal Size Ring Binders"/>
    <n v="123.14399999999999"/>
    <n v="7"/>
  </r>
  <r>
    <x v="152"/>
    <d v="2013-11-11T00:00:00"/>
    <n v="4"/>
    <x v="0"/>
    <s v="TB-21595"/>
    <s v="Troy Blackwell"/>
    <s v="Oregon"/>
    <x v="0"/>
    <s v="Paper"/>
    <s v="Xerox 1995"/>
    <n v="25.920000000000005"/>
    <n v="5"/>
  </r>
  <r>
    <x v="152"/>
    <d v="2013-11-11T00:00:00"/>
    <n v="4"/>
    <x v="0"/>
    <s v="TB-21595"/>
    <s v="Troy Blackwell"/>
    <s v="Oregon"/>
    <x v="0"/>
    <s v="Art"/>
    <s v="Panasonic KP-150 Electric Pencil Sharpener"/>
    <n v="120.76800000000001"/>
    <n v="4"/>
  </r>
  <r>
    <x v="153"/>
    <d v="2013-11-14T00:00:00"/>
    <n v="6"/>
    <x v="1"/>
    <s v="EB-13870"/>
    <s v="Emily Burns"/>
    <s v="California"/>
    <x v="2"/>
    <s v="Phones"/>
    <s v="Toshiba IPT2010-SD IP Telephone"/>
    <n v="333.57600000000002"/>
    <n v="3"/>
  </r>
  <r>
    <x v="154"/>
    <d v="2013-11-11T00:00:00"/>
    <n v="2"/>
    <x v="0"/>
    <s v="JP-15520"/>
    <s v="Jeremy Pistek"/>
    <s v="California"/>
    <x v="0"/>
    <s v="Storage"/>
    <s v="SAFCO Boltless Steel Shelving"/>
    <n v="340.92"/>
    <n v="3"/>
  </r>
  <r>
    <x v="154"/>
    <d v="2013-11-11T00:00:00"/>
    <n v="2"/>
    <x v="0"/>
    <s v="JP-15520"/>
    <s v="Jeremy Pistek"/>
    <s v="California"/>
    <x v="1"/>
    <s v="Bookcases"/>
    <s v="Sauder Mission Library with Doors, Fruitwood Finish"/>
    <n v="222.66599999999997"/>
    <n v="2"/>
  </r>
  <r>
    <x v="154"/>
    <d v="2013-11-11T00:00:00"/>
    <n v="2"/>
    <x v="0"/>
    <s v="JP-15520"/>
    <s v="Jeremy Pistek"/>
    <s v="California"/>
    <x v="2"/>
    <s v="Phones"/>
    <s v="Samsung Galaxy Note 3"/>
    <n v="703.96800000000007"/>
    <n v="4"/>
  </r>
  <r>
    <x v="154"/>
    <d v="2013-11-11T00:00:00"/>
    <n v="2"/>
    <x v="0"/>
    <s v="JP-15520"/>
    <s v="Jeremy Pistek"/>
    <s v="California"/>
    <x v="0"/>
    <s v="Storage"/>
    <s v="Decoflex Hanging Personal Folder File, Blue"/>
    <n v="92.52"/>
    <n v="6"/>
  </r>
  <r>
    <x v="154"/>
    <d v="2013-11-11T00:00:00"/>
    <n v="2"/>
    <x v="0"/>
    <s v="JP-15520"/>
    <s v="Jeremy Pistek"/>
    <s v="California"/>
    <x v="0"/>
    <s v="Paper"/>
    <s v="Recycled Desk Saver Line &quot;While You Were Out&quot; Book, 5 1/2&quot; X 4&quot;"/>
    <n v="62.649999999999991"/>
    <n v="7"/>
  </r>
  <r>
    <x v="154"/>
    <d v="2013-11-11T00:00:00"/>
    <n v="2"/>
    <x v="0"/>
    <s v="JP-15520"/>
    <s v="Jeremy Pistek"/>
    <s v="California"/>
    <x v="0"/>
    <s v="Paper"/>
    <s v="Xerox 1912"/>
    <n v="94.85"/>
    <n v="5"/>
  </r>
  <r>
    <x v="155"/>
    <d v="2013-11-16T00:00:00"/>
    <n v="6"/>
    <x v="1"/>
    <s v="RD-19900"/>
    <s v="Ruben Dartt"/>
    <s v="California"/>
    <x v="2"/>
    <s v="Phones"/>
    <s v="Jabra SPEAK 410"/>
    <n v="601.53599999999994"/>
    <n v="8"/>
  </r>
  <r>
    <x v="155"/>
    <d v="2013-11-16T00:00:00"/>
    <n v="6"/>
    <x v="1"/>
    <s v="RD-19900"/>
    <s v="Ruben Dartt"/>
    <s v="California"/>
    <x v="2"/>
    <s v="Accessories"/>
    <s v="Memorex Froggy Flash Drive 4 GB"/>
    <n v="10.99"/>
    <n v="1"/>
  </r>
  <r>
    <x v="155"/>
    <d v="2013-11-16T00:00:00"/>
    <n v="6"/>
    <x v="1"/>
    <s v="RD-19900"/>
    <s v="Ruben Dartt"/>
    <s v="California"/>
    <x v="1"/>
    <s v="Furnishings"/>
    <s v="Luxo Economy Swing Arm Lamp"/>
    <n v="39.880000000000003"/>
    <n v="2"/>
  </r>
  <r>
    <x v="155"/>
    <d v="2013-11-16T00:00:00"/>
    <n v="6"/>
    <x v="1"/>
    <s v="RD-19900"/>
    <s v="Ruben Dartt"/>
    <s v="California"/>
    <x v="0"/>
    <s v="Paper"/>
    <s v="Southworth 100% Résumé Paper, 24lb."/>
    <n v="62.24"/>
    <n v="8"/>
  </r>
  <r>
    <x v="155"/>
    <d v="2013-11-16T00:00:00"/>
    <n v="6"/>
    <x v="1"/>
    <s v="RD-19900"/>
    <s v="Ruben Dartt"/>
    <s v="California"/>
    <x v="1"/>
    <s v="Furnishings"/>
    <s v="Eldon Expressions Punched Metal &amp; Wood Desk Accessories, Pewter &amp; Cherry"/>
    <n v="53.2"/>
    <n v="5"/>
  </r>
  <r>
    <x v="155"/>
    <d v="2013-11-16T00:00:00"/>
    <n v="6"/>
    <x v="1"/>
    <s v="RD-19900"/>
    <s v="Ruben Dartt"/>
    <s v="California"/>
    <x v="0"/>
    <s v="Labels"/>
    <s v="Avery White Multi-Purpose Labels"/>
    <n v="39.840000000000003"/>
    <n v="8"/>
  </r>
  <r>
    <x v="156"/>
    <d v="2013-11-14T00:00:00"/>
    <n v="3"/>
    <x v="0"/>
    <s v="TZ-21580"/>
    <s v="Tracy Zic"/>
    <s v="Colorado"/>
    <x v="0"/>
    <s v="Art"/>
    <s v="BIC Brite Liner Grip Highlighters, Assorted, 5/Pack"/>
    <n v="3.3920000000000003"/>
    <n v="1"/>
  </r>
  <r>
    <x v="156"/>
    <d v="2013-11-14T00:00:00"/>
    <n v="3"/>
    <x v="0"/>
    <s v="TZ-21580"/>
    <s v="Tracy Zic"/>
    <s v="Colorado"/>
    <x v="2"/>
    <s v="Phones"/>
    <s v="Samsung Galaxy S III - 16GB - pebble blue (T-Mobile)"/>
    <n v="559.98400000000004"/>
    <n v="2"/>
  </r>
  <r>
    <x v="156"/>
    <d v="2013-11-14T00:00:00"/>
    <n v="3"/>
    <x v="0"/>
    <s v="TZ-21580"/>
    <s v="Tracy Zic"/>
    <s v="Colorado"/>
    <x v="1"/>
    <s v="Chairs"/>
    <s v="Global Airflow Leather Mesh Back Chair, Black"/>
    <n v="603.91999999999996"/>
    <n v="5"/>
  </r>
  <r>
    <x v="156"/>
    <d v="2013-11-18T00:00:00"/>
    <n v="7"/>
    <x v="1"/>
    <s v="AP-10915"/>
    <s v="Arthur Prichep"/>
    <s v="California"/>
    <x v="0"/>
    <s v="Art"/>
    <s v="50 Colored Long Pencils"/>
    <n v="30.48"/>
    <n v="3"/>
  </r>
  <r>
    <x v="156"/>
    <d v="2013-11-18T00:00:00"/>
    <n v="7"/>
    <x v="1"/>
    <s v="AP-10915"/>
    <s v="Arthur Prichep"/>
    <s v="California"/>
    <x v="1"/>
    <s v="Chairs"/>
    <s v="Hon Olson Stacker Stools"/>
    <n v="112.64800000000001"/>
    <n v="1"/>
  </r>
  <r>
    <x v="156"/>
    <d v="2013-11-13T00:00:00"/>
    <n v="2"/>
    <x v="0"/>
    <s v="MA-17560"/>
    <s v="Matt Abelman"/>
    <s v="California"/>
    <x v="2"/>
    <s v="Phones"/>
    <s v="Mophie Juice Pack Helium for iPhone"/>
    <n v="575.928"/>
    <n v="9"/>
  </r>
  <r>
    <x v="156"/>
    <d v="2013-11-13T00:00:00"/>
    <n v="2"/>
    <x v="0"/>
    <s v="MA-17560"/>
    <s v="Matt Abelman"/>
    <s v="California"/>
    <x v="0"/>
    <s v="Appliances"/>
    <s v="Commercial WindTunnel Clean Air Upright Vacuum, Replacement Belts, Filtration Bags"/>
    <n v="7.78"/>
    <n v="2"/>
  </r>
  <r>
    <x v="156"/>
    <d v="2013-11-13T00:00:00"/>
    <n v="2"/>
    <x v="0"/>
    <s v="MA-17560"/>
    <s v="Matt Abelman"/>
    <s v="California"/>
    <x v="0"/>
    <s v="Paper"/>
    <s v="Xerox 1979"/>
    <n v="123.92"/>
    <n v="4"/>
  </r>
  <r>
    <x v="156"/>
    <d v="2013-11-13T00:00:00"/>
    <n v="2"/>
    <x v="2"/>
    <s v="MZ-17515"/>
    <s v="Mary Zewe"/>
    <s v="Washington"/>
    <x v="0"/>
    <s v="Appliances"/>
    <s v="Belkin F5C206VTEL 6 Outlet Surge"/>
    <n v="22.98"/>
    <n v="1"/>
  </r>
  <r>
    <x v="156"/>
    <d v="2013-11-13T00:00:00"/>
    <n v="2"/>
    <x v="2"/>
    <s v="MZ-17515"/>
    <s v="Mary Zewe"/>
    <s v="Washington"/>
    <x v="2"/>
    <s v="Accessories"/>
    <s v="Belkin Standard 104 key USB Keyboard"/>
    <n v="102.13"/>
    <n v="7"/>
  </r>
  <r>
    <x v="156"/>
    <d v="2013-11-13T00:00:00"/>
    <n v="2"/>
    <x v="2"/>
    <s v="MZ-17515"/>
    <s v="Mary Zewe"/>
    <s v="Washington"/>
    <x v="0"/>
    <s v="Binders"/>
    <s v="Fellowes PB500 Electric Punch Plastic Comb Binding Machine with Manual Bind"/>
    <n v="2033.5840000000001"/>
    <n v="2"/>
  </r>
  <r>
    <x v="157"/>
    <d v="2013-11-16T00:00:00"/>
    <n v="4"/>
    <x v="1"/>
    <s v="JA-15970"/>
    <s v="Joseph Airdo"/>
    <s v="California"/>
    <x v="0"/>
    <s v="Paper"/>
    <s v="Xerox 1974"/>
    <n v="11.96"/>
    <n v="2"/>
  </r>
  <r>
    <x v="157"/>
    <d v="2013-11-16T00:00:00"/>
    <n v="4"/>
    <x v="1"/>
    <s v="JA-15970"/>
    <s v="Joseph Airdo"/>
    <s v="California"/>
    <x v="1"/>
    <s v="Tables"/>
    <s v="Bevis Boat-Shaped Conference Table"/>
    <n v="629.06400000000008"/>
    <n v="3"/>
  </r>
  <r>
    <x v="158"/>
    <d v="2013-11-18T00:00:00"/>
    <n v="3"/>
    <x v="2"/>
    <s v="SS-20410"/>
    <s v="Shahid Shariari"/>
    <s v="California"/>
    <x v="1"/>
    <s v="Furnishings"/>
    <s v="Eldon 100 Class Desk Accessories"/>
    <n v="10.11"/>
    <n v="3"/>
  </r>
  <r>
    <x v="158"/>
    <d v="2013-11-18T00:00:00"/>
    <n v="3"/>
    <x v="2"/>
    <s v="SS-20410"/>
    <s v="Shahid Shariari"/>
    <s v="California"/>
    <x v="2"/>
    <s v="Accessories"/>
    <s v="Logitech P710e Mobile Speakerphone"/>
    <n v="772.47"/>
    <n v="3"/>
  </r>
  <r>
    <x v="158"/>
    <d v="2013-11-18T00:00:00"/>
    <n v="3"/>
    <x v="2"/>
    <s v="SS-20410"/>
    <s v="Shahid Shariari"/>
    <s v="California"/>
    <x v="0"/>
    <s v="Supplies"/>
    <s v="Acme Box Cutter Scissors"/>
    <n v="20.46"/>
    <n v="2"/>
  </r>
  <r>
    <x v="158"/>
    <d v="2013-11-17T00:00:00"/>
    <n v="2"/>
    <x v="0"/>
    <s v="SC-20260"/>
    <s v="Scott Cohen"/>
    <s v="California"/>
    <x v="0"/>
    <s v="Supplies"/>
    <s v="Acme Value Line Scissors"/>
    <n v="10.95"/>
    <n v="3"/>
  </r>
  <r>
    <x v="159"/>
    <d v="2013-11-22T00:00:00"/>
    <n v="6"/>
    <x v="1"/>
    <s v="AH-10075"/>
    <s v="Adam Hart"/>
    <s v="California"/>
    <x v="0"/>
    <s v="Labels"/>
    <s v="Permanent Self-Adhesive File Folder Labels for Typewriters by Universal"/>
    <n v="5.22"/>
    <n v="2"/>
  </r>
  <r>
    <x v="159"/>
    <d v="2013-11-18T00:00:00"/>
    <n v="2"/>
    <x v="2"/>
    <s v="JD-16150"/>
    <s v="Justin Deggeller"/>
    <s v="California"/>
    <x v="2"/>
    <s v="Phones"/>
    <s v="OtterBox Commuter Series Case - Samsung Galaxy S4"/>
    <n v="79.968000000000004"/>
    <n v="4"/>
  </r>
  <r>
    <x v="159"/>
    <d v="2013-11-18T00:00:00"/>
    <n v="2"/>
    <x v="2"/>
    <s v="JD-16150"/>
    <s v="Justin Deggeller"/>
    <s v="California"/>
    <x v="1"/>
    <s v="Bookcases"/>
    <s v="Bush Andora Bookcase, Maple/Graphite Gray Finish"/>
    <n v="305.97449999999998"/>
    <n v="3"/>
  </r>
  <r>
    <x v="159"/>
    <d v="2013-11-18T00:00:00"/>
    <n v="2"/>
    <x v="2"/>
    <s v="JD-16150"/>
    <s v="Justin Deggeller"/>
    <s v="California"/>
    <x v="0"/>
    <s v="Storage"/>
    <s v="Space Solutions HD Industrial Steel Shelving."/>
    <n v="344.90999999999997"/>
    <n v="3"/>
  </r>
  <r>
    <x v="160"/>
    <d v="2013-11-19T00:00:00"/>
    <n v="2"/>
    <x v="2"/>
    <s v="TS-21205"/>
    <s v="Thomas Seio"/>
    <s v="California"/>
    <x v="2"/>
    <s v="Accessories"/>
    <s v="Case Logic 2.4GHz Wireless Keyboard"/>
    <n v="99.98"/>
    <n v="2"/>
  </r>
  <r>
    <x v="160"/>
    <d v="2013-11-19T00:00:00"/>
    <n v="2"/>
    <x v="2"/>
    <s v="TS-21205"/>
    <s v="Thomas Seio"/>
    <s v="California"/>
    <x v="0"/>
    <s v="Paper"/>
    <s v="Xerox 1941"/>
    <n v="733.94999999999993"/>
    <n v="7"/>
  </r>
  <r>
    <x v="160"/>
    <d v="2013-11-19T00:00:00"/>
    <n v="2"/>
    <x v="2"/>
    <s v="TS-21205"/>
    <s v="Thomas Seio"/>
    <s v="California"/>
    <x v="0"/>
    <s v="Appliances"/>
    <s v="APC 7 Outlet Network SurgeArrest Surge Protector"/>
    <n v="241.44"/>
    <n v="3"/>
  </r>
  <r>
    <x v="161"/>
    <d v="2013-11-20T00:00:00"/>
    <n v="2"/>
    <x v="0"/>
    <s v="PW-19240"/>
    <s v="Pierre Wener"/>
    <s v="Colorado"/>
    <x v="1"/>
    <s v="Tables"/>
    <s v="Bevis Rectangular Conference Tables"/>
    <n v="145.97999999999999"/>
    <n v="2"/>
  </r>
  <r>
    <x v="161"/>
    <d v="2013-11-20T00:00:00"/>
    <n v="2"/>
    <x v="0"/>
    <s v="PW-19240"/>
    <s v="Pierre Wener"/>
    <s v="Colorado"/>
    <x v="0"/>
    <s v="Paper"/>
    <s v="Geographics Note Cards, Blank, White, 8 1/2&quot; x 11&quot;"/>
    <n v="35.808"/>
    <n v="4"/>
  </r>
  <r>
    <x v="161"/>
    <d v="2013-11-21T00:00:00"/>
    <n v="3"/>
    <x v="0"/>
    <s v="JG-15805"/>
    <s v="John Grady"/>
    <s v="Utah"/>
    <x v="0"/>
    <s v="Paper"/>
    <s v="Adams &quot;While You Were Out&quot; Message Pads"/>
    <n v="21.98"/>
    <n v="7"/>
  </r>
  <r>
    <x v="161"/>
    <d v="2013-11-25T00:00:00"/>
    <n v="7"/>
    <x v="1"/>
    <s v="MH-17785"/>
    <s v="Maya Herman"/>
    <s v="Washington"/>
    <x v="1"/>
    <s v="Furnishings"/>
    <s v="Howard Miller 13-1/2&quot; Diameter Rosebrook Wall Clock"/>
    <n v="137.54"/>
    <n v="2"/>
  </r>
  <r>
    <x v="161"/>
    <d v="2013-11-25T00:00:00"/>
    <n v="7"/>
    <x v="1"/>
    <s v="MH-17785"/>
    <s v="Maya Herman"/>
    <s v="Washington"/>
    <x v="1"/>
    <s v="Tables"/>
    <s v="Lesro Round Back Collection Coffee Table, End Table"/>
    <n v="730.2"/>
    <n v="4"/>
  </r>
  <r>
    <x v="162"/>
    <d v="2013-11-24T00:00:00"/>
    <n v="5"/>
    <x v="0"/>
    <s v="DB-13360"/>
    <s v="Dennis Bolton"/>
    <s v="Utah"/>
    <x v="0"/>
    <s v="Paper"/>
    <s v="Xerox 1888"/>
    <n v="166.44"/>
    <n v="3"/>
  </r>
  <r>
    <x v="163"/>
    <d v="2013-11-26T00:00:00"/>
    <n v="5"/>
    <x v="1"/>
    <s v="GR-14560"/>
    <s v="Georgia Rosenberg"/>
    <s v="California"/>
    <x v="0"/>
    <s v="Paper"/>
    <s v="Xerox 211"/>
    <n v="12.96"/>
    <n v="2"/>
  </r>
  <r>
    <x v="163"/>
    <d v="2013-11-26T00:00:00"/>
    <n v="5"/>
    <x v="1"/>
    <s v="SC-20680"/>
    <s v="Steve Carroll"/>
    <s v="California"/>
    <x v="0"/>
    <s v="Paper"/>
    <s v="Tops Wirebound Message Log Books"/>
    <n v="6.58"/>
    <n v="2"/>
  </r>
  <r>
    <x v="163"/>
    <d v="2013-11-26T00:00:00"/>
    <n v="5"/>
    <x v="1"/>
    <s v="SC-20680"/>
    <s v="Steve Carroll"/>
    <s v="California"/>
    <x v="2"/>
    <s v="Accessories"/>
    <s v="Kensington Expert Mouse Optical USB Trackball for PC or Mac"/>
    <n v="94.99"/>
    <n v="1"/>
  </r>
  <r>
    <x v="164"/>
    <d v="2013-11-26T00:00:00"/>
    <n v="4"/>
    <x v="1"/>
    <s v="SP-20920"/>
    <s v="Susan Pistek"/>
    <s v="California"/>
    <x v="0"/>
    <s v="Paper"/>
    <s v="Xerox 1895"/>
    <n v="53.820000000000007"/>
    <n v="9"/>
  </r>
  <r>
    <x v="165"/>
    <d v="2013-11-25T00:00:00"/>
    <n v="2"/>
    <x v="2"/>
    <s v="SC-20095"/>
    <s v="Sanjit Chand"/>
    <s v="California"/>
    <x v="1"/>
    <s v="Chairs"/>
    <s v="Novimex Swivel Fabric Task Chair"/>
    <n v="603.91999999999996"/>
    <n v="5"/>
  </r>
  <r>
    <x v="165"/>
    <d v="2013-11-25T00:00:00"/>
    <n v="2"/>
    <x v="2"/>
    <s v="SC-20095"/>
    <s v="Sanjit Chand"/>
    <s v="California"/>
    <x v="0"/>
    <s v="Envelopes"/>
    <s v="Pastel Pink Envelopes"/>
    <n v="21.84"/>
    <n v="3"/>
  </r>
  <r>
    <x v="165"/>
    <d v="2013-11-25T00:00:00"/>
    <n v="2"/>
    <x v="2"/>
    <s v="SC-20095"/>
    <s v="Sanjit Chand"/>
    <s v="California"/>
    <x v="2"/>
    <s v="Accessories"/>
    <s v="Belkin F8E887 USB Wired Ergonomic Keyboard"/>
    <n v="29.99"/>
    <n v="1"/>
  </r>
  <r>
    <x v="165"/>
    <d v="2013-11-25T00:00:00"/>
    <n v="2"/>
    <x v="2"/>
    <s v="SC-20095"/>
    <s v="Sanjit Chand"/>
    <s v="California"/>
    <x v="1"/>
    <s v="Chairs"/>
    <s v="Safco Contoured Stacking Chairs"/>
    <n v="381.44000000000005"/>
    <n v="2"/>
  </r>
  <r>
    <x v="165"/>
    <d v="2013-11-28T00:00:00"/>
    <n v="5"/>
    <x v="1"/>
    <s v="SM-20005"/>
    <s v="Sally Matthias"/>
    <s v="Arizona"/>
    <x v="0"/>
    <s v="Envelopes"/>
    <s v="Staple envelope"/>
    <n v="23.472000000000001"/>
    <n v="3"/>
  </r>
  <r>
    <x v="166"/>
    <d v="2013-11-26T00:00:00"/>
    <n v="2"/>
    <x v="2"/>
    <s v="VG-21790"/>
    <s v="Vivek Gonzalez"/>
    <s v="California"/>
    <x v="1"/>
    <s v="Furnishings"/>
    <s v="Eldon Delta Triangular Chair Mat, 52&quot; x 58&quot;, Clear"/>
    <n v="151.72"/>
    <n v="4"/>
  </r>
  <r>
    <x v="166"/>
    <d v="2013-11-30T00:00:00"/>
    <n v="6"/>
    <x v="1"/>
    <s v="HR-14830"/>
    <s v="Harold Ryan"/>
    <s v="Washington"/>
    <x v="0"/>
    <s v="Binders"/>
    <s v="Peel &amp; Stick Add-On Corner Pockets"/>
    <n v="12.096000000000002"/>
    <n v="7"/>
  </r>
  <r>
    <x v="166"/>
    <d v="2013-11-30T00:00:00"/>
    <n v="6"/>
    <x v="1"/>
    <s v="HR-14830"/>
    <s v="Harold Ryan"/>
    <s v="Washington"/>
    <x v="0"/>
    <s v="Storage"/>
    <s v="Carina 42&quot;Hx23 3/4&quot;W Media Storage Unit"/>
    <n v="485.88"/>
    <n v="6"/>
  </r>
  <r>
    <x v="166"/>
    <d v="2013-11-30T00:00:00"/>
    <n v="6"/>
    <x v="1"/>
    <s v="HR-14830"/>
    <s v="Harold Ryan"/>
    <s v="Washington"/>
    <x v="0"/>
    <s v="Paper"/>
    <s v="Xerox 220"/>
    <n v="25.92"/>
    <n v="4"/>
  </r>
  <r>
    <x v="166"/>
    <d v="2013-11-30T00:00:00"/>
    <n v="6"/>
    <x v="1"/>
    <s v="HR-14830"/>
    <s v="Harold Ryan"/>
    <s v="Washington"/>
    <x v="0"/>
    <s v="Storage"/>
    <s v="Recycled Data-Pak for Archival Bound Computer Printouts, 12-1/2 x 12-1/2 x 16"/>
    <n v="197.58"/>
    <n v="2"/>
  </r>
  <r>
    <x v="166"/>
    <d v="2013-11-26T00:00:00"/>
    <n v="2"/>
    <x v="0"/>
    <s v="EH-13990"/>
    <s v="Erica Hackney"/>
    <s v="California"/>
    <x v="1"/>
    <s v="Chairs"/>
    <s v="Global Leather &amp; Oak Executive Chair, Burgundy"/>
    <n v="120.71199999999999"/>
    <n v="1"/>
  </r>
  <r>
    <x v="167"/>
    <d v="2013-11-27T00:00:00"/>
    <n v="2"/>
    <x v="0"/>
    <s v="LW-16825"/>
    <s v="Laurel Workman"/>
    <s v="California"/>
    <x v="0"/>
    <s v="Appliances"/>
    <s v="Belkin F9G930V10-GRY 9 Outlet Surge"/>
    <n v="320.88"/>
    <n v="6"/>
  </r>
  <r>
    <x v="167"/>
    <d v="2013-11-27T00:00:00"/>
    <n v="2"/>
    <x v="0"/>
    <s v="LW-16825"/>
    <s v="Laurel Workman"/>
    <s v="California"/>
    <x v="1"/>
    <s v="Furnishings"/>
    <s v="Staple-based wall hangings"/>
    <n v="23.88"/>
    <n v="3"/>
  </r>
  <r>
    <x v="167"/>
    <d v="2013-11-27T00:00:00"/>
    <n v="2"/>
    <x v="0"/>
    <s v="LW-16825"/>
    <s v="Laurel Workman"/>
    <s v="California"/>
    <x v="0"/>
    <s v="Paper"/>
    <s v="Wirebound Message Books, Four 2 3/4 x 5 White Forms per Page"/>
    <n v="26.76"/>
    <n v="4"/>
  </r>
  <r>
    <x v="167"/>
    <d v="2013-11-30T00:00:00"/>
    <n v="5"/>
    <x v="1"/>
    <s v="SE-20110"/>
    <s v="Sanjit Engle"/>
    <s v="Oregon"/>
    <x v="0"/>
    <s v="Art"/>
    <s v="Dixon Ticonderoga Core-Lock Colored Pencils"/>
    <n v="51.016000000000005"/>
    <n v="7"/>
  </r>
  <r>
    <x v="167"/>
    <d v="2013-11-29T00:00:00"/>
    <n v="4"/>
    <x v="1"/>
    <s v="RB-19435"/>
    <s v="Richard Bierner"/>
    <s v="California"/>
    <x v="2"/>
    <s v="Phones"/>
    <s v="Logitech Mobile Speakerphone P710e - speaker phone"/>
    <n v="539.91999999999996"/>
    <n v="5"/>
  </r>
  <r>
    <x v="167"/>
    <d v="2013-11-29T00:00:00"/>
    <n v="4"/>
    <x v="1"/>
    <s v="RB-19435"/>
    <s v="Richard Bierner"/>
    <s v="California"/>
    <x v="1"/>
    <s v="Chairs"/>
    <s v="Hon GuestStacker Chair"/>
    <n v="725.34400000000005"/>
    <n v="4"/>
  </r>
  <r>
    <x v="167"/>
    <d v="2013-11-29T00:00:00"/>
    <n v="4"/>
    <x v="1"/>
    <s v="RB-19435"/>
    <s v="Richard Bierner"/>
    <s v="California"/>
    <x v="0"/>
    <s v="Art"/>
    <s v="Staples in misc. colors"/>
    <n v="7.4399999999999995"/>
    <n v="3"/>
  </r>
  <r>
    <x v="168"/>
    <d v="2013-12-02T00:00:00"/>
    <n v="6"/>
    <x v="1"/>
    <s v="NW-18400"/>
    <s v="Natalie Webber"/>
    <s v="Oregon"/>
    <x v="0"/>
    <s v="Paper"/>
    <s v="Xerox 2"/>
    <n v="15.552000000000003"/>
    <n v="3"/>
  </r>
  <r>
    <x v="168"/>
    <d v="2013-12-02T00:00:00"/>
    <n v="6"/>
    <x v="1"/>
    <s v="NW-18400"/>
    <s v="Natalie Webber"/>
    <s v="Oregon"/>
    <x v="0"/>
    <s v="Storage"/>
    <s v="Office Impressions Heavy Duty Welded Shelving &amp; Multimedia Storage Drawers"/>
    <n v="669.08"/>
    <n v="5"/>
  </r>
  <r>
    <x v="168"/>
    <d v="2013-12-02T00:00:00"/>
    <n v="6"/>
    <x v="1"/>
    <s v="NW-18400"/>
    <s v="Natalie Webber"/>
    <s v="Oregon"/>
    <x v="2"/>
    <s v="Phones"/>
    <s v="Jawbone MINI JAMBOX Wireless Bluetooth Speaker"/>
    <n v="438.33600000000001"/>
    <n v="4"/>
  </r>
  <r>
    <x v="168"/>
    <d v="2013-12-01T00:00:00"/>
    <n v="5"/>
    <x v="1"/>
    <s v="LS-16975"/>
    <s v="Lindsay Shagiari"/>
    <s v="California"/>
    <x v="0"/>
    <s v="Paper"/>
    <s v="Xerox 1893"/>
    <n v="81.98"/>
    <n v="2"/>
  </r>
  <r>
    <x v="168"/>
    <d v="2013-12-01T00:00:00"/>
    <n v="5"/>
    <x v="1"/>
    <s v="LS-17200"/>
    <s v="Luke Schmidt"/>
    <s v="California"/>
    <x v="0"/>
    <s v="Binders"/>
    <s v="Wilson Jones Easy Flow II Sheet Lifters"/>
    <n v="4.32"/>
    <n v="3"/>
  </r>
  <r>
    <x v="168"/>
    <d v="2013-12-01T00:00:00"/>
    <n v="5"/>
    <x v="1"/>
    <s v="LS-17200"/>
    <s v="Luke Schmidt"/>
    <s v="California"/>
    <x v="0"/>
    <s v="Paper"/>
    <s v="Xerox 1970"/>
    <n v="14.940000000000001"/>
    <n v="3"/>
  </r>
  <r>
    <x v="168"/>
    <d v="2013-12-01T00:00:00"/>
    <n v="5"/>
    <x v="1"/>
    <s v="LS-17200"/>
    <s v="Luke Schmidt"/>
    <s v="California"/>
    <x v="0"/>
    <s v="Appliances"/>
    <s v="Fellowes Mighty 8 Compact Surge Protector"/>
    <n v="40.54"/>
    <n v="2"/>
  </r>
  <r>
    <x v="168"/>
    <d v="2013-12-01T00:00:00"/>
    <n v="5"/>
    <x v="1"/>
    <s v="LS-17200"/>
    <s v="Luke Schmidt"/>
    <s v="California"/>
    <x v="0"/>
    <s v="Binders"/>
    <s v="SpineVue Locking Slant-D Ring Binders by Cardinal"/>
    <n v="7.3120000000000012"/>
    <n v="1"/>
  </r>
  <r>
    <x v="169"/>
    <d v="2013-11-28T00:00:00"/>
    <n v="0"/>
    <x v="3"/>
    <s v="DH-13675"/>
    <s v="Duane Huffman"/>
    <s v="California"/>
    <x v="0"/>
    <s v="Supplies"/>
    <s v="Staple remover"/>
    <n v="7.36"/>
    <n v="2"/>
  </r>
  <r>
    <x v="169"/>
    <d v="2013-11-28T00:00:00"/>
    <n v="0"/>
    <x v="3"/>
    <s v="DH-13675"/>
    <s v="Duane Huffman"/>
    <s v="California"/>
    <x v="0"/>
    <s v="Labels"/>
    <s v="Avery 489"/>
    <n v="41.4"/>
    <n v="4"/>
  </r>
  <r>
    <x v="169"/>
    <d v="2013-11-28T00:00:00"/>
    <n v="0"/>
    <x v="3"/>
    <s v="DH-13675"/>
    <s v="Duane Huffman"/>
    <s v="California"/>
    <x v="1"/>
    <s v="Bookcases"/>
    <s v="Sauder Camden County Barrister Bookcase, Planked Cherry Finish"/>
    <n v="411.33199999999999"/>
    <n v="4"/>
  </r>
  <r>
    <x v="169"/>
    <d v="2013-12-01T00:00:00"/>
    <n v="3"/>
    <x v="2"/>
    <s v="SG-20470"/>
    <s v="Sheri Gordon"/>
    <s v="California"/>
    <x v="0"/>
    <s v="Appliances"/>
    <s v="Acco 6 Outlet Guardian Premium Surge Suppressor"/>
    <n v="43.68"/>
    <n v="3"/>
  </r>
  <r>
    <x v="169"/>
    <d v="2013-12-01T00:00:00"/>
    <n v="3"/>
    <x v="2"/>
    <s v="SG-20470"/>
    <s v="Sheri Gordon"/>
    <s v="California"/>
    <x v="2"/>
    <s v="Accessories"/>
    <s v="Micropad Numeric Keypads"/>
    <n v="139.92999999999998"/>
    <n v="7"/>
  </r>
  <r>
    <x v="170"/>
    <d v="2013-12-06T00:00:00"/>
    <n v="7"/>
    <x v="1"/>
    <s v="AH-10210"/>
    <s v="Alan Hwang"/>
    <s v="California"/>
    <x v="2"/>
    <s v="Phones"/>
    <s v="Wilson SignalBoost 841262 DB PRO Amplifier Kit"/>
    <n v="575.91999999999996"/>
    <n v="2"/>
  </r>
  <r>
    <x v="170"/>
    <d v="2013-12-06T00:00:00"/>
    <n v="7"/>
    <x v="1"/>
    <s v="AH-10210"/>
    <s v="Alan Hwang"/>
    <s v="California"/>
    <x v="0"/>
    <s v="Fasteners"/>
    <s v="Staples"/>
    <n v="30.4"/>
    <n v="5"/>
  </r>
  <r>
    <x v="171"/>
    <d v="2013-12-06T00:00:00"/>
    <n v="6"/>
    <x v="1"/>
    <s v="PB-19150"/>
    <s v="Philip Brown"/>
    <s v="Arizona"/>
    <x v="0"/>
    <s v="Supplies"/>
    <s v="Acme Office Executive Series Stainless Steel Trimmers"/>
    <n v="47.992000000000004"/>
    <n v="7"/>
  </r>
  <r>
    <x v="171"/>
    <d v="2013-12-06T00:00:00"/>
    <n v="6"/>
    <x v="1"/>
    <s v="PB-19150"/>
    <s v="Philip Brown"/>
    <s v="Arizona"/>
    <x v="2"/>
    <s v="Accessories"/>
    <s v="Memorex 25GB 6X Branded Blu-Ray Recordable Disc, 30/Pack"/>
    <n v="102.24000000000001"/>
    <n v="4"/>
  </r>
  <r>
    <x v="172"/>
    <d v="2013-12-05T00:00:00"/>
    <n v="4"/>
    <x v="1"/>
    <s v="TR-21325"/>
    <s v="Toby Ritter"/>
    <s v="California"/>
    <x v="1"/>
    <s v="Furnishings"/>
    <s v="Floodlight Indoor Halogen Bulbs, 1 Bulb per Pack, 60 Watts"/>
    <n v="58.199999999999996"/>
    <n v="3"/>
  </r>
  <r>
    <x v="173"/>
    <d v="2013-12-10T00:00:00"/>
    <n v="5"/>
    <x v="1"/>
    <s v="BS-11590"/>
    <s v="Brendan Sweed"/>
    <s v="Arizona"/>
    <x v="0"/>
    <s v="Art"/>
    <s v="Hunt BOSTON Model 1606 High-Volume Electric Pencil Sharpener, Beige"/>
    <n v="1113.0240000000001"/>
    <n v="8"/>
  </r>
  <r>
    <x v="173"/>
    <d v="2013-12-10T00:00:00"/>
    <n v="5"/>
    <x v="1"/>
    <s v="BS-11590"/>
    <s v="Brendan Sweed"/>
    <s v="Arizona"/>
    <x v="2"/>
    <s v="Phones"/>
    <s v="netTALK DUO VoIP Telephone Service"/>
    <n v="167.96800000000002"/>
    <n v="4"/>
  </r>
  <r>
    <x v="173"/>
    <d v="2013-12-10T00:00:00"/>
    <n v="5"/>
    <x v="1"/>
    <s v="RL-19615"/>
    <s v="Rob Lucas"/>
    <s v="California"/>
    <x v="0"/>
    <s v="Art"/>
    <s v="Prang Colored Pencils"/>
    <n v="26.46"/>
    <n v="9"/>
  </r>
  <r>
    <x v="173"/>
    <d v="2013-12-10T00:00:00"/>
    <n v="5"/>
    <x v="1"/>
    <s v="RL-19615"/>
    <s v="Rob Lucas"/>
    <s v="California"/>
    <x v="0"/>
    <s v="Paper"/>
    <s v="Xerox 1933"/>
    <n v="49.12"/>
    <n v="4"/>
  </r>
  <r>
    <x v="173"/>
    <d v="2013-12-10T00:00:00"/>
    <n v="5"/>
    <x v="1"/>
    <s v="RL-19615"/>
    <s v="Rob Lucas"/>
    <s v="California"/>
    <x v="0"/>
    <s v="Fasteners"/>
    <s v="Advantus Plastic Paper Clips"/>
    <n v="15"/>
    <n v="3"/>
  </r>
  <r>
    <x v="173"/>
    <d v="2013-12-07T00:00:00"/>
    <n v="2"/>
    <x v="2"/>
    <s v="JB-15925"/>
    <s v="Joni Blumstein"/>
    <s v="California"/>
    <x v="0"/>
    <s v="Appliances"/>
    <s v="Fellowes 8 Outlet Superior Workstation Surge Protector"/>
    <n v="250.26"/>
    <n v="6"/>
  </r>
  <r>
    <x v="174"/>
    <d v="2013-12-11T00:00:00"/>
    <n v="5"/>
    <x v="0"/>
    <s v="RC-19960"/>
    <s v="Ryan Crowe"/>
    <s v="Oregon"/>
    <x v="0"/>
    <s v="Storage"/>
    <s v="File Shuttle I and Handi-File"/>
    <n v="53.424000000000007"/>
    <n v="3"/>
  </r>
  <r>
    <x v="174"/>
    <d v="2013-12-11T00:00:00"/>
    <n v="5"/>
    <x v="0"/>
    <s v="RC-19960"/>
    <s v="Ryan Crowe"/>
    <s v="Oregon"/>
    <x v="1"/>
    <s v="Tables"/>
    <s v="Chromcraft Bull-Nose Wood 48&quot; x 96&quot; Rectangular Conference Tables"/>
    <n v="275.49"/>
    <n v="1"/>
  </r>
  <r>
    <x v="174"/>
    <d v="2013-12-08T00:00:00"/>
    <n v="2"/>
    <x v="2"/>
    <s v="RS-19765"/>
    <s v="Roland Schwarz"/>
    <s v="California"/>
    <x v="0"/>
    <s v="Storage"/>
    <s v="Standard Rollaway File with Lock"/>
    <n v="1261.33"/>
    <n v="7"/>
  </r>
  <r>
    <x v="175"/>
    <d v="2013-12-10T00:00:00"/>
    <n v="3"/>
    <x v="2"/>
    <s v="FP-14320"/>
    <s v="Frank Preis"/>
    <s v="California"/>
    <x v="0"/>
    <s v="Art"/>
    <s v="Newell 32"/>
    <n v="8.64"/>
    <n v="3"/>
  </r>
  <r>
    <x v="175"/>
    <d v="2013-12-13T00:00:00"/>
    <n v="6"/>
    <x v="1"/>
    <s v="AS-10630"/>
    <s v="Ann Steele"/>
    <s v="Washington"/>
    <x v="0"/>
    <s v="Storage"/>
    <s v="Advantus Rolling Drawer Organizers"/>
    <n v="269.35999999999996"/>
    <n v="7"/>
  </r>
  <r>
    <x v="175"/>
    <d v="2013-12-08T00:00:00"/>
    <n v="1"/>
    <x v="2"/>
    <s v="EH-14005"/>
    <s v="Erica Hernandez"/>
    <s v="California"/>
    <x v="0"/>
    <s v="Paper"/>
    <s v="Green Bar Computer Printout Paper"/>
    <n v="164.88"/>
    <n v="3"/>
  </r>
  <r>
    <x v="176"/>
    <d v="2013-12-13T00:00:00"/>
    <n v="5"/>
    <x v="1"/>
    <s v="TB-21250"/>
    <s v="Tim Brockman"/>
    <s v="Oregon"/>
    <x v="0"/>
    <s v="Labels"/>
    <s v="Avery 499"/>
    <n v="27.888000000000002"/>
    <n v="7"/>
  </r>
  <r>
    <x v="176"/>
    <d v="2013-12-13T00:00:00"/>
    <n v="5"/>
    <x v="1"/>
    <s v="TB-21250"/>
    <s v="Tim Brockman"/>
    <s v="Oregon"/>
    <x v="0"/>
    <s v="Binders"/>
    <s v="Acco PRESSTEX Data Binder with Storage Hooks, Dark Blue, 9 1/2&quot; X 11&quot;"/>
    <n v="6.4560000000000004"/>
    <n v="4"/>
  </r>
  <r>
    <x v="176"/>
    <d v="2013-12-13T00:00:00"/>
    <n v="5"/>
    <x v="1"/>
    <s v="TB-21250"/>
    <s v="Tim Brockman"/>
    <s v="Oregon"/>
    <x v="2"/>
    <s v="Phones"/>
    <s v="Samsung HM1900 Bluetooth Headset"/>
    <n v="52.679999999999993"/>
    <n v="3"/>
  </r>
  <r>
    <x v="176"/>
    <d v="2013-12-13T00:00:00"/>
    <n v="5"/>
    <x v="1"/>
    <s v="TB-21250"/>
    <s v="Tim Brockman"/>
    <s v="Oregon"/>
    <x v="0"/>
    <s v="Supplies"/>
    <s v="Acco Side-Punched Conventional Columnar Pads"/>
    <n v="13.88"/>
    <n v="5"/>
  </r>
  <r>
    <x v="176"/>
    <d v="2013-12-13T00:00:00"/>
    <n v="5"/>
    <x v="1"/>
    <s v="TB-21250"/>
    <s v="Tim Brockman"/>
    <s v="Oregon"/>
    <x v="2"/>
    <s v="Accessories"/>
    <s v="SanDisk Ultra 16 GB MicroSDHC Class 10 Memory Card"/>
    <n v="103.92000000000002"/>
    <n v="10"/>
  </r>
  <r>
    <x v="176"/>
    <d v="2013-12-13T00:00:00"/>
    <n v="5"/>
    <x v="1"/>
    <s v="TB-21250"/>
    <s v="Tim Brockman"/>
    <s v="Oregon"/>
    <x v="0"/>
    <s v="Labels"/>
    <s v="Avery 492"/>
    <n v="11.52"/>
    <n v="5"/>
  </r>
  <r>
    <x v="176"/>
    <d v="2013-12-13T00:00:00"/>
    <n v="5"/>
    <x v="1"/>
    <s v="TB-21250"/>
    <s v="Tim Brockman"/>
    <s v="Oregon"/>
    <x v="0"/>
    <s v="Paper"/>
    <s v="Xerox 232"/>
    <n v="10.368000000000002"/>
    <n v="2"/>
  </r>
  <r>
    <x v="176"/>
    <d v="2013-12-13T00:00:00"/>
    <n v="5"/>
    <x v="1"/>
    <s v="TB-21250"/>
    <s v="Tim Brockman"/>
    <s v="Oregon"/>
    <x v="0"/>
    <s v="Storage"/>
    <s v="Adjustable Personal File Tote"/>
    <n v="39.072000000000003"/>
    <n v="3"/>
  </r>
  <r>
    <x v="176"/>
    <d v="2013-12-10T00:00:00"/>
    <n v="2"/>
    <x v="0"/>
    <s v="JK-15625"/>
    <s v="Jim Karlsson"/>
    <s v="Washington"/>
    <x v="0"/>
    <s v="Paper"/>
    <s v="Xerox 1964"/>
    <n v="45.68"/>
    <n v="2"/>
  </r>
  <r>
    <x v="176"/>
    <d v="2013-12-10T00:00:00"/>
    <n v="2"/>
    <x v="0"/>
    <s v="JK-15625"/>
    <s v="Jim Karlsson"/>
    <s v="Washington"/>
    <x v="1"/>
    <s v="Chairs"/>
    <s v="DMI Arturo Collection Mission-style Design Wood Chair"/>
    <n v="603.91999999999996"/>
    <n v="5"/>
  </r>
  <r>
    <x v="176"/>
    <d v="2013-12-15T00:00:00"/>
    <n v="7"/>
    <x v="1"/>
    <s v="DJ-13420"/>
    <s v="Denny Joy"/>
    <s v="California"/>
    <x v="1"/>
    <s v="Furnishings"/>
    <s v="Luxo Economy Swing Arm Lamp"/>
    <n v="39.880000000000003"/>
    <n v="2"/>
  </r>
  <r>
    <x v="176"/>
    <d v="2013-12-15T00:00:00"/>
    <n v="7"/>
    <x v="1"/>
    <s v="DJ-13420"/>
    <s v="Denny Joy"/>
    <s v="California"/>
    <x v="1"/>
    <s v="Furnishings"/>
    <s v="DAX Natural Wood-Tone Poster Frame"/>
    <n v="79.44"/>
    <n v="3"/>
  </r>
  <r>
    <x v="177"/>
    <d v="2013-12-16T00:00:00"/>
    <n v="7"/>
    <x v="1"/>
    <s v="CK-12760"/>
    <s v="Cyma Kinney"/>
    <s v="California"/>
    <x v="0"/>
    <s v="Paper"/>
    <s v="Xerox 1987"/>
    <n v="34.68"/>
    <n v="6"/>
  </r>
  <r>
    <x v="177"/>
    <d v="2013-12-14T00:00:00"/>
    <n v="5"/>
    <x v="1"/>
    <s v="DM-12955"/>
    <s v="Dario Medina"/>
    <s v="Arizona"/>
    <x v="0"/>
    <s v="Storage"/>
    <s v="Acco Perma 3000 Stacking Storage Drawers"/>
    <n v="100.70400000000001"/>
    <n v="6"/>
  </r>
  <r>
    <x v="178"/>
    <d v="2013-12-14T00:00:00"/>
    <n v="4"/>
    <x v="1"/>
    <s v="SH-19975"/>
    <s v="Sally Hughsby"/>
    <s v="Idaho"/>
    <x v="1"/>
    <s v="Chairs"/>
    <s v="Office Star - Contemporary Swivel Chair with Padded Adjustable Arms and Flex Back"/>
    <n v="338.35199999999998"/>
    <n v="3"/>
  </r>
  <r>
    <x v="178"/>
    <d v="2013-12-14T00:00:00"/>
    <n v="4"/>
    <x v="1"/>
    <s v="SH-19975"/>
    <s v="Sally Hughsby"/>
    <s v="Idaho"/>
    <x v="0"/>
    <s v="Paper"/>
    <s v="Xerox 1931"/>
    <n v="25.92"/>
    <n v="4"/>
  </r>
  <r>
    <x v="178"/>
    <d v="2013-12-14T00:00:00"/>
    <n v="4"/>
    <x v="1"/>
    <s v="SH-19975"/>
    <s v="Sally Hughsby"/>
    <s v="Idaho"/>
    <x v="0"/>
    <s v="Paper"/>
    <s v="Xerox Color Copier Paper, 11&quot; x 17&quot;, Ream"/>
    <n v="91.36"/>
    <n v="4"/>
  </r>
  <r>
    <x v="179"/>
    <d v="2013-12-14T00:00:00"/>
    <n v="2"/>
    <x v="0"/>
    <s v="NP-18700"/>
    <s v="Nora Preis"/>
    <s v="California"/>
    <x v="1"/>
    <s v="Tables"/>
    <s v="Hon Non-Folding Utility Tables"/>
    <n v="764.6880000000001"/>
    <n v="6"/>
  </r>
  <r>
    <x v="179"/>
    <d v="2013-12-14T00:00:00"/>
    <n v="2"/>
    <x v="0"/>
    <s v="NP-18700"/>
    <s v="Nora Preis"/>
    <s v="California"/>
    <x v="1"/>
    <s v="Tables"/>
    <s v="Bretford Rectangular Conference Table Tops"/>
    <n v="3610.848"/>
    <n v="12"/>
  </r>
  <r>
    <x v="179"/>
    <d v="2013-12-14T00:00:00"/>
    <n v="2"/>
    <x v="0"/>
    <s v="NP-18700"/>
    <s v="Nora Preis"/>
    <s v="California"/>
    <x v="1"/>
    <s v="Bookcases"/>
    <s v="Bestar Classic Bookcase"/>
    <n v="254.97449999999998"/>
    <n v="3"/>
  </r>
  <r>
    <x v="179"/>
    <d v="2013-12-17T00:00:00"/>
    <n v="5"/>
    <x v="1"/>
    <s v="WB-21850"/>
    <s v="William Brown"/>
    <s v="California"/>
    <x v="1"/>
    <s v="Furnishings"/>
    <s v="Eldon Advantage Chair Mats for Low to Medium Pile Carpets"/>
    <n v="43.31"/>
    <n v="1"/>
  </r>
  <r>
    <x v="179"/>
    <d v="2013-12-15T00:00:00"/>
    <n v="3"/>
    <x v="0"/>
    <s v="LH-17155"/>
    <s v="Logan Haushalter"/>
    <s v="California"/>
    <x v="1"/>
    <s v="Furnishings"/>
    <s v="Eldon Image Series Desk Accessories, Burgundy"/>
    <n v="12.54"/>
    <n v="3"/>
  </r>
  <r>
    <x v="179"/>
    <d v="2013-12-15T00:00:00"/>
    <n v="3"/>
    <x v="0"/>
    <s v="LH-17155"/>
    <s v="Logan Haushalter"/>
    <s v="California"/>
    <x v="0"/>
    <s v="Storage"/>
    <s v="Woodgrain Magazine Files by Perma"/>
    <n v="8.94"/>
    <n v="3"/>
  </r>
  <r>
    <x v="179"/>
    <d v="2013-12-15T00:00:00"/>
    <n v="3"/>
    <x v="0"/>
    <s v="LH-17155"/>
    <s v="Logan Haushalter"/>
    <s v="California"/>
    <x v="1"/>
    <s v="Furnishings"/>
    <s v="Longer-Life Soft White Bulbs"/>
    <n v="9.24"/>
    <n v="3"/>
  </r>
  <r>
    <x v="180"/>
    <d v="2013-12-15T00:00:00"/>
    <n v="2"/>
    <x v="0"/>
    <s v="KD-16345"/>
    <s v="Katherine Ducich"/>
    <s v="California"/>
    <x v="0"/>
    <s v="Paper"/>
    <s v="White GlueTop Scratch Pads"/>
    <n v="90.24"/>
    <n v="6"/>
  </r>
  <r>
    <x v="180"/>
    <d v="2013-12-17T00:00:00"/>
    <n v="4"/>
    <x v="1"/>
    <s v="RF-19345"/>
    <s v="Randy Ferguson"/>
    <s v="Arizona"/>
    <x v="1"/>
    <s v="Furnishings"/>
    <s v="Electrix Incandescent Magnifying Lamp, Black"/>
    <n v="87.960000000000008"/>
    <n v="3"/>
  </r>
  <r>
    <x v="180"/>
    <d v="2013-12-17T00:00:00"/>
    <n v="4"/>
    <x v="1"/>
    <s v="RF-19345"/>
    <s v="Randy Ferguson"/>
    <s v="Arizona"/>
    <x v="0"/>
    <s v="Binders"/>
    <s v="Cardinal Slant-D Ring Binder, Heavy Gauge Vinyl"/>
    <n v="5.2140000000000004"/>
    <n v="2"/>
  </r>
  <r>
    <x v="181"/>
    <d v="2013-12-19T00:00:00"/>
    <n v="4"/>
    <x v="0"/>
    <s v="JO-15280"/>
    <s v="Jas O'Carroll"/>
    <s v="California"/>
    <x v="1"/>
    <s v="Furnishings"/>
    <s v="Stackable Trays"/>
    <n v="6.16"/>
    <n v="2"/>
  </r>
  <r>
    <x v="182"/>
    <d v="2013-12-17T00:00:00"/>
    <n v="1"/>
    <x v="2"/>
    <s v="CC-12100"/>
    <s v="Chad Cunningham"/>
    <s v="California"/>
    <x v="1"/>
    <s v="Furnishings"/>
    <s v="Executive Impressions 14&quot; Contract Wall Clock"/>
    <n v="44.46"/>
    <n v="2"/>
  </r>
  <r>
    <x v="182"/>
    <d v="2013-12-17T00:00:00"/>
    <n v="1"/>
    <x v="2"/>
    <s v="CC-12100"/>
    <s v="Chad Cunningham"/>
    <s v="California"/>
    <x v="1"/>
    <s v="Chairs"/>
    <s v="DMI Arturo Collection Mission-style Design Wood Chair"/>
    <n v="241.56799999999998"/>
    <n v="2"/>
  </r>
  <r>
    <x v="182"/>
    <d v="2013-12-17T00:00:00"/>
    <n v="1"/>
    <x v="2"/>
    <s v="CC-12100"/>
    <s v="Chad Cunningham"/>
    <s v="California"/>
    <x v="2"/>
    <s v="Accessories"/>
    <s v="First Data FD10 PIN Pad"/>
    <n v="395"/>
    <n v="5"/>
  </r>
  <r>
    <x v="182"/>
    <d v="2013-12-17T00:00:00"/>
    <n v="1"/>
    <x v="2"/>
    <s v="CC-12100"/>
    <s v="Chad Cunningham"/>
    <s v="California"/>
    <x v="2"/>
    <s v="Phones"/>
    <s v="GE 30524EE4"/>
    <n v="627.16800000000012"/>
    <n v="4"/>
  </r>
  <r>
    <x v="182"/>
    <d v="2013-12-21T00:00:00"/>
    <n v="5"/>
    <x v="1"/>
    <s v="SH-20635"/>
    <s v="Stefanie Holloman"/>
    <s v="California"/>
    <x v="1"/>
    <s v="Chairs"/>
    <s v="Office Star - Professional Matrix Back Chair with 2-to-1 Synchro Tilt and Mesh Fabric Seat"/>
    <n v="1403.9200000000003"/>
    <n v="5"/>
  </r>
  <r>
    <x v="183"/>
    <d v="2013-12-21T00:00:00"/>
    <n v="2"/>
    <x v="2"/>
    <s v="BP-11095"/>
    <s v="Bart Pistole"/>
    <s v="California"/>
    <x v="0"/>
    <s v="Labels"/>
    <s v="Avery 516"/>
    <n v="14.62"/>
    <n v="2"/>
  </r>
  <r>
    <x v="183"/>
    <d v="2013-12-21T00:00:00"/>
    <n v="2"/>
    <x v="2"/>
    <s v="BP-11095"/>
    <s v="Bart Pistole"/>
    <s v="California"/>
    <x v="0"/>
    <s v="Fasteners"/>
    <s v="Advantus T-Pin Paper Clips"/>
    <n v="22.549999999999997"/>
    <n v="5"/>
  </r>
  <r>
    <x v="183"/>
    <d v="2013-12-21T00:00:00"/>
    <n v="2"/>
    <x v="2"/>
    <s v="BP-11095"/>
    <s v="Bart Pistole"/>
    <s v="California"/>
    <x v="2"/>
    <s v="Phones"/>
    <s v="Wi-Ex zBoost YX540 Cellular Phone Signal Booster"/>
    <n v="583.79999999999995"/>
    <n v="5"/>
  </r>
  <r>
    <x v="183"/>
    <d v="2013-12-21T00:00:00"/>
    <n v="2"/>
    <x v="2"/>
    <s v="BP-11095"/>
    <s v="Bart Pistole"/>
    <s v="California"/>
    <x v="2"/>
    <s v="Phones"/>
    <s v="Clarity 53712"/>
    <n v="211.16800000000001"/>
    <n v="4"/>
  </r>
  <r>
    <x v="184"/>
    <d v="2013-12-25T00:00:00"/>
    <n v="5"/>
    <x v="1"/>
    <s v="KH-16510"/>
    <s v="Keith Herrera"/>
    <s v="Washington"/>
    <x v="0"/>
    <s v="Labels"/>
    <s v="Avery 489"/>
    <n v="31.049999999999997"/>
    <n v="3"/>
  </r>
  <r>
    <x v="184"/>
    <d v="2013-12-23T00:00:00"/>
    <n v="3"/>
    <x v="0"/>
    <s v="MC-17845"/>
    <s v="Michael Chen"/>
    <s v="California"/>
    <x v="0"/>
    <s v="Binders"/>
    <s v="Ibico Hi-Tech Manual Binding System"/>
    <n v="487.98400000000004"/>
    <n v="2"/>
  </r>
  <r>
    <x v="184"/>
    <d v="2013-12-23T00:00:00"/>
    <n v="3"/>
    <x v="0"/>
    <s v="MC-17845"/>
    <s v="Michael Chen"/>
    <s v="California"/>
    <x v="0"/>
    <s v="Art"/>
    <s v="Boston Home &amp; Office Model 2000 Electric Pencil Sharpeners"/>
    <n v="47.3"/>
    <n v="2"/>
  </r>
  <r>
    <x v="184"/>
    <d v="2013-12-23T00:00:00"/>
    <n v="3"/>
    <x v="0"/>
    <s v="MC-17845"/>
    <s v="Michael Chen"/>
    <s v="California"/>
    <x v="0"/>
    <s v="Art"/>
    <s v="Newell 31"/>
    <n v="4.13"/>
    <n v="1"/>
  </r>
  <r>
    <x v="184"/>
    <d v="2013-12-23T00:00:00"/>
    <n v="3"/>
    <x v="0"/>
    <s v="MC-17845"/>
    <s v="Michael Chen"/>
    <s v="California"/>
    <x v="0"/>
    <s v="Binders"/>
    <s v="Premium Transparent Presentation Covers, No Pattern/Clear, 8 1/2&quot; x 11&quot;"/>
    <n v="155.12"/>
    <n v="5"/>
  </r>
  <r>
    <x v="184"/>
    <d v="2013-12-20T00:00:00"/>
    <n v="0"/>
    <x v="3"/>
    <s v="TC-21295"/>
    <s v="Toby Carlisle"/>
    <s v="Colorado"/>
    <x v="2"/>
    <s v="Accessories"/>
    <s v="Logitech G430 Surround Sound Gaming Headset with Dolby 7.1 Technology"/>
    <n v="447.94399999999996"/>
    <n v="7"/>
  </r>
  <r>
    <x v="184"/>
    <d v="2013-12-22T00:00:00"/>
    <n v="2"/>
    <x v="2"/>
    <s v="CT-11995"/>
    <s v="Carol Triggs"/>
    <s v="Arizona"/>
    <x v="1"/>
    <s v="Furnishings"/>
    <s v="Computer Room Manger, 14&quot;"/>
    <n v="51.967999999999996"/>
    <n v="2"/>
  </r>
  <r>
    <x v="184"/>
    <d v="2013-12-22T00:00:00"/>
    <n v="2"/>
    <x v="2"/>
    <s v="CT-11995"/>
    <s v="Carol Triggs"/>
    <s v="Arizona"/>
    <x v="2"/>
    <s v="Accessories"/>
    <s v="Logitech 910-002974 M325 Wireless Mouse for Web Scrolling"/>
    <n v="71.975999999999999"/>
    <n v="3"/>
  </r>
  <r>
    <x v="184"/>
    <d v="2013-12-22T00:00:00"/>
    <n v="2"/>
    <x v="2"/>
    <s v="CT-11995"/>
    <s v="Carol Triggs"/>
    <s v="Arizona"/>
    <x v="1"/>
    <s v="Chairs"/>
    <s v="Global Low Back Tilter Chair"/>
    <n v="242.35200000000003"/>
    <n v="3"/>
  </r>
  <r>
    <x v="184"/>
    <d v="2013-12-22T00:00:00"/>
    <n v="2"/>
    <x v="2"/>
    <s v="CT-11995"/>
    <s v="Carol Triggs"/>
    <s v="Arizona"/>
    <x v="0"/>
    <s v="Paper"/>
    <s v="Xerox 1888"/>
    <n v="221.92000000000002"/>
    <n v="5"/>
  </r>
  <r>
    <x v="184"/>
    <d v="2013-12-22T00:00:00"/>
    <n v="2"/>
    <x v="2"/>
    <s v="CT-11995"/>
    <s v="Carol Triggs"/>
    <s v="Arizona"/>
    <x v="0"/>
    <s v="Paper"/>
    <s v="Xerox 1954"/>
    <n v="8.4480000000000004"/>
    <n v="2"/>
  </r>
  <r>
    <x v="185"/>
    <d v="2013-12-27T00:00:00"/>
    <n v="6"/>
    <x v="1"/>
    <s v="GM-14440"/>
    <s v="Gary McGarr"/>
    <s v="California"/>
    <x v="1"/>
    <s v="Chairs"/>
    <s v="SAFCO Arco Folding Chair"/>
    <n v="1325.76"/>
    <n v="6"/>
  </r>
  <r>
    <x v="185"/>
    <d v="2013-12-27T00:00:00"/>
    <n v="6"/>
    <x v="1"/>
    <s v="GM-14440"/>
    <s v="Gary McGarr"/>
    <s v="California"/>
    <x v="1"/>
    <s v="Chairs"/>
    <s v="Safco Contoured Stacking Chairs"/>
    <n v="572.16000000000008"/>
    <n v="3"/>
  </r>
  <r>
    <x v="186"/>
    <d v="2013-12-26T00:00:00"/>
    <n v="4"/>
    <x v="1"/>
    <s v="KM-16660"/>
    <s v="Khloe Miller"/>
    <s v="California"/>
    <x v="0"/>
    <s v="Art"/>
    <s v="Newell 332"/>
    <n v="11.76"/>
    <n v="4"/>
  </r>
  <r>
    <x v="187"/>
    <d v="2013-12-29T00:00:00"/>
    <n v="5"/>
    <x v="1"/>
    <s v="JC-16105"/>
    <s v="Julie Creighton"/>
    <s v="California"/>
    <x v="0"/>
    <s v="Storage"/>
    <s v="Letter Size Cart"/>
    <n v="142.86000000000001"/>
    <n v="1"/>
  </r>
  <r>
    <x v="187"/>
    <d v="2013-12-29T00:00:00"/>
    <n v="5"/>
    <x v="1"/>
    <s v="JC-16105"/>
    <s v="Julie Creighton"/>
    <s v="California"/>
    <x v="1"/>
    <s v="Chairs"/>
    <s v="Global Value Mid-Back Manager's Chair, Gray"/>
    <n v="292.27200000000005"/>
    <n v="6"/>
  </r>
  <r>
    <x v="187"/>
    <d v="2013-12-29T00:00:00"/>
    <n v="5"/>
    <x v="1"/>
    <s v="BF-11170"/>
    <s v="Ben Ferrer"/>
    <s v="California"/>
    <x v="2"/>
    <s v="Phones"/>
    <s v="Seidio BD2-HK3IPH5-BK DILEX Case and Holster Combo for Apple iPhone 5/5s - Black"/>
    <n v="173.65600000000003"/>
    <n v="7"/>
  </r>
  <r>
    <x v="187"/>
    <d v="2013-12-29T00:00:00"/>
    <n v="5"/>
    <x v="1"/>
    <s v="BF-11170"/>
    <s v="Ben Ferrer"/>
    <s v="California"/>
    <x v="0"/>
    <s v="Appliances"/>
    <s v="Avanti 4.4 Cu. Ft. Refrigerator"/>
    <n v="361.96"/>
    <n v="2"/>
  </r>
  <r>
    <x v="187"/>
    <d v="2013-12-29T00:00:00"/>
    <n v="5"/>
    <x v="1"/>
    <s v="BF-11170"/>
    <s v="Ben Ferrer"/>
    <s v="California"/>
    <x v="2"/>
    <s v="Accessories"/>
    <s v="Sony 32GB Class 10 Micro SDHC R40 Memory Card"/>
    <n v="62.849999999999994"/>
    <n v="3"/>
  </r>
  <r>
    <x v="187"/>
    <d v="2013-12-29T00:00:00"/>
    <n v="5"/>
    <x v="1"/>
    <s v="BF-11170"/>
    <s v="Ben Ferrer"/>
    <s v="California"/>
    <x v="2"/>
    <s v="Phones"/>
    <s v="Cisco Unified IP Phone 7945G VoIP phone"/>
    <n v="818.37600000000009"/>
    <n v="3"/>
  </r>
  <r>
    <x v="187"/>
    <d v="2013-12-29T00:00:00"/>
    <n v="5"/>
    <x v="1"/>
    <s v="BF-11170"/>
    <s v="Ben Ferrer"/>
    <s v="California"/>
    <x v="0"/>
    <s v="Storage"/>
    <s v="Tennsco Commercial Shelving"/>
    <n v="20.34"/>
    <n v="1"/>
  </r>
  <r>
    <x v="187"/>
    <d v="2013-12-29T00:00:00"/>
    <n v="5"/>
    <x v="1"/>
    <s v="BF-11170"/>
    <s v="Ben Ferrer"/>
    <s v="California"/>
    <x v="1"/>
    <s v="Furnishings"/>
    <s v="Westinghouse Floor Lamp with Metal Mesh Shade, Black"/>
    <n v="23.99"/>
    <n v="1"/>
  </r>
  <r>
    <x v="187"/>
    <d v="2013-12-26T00:00:00"/>
    <n v="2"/>
    <x v="2"/>
    <s v="AS-10090"/>
    <s v="Adam Shillingsburg"/>
    <s v="California"/>
    <x v="0"/>
    <s v="Appliances"/>
    <s v="Belkin 7-Outlet SurgeMaster Home Series"/>
    <n v="13.97"/>
    <n v="1"/>
  </r>
  <r>
    <x v="188"/>
    <d v="2013-12-28T00:00:00"/>
    <n v="2"/>
    <x v="2"/>
    <s v="KL-16555"/>
    <s v="Kelly Lampkin"/>
    <s v="Colorado"/>
    <x v="1"/>
    <s v="Furnishings"/>
    <s v="Howard Miller 13&quot; Diameter Goldtone Round Wall Clock"/>
    <n v="300.416"/>
    <n v="8"/>
  </r>
  <r>
    <x v="188"/>
    <d v="2013-12-28T00:00:00"/>
    <n v="2"/>
    <x v="2"/>
    <s v="KL-16555"/>
    <s v="Kelly Lampkin"/>
    <s v="Colorado"/>
    <x v="1"/>
    <s v="Chairs"/>
    <s v="Global Deluxe Office Fabric Chairs"/>
    <n v="230.35200000000003"/>
    <n v="3"/>
  </r>
  <r>
    <x v="188"/>
    <d v="2013-12-28T00:00:00"/>
    <n v="2"/>
    <x v="2"/>
    <s v="KL-16555"/>
    <s v="Kelly Lampkin"/>
    <s v="Colorado"/>
    <x v="1"/>
    <s v="Furnishings"/>
    <s v="Eldon ClusterMat Chair Mat with Cordless Antistatic Protection"/>
    <n v="218.35200000000003"/>
    <n v="3"/>
  </r>
  <r>
    <x v="188"/>
    <d v="2013-12-28T00:00:00"/>
    <n v="2"/>
    <x v="2"/>
    <s v="KL-16555"/>
    <s v="Kelly Lampkin"/>
    <s v="Colorado"/>
    <x v="0"/>
    <s v="Binders"/>
    <s v="Ibico Laser Imprintable Binding System Covers"/>
    <n v="78.600000000000009"/>
    <n v="5"/>
  </r>
  <r>
    <x v="188"/>
    <d v="2013-12-28T00:00:00"/>
    <n v="2"/>
    <x v="2"/>
    <s v="KL-16555"/>
    <s v="Kelly Lampkin"/>
    <s v="Colorado"/>
    <x v="0"/>
    <s v="Fasteners"/>
    <s v="Vinyl Coated Wire Paper Clips in Organizer Box, 800/Box"/>
    <n v="27.552000000000003"/>
    <n v="3"/>
  </r>
  <r>
    <x v="188"/>
    <d v="2013-12-30T00:00:00"/>
    <n v="4"/>
    <x v="1"/>
    <s v="CK-12595"/>
    <s v="Clytie Kelty"/>
    <s v="California"/>
    <x v="0"/>
    <s v="Supplies"/>
    <s v="Acme Rosewood Handle Letter Opener"/>
    <n v="11.91"/>
    <n v="3"/>
  </r>
  <r>
    <x v="188"/>
    <d v="2013-12-30T00:00:00"/>
    <n v="4"/>
    <x v="1"/>
    <s v="CK-12595"/>
    <s v="Clytie Kelty"/>
    <s v="California"/>
    <x v="1"/>
    <s v="Furnishings"/>
    <s v="Eldon Regeneration Recycled Desk Accessories, Smoke"/>
    <n v="3.48"/>
    <n v="2"/>
  </r>
  <r>
    <x v="189"/>
    <d v="2013-12-30T00:00:00"/>
    <n v="3"/>
    <x v="0"/>
    <s v="AT-10435"/>
    <s v="Alyssa Tate"/>
    <s v="California"/>
    <x v="0"/>
    <s v="Labels"/>
    <s v="Staple-on labels"/>
    <n v="11.56"/>
    <n v="4"/>
  </r>
  <r>
    <x v="189"/>
    <d v="2014-01-02T00:00:00"/>
    <n v="6"/>
    <x v="1"/>
    <s v="JF-15490"/>
    <s v="Jeremy Farry"/>
    <s v="California"/>
    <x v="1"/>
    <s v="Chairs"/>
    <s v="Bevis Steel Folding Chairs"/>
    <n v="230.28000000000003"/>
    <n v="3"/>
  </r>
  <r>
    <x v="189"/>
    <d v="2014-01-02T00:00:00"/>
    <n v="6"/>
    <x v="1"/>
    <s v="JF-15490"/>
    <s v="Jeremy Farry"/>
    <s v="California"/>
    <x v="0"/>
    <s v="Paper"/>
    <s v="Xerox 1927"/>
    <n v="12.84"/>
    <n v="3"/>
  </r>
  <r>
    <x v="189"/>
    <d v="2013-12-31T00:00:00"/>
    <n v="4"/>
    <x v="1"/>
    <s v="CD-12790"/>
    <s v="Cynthia Delaney"/>
    <s v="California"/>
    <x v="0"/>
    <s v="Appliances"/>
    <s v="Staple holder"/>
    <n v="10.98"/>
    <n v="1"/>
  </r>
  <r>
    <x v="189"/>
    <d v="2013-12-31T00:00:00"/>
    <n v="4"/>
    <x v="1"/>
    <s v="CD-12790"/>
    <s v="Cynthia Delaney"/>
    <s v="California"/>
    <x v="0"/>
    <s v="Fasteners"/>
    <s v="Staples"/>
    <n v="7.86"/>
    <n v="3"/>
  </r>
  <r>
    <x v="189"/>
    <d v="2013-12-31T00:00:00"/>
    <n v="4"/>
    <x v="1"/>
    <s v="CD-12790"/>
    <s v="Cynthia Delaney"/>
    <s v="California"/>
    <x v="0"/>
    <s v="Storage"/>
    <s v="Advantus Rolling Storage Box"/>
    <n v="51.449999999999996"/>
    <n v="3"/>
  </r>
  <r>
    <x v="189"/>
    <d v="2013-12-31T00:00:00"/>
    <n v="4"/>
    <x v="1"/>
    <s v="CD-12790"/>
    <s v="Cynthia Delaney"/>
    <s v="California"/>
    <x v="0"/>
    <s v="Binders"/>
    <s v="GBC VeloBind Cover Sets"/>
    <n v="37.055999999999997"/>
    <n v="3"/>
  </r>
  <r>
    <x v="189"/>
    <d v="2013-12-31T00:00:00"/>
    <n v="4"/>
    <x v="1"/>
    <s v="RP-19390"/>
    <s v="Resi Pölking"/>
    <s v="Arizona"/>
    <x v="0"/>
    <s v="Binders"/>
    <s v="GBC DocuBind 300 Electric Binding Machine"/>
    <n v="946.76400000000024"/>
    <n v="6"/>
  </r>
  <r>
    <x v="190"/>
    <d v="2014-01-03T00:00:00"/>
    <n v="6"/>
    <x v="1"/>
    <s v="MD-17350"/>
    <s v="Maribeth Dona"/>
    <s v="California"/>
    <x v="0"/>
    <s v="Storage"/>
    <s v="Carina Mini System Audio Rack, Model AR050B"/>
    <n v="998.82"/>
    <n v="9"/>
  </r>
  <r>
    <x v="190"/>
    <d v="2014-01-03T00:00:00"/>
    <n v="6"/>
    <x v="1"/>
    <s v="MD-17350"/>
    <s v="Maribeth Dona"/>
    <s v="California"/>
    <x v="0"/>
    <s v="Supplies"/>
    <s v="Acme Box Cutter Scissors"/>
    <n v="51.150000000000006"/>
    <n v="5"/>
  </r>
  <r>
    <x v="191"/>
    <d v="2014-01-02T00:00:00"/>
    <n v="4"/>
    <x v="1"/>
    <s v="AJ-10795"/>
    <s v="Anthony Johnson"/>
    <s v="California"/>
    <x v="1"/>
    <s v="Furnishings"/>
    <s v="Stacking Trays by OIC"/>
    <n v="24.900000000000002"/>
    <n v="5"/>
  </r>
  <r>
    <x v="191"/>
    <d v="2014-01-02T00:00:00"/>
    <n v="4"/>
    <x v="1"/>
    <s v="AJ-10795"/>
    <s v="Anthony Johnson"/>
    <s v="California"/>
    <x v="0"/>
    <s v="Paper"/>
    <s v="Xerox 1981"/>
    <n v="21.12"/>
    <n v="4"/>
  </r>
  <r>
    <x v="191"/>
    <d v="2014-01-02T00:00:00"/>
    <n v="4"/>
    <x v="1"/>
    <s v="AJ-10795"/>
    <s v="Anthony Johnson"/>
    <s v="California"/>
    <x v="2"/>
    <s v="Machines"/>
    <s v="DYMO CardScan Personal V9 Business Card Scanner"/>
    <n v="767.95200000000011"/>
    <n v="6"/>
  </r>
  <r>
    <x v="191"/>
    <d v="2014-01-02T00:00:00"/>
    <n v="4"/>
    <x v="1"/>
    <s v="AJ-10795"/>
    <s v="Anthony Johnson"/>
    <s v="California"/>
    <x v="0"/>
    <s v="Binders"/>
    <s v="Avery Hanging File Binders"/>
    <n v="14.352000000000002"/>
    <n v="3"/>
  </r>
  <r>
    <x v="191"/>
    <d v="2014-01-02T00:00:00"/>
    <n v="4"/>
    <x v="1"/>
    <s v="AJ-10795"/>
    <s v="Anthony Johnson"/>
    <s v="California"/>
    <x v="2"/>
    <s v="Phones"/>
    <s v="Mophie Juice Pack Helium for iPhone"/>
    <n v="191.976"/>
    <n v="3"/>
  </r>
  <r>
    <x v="191"/>
    <d v="2014-01-02T00:00:00"/>
    <n v="4"/>
    <x v="1"/>
    <s v="AJ-10795"/>
    <s v="Anthony Johnson"/>
    <s v="California"/>
    <x v="0"/>
    <s v="Labels"/>
    <s v="Avery 477"/>
    <n v="274.77"/>
    <n v="9"/>
  </r>
  <r>
    <x v="191"/>
    <d v="2014-01-02T00:00:00"/>
    <n v="4"/>
    <x v="1"/>
    <s v="AJ-10795"/>
    <s v="Anthony Johnson"/>
    <s v="California"/>
    <x v="1"/>
    <s v="Furnishings"/>
    <s v="Executive Impressions 10&quot; Spectator Wall Clock"/>
    <n v="70.56"/>
    <n v="6"/>
  </r>
  <r>
    <x v="191"/>
    <d v="2014-01-03T00:00:00"/>
    <n v="5"/>
    <x v="0"/>
    <s v="ST-20530"/>
    <s v="Shui Tom"/>
    <s v="New Mexico"/>
    <x v="2"/>
    <s v="Phones"/>
    <s v="Mediabridge Sport Armband iPhone 5s"/>
    <n v="23.976000000000003"/>
    <n v="3"/>
  </r>
  <r>
    <x v="191"/>
    <d v="2014-01-03T00:00:00"/>
    <n v="5"/>
    <x v="0"/>
    <s v="ST-20530"/>
    <s v="Shui Tom"/>
    <s v="New Mexico"/>
    <x v="0"/>
    <s v="Storage"/>
    <s v="Fellowes Bases and Tops For Staxonsteel/High-Stak Systems"/>
    <n v="33.29"/>
    <n v="1"/>
  </r>
  <r>
    <x v="191"/>
    <d v="2014-01-03T00:00:00"/>
    <n v="5"/>
    <x v="1"/>
    <s v="AI-10855"/>
    <s v="Arianne Irving"/>
    <s v="California"/>
    <x v="0"/>
    <s v="Labels"/>
    <s v="Alphabetical Labels for Top Tab Filing"/>
    <n v="88.800000000000011"/>
    <n v="6"/>
  </r>
  <r>
    <x v="191"/>
    <d v="2014-01-03T00:00:00"/>
    <n v="5"/>
    <x v="1"/>
    <s v="AI-10855"/>
    <s v="Arianne Irving"/>
    <s v="California"/>
    <x v="2"/>
    <s v="Phones"/>
    <s v="HTC One"/>
    <n v="319.96800000000002"/>
    <n v="4"/>
  </r>
  <r>
    <x v="192"/>
    <d v="2014-01-04T00:00:00"/>
    <n v="5"/>
    <x v="1"/>
    <s v="MF-17665"/>
    <s v="Maureen Fritzler"/>
    <s v="Arizona"/>
    <x v="0"/>
    <s v="Binders"/>
    <s v="Ibico Ibimaster 300 Manual Binding System"/>
    <n v="551.98500000000013"/>
    <n v="5"/>
  </r>
  <r>
    <x v="193"/>
    <d v="2013-12-31T00:00:00"/>
    <n v="0"/>
    <x v="3"/>
    <s v="JL-15175"/>
    <s v="James Lanier"/>
    <s v="Nevada"/>
    <x v="2"/>
    <s v="Phones"/>
    <s v="Panasonic KX TS3282W Corded phone"/>
    <n v="475.94400000000002"/>
    <n v="7"/>
  </r>
  <r>
    <x v="194"/>
    <d v="2014-01-10T00:00:00"/>
    <n v="5"/>
    <x v="1"/>
    <s v="SR-20740"/>
    <s v="Steven Roelle"/>
    <s v="Washington"/>
    <x v="1"/>
    <s v="Chairs"/>
    <s v="Global Deluxe Steno Chair"/>
    <n v="61.584000000000003"/>
    <n v="1"/>
  </r>
  <r>
    <x v="194"/>
    <d v="2014-01-10T00:00:00"/>
    <n v="5"/>
    <x v="1"/>
    <s v="JL-15175"/>
    <s v="James Lanier"/>
    <s v="California"/>
    <x v="0"/>
    <s v="Appliances"/>
    <s v="Acco 6 Outlet Guardian Premium Surge Suppressor"/>
    <n v="87.36"/>
    <n v="6"/>
  </r>
  <r>
    <x v="194"/>
    <d v="2014-01-10T00:00:00"/>
    <n v="5"/>
    <x v="1"/>
    <s v="JL-15175"/>
    <s v="James Lanier"/>
    <s v="California"/>
    <x v="0"/>
    <s v="Binders"/>
    <s v="Fellowes Binding Cases"/>
    <n v="56.16"/>
    <n v="6"/>
  </r>
  <r>
    <x v="195"/>
    <d v="2014-01-12T00:00:00"/>
    <n v="6"/>
    <x v="1"/>
    <s v="SP-20620"/>
    <s v="Stefania Perrino"/>
    <s v="Colorado"/>
    <x v="0"/>
    <s v="Paper"/>
    <s v="It's Hot Message Books with Stickers, 2 3/4&quot; x 5&quot;"/>
    <n v="29.600000000000005"/>
    <n v="5"/>
  </r>
  <r>
    <x v="195"/>
    <d v="2014-01-12T00:00:00"/>
    <n v="6"/>
    <x v="1"/>
    <s v="SP-20620"/>
    <s v="Stefania Perrino"/>
    <s v="Colorado"/>
    <x v="0"/>
    <s v="Binders"/>
    <s v="Recycled Pressboard Report Cover with Reinforced Top Hinge"/>
    <n v="1.9380000000000002"/>
    <n v="2"/>
  </r>
  <r>
    <x v="196"/>
    <d v="2014-01-17T00:00:00"/>
    <n v="4"/>
    <x v="1"/>
    <s v="PB-19150"/>
    <s v="Philip Brown"/>
    <s v="California"/>
    <x v="0"/>
    <s v="Binders"/>
    <s v="Binding Machine Supplies"/>
    <n v="70.00800000000001"/>
    <n v="3"/>
  </r>
  <r>
    <x v="196"/>
    <d v="2014-01-17T00:00:00"/>
    <n v="4"/>
    <x v="1"/>
    <s v="PB-19150"/>
    <s v="Philip Brown"/>
    <s v="California"/>
    <x v="1"/>
    <s v="Furnishings"/>
    <s v="Floodlight Indoor Halogen Bulbs, 1 Bulb per Pack, 60 Watts"/>
    <n v="77.599999999999994"/>
    <n v="4"/>
  </r>
  <r>
    <x v="196"/>
    <d v="2014-01-17T00:00:00"/>
    <n v="4"/>
    <x v="1"/>
    <s v="PB-19150"/>
    <s v="Philip Brown"/>
    <s v="California"/>
    <x v="1"/>
    <s v="Furnishings"/>
    <s v="Deflect-o EconoMat Nonstudded, No Bevel Mat"/>
    <n v="464.84999999999997"/>
    <n v="9"/>
  </r>
  <r>
    <x v="197"/>
    <d v="2014-01-27T00:00:00"/>
    <n v="4"/>
    <x v="1"/>
    <s v="CW-11905"/>
    <s v="Carl Weiss"/>
    <s v="Montana"/>
    <x v="0"/>
    <s v="Paper"/>
    <s v="Wirebound Service Call Books, 5 1/2&quot; x 4&quot;"/>
    <n v="29.04"/>
    <n v="3"/>
  </r>
  <r>
    <x v="197"/>
    <d v="2014-01-27T00:00:00"/>
    <n v="4"/>
    <x v="1"/>
    <s v="CW-11905"/>
    <s v="Carl Weiss"/>
    <s v="Montana"/>
    <x v="0"/>
    <s v="Labels"/>
    <s v="Avery 500"/>
    <n v="14.62"/>
    <n v="2"/>
  </r>
  <r>
    <x v="198"/>
    <d v="2014-02-01T00:00:00"/>
    <n v="6"/>
    <x v="1"/>
    <s v="EM-13825"/>
    <s v="Elizabeth Moffitt"/>
    <s v="California"/>
    <x v="0"/>
    <s v="Paper"/>
    <s v="Xerox 1991"/>
    <n v="182.72"/>
    <n v="8"/>
  </r>
  <r>
    <x v="199"/>
    <d v="2014-01-29T00:00:00"/>
    <n v="2"/>
    <x v="2"/>
    <s v="SC-20305"/>
    <s v="Sean Christensen"/>
    <s v="California"/>
    <x v="1"/>
    <s v="Chairs"/>
    <s v="HON 5400 Series Task Chairs for Big and Tall"/>
    <n v="2803.92"/>
    <n v="5"/>
  </r>
  <r>
    <x v="200"/>
    <d v="2014-02-06T00:00:00"/>
    <n v="7"/>
    <x v="1"/>
    <s v="CC-12145"/>
    <s v="Charles Crestani"/>
    <s v="California"/>
    <x v="1"/>
    <s v="Furnishings"/>
    <s v="Computer Room Manger, 14&quot;"/>
    <n v="227.35999999999999"/>
    <n v="7"/>
  </r>
  <r>
    <x v="200"/>
    <d v="2014-02-06T00:00:00"/>
    <n v="7"/>
    <x v="1"/>
    <s v="CC-12145"/>
    <s v="Charles Crestani"/>
    <s v="California"/>
    <x v="2"/>
    <s v="Machines"/>
    <s v="Bady BDG101FRU Card Printer"/>
    <n v="1919.9760000000001"/>
    <n v="3"/>
  </r>
  <r>
    <x v="201"/>
    <d v="2014-02-04T00:00:00"/>
    <n v="1"/>
    <x v="2"/>
    <s v="RW-19540"/>
    <s v="Rick Wilson"/>
    <s v="California"/>
    <x v="1"/>
    <s v="Furnishings"/>
    <s v="Hand-Finished Solid Wood Document Frame"/>
    <n v="136.91999999999999"/>
    <n v="4"/>
  </r>
  <r>
    <x v="201"/>
    <d v="2014-02-05T00:00:00"/>
    <n v="2"/>
    <x v="0"/>
    <s v="KH-16630"/>
    <s v="Ken Heidel"/>
    <s v="Utah"/>
    <x v="0"/>
    <s v="Binders"/>
    <s v="Wilson Jones Standard D-Ring Binders"/>
    <n v="12.144"/>
    <n v="3"/>
  </r>
  <r>
    <x v="202"/>
    <d v="2014-02-13T00:00:00"/>
    <n v="7"/>
    <x v="1"/>
    <s v="VW-21775"/>
    <s v="Victoria Wilson"/>
    <s v="Washington"/>
    <x v="0"/>
    <s v="Art"/>
    <s v="Newell 310"/>
    <n v="5.28"/>
    <n v="3"/>
  </r>
  <r>
    <x v="203"/>
    <d v="2014-02-16T00:00:00"/>
    <n v="7"/>
    <x v="1"/>
    <s v="SJ-20215"/>
    <s v="Sarah Jordon"/>
    <s v="California"/>
    <x v="1"/>
    <s v="Chairs"/>
    <s v="Global Deluxe Stacking Chair, Gray"/>
    <n v="203.92"/>
    <n v="5"/>
  </r>
  <r>
    <x v="204"/>
    <d v="2014-02-18T00:00:00"/>
    <n v="3"/>
    <x v="0"/>
    <s v="JM-16195"/>
    <s v="Justin MacKendrick"/>
    <s v="California"/>
    <x v="0"/>
    <s v="Paper"/>
    <s v="Xerox 1959"/>
    <n v="13.36"/>
    <n v="2"/>
  </r>
  <r>
    <x v="204"/>
    <d v="2014-02-18T00:00:00"/>
    <n v="3"/>
    <x v="0"/>
    <s v="JM-16195"/>
    <s v="Justin MacKendrick"/>
    <s v="California"/>
    <x v="0"/>
    <s v="Binders"/>
    <s v="Acco Data Flex Cable Posts For Top &amp; Bottom Load Binders, 6&quot; Capacity"/>
    <n v="41.72"/>
    <n v="5"/>
  </r>
  <r>
    <x v="204"/>
    <d v="2014-02-18T00:00:00"/>
    <n v="3"/>
    <x v="0"/>
    <s v="JM-16195"/>
    <s v="Justin MacKendrick"/>
    <s v="California"/>
    <x v="0"/>
    <s v="Binders"/>
    <s v="Avery Durable Binders"/>
    <n v="11.52"/>
    <n v="5"/>
  </r>
  <r>
    <x v="204"/>
    <d v="2014-02-18T00:00:00"/>
    <n v="3"/>
    <x v="0"/>
    <s v="JM-16195"/>
    <s v="Justin MacKendrick"/>
    <s v="California"/>
    <x v="0"/>
    <s v="Appliances"/>
    <s v="Kensington 6 Outlet MasterPiece HOMEOFFICE Power Control Center"/>
    <n v="541.43999999999994"/>
    <n v="6"/>
  </r>
  <r>
    <x v="204"/>
    <d v="2014-02-18T00:00:00"/>
    <n v="3"/>
    <x v="0"/>
    <s v="JM-16195"/>
    <s v="Justin MacKendrick"/>
    <s v="California"/>
    <x v="0"/>
    <s v="Paper"/>
    <s v="Xerox 22"/>
    <n v="19.440000000000001"/>
    <n v="3"/>
  </r>
  <r>
    <x v="205"/>
    <d v="2014-02-21T00:00:00"/>
    <n v="5"/>
    <x v="1"/>
    <s v="RD-19585"/>
    <s v="Rob Dowd"/>
    <s v="California"/>
    <x v="0"/>
    <s v="Paper"/>
    <s v="Xerox 1881"/>
    <n v="36.839999999999996"/>
    <n v="3"/>
  </r>
  <r>
    <x v="205"/>
    <d v="2014-02-21T00:00:00"/>
    <n v="5"/>
    <x v="1"/>
    <s v="RD-19585"/>
    <s v="Rob Dowd"/>
    <s v="California"/>
    <x v="0"/>
    <s v="Labels"/>
    <s v="Avery 485"/>
    <n v="87.71"/>
    <n v="7"/>
  </r>
  <r>
    <x v="206"/>
    <d v="2014-02-22T00:00:00"/>
    <n v="4"/>
    <x v="1"/>
    <s v="AB-10600"/>
    <s v="Ann Blume"/>
    <s v="California"/>
    <x v="0"/>
    <s v="Labels"/>
    <s v="Smead Alpha-Z Color-Coded Second Alphabetical Labels and Starter Set"/>
    <n v="9.24"/>
    <n v="3"/>
  </r>
  <r>
    <x v="206"/>
    <d v="2014-02-24T00:00:00"/>
    <n v="6"/>
    <x v="1"/>
    <s v="GT-14755"/>
    <s v="Guy Thornton"/>
    <s v="California"/>
    <x v="0"/>
    <s v="Labels"/>
    <s v="Avery 4027 File Folder Labels for Dot Matrix Printers, 5000 Labels per Box, White"/>
    <n v="61.06"/>
    <n v="2"/>
  </r>
  <r>
    <x v="206"/>
    <d v="2014-02-24T00:00:00"/>
    <n v="6"/>
    <x v="1"/>
    <s v="GT-14755"/>
    <s v="Guy Thornton"/>
    <s v="California"/>
    <x v="1"/>
    <s v="Tables"/>
    <s v="Hon 61000 Series Interactive Training Tables"/>
    <n v="35.544000000000004"/>
    <n v="1"/>
  </r>
  <r>
    <x v="207"/>
    <d v="2014-02-23T00:00:00"/>
    <n v="2"/>
    <x v="0"/>
    <s v="JE-15715"/>
    <s v="Joe Elijah"/>
    <s v="New Mexico"/>
    <x v="0"/>
    <s v="Paper"/>
    <s v="Easy-staple paper"/>
    <n v="49.12"/>
    <n v="4"/>
  </r>
  <r>
    <x v="208"/>
    <d v="2014-03-01T00:00:00"/>
    <n v="2"/>
    <x v="0"/>
    <s v="NP-18670"/>
    <s v="Nora Paige"/>
    <s v="Washington"/>
    <x v="2"/>
    <s v="Accessories"/>
    <s v="Microsoft Natural Keyboard Elite"/>
    <n v="538.92000000000007"/>
    <n v="9"/>
  </r>
  <r>
    <x v="209"/>
    <d v="2014-03-03T00:00:00"/>
    <n v="2"/>
    <x v="0"/>
    <s v="DH-13075"/>
    <s v="Dave Hallsten"/>
    <s v="California"/>
    <x v="2"/>
    <s v="Phones"/>
    <s v="Square Credit Card Reader"/>
    <n v="15.984000000000002"/>
    <n v="2"/>
  </r>
  <r>
    <x v="209"/>
    <d v="2014-03-03T00:00:00"/>
    <n v="2"/>
    <x v="0"/>
    <s v="DH-13075"/>
    <s v="Dave Hallsten"/>
    <s v="California"/>
    <x v="1"/>
    <s v="Chairs"/>
    <s v="Global Deluxe Steno Chair"/>
    <n v="184.75200000000001"/>
    <n v="3"/>
  </r>
  <r>
    <x v="210"/>
    <d v="2014-03-06T00:00:00"/>
    <n v="4"/>
    <x v="1"/>
    <s v="DK-13090"/>
    <s v="Dave Kipp"/>
    <s v="Washington"/>
    <x v="1"/>
    <s v="Tables"/>
    <s v="Hon Racetrack Conference Tables"/>
    <n v="787.53"/>
    <n v="3"/>
  </r>
  <r>
    <x v="211"/>
    <d v="2014-03-11T00:00:00"/>
    <n v="5"/>
    <x v="1"/>
    <s v="JL-15850"/>
    <s v="John Lucas"/>
    <s v="California"/>
    <x v="1"/>
    <s v="Furnishings"/>
    <s v="Deflect-o Glass Clear Studded Chair Mats"/>
    <n v="435.26"/>
    <n v="7"/>
  </r>
  <r>
    <x v="211"/>
    <d v="2014-03-11T00:00:00"/>
    <n v="5"/>
    <x v="1"/>
    <s v="JL-15850"/>
    <s v="John Lucas"/>
    <s v="California"/>
    <x v="2"/>
    <s v="Copiers"/>
    <s v="Canon PC1060 Personal Laser Copier"/>
    <n v="1119.9840000000002"/>
    <n v="2"/>
  </r>
  <r>
    <x v="212"/>
    <d v="2014-03-10T00:00:00"/>
    <n v="2"/>
    <x v="2"/>
    <s v="FC-14335"/>
    <s v="Fred Chung"/>
    <s v="Colorado"/>
    <x v="0"/>
    <s v="Art"/>
    <s v="Dixon Prang Watercolor Pencils, 10-Color Set with Brush"/>
    <n v="3.4079999999999999"/>
    <n v="1"/>
  </r>
  <r>
    <x v="213"/>
    <d v="2014-03-15T00:00:00"/>
    <n v="2"/>
    <x v="2"/>
    <s v="MC-17275"/>
    <s v="Marc Crier"/>
    <s v="Washington"/>
    <x v="1"/>
    <s v="Bookcases"/>
    <s v="Safco Value Mate Series Steel Bookcases, Baked Enamel Finish on Steel, Gray"/>
    <n v="141.96"/>
    <n v="2"/>
  </r>
  <r>
    <x v="213"/>
    <d v="2014-03-18T00:00:00"/>
    <n v="5"/>
    <x v="0"/>
    <s v="NF-18595"/>
    <s v="Nicole Fjeld"/>
    <s v="California"/>
    <x v="1"/>
    <s v="Chairs"/>
    <s v="Global Deluxe High-Back Manager's Chair"/>
    <n v="915.13600000000008"/>
    <n v="4"/>
  </r>
  <r>
    <x v="213"/>
    <d v="2014-03-18T00:00:00"/>
    <n v="5"/>
    <x v="0"/>
    <s v="NF-18595"/>
    <s v="Nicole Fjeld"/>
    <s v="California"/>
    <x v="1"/>
    <s v="Furnishings"/>
    <s v="Dana Halogen Swing-Arm Architect Lamp"/>
    <n v="327.76"/>
    <n v="8"/>
  </r>
  <r>
    <x v="214"/>
    <d v="2014-03-19T00:00:00"/>
    <n v="5"/>
    <x v="1"/>
    <s v="AI-10855"/>
    <s v="Arianne Irving"/>
    <s v="California"/>
    <x v="0"/>
    <s v="Paper"/>
    <s v="Xerox 223"/>
    <n v="19.440000000000001"/>
    <n v="3"/>
  </r>
  <r>
    <x v="215"/>
    <d v="2014-03-21T00:00:00"/>
    <n v="6"/>
    <x v="1"/>
    <s v="KS-16300"/>
    <s v="Karen Seio"/>
    <s v="Utah"/>
    <x v="2"/>
    <s v="Phones"/>
    <s v="SmartStand Mobile Device Holder, Assorted Colors"/>
    <n v="16.776000000000003"/>
    <n v="3"/>
  </r>
  <r>
    <x v="216"/>
    <d v="2014-03-18T00:00:00"/>
    <n v="2"/>
    <x v="0"/>
    <s v="JE-15475"/>
    <s v="Jeremy Ellison"/>
    <s v="Washington"/>
    <x v="1"/>
    <s v="Tables"/>
    <s v="KI Adjustable-Height Table"/>
    <n v="171.96"/>
    <n v="2"/>
  </r>
  <r>
    <x v="216"/>
    <d v="2014-03-23T00:00:00"/>
    <n v="7"/>
    <x v="1"/>
    <s v="MF-18250"/>
    <s v="Monica Federle"/>
    <s v="California"/>
    <x v="1"/>
    <s v="Furnishings"/>
    <s v="Howard Miller 11-1/2&quot; Diameter Brentwood Wall Clock"/>
    <n v="43.13"/>
    <n v="1"/>
  </r>
  <r>
    <x v="217"/>
    <d v="2014-03-25T00:00:00"/>
    <n v="6"/>
    <x v="1"/>
    <s v="JO-15550"/>
    <s v="Jesus Ocampo"/>
    <s v="Washington"/>
    <x v="2"/>
    <s v="Phones"/>
    <s v="Wireless Extenders zBoost YX545 SOHO Signal Booster"/>
    <n v="453.57600000000002"/>
    <n v="3"/>
  </r>
  <r>
    <x v="217"/>
    <d v="2014-03-20T00:00:00"/>
    <n v="1"/>
    <x v="2"/>
    <s v="FH-14365"/>
    <s v="Fred Hopkins"/>
    <s v="Washington"/>
    <x v="0"/>
    <s v="Storage"/>
    <s v="Deluxe Rollaway Locking File with Drawer"/>
    <n v="1247.6399999999999"/>
    <n v="3"/>
  </r>
  <r>
    <x v="217"/>
    <d v="2014-03-20T00:00:00"/>
    <n v="1"/>
    <x v="2"/>
    <s v="FH-14365"/>
    <s v="Fred Hopkins"/>
    <s v="Washington"/>
    <x v="2"/>
    <s v="Copiers"/>
    <s v="Canon PC940 Copier"/>
    <n v="3149.9300000000003"/>
    <n v="7"/>
  </r>
  <r>
    <x v="217"/>
    <d v="2014-03-20T00:00:00"/>
    <n v="1"/>
    <x v="2"/>
    <s v="FH-14365"/>
    <s v="Fred Hopkins"/>
    <s v="Washington"/>
    <x v="0"/>
    <s v="Paper"/>
    <s v="Multicolor Computer Printout Paper"/>
    <n v="209.7"/>
    <n v="2"/>
  </r>
  <r>
    <x v="217"/>
    <d v="2014-03-23T00:00:00"/>
    <n v="4"/>
    <x v="1"/>
    <s v="BK-11260"/>
    <s v="Berenike Kampe"/>
    <s v="California"/>
    <x v="0"/>
    <s v="Binders"/>
    <s v="GBC Imprintable Covers"/>
    <n v="17.568000000000001"/>
    <n v="2"/>
  </r>
  <r>
    <x v="217"/>
    <d v="2014-03-23T00:00:00"/>
    <n v="4"/>
    <x v="1"/>
    <s v="BK-11260"/>
    <s v="Berenike Kampe"/>
    <s v="California"/>
    <x v="0"/>
    <s v="Labels"/>
    <s v="Self-Adhesive Address Labels for Typewriters by Universal"/>
    <n v="14.62"/>
    <n v="2"/>
  </r>
  <r>
    <x v="217"/>
    <d v="2014-03-23T00:00:00"/>
    <n v="4"/>
    <x v="1"/>
    <s v="BK-11260"/>
    <s v="Berenike Kampe"/>
    <s v="California"/>
    <x v="0"/>
    <s v="Supplies"/>
    <s v="Acme Elite Stainless Steel Scissors"/>
    <n v="33.36"/>
    <n v="4"/>
  </r>
  <r>
    <x v="217"/>
    <d v="2014-03-23T00:00:00"/>
    <n v="4"/>
    <x v="1"/>
    <s v="BK-11260"/>
    <s v="Berenike Kampe"/>
    <s v="California"/>
    <x v="0"/>
    <s v="Paper"/>
    <s v="Wirebound Message Books, 5-1/2 x 4 Forms, 2 or 4 Forms per Page"/>
    <n v="40.14"/>
    <n v="6"/>
  </r>
  <r>
    <x v="217"/>
    <d v="2014-03-26T00:00:00"/>
    <n v="7"/>
    <x v="1"/>
    <s v="MC-18130"/>
    <s v="Mike Caudle"/>
    <s v="California"/>
    <x v="0"/>
    <s v="Paper"/>
    <s v="Xerox 1974"/>
    <n v="11.96"/>
    <n v="2"/>
  </r>
  <r>
    <x v="217"/>
    <d v="2014-03-20T00:00:00"/>
    <n v="1"/>
    <x v="2"/>
    <s v="GA-14725"/>
    <s v="Guy Armstrong"/>
    <s v="California"/>
    <x v="0"/>
    <s v="Fasteners"/>
    <s v="Stockwell Push Pins"/>
    <n v="10.9"/>
    <n v="5"/>
  </r>
  <r>
    <x v="218"/>
    <d v="2014-03-22T00:00:00"/>
    <n v="2"/>
    <x v="0"/>
    <s v="BM-11785"/>
    <s v="Bryan Mills"/>
    <s v="Oregon"/>
    <x v="0"/>
    <s v="Storage"/>
    <s v="Portable Personal File Box"/>
    <n v="29.304000000000002"/>
    <n v="3"/>
  </r>
  <r>
    <x v="219"/>
    <d v="2014-03-24T00:00:00"/>
    <n v="2"/>
    <x v="2"/>
    <s v="RD-19900"/>
    <s v="Ruben Dartt"/>
    <s v="California"/>
    <x v="2"/>
    <s v="Phones"/>
    <s v="Square Credit Card Reader"/>
    <n v="15.984000000000002"/>
    <n v="2"/>
  </r>
  <r>
    <x v="219"/>
    <d v="2014-03-26T00:00:00"/>
    <n v="4"/>
    <x v="1"/>
    <s v="JD-16150"/>
    <s v="Justin Deggeller"/>
    <s v="California"/>
    <x v="0"/>
    <s v="Paper"/>
    <s v="Easy-staple paper"/>
    <n v="105.52"/>
    <n v="4"/>
  </r>
  <r>
    <x v="219"/>
    <d v="2014-03-26T00:00:00"/>
    <n v="4"/>
    <x v="1"/>
    <s v="JD-16150"/>
    <s v="Justin Deggeller"/>
    <s v="California"/>
    <x v="1"/>
    <s v="Furnishings"/>
    <s v="Tenex B1-RE Series Chair Mats for Low Pile Carpets"/>
    <n v="91.96"/>
    <n v="2"/>
  </r>
  <r>
    <x v="219"/>
    <d v="2014-03-26T00:00:00"/>
    <n v="4"/>
    <x v="1"/>
    <s v="JD-16150"/>
    <s v="Justin Deggeller"/>
    <s v="California"/>
    <x v="2"/>
    <s v="Phones"/>
    <s v="ClearOne CHATAttach 160 - speaker phone"/>
    <n v="1487.9760000000001"/>
    <n v="3"/>
  </r>
  <r>
    <x v="220"/>
    <d v="2014-03-30T00:00:00"/>
    <n v="7"/>
    <x v="1"/>
    <s v="BP-11095"/>
    <s v="Bart Pistole"/>
    <s v="California"/>
    <x v="0"/>
    <s v="Paper"/>
    <s v="REDIFORM Incoming/Outgoing Call Register, 11&quot; X 8 1/2&quot;, 100 Messages"/>
    <n v="33.36"/>
    <n v="4"/>
  </r>
  <r>
    <x v="220"/>
    <d v="2014-03-25T00:00:00"/>
    <n v="2"/>
    <x v="2"/>
    <s v="AM-10360"/>
    <s v="Alice McCarthy"/>
    <s v="California"/>
    <x v="0"/>
    <s v="Paper"/>
    <s v="TOPS Carbonless Receipt Book, Four 2-3/4 x 7-1/4 Money Receipts per Page"/>
    <n v="192.72"/>
    <n v="11"/>
  </r>
  <r>
    <x v="220"/>
    <d v="2014-03-25T00:00:00"/>
    <n v="2"/>
    <x v="2"/>
    <s v="AM-10360"/>
    <s v="Alice McCarthy"/>
    <s v="California"/>
    <x v="2"/>
    <s v="Accessories"/>
    <s v="Logitech G600 MMO Gaming Mouse"/>
    <n v="239.96999999999997"/>
    <n v="3"/>
  </r>
  <r>
    <x v="221"/>
    <d v="2014-03-27T00:00:00"/>
    <n v="3"/>
    <x v="0"/>
    <s v="CP-12085"/>
    <s v="Cathy Prescott"/>
    <s v="Washington"/>
    <x v="1"/>
    <s v="Furnishings"/>
    <s v="Eldon Expressions Punched Metal &amp; Wood Desk Accessories, Black &amp; Cherry"/>
    <n v="46.900000000000006"/>
    <n v="5"/>
  </r>
  <r>
    <x v="222"/>
    <d v="2014-03-30T00:00:00"/>
    <n v="4"/>
    <x v="1"/>
    <s v="EB-13840"/>
    <s v="Ellis Ballard"/>
    <s v="Washington"/>
    <x v="1"/>
    <s v="Tables"/>
    <s v="Bush Advantage Collection Racetrack Conference Table"/>
    <n v="3393.68"/>
    <n v="8"/>
  </r>
  <r>
    <x v="223"/>
    <d v="2014-04-03T00:00:00"/>
    <n v="7"/>
    <x v="1"/>
    <s v="MV-17485"/>
    <s v="Mark Van Huff"/>
    <s v="Washington"/>
    <x v="0"/>
    <s v="Storage"/>
    <s v="Rogers Profile Extra Capacity Storage Tub"/>
    <n v="83.699999999999989"/>
    <n v="5"/>
  </r>
  <r>
    <x v="224"/>
    <d v="2014-04-02T00:00:00"/>
    <n v="5"/>
    <x v="1"/>
    <s v="AB-10165"/>
    <s v="Alan Barnes"/>
    <s v="California"/>
    <x v="2"/>
    <s v="Accessories"/>
    <s v="Imation Bio 8GB USB Flash Drive Imation Corp"/>
    <n v="166.24"/>
    <n v="1"/>
  </r>
  <r>
    <x v="224"/>
    <d v="2014-04-02T00:00:00"/>
    <n v="5"/>
    <x v="1"/>
    <s v="AB-10165"/>
    <s v="Alan Barnes"/>
    <s v="California"/>
    <x v="0"/>
    <s v="Paper"/>
    <s v="Xerox 1977"/>
    <n v="33.4"/>
    <n v="5"/>
  </r>
  <r>
    <x v="225"/>
    <d v="2014-04-04T00:00:00"/>
    <n v="6"/>
    <x v="1"/>
    <s v="DO-13435"/>
    <s v="Denny Ordway"/>
    <s v="Washington"/>
    <x v="0"/>
    <s v="Appliances"/>
    <s v="Acco 6 Outlet Guardian Premium Plus Surge Suppressor"/>
    <n v="73.28"/>
    <n v="4"/>
  </r>
  <r>
    <x v="225"/>
    <d v="2014-03-31T00:00:00"/>
    <n v="2"/>
    <x v="0"/>
    <s v="RB-19435"/>
    <s v="Richard Bierner"/>
    <s v="California"/>
    <x v="0"/>
    <s v="Paper"/>
    <s v="Xerox 1880"/>
    <n v="212.64"/>
    <n v="6"/>
  </r>
  <r>
    <x v="225"/>
    <d v="2014-03-31T00:00:00"/>
    <n v="2"/>
    <x v="0"/>
    <s v="RB-19435"/>
    <s v="Richard Bierner"/>
    <s v="California"/>
    <x v="0"/>
    <s v="Paper"/>
    <s v="Tops Wirebound Message Log Books"/>
    <n v="9.870000000000001"/>
    <n v="3"/>
  </r>
  <r>
    <x v="225"/>
    <d v="2014-03-31T00:00:00"/>
    <n v="2"/>
    <x v="0"/>
    <s v="RB-19435"/>
    <s v="Richard Bierner"/>
    <s v="California"/>
    <x v="2"/>
    <s v="Accessories"/>
    <s v="Memorex Froggy Flash Drive 8 GB"/>
    <n v="53.25"/>
    <n v="3"/>
  </r>
  <r>
    <x v="225"/>
    <d v="2014-03-31T00:00:00"/>
    <n v="2"/>
    <x v="0"/>
    <s v="RB-19435"/>
    <s v="Richard Bierner"/>
    <s v="California"/>
    <x v="1"/>
    <s v="Furnishings"/>
    <s v="G.E. Longer-Life Indoor Recessed Floodlight Bulbs"/>
    <n v="19.919999999999998"/>
    <n v="3"/>
  </r>
  <r>
    <x v="226"/>
    <d v="2014-04-09T00:00:00"/>
    <n v="7"/>
    <x v="1"/>
    <s v="JD-15790"/>
    <s v="John Dryer"/>
    <s v="California"/>
    <x v="2"/>
    <s v="Machines"/>
    <s v="Vtech AT&amp;T CL2940 Corded Speakerphone, Black"/>
    <n v="71.975999999999999"/>
    <n v="3"/>
  </r>
  <r>
    <x v="226"/>
    <d v="2014-04-07T00:00:00"/>
    <n v="5"/>
    <x v="1"/>
    <s v="JL-15850"/>
    <s v="John Lucas"/>
    <s v="Arizona"/>
    <x v="2"/>
    <s v="Phones"/>
    <s v="Samsung HM1900 Bluetooth Headset"/>
    <n v="87.8"/>
    <n v="5"/>
  </r>
  <r>
    <x v="227"/>
    <d v="2014-04-11T00:00:00"/>
    <n v="6"/>
    <x v="1"/>
    <s v="CA-11965"/>
    <s v="Carol Adams"/>
    <s v="California"/>
    <x v="1"/>
    <s v="Chairs"/>
    <s v="GuestStacker Chair with Chrome Finish Legs"/>
    <n v="892.22400000000005"/>
    <n v="3"/>
  </r>
  <r>
    <x v="227"/>
    <d v="2014-04-06T00:00:00"/>
    <n v="1"/>
    <x v="3"/>
    <s v="JF-15415"/>
    <s v="Jennifer Ferguson"/>
    <s v="Washington"/>
    <x v="2"/>
    <s v="Accessories"/>
    <s v="SanDisk Ultra 64 GB MicroSDHC Class 10 Memory Card"/>
    <n v="239.94"/>
    <n v="6"/>
  </r>
  <r>
    <x v="227"/>
    <d v="2014-04-06T00:00:00"/>
    <n v="1"/>
    <x v="3"/>
    <s v="JF-15415"/>
    <s v="Jennifer Ferguson"/>
    <s v="Washington"/>
    <x v="0"/>
    <s v="Art"/>
    <s v="Dixon Ticonderoga Pencils"/>
    <n v="23.84"/>
    <n v="8"/>
  </r>
  <r>
    <x v="228"/>
    <d v="2014-04-14T00:00:00"/>
    <n v="5"/>
    <x v="1"/>
    <s v="JK-15370"/>
    <s v="Jay Kimmel"/>
    <s v="California"/>
    <x v="1"/>
    <s v="Tables"/>
    <s v="Laminate Occasional Tables"/>
    <n v="369.91200000000003"/>
    <n v="3"/>
  </r>
  <r>
    <x v="229"/>
    <d v="2014-04-15T00:00:00"/>
    <n v="5"/>
    <x v="1"/>
    <s v="DM-12955"/>
    <s v="Dario Medina"/>
    <s v="California"/>
    <x v="0"/>
    <s v="Binders"/>
    <s v="Insertable Tab Post Binder Dividers"/>
    <n v="12.832000000000001"/>
    <n v="2"/>
  </r>
  <r>
    <x v="230"/>
    <d v="2014-04-14T00:00:00"/>
    <n v="3"/>
    <x v="0"/>
    <s v="AR-10540"/>
    <s v="Andy Reiter"/>
    <s v="California"/>
    <x v="2"/>
    <s v="Copiers"/>
    <s v="Canon PC-428 Personal Copier"/>
    <n v="639.96800000000007"/>
    <n v="4"/>
  </r>
  <r>
    <x v="230"/>
    <d v="2014-04-14T00:00:00"/>
    <n v="3"/>
    <x v="0"/>
    <s v="AR-10540"/>
    <s v="Andy Reiter"/>
    <s v="California"/>
    <x v="0"/>
    <s v="Paper"/>
    <s v="Easy-staple paper"/>
    <n v="52.76"/>
    <n v="2"/>
  </r>
  <r>
    <x v="231"/>
    <d v="2014-04-17T00:00:00"/>
    <n v="5"/>
    <x v="0"/>
    <s v="RD-19660"/>
    <s v="Robert Dilbeck"/>
    <s v="Washington"/>
    <x v="0"/>
    <s v="Storage"/>
    <s v="Rogers Jumbo File, Granite"/>
    <n v="40.74"/>
    <n v="3"/>
  </r>
  <r>
    <x v="232"/>
    <d v="2014-04-19T00:00:00"/>
    <n v="6"/>
    <x v="1"/>
    <s v="ZC-21910"/>
    <s v="Zuschuss Carroll"/>
    <s v="California"/>
    <x v="2"/>
    <s v="Accessories"/>
    <s v="Plantronics Audio 478 Stereo USB Headset"/>
    <n v="199.96"/>
    <n v="4"/>
  </r>
  <r>
    <x v="232"/>
    <d v="2014-04-19T00:00:00"/>
    <n v="6"/>
    <x v="1"/>
    <s v="ZC-21910"/>
    <s v="Zuschuss Carroll"/>
    <s v="California"/>
    <x v="1"/>
    <s v="Tables"/>
    <s v="Hon 94000 Series Round Tables"/>
    <n v="710.83200000000011"/>
    <n v="3"/>
  </r>
  <r>
    <x v="232"/>
    <d v="2014-04-15T00:00:00"/>
    <n v="2"/>
    <x v="0"/>
    <s v="AW-10840"/>
    <s v="Anthony Witt"/>
    <s v="New Mexico"/>
    <x v="0"/>
    <s v="Supplies"/>
    <s v="Martin-Yale Premier Letter Opener"/>
    <n v="12.88"/>
    <n v="1"/>
  </r>
  <r>
    <x v="232"/>
    <d v="2014-04-14T00:00:00"/>
    <n v="1"/>
    <x v="2"/>
    <s v="HJ-14875"/>
    <s v="Heather Jas"/>
    <s v="Arizona"/>
    <x v="0"/>
    <s v="Paper"/>
    <s v="Xerox 210"/>
    <n v="31.104000000000006"/>
    <n v="6"/>
  </r>
  <r>
    <x v="232"/>
    <d v="2014-04-14T00:00:00"/>
    <n v="1"/>
    <x v="2"/>
    <s v="HJ-14875"/>
    <s v="Heather Jas"/>
    <s v="Arizona"/>
    <x v="0"/>
    <s v="Paper"/>
    <s v="Xerox 1973"/>
    <n v="54.816000000000003"/>
    <n v="3"/>
  </r>
  <r>
    <x v="232"/>
    <d v="2014-04-19T00:00:00"/>
    <n v="6"/>
    <x v="1"/>
    <s v="BT-11395"/>
    <s v="Bill Tyler"/>
    <s v="California"/>
    <x v="1"/>
    <s v="Furnishings"/>
    <s v="Flat Face Poster Frame"/>
    <n v="37.68"/>
    <n v="2"/>
  </r>
  <r>
    <x v="232"/>
    <d v="2014-04-19T00:00:00"/>
    <n v="6"/>
    <x v="1"/>
    <s v="BT-11395"/>
    <s v="Bill Tyler"/>
    <s v="California"/>
    <x v="2"/>
    <s v="Phones"/>
    <s v="Aastra 57i VoIP phone"/>
    <n v="258.57600000000002"/>
    <n v="2"/>
  </r>
  <r>
    <x v="232"/>
    <d v="2014-04-19T00:00:00"/>
    <n v="6"/>
    <x v="1"/>
    <s v="BT-11395"/>
    <s v="Bill Tyler"/>
    <s v="California"/>
    <x v="0"/>
    <s v="Appliances"/>
    <s v="3M Replacement Filter for Office Air Cleaner for 20' x 33' Room"/>
    <n v="75.84"/>
    <n v="2"/>
  </r>
  <r>
    <x v="232"/>
    <d v="2014-04-17T00:00:00"/>
    <n v="4"/>
    <x v="0"/>
    <s v="EB-14110"/>
    <s v="Eugene Barchas"/>
    <s v="California"/>
    <x v="1"/>
    <s v="Tables"/>
    <s v="Iceberg OfficeWorks 42&quot; Round Tables"/>
    <n v="241.56799999999998"/>
    <n v="2"/>
  </r>
  <r>
    <x v="232"/>
    <d v="2014-04-17T00:00:00"/>
    <n v="4"/>
    <x v="0"/>
    <s v="EB-14110"/>
    <s v="Eugene Barchas"/>
    <s v="California"/>
    <x v="2"/>
    <s v="Phones"/>
    <s v="Polycom CX600 IP Phone VoIP phone"/>
    <n v="479.92"/>
    <n v="2"/>
  </r>
  <r>
    <x v="232"/>
    <d v="2014-04-18T00:00:00"/>
    <n v="5"/>
    <x v="1"/>
    <s v="TH-21100"/>
    <s v="Thea Hendricks"/>
    <s v="Arizona"/>
    <x v="0"/>
    <s v="Storage"/>
    <s v="Neat Ideas Personal Hanging Folder Files, Black"/>
    <n v="10.744"/>
    <n v="1"/>
  </r>
  <r>
    <x v="233"/>
    <d v="2014-04-18T00:00:00"/>
    <n v="4"/>
    <x v="1"/>
    <s v="TP-21130"/>
    <s v="Theone Pippenger"/>
    <s v="Oregon"/>
    <x v="0"/>
    <s v="Appliances"/>
    <s v="Acco Smartsocket Color-Coded Six-Outlet AC Adapter Model Surge Protectors"/>
    <n v="35.207999999999998"/>
    <n v="1"/>
  </r>
  <r>
    <x v="234"/>
    <d v="2014-04-21T00:00:00"/>
    <n v="4"/>
    <x v="1"/>
    <s v="GA-14515"/>
    <s v="George Ashbrook"/>
    <s v="California"/>
    <x v="0"/>
    <s v="Art"/>
    <s v="Prang Drawing Pencil Set"/>
    <n v="5.56"/>
    <n v="2"/>
  </r>
  <r>
    <x v="234"/>
    <d v="2014-04-21T00:00:00"/>
    <n v="4"/>
    <x v="1"/>
    <s v="GA-14515"/>
    <s v="George Ashbrook"/>
    <s v="California"/>
    <x v="2"/>
    <s v="Accessories"/>
    <s v="Plantronics S12 Corded Telephone Headset System"/>
    <n v="323.37"/>
    <n v="3"/>
  </r>
  <r>
    <x v="234"/>
    <d v="2014-04-21T00:00:00"/>
    <n v="4"/>
    <x v="1"/>
    <s v="GA-14515"/>
    <s v="George Ashbrook"/>
    <s v="California"/>
    <x v="2"/>
    <s v="Phones"/>
    <s v="Plantronics Calisto P620-M USB Wireless Speakerphone System"/>
    <n v="783.96000000000015"/>
    <n v="5"/>
  </r>
  <r>
    <x v="234"/>
    <d v="2014-04-21T00:00:00"/>
    <n v="4"/>
    <x v="1"/>
    <s v="GA-14515"/>
    <s v="George Ashbrook"/>
    <s v="California"/>
    <x v="0"/>
    <s v="Appliances"/>
    <s v="Hoover Upright Vacuum With Dirt Cup"/>
    <n v="1447.6499999999999"/>
    <n v="5"/>
  </r>
  <r>
    <x v="234"/>
    <d v="2014-04-21T00:00:00"/>
    <n v="4"/>
    <x v="1"/>
    <s v="GA-14515"/>
    <s v="George Ashbrook"/>
    <s v="California"/>
    <x v="0"/>
    <s v="Paper"/>
    <s v="Xerox 1903"/>
    <n v="11.96"/>
    <n v="2"/>
  </r>
  <r>
    <x v="235"/>
    <d v="2014-04-20T00:00:00"/>
    <n v="2"/>
    <x v="0"/>
    <s v="DE-13255"/>
    <s v="Deanra Eno"/>
    <s v="California"/>
    <x v="0"/>
    <s v="Storage"/>
    <s v="Tennsco Stur-D-Stor Boltless Shelving, 5 Shelves, 24&quot; Deep, Sand"/>
    <n v="947.17000000000007"/>
    <n v="7"/>
  </r>
  <r>
    <x v="235"/>
    <d v="2014-04-20T00:00:00"/>
    <n v="2"/>
    <x v="0"/>
    <s v="DE-13255"/>
    <s v="Deanra Eno"/>
    <s v="California"/>
    <x v="0"/>
    <s v="Paper"/>
    <s v="Xerox 19"/>
    <n v="61.96"/>
    <n v="2"/>
  </r>
  <r>
    <x v="235"/>
    <d v="2014-04-20T00:00:00"/>
    <n v="2"/>
    <x v="2"/>
    <s v="NC-18415"/>
    <s v="Nathan Cano"/>
    <s v="California"/>
    <x v="0"/>
    <s v="Storage"/>
    <s v="Advantus Rolling Drawer Organizers"/>
    <n v="115.44"/>
    <n v="3"/>
  </r>
  <r>
    <x v="236"/>
    <d v="2014-04-26T00:00:00"/>
    <n v="4"/>
    <x v="1"/>
    <s v="AZ-10750"/>
    <s v="Annie Zypern"/>
    <s v="California"/>
    <x v="2"/>
    <s v="Phones"/>
    <s v="Logitech B530 USB Headset - headset - Full size, Binaural"/>
    <n v="88.77600000000001"/>
    <n v="3"/>
  </r>
  <r>
    <x v="236"/>
    <d v="2014-04-26T00:00:00"/>
    <n v="4"/>
    <x v="1"/>
    <s v="AZ-10750"/>
    <s v="Annie Zypern"/>
    <s v="California"/>
    <x v="0"/>
    <s v="Art"/>
    <s v="Boston 1730 StandUp Electric Pencil Sharpener"/>
    <n v="64.14"/>
    <n v="3"/>
  </r>
  <r>
    <x v="237"/>
    <d v="2014-04-28T00:00:00"/>
    <n v="3"/>
    <x v="0"/>
    <s v="JS-15595"/>
    <s v="Jill Stevenson"/>
    <s v="California"/>
    <x v="0"/>
    <s v="Binders"/>
    <s v="Fellowes Black Plastic Comb Bindings"/>
    <n v="13.943999999999999"/>
    <n v="3"/>
  </r>
  <r>
    <x v="237"/>
    <d v="2014-05-02T00:00:00"/>
    <n v="7"/>
    <x v="1"/>
    <s v="LS-16945"/>
    <s v="Linda Southworth"/>
    <s v="California"/>
    <x v="0"/>
    <s v="Envelopes"/>
    <s v="Laser &amp; Ink Jet Business Envelopes"/>
    <n v="21.34"/>
    <n v="2"/>
  </r>
  <r>
    <x v="238"/>
    <d v="2014-05-01T00:00:00"/>
    <n v="5"/>
    <x v="1"/>
    <s v="BW-11110"/>
    <s v="Bart Watters"/>
    <s v="California"/>
    <x v="1"/>
    <s v="Chairs"/>
    <s v="SAFCO Optional Arm Kit for Workspace Cribbage Stacking Chair"/>
    <n v="63.936000000000007"/>
    <n v="3"/>
  </r>
  <r>
    <x v="238"/>
    <d v="2014-05-01T00:00:00"/>
    <n v="5"/>
    <x v="1"/>
    <s v="BW-11110"/>
    <s v="Bart Watters"/>
    <s v="California"/>
    <x v="0"/>
    <s v="Art"/>
    <s v="Newell 345"/>
    <n v="59.519999999999996"/>
    <n v="3"/>
  </r>
  <r>
    <x v="238"/>
    <d v="2014-05-01T00:00:00"/>
    <n v="5"/>
    <x v="1"/>
    <s v="BW-11110"/>
    <s v="Bart Watters"/>
    <s v="California"/>
    <x v="2"/>
    <s v="Phones"/>
    <s v="RCA ViSYS 25825 Wireless digital phone"/>
    <n v="311.97600000000006"/>
    <n v="3"/>
  </r>
  <r>
    <x v="238"/>
    <d v="2014-05-01T00:00:00"/>
    <n v="5"/>
    <x v="1"/>
    <s v="BW-11110"/>
    <s v="Bart Watters"/>
    <s v="California"/>
    <x v="0"/>
    <s v="Binders"/>
    <s v="GBC Premium Transparent Covers with Diagonal Lined Pattern"/>
    <n v="50.352000000000004"/>
    <n v="3"/>
  </r>
  <r>
    <x v="239"/>
    <d v="2014-05-02T00:00:00"/>
    <n v="5"/>
    <x v="1"/>
    <s v="TC-21475"/>
    <s v="Tony Chapman"/>
    <s v="Colorado"/>
    <x v="0"/>
    <s v="Appliances"/>
    <s v="Belkin 6 Outlet Metallic Surge Strip"/>
    <n v="43.560000000000009"/>
    <n v="5"/>
  </r>
  <r>
    <x v="239"/>
    <d v="2014-05-02T00:00:00"/>
    <n v="5"/>
    <x v="1"/>
    <s v="TC-21475"/>
    <s v="Tony Chapman"/>
    <s v="Colorado"/>
    <x v="0"/>
    <s v="Supplies"/>
    <s v="Acme Value Line Scissors"/>
    <n v="5.84"/>
    <n v="2"/>
  </r>
  <r>
    <x v="240"/>
    <d v="2014-05-06T00:00:00"/>
    <n v="6"/>
    <x v="1"/>
    <s v="KB-16585"/>
    <s v="Ken Black"/>
    <s v="California"/>
    <x v="0"/>
    <s v="Art"/>
    <s v="Newell 324"/>
    <n v="34.650000000000006"/>
    <n v="3"/>
  </r>
  <r>
    <x v="240"/>
    <d v="2014-05-06T00:00:00"/>
    <n v="6"/>
    <x v="1"/>
    <s v="KB-16585"/>
    <s v="Ken Black"/>
    <s v="California"/>
    <x v="2"/>
    <s v="Phones"/>
    <s v="Cush Cases Heavy Duty Rugged Cover Case for Samsung Galaxy S5 - Purple"/>
    <n v="19.8"/>
    <n v="5"/>
  </r>
  <r>
    <x v="241"/>
    <d v="2014-05-07T00:00:00"/>
    <n v="6"/>
    <x v="1"/>
    <s v="JB-15400"/>
    <s v="Jennifer Braxton"/>
    <s v="California"/>
    <x v="2"/>
    <s v="Phones"/>
    <s v="OtterBox Defender Series Case - iPhone 5c"/>
    <n v="88.751999999999995"/>
    <n v="3"/>
  </r>
  <r>
    <x v="241"/>
    <d v="2014-05-06T00:00:00"/>
    <n v="5"/>
    <x v="1"/>
    <s v="PO-18850"/>
    <s v="Patrick O'Brill"/>
    <s v="California"/>
    <x v="0"/>
    <s v="Binders"/>
    <s v="GBC Twin Loop Wire Binding Elements, 9/16&quot; Spine, Black"/>
    <n v="12.176000000000002"/>
    <n v="1"/>
  </r>
  <r>
    <x v="241"/>
    <d v="2014-05-06T00:00:00"/>
    <n v="5"/>
    <x v="1"/>
    <s v="PO-18850"/>
    <s v="Patrick O'Brill"/>
    <s v="California"/>
    <x v="0"/>
    <s v="Storage"/>
    <s v="Eldon Simplefile Box Office"/>
    <n v="37.32"/>
    <n v="3"/>
  </r>
  <r>
    <x v="241"/>
    <d v="2014-05-06T00:00:00"/>
    <n v="5"/>
    <x v="1"/>
    <s v="PO-18850"/>
    <s v="Patrick O'Brill"/>
    <s v="California"/>
    <x v="0"/>
    <s v="Supplies"/>
    <s v="Acme 10&quot; Easy Grip Assistive Scissors"/>
    <n v="35.06"/>
    <n v="2"/>
  </r>
  <r>
    <x v="242"/>
    <d v="2014-05-08T00:00:00"/>
    <n v="5"/>
    <x v="1"/>
    <s v="JB-16045"/>
    <s v="Julia Barnett"/>
    <s v="California"/>
    <x v="1"/>
    <s v="Furnishings"/>
    <s v="Rubbermaid ClusterMat Chairmats, Mat Size- 66&quot; x 60&quot;, Lip 20&quot; x 11&quot; -90 Degree Angle"/>
    <n v="665.88"/>
    <n v="6"/>
  </r>
  <r>
    <x v="242"/>
    <d v="2014-05-06T00:00:00"/>
    <n v="3"/>
    <x v="2"/>
    <s v="LC-16870"/>
    <s v="Lena Cacioppo"/>
    <s v="California"/>
    <x v="0"/>
    <s v="Art"/>
    <s v="Newell 317"/>
    <n v="8.82"/>
    <n v="3"/>
  </r>
  <r>
    <x v="242"/>
    <d v="2014-05-06T00:00:00"/>
    <n v="3"/>
    <x v="2"/>
    <s v="LC-16870"/>
    <s v="Lena Cacioppo"/>
    <s v="California"/>
    <x v="0"/>
    <s v="Binders"/>
    <s v="Ibico Recycled Linen-Style Covers"/>
    <n v="62.496000000000009"/>
    <n v="2"/>
  </r>
  <r>
    <x v="242"/>
    <d v="2014-05-06T00:00:00"/>
    <n v="3"/>
    <x v="2"/>
    <s v="LC-16870"/>
    <s v="Lena Cacioppo"/>
    <s v="California"/>
    <x v="2"/>
    <s v="Accessories"/>
    <s v="Logitech Gaming G510s - Keyboard"/>
    <n v="339.96"/>
    <n v="4"/>
  </r>
  <r>
    <x v="242"/>
    <d v="2014-05-06T00:00:00"/>
    <n v="3"/>
    <x v="2"/>
    <s v="LC-16870"/>
    <s v="Lena Cacioppo"/>
    <s v="California"/>
    <x v="0"/>
    <s v="Binders"/>
    <s v="GBC Linen Binding Covers"/>
    <n v="49.568000000000005"/>
    <n v="2"/>
  </r>
  <r>
    <x v="242"/>
    <d v="2014-05-06T00:00:00"/>
    <n v="3"/>
    <x v="2"/>
    <s v="NF-18595"/>
    <s v="Nicole Fjeld"/>
    <s v="California"/>
    <x v="0"/>
    <s v="Binders"/>
    <s v="Avery Binding System Hidden Tab Executive Style Index Sets"/>
    <n v="13.847999999999999"/>
    <n v="3"/>
  </r>
  <r>
    <x v="243"/>
    <d v="2014-05-12T00:00:00"/>
    <n v="4"/>
    <x v="1"/>
    <s v="AA-10375"/>
    <s v="Allen Armold"/>
    <s v="Oregon"/>
    <x v="0"/>
    <s v="Art"/>
    <s v="Newell 321"/>
    <n v="5.2480000000000002"/>
    <n v="2"/>
  </r>
  <r>
    <x v="244"/>
    <d v="2014-05-15T00:00:00"/>
    <n v="5"/>
    <x v="1"/>
    <s v="AB-10165"/>
    <s v="Alan Barnes"/>
    <s v="Colorado"/>
    <x v="2"/>
    <s v="Accessories"/>
    <s v="Belkin Standard 104 key USB Keyboard"/>
    <n v="46.688000000000002"/>
    <n v="4"/>
  </r>
  <r>
    <x v="245"/>
    <d v="2014-05-16T00:00:00"/>
    <n v="5"/>
    <x v="0"/>
    <s v="PS-18970"/>
    <s v="Paul Stevenson"/>
    <s v="Arizona"/>
    <x v="1"/>
    <s v="Chairs"/>
    <s v="Global Chrome Stack Chair"/>
    <n v="191.96800000000002"/>
    <n v="7"/>
  </r>
  <r>
    <x v="246"/>
    <d v="2014-05-16T00:00:00"/>
    <n v="4"/>
    <x v="1"/>
    <s v="CS-12505"/>
    <s v="Cindy Stewart"/>
    <s v="California"/>
    <x v="0"/>
    <s v="Paper"/>
    <s v="Xerox 1962"/>
    <n v="12.84"/>
    <n v="3"/>
  </r>
  <r>
    <x v="246"/>
    <d v="2014-05-16T00:00:00"/>
    <n v="4"/>
    <x v="1"/>
    <s v="CS-12505"/>
    <s v="Cindy Stewart"/>
    <s v="California"/>
    <x v="0"/>
    <s v="Paper"/>
    <s v="Xerox 1953"/>
    <n v="25.68"/>
    <n v="6"/>
  </r>
  <r>
    <x v="246"/>
    <d v="2014-05-16T00:00:00"/>
    <n v="4"/>
    <x v="1"/>
    <s v="LT-16765"/>
    <s v="Larry Tron"/>
    <s v="Colorado"/>
    <x v="2"/>
    <s v="Phones"/>
    <s v="VTech DS6151"/>
    <n v="201.584"/>
    <n v="2"/>
  </r>
  <r>
    <x v="246"/>
    <d v="2014-05-18T00:00:00"/>
    <n v="6"/>
    <x v="1"/>
    <s v="RO-19780"/>
    <s v="Rose O'Brian"/>
    <s v="Washington"/>
    <x v="0"/>
    <s v="Binders"/>
    <s v="Prestige Round Ring Binders"/>
    <n v="14.592000000000002"/>
    <n v="3"/>
  </r>
  <r>
    <x v="247"/>
    <d v="2014-05-21T00:00:00"/>
    <n v="7"/>
    <x v="1"/>
    <s v="HG-15025"/>
    <s v="Hunter Glantz"/>
    <s v="California"/>
    <x v="0"/>
    <s v="Storage"/>
    <s v="Tennsco Snap-Together Open Shelving Units, Starter Sets and Add-On Units"/>
    <n v="1117.92"/>
    <n v="4"/>
  </r>
  <r>
    <x v="247"/>
    <d v="2014-05-19T00:00:00"/>
    <n v="5"/>
    <x v="1"/>
    <s v="CB-12535"/>
    <s v="Claudia Bergmann"/>
    <s v="California"/>
    <x v="1"/>
    <s v="Bookcases"/>
    <s v="Bush Andora Bookcase, Maple/Graphite Gray Finish"/>
    <n v="509.95749999999992"/>
    <n v="5"/>
  </r>
  <r>
    <x v="247"/>
    <d v="2014-05-19T00:00:00"/>
    <n v="5"/>
    <x v="1"/>
    <s v="CB-12535"/>
    <s v="Claudia Bergmann"/>
    <s v="California"/>
    <x v="1"/>
    <s v="Furnishings"/>
    <s v="Dana Halogen Swing-Arm Architect Lamp"/>
    <n v="122.91"/>
    <n v="3"/>
  </r>
  <r>
    <x v="247"/>
    <d v="2014-05-19T00:00:00"/>
    <n v="5"/>
    <x v="1"/>
    <s v="CB-12535"/>
    <s v="Claudia Bergmann"/>
    <s v="California"/>
    <x v="1"/>
    <s v="Chairs"/>
    <s v="Novimex Fabric Task Chair"/>
    <n v="97.567999999999998"/>
    <n v="2"/>
  </r>
  <r>
    <x v="247"/>
    <d v="2014-05-19T00:00:00"/>
    <n v="5"/>
    <x v="1"/>
    <s v="CB-12535"/>
    <s v="Claudia Bergmann"/>
    <s v="California"/>
    <x v="1"/>
    <s v="Chairs"/>
    <s v="Global Leather and Oak Executive Chair, Black"/>
    <n v="722.35200000000009"/>
    <n v="3"/>
  </r>
  <r>
    <x v="248"/>
    <d v="2014-05-22T00:00:00"/>
    <n v="4"/>
    <x v="1"/>
    <s v="AJ-10780"/>
    <s v="Anthony Jacobs"/>
    <s v="California"/>
    <x v="0"/>
    <s v="Paper"/>
    <s v="Wirebound Message Book, 4 per Page"/>
    <n v="10.86"/>
    <n v="2"/>
  </r>
  <r>
    <x v="249"/>
    <d v="2014-05-25T00:00:00"/>
    <n v="4"/>
    <x v="1"/>
    <s v="ME-18010"/>
    <s v="Michelle Ellison"/>
    <s v="Washington"/>
    <x v="0"/>
    <s v="Binders"/>
    <s v="Ibico Plastic and Wire Spiral Binding Combs"/>
    <n v="26.975999999999999"/>
    <n v="4"/>
  </r>
  <r>
    <x v="250"/>
    <d v="2014-05-26T00:00:00"/>
    <n v="4"/>
    <x v="1"/>
    <s v="SB-20185"/>
    <s v="Sarah Brown"/>
    <s v="California"/>
    <x v="0"/>
    <s v="Labels"/>
    <s v="Avery 476"/>
    <n v="8.26"/>
    <n v="2"/>
  </r>
  <r>
    <x v="250"/>
    <d v="2014-05-26T00:00:00"/>
    <n v="4"/>
    <x v="1"/>
    <s v="SB-20185"/>
    <s v="Sarah Brown"/>
    <s v="California"/>
    <x v="2"/>
    <s v="Machines"/>
    <s v="Zebra GX420t Direct Thermal/Thermal Transfer Printer"/>
    <n v="2973.32"/>
    <n v="7"/>
  </r>
  <r>
    <x v="250"/>
    <d v="2014-05-26T00:00:00"/>
    <n v="4"/>
    <x v="1"/>
    <s v="SB-20185"/>
    <s v="Sarah Brown"/>
    <s v="California"/>
    <x v="0"/>
    <s v="Storage"/>
    <s v="Pizazz Global Quick File"/>
    <n v="104.79"/>
    <n v="7"/>
  </r>
  <r>
    <x v="250"/>
    <d v="2014-05-26T00:00:00"/>
    <n v="4"/>
    <x v="1"/>
    <s v="SB-20185"/>
    <s v="Sarah Brown"/>
    <s v="California"/>
    <x v="2"/>
    <s v="Phones"/>
    <s v="Aastra 57i VoIP phone"/>
    <n v="775.72800000000007"/>
    <n v="6"/>
  </r>
  <r>
    <x v="251"/>
    <d v="2014-05-30T00:00:00"/>
    <n v="7"/>
    <x v="1"/>
    <s v="EB-13870"/>
    <s v="Emily Burns"/>
    <s v="Arizona"/>
    <x v="0"/>
    <s v="Binders"/>
    <s v="Cardinal EasyOpen D-Ring Binders"/>
    <n v="19.194000000000003"/>
    <n v="7"/>
  </r>
  <r>
    <x v="251"/>
    <d v="2014-05-30T00:00:00"/>
    <n v="7"/>
    <x v="1"/>
    <s v="EB-13870"/>
    <s v="Emily Burns"/>
    <s v="Arizona"/>
    <x v="0"/>
    <s v="Appliances"/>
    <s v="Fellowes Superior 10 Outlet Split Surge Protector"/>
    <n v="121.79200000000002"/>
    <n v="4"/>
  </r>
  <r>
    <x v="252"/>
    <d v="2014-05-29T00:00:00"/>
    <n v="4"/>
    <x v="1"/>
    <s v="JH-16180"/>
    <s v="Justin Hirsh"/>
    <s v="Colorado"/>
    <x v="0"/>
    <s v="Appliances"/>
    <s v="Kensington 4 Outlet MasterPiece Compact Power Control Center"/>
    <n v="845.72799999999995"/>
    <n v="13"/>
  </r>
  <r>
    <x v="252"/>
    <d v="2014-05-27T00:00:00"/>
    <n v="2"/>
    <x v="0"/>
    <s v="NP-18685"/>
    <s v="Nora Pelletier"/>
    <s v="California"/>
    <x v="1"/>
    <s v="Furnishings"/>
    <s v="Ultra Door Push Plate"/>
    <n v="14.73"/>
    <n v="3"/>
  </r>
  <r>
    <x v="253"/>
    <d v="2014-05-31T00:00:00"/>
    <n v="5"/>
    <x v="1"/>
    <s v="RD-19900"/>
    <s v="Ruben Dartt"/>
    <s v="Washington"/>
    <x v="1"/>
    <s v="Furnishings"/>
    <s v="DAX Metal Frame, Desktop, Stepped-Edge"/>
    <n v="20.239999999999998"/>
    <n v="1"/>
  </r>
  <r>
    <x v="254"/>
    <d v="2014-06-03T00:00:00"/>
    <n v="6"/>
    <x v="1"/>
    <s v="NK-18490"/>
    <s v="Neil Knudson"/>
    <s v="Washington"/>
    <x v="0"/>
    <s v="Art"/>
    <s v="Newell 311"/>
    <n v="6.63"/>
    <n v="3"/>
  </r>
  <r>
    <x v="255"/>
    <d v="2014-06-03T00:00:00"/>
    <n v="5"/>
    <x v="1"/>
    <s v="JL-15850"/>
    <s v="John Lucas"/>
    <s v="Washington"/>
    <x v="0"/>
    <s v="Paper"/>
    <s v="Xerox 1894"/>
    <n v="32.400000000000006"/>
    <n v="5"/>
  </r>
  <r>
    <x v="255"/>
    <d v="2014-06-03T00:00:00"/>
    <n v="5"/>
    <x v="1"/>
    <s v="JL-15850"/>
    <s v="John Lucas"/>
    <s v="Washington"/>
    <x v="0"/>
    <s v="Storage"/>
    <s v="Standard Rollaway File with Lock"/>
    <n v="540.56999999999994"/>
    <n v="3"/>
  </r>
  <r>
    <x v="255"/>
    <d v="2014-06-03T00:00:00"/>
    <n v="5"/>
    <x v="1"/>
    <s v="JL-15850"/>
    <s v="John Lucas"/>
    <s v="Washington"/>
    <x v="0"/>
    <s v="Binders"/>
    <s v="Avery Trapezoid Extra Heavy Duty 4&quot; Binders"/>
    <n v="167.76"/>
    <n v="5"/>
  </r>
  <r>
    <x v="256"/>
    <d v="2014-06-02T00:00:00"/>
    <n v="2"/>
    <x v="2"/>
    <s v="SP-20650"/>
    <s v="Stephanie Phelps"/>
    <s v="California"/>
    <x v="0"/>
    <s v="Paper"/>
    <s v="Southworth 25% Cotton Antique Laid Paper &amp; Envelopes"/>
    <n v="58.379999999999995"/>
    <n v="7"/>
  </r>
  <r>
    <x v="256"/>
    <d v="2014-06-02T00:00:00"/>
    <n v="2"/>
    <x v="2"/>
    <s v="SP-20650"/>
    <s v="Stephanie Phelps"/>
    <s v="California"/>
    <x v="0"/>
    <s v="Paper"/>
    <s v="Xerox 1883"/>
    <n v="105.52"/>
    <n v="4"/>
  </r>
  <r>
    <x v="256"/>
    <d v="2014-06-02T00:00:00"/>
    <n v="2"/>
    <x v="2"/>
    <s v="SP-20650"/>
    <s v="Stephanie Phelps"/>
    <s v="California"/>
    <x v="0"/>
    <s v="Storage"/>
    <s v="Tenex Personal Project File with Scoop Front Design, Black"/>
    <n v="80.88"/>
    <n v="6"/>
  </r>
  <r>
    <x v="256"/>
    <d v="2014-06-04T00:00:00"/>
    <n v="4"/>
    <x v="1"/>
    <s v="TM-21010"/>
    <s v="Tamara Manning"/>
    <s v="Utah"/>
    <x v="1"/>
    <s v="Bookcases"/>
    <s v="O'Sullivan Living Dimensions 3-Shelf Bookcases"/>
    <n v="1406.86"/>
    <n v="7"/>
  </r>
  <r>
    <x v="256"/>
    <d v="2014-06-04T00:00:00"/>
    <n v="4"/>
    <x v="1"/>
    <s v="TM-21010"/>
    <s v="Tamara Manning"/>
    <s v="Utah"/>
    <x v="0"/>
    <s v="Labels"/>
    <s v="Self-Adhesive Removable Labels"/>
    <n v="15.75"/>
    <n v="5"/>
  </r>
  <r>
    <x v="256"/>
    <d v="2014-06-04T00:00:00"/>
    <n v="4"/>
    <x v="1"/>
    <s v="TM-21010"/>
    <s v="Tamara Manning"/>
    <s v="Utah"/>
    <x v="0"/>
    <s v="Storage"/>
    <s v="Fellowes Super Stor/Drawer Files"/>
    <n v="323.10000000000002"/>
    <n v="2"/>
  </r>
  <r>
    <x v="257"/>
    <d v="2014-06-08T00:00:00"/>
    <n v="7"/>
    <x v="1"/>
    <s v="CG-12040"/>
    <s v="Catherine Glotzbach"/>
    <s v="California"/>
    <x v="0"/>
    <s v="Paper"/>
    <s v="Adams Telephone Message Book W/Dividers/Space For Phone Numbers, 5 1/4&quot;X8 1/2&quot;, 300/Messages"/>
    <n v="11.76"/>
    <n v="2"/>
  </r>
  <r>
    <x v="258"/>
    <d v="2014-06-04T00:00:00"/>
    <n v="0"/>
    <x v="3"/>
    <s v="LL-16840"/>
    <s v="Lauren Leatherbury"/>
    <s v="Washington"/>
    <x v="0"/>
    <s v="Labels"/>
    <s v="Avery 501"/>
    <n v="7.38"/>
    <n v="2"/>
  </r>
  <r>
    <x v="258"/>
    <d v="2014-06-04T00:00:00"/>
    <n v="0"/>
    <x v="3"/>
    <s v="LL-16840"/>
    <s v="Lauren Leatherbury"/>
    <s v="Washington"/>
    <x v="0"/>
    <s v="Art"/>
    <s v="Binney &amp; Smith Crayola Metallic Colored Pencils, 8-Color Set"/>
    <n v="9.26"/>
    <n v="2"/>
  </r>
  <r>
    <x v="258"/>
    <d v="2014-06-09T00:00:00"/>
    <n v="5"/>
    <x v="0"/>
    <s v="BP-11155"/>
    <s v="Becky Pak"/>
    <s v="California"/>
    <x v="2"/>
    <s v="Accessories"/>
    <s v="Logitech Wireless Anywhere Mouse MX for PC and Mac"/>
    <n v="119.98"/>
    <n v="2"/>
  </r>
  <r>
    <x v="258"/>
    <d v="2014-06-09T00:00:00"/>
    <n v="5"/>
    <x v="0"/>
    <s v="BP-11155"/>
    <s v="Becky Pak"/>
    <s v="California"/>
    <x v="2"/>
    <s v="Accessories"/>
    <s v="Logitech Z-906 Speaker sys - home theater - 5.1-CH"/>
    <n v="989.97"/>
    <n v="3"/>
  </r>
  <r>
    <x v="259"/>
    <d v="2014-06-09T00:00:00"/>
    <n v="2"/>
    <x v="0"/>
    <s v="EM-13810"/>
    <s v="Eleni McCrary"/>
    <s v="California"/>
    <x v="0"/>
    <s v="Binders"/>
    <s v="3-ring staple pack"/>
    <n v="7.52"/>
    <n v="5"/>
  </r>
  <r>
    <x v="260"/>
    <d v="2014-06-11T00:00:00"/>
    <n v="2"/>
    <x v="0"/>
    <s v="TG-21640"/>
    <s v="Trudy Glocke"/>
    <s v="Idaho"/>
    <x v="1"/>
    <s v="Furnishings"/>
    <s v="Luxo Adjustable Task Clamp Lamp"/>
    <n v="355.36"/>
    <n v="4"/>
  </r>
  <r>
    <x v="260"/>
    <d v="2014-06-11T00:00:00"/>
    <n v="2"/>
    <x v="0"/>
    <s v="TG-21640"/>
    <s v="Trudy Glocke"/>
    <s v="Idaho"/>
    <x v="2"/>
    <s v="Phones"/>
    <s v="Dexim XPower Skin Super-Thin Power Case for iPhone 5 - Black"/>
    <n v="140.376"/>
    <n v="3"/>
  </r>
  <r>
    <x v="261"/>
    <d v="2014-06-14T00:00:00"/>
    <n v="1"/>
    <x v="2"/>
    <s v="JJ-15445"/>
    <s v="Jennifer Jackson"/>
    <s v="California"/>
    <x v="0"/>
    <s v="Binders"/>
    <s v="Aluminum Screw Posts"/>
    <n v="36.624000000000002"/>
    <n v="3"/>
  </r>
  <r>
    <x v="262"/>
    <d v="2014-06-20T00:00:00"/>
    <n v="5"/>
    <x v="1"/>
    <s v="PF-19120"/>
    <s v="Peter Fuller"/>
    <s v="Arizona"/>
    <x v="0"/>
    <s v="Paper"/>
    <s v="Xerox 1895"/>
    <n v="9.5680000000000014"/>
    <n v="2"/>
  </r>
  <r>
    <x v="262"/>
    <d v="2014-06-20T00:00:00"/>
    <n v="5"/>
    <x v="1"/>
    <s v="PF-19120"/>
    <s v="Peter Fuller"/>
    <s v="Arizona"/>
    <x v="0"/>
    <s v="Storage"/>
    <s v="Belkin 19&quot; Vented Equipment Shelf, Black"/>
    <n v="82.367999999999995"/>
    <n v="2"/>
  </r>
  <r>
    <x v="262"/>
    <d v="2014-06-20T00:00:00"/>
    <n v="5"/>
    <x v="1"/>
    <s v="PF-19120"/>
    <s v="Peter Fuller"/>
    <s v="Arizona"/>
    <x v="1"/>
    <s v="Furnishings"/>
    <s v="Eldon &quot;L&quot; Workstation Diamond Chairmat"/>
    <n v="364.70400000000006"/>
    <n v="6"/>
  </r>
  <r>
    <x v="262"/>
    <d v="2014-06-20T00:00:00"/>
    <n v="5"/>
    <x v="1"/>
    <s v="PF-19120"/>
    <s v="Peter Fuller"/>
    <s v="Arizona"/>
    <x v="1"/>
    <s v="Furnishings"/>
    <s v="DAX Copper Panel Document Frame, 5 x 7 Size"/>
    <n v="40.256"/>
    <n v="4"/>
  </r>
  <r>
    <x v="262"/>
    <d v="2014-06-19T00:00:00"/>
    <n v="4"/>
    <x v="1"/>
    <s v="GK-14620"/>
    <s v="Grace Kelly"/>
    <s v="California"/>
    <x v="2"/>
    <s v="Phones"/>
    <s v="Jabra SPEAK 410"/>
    <n v="225.57599999999996"/>
    <n v="3"/>
  </r>
  <r>
    <x v="263"/>
    <d v="2014-06-23T00:00:00"/>
    <n v="5"/>
    <x v="1"/>
    <s v="SN-20560"/>
    <s v="Skye Norling"/>
    <s v="Arizona"/>
    <x v="0"/>
    <s v="Paper"/>
    <s v="Xerox 1922"/>
    <n v="11.952000000000002"/>
    <n v="3"/>
  </r>
  <r>
    <x v="263"/>
    <d v="2014-06-23T00:00:00"/>
    <n v="5"/>
    <x v="1"/>
    <s v="SN-20560"/>
    <s v="Skye Norling"/>
    <s v="Arizona"/>
    <x v="0"/>
    <s v="Binders"/>
    <s v="Peel &amp; Stick Add-On Corner Pockets"/>
    <n v="4.5360000000000014"/>
    <n v="7"/>
  </r>
  <r>
    <x v="263"/>
    <d v="2014-06-23T00:00:00"/>
    <n v="5"/>
    <x v="1"/>
    <s v="SN-20560"/>
    <s v="Skye Norling"/>
    <s v="Arizona"/>
    <x v="0"/>
    <s v="Binders"/>
    <s v="Aluminum Screw Posts"/>
    <n v="9.1560000000000006"/>
    <n v="2"/>
  </r>
  <r>
    <x v="263"/>
    <d v="2014-06-23T00:00:00"/>
    <n v="5"/>
    <x v="1"/>
    <s v="SN-20560"/>
    <s v="Skye Norling"/>
    <s v="Arizona"/>
    <x v="1"/>
    <s v="Furnishings"/>
    <s v="Flat Face Poster Frame"/>
    <n v="75.36"/>
    <n v="5"/>
  </r>
  <r>
    <x v="263"/>
    <d v="2014-06-22T00:00:00"/>
    <n v="4"/>
    <x v="1"/>
    <s v="BG-11740"/>
    <s v="Bruce Geld"/>
    <s v="California"/>
    <x v="0"/>
    <s v="Art"/>
    <s v="BOSTON Ranger #55 Pencil Sharpener, Black"/>
    <n v="51.98"/>
    <n v="2"/>
  </r>
  <r>
    <x v="264"/>
    <d v="2014-06-23T00:00:00"/>
    <n v="4"/>
    <x v="1"/>
    <s v="LH-17155"/>
    <s v="Logan Haushalter"/>
    <s v="California"/>
    <x v="1"/>
    <s v="Furnishings"/>
    <s v="Eldon 200 Class Desk Accessories"/>
    <n v="12.56"/>
    <n v="2"/>
  </r>
  <r>
    <x v="264"/>
    <d v="2014-06-23T00:00:00"/>
    <n v="4"/>
    <x v="1"/>
    <s v="LH-17155"/>
    <s v="Logan Haushalter"/>
    <s v="California"/>
    <x v="0"/>
    <s v="Paper"/>
    <s v="Xerox 231"/>
    <n v="6.48"/>
    <n v="1"/>
  </r>
  <r>
    <x v="264"/>
    <d v="2014-06-23T00:00:00"/>
    <n v="4"/>
    <x v="1"/>
    <s v="LH-17155"/>
    <s v="Logan Haushalter"/>
    <s v="California"/>
    <x v="0"/>
    <s v="Envelopes"/>
    <s v="Cameo Buff Policy Envelopes"/>
    <n v="186.69"/>
    <n v="3"/>
  </r>
  <r>
    <x v="265"/>
    <d v="2014-06-25T00:00:00"/>
    <n v="5"/>
    <x v="0"/>
    <s v="SC-20770"/>
    <s v="Stewart Carmichael"/>
    <s v="California"/>
    <x v="1"/>
    <s v="Furnishings"/>
    <s v="Howard Miller 13&quot; Diameter Pewter Finish Round Wall Clock"/>
    <n v="257.64"/>
    <n v="6"/>
  </r>
  <r>
    <x v="265"/>
    <d v="2014-06-25T00:00:00"/>
    <n v="5"/>
    <x v="0"/>
    <s v="SC-20770"/>
    <s v="Stewart Carmichael"/>
    <s v="California"/>
    <x v="2"/>
    <s v="Phones"/>
    <s v="netTALK DUO VoIP Telephone Service"/>
    <n v="125.97600000000001"/>
    <n v="3"/>
  </r>
  <r>
    <x v="265"/>
    <d v="2014-06-23T00:00:00"/>
    <n v="3"/>
    <x v="2"/>
    <s v="JM-16195"/>
    <s v="Justin MacKendrick"/>
    <s v="Colorado"/>
    <x v="2"/>
    <s v="Phones"/>
    <s v="Griffin GC36547 PowerJolt SE Lightning Charger"/>
    <n v="125.944"/>
    <n v="7"/>
  </r>
  <r>
    <x v="266"/>
    <d v="2014-06-26T00:00:00"/>
    <n v="4"/>
    <x v="0"/>
    <s v="KL-16645"/>
    <s v="Ken Lonsdale"/>
    <s v="Utah"/>
    <x v="0"/>
    <s v="Fasteners"/>
    <s v="OIC Binder Clips, Mini, 1/4&quot; Capacity, Black"/>
    <n v="4.96"/>
    <n v="4"/>
  </r>
  <r>
    <x v="267"/>
    <d v="2014-06-25T00:00:00"/>
    <n v="2"/>
    <x v="0"/>
    <s v="RD-19480"/>
    <s v="Rick Duston"/>
    <s v="Washington"/>
    <x v="2"/>
    <s v="Phones"/>
    <s v="Pyle PRT45 Retro Home Telephone"/>
    <n v="201.56800000000001"/>
    <n v="4"/>
  </r>
  <r>
    <x v="267"/>
    <d v="2014-06-28T00:00:00"/>
    <n v="5"/>
    <x v="1"/>
    <s v="CS-12355"/>
    <s v="Christine Sundaresam"/>
    <s v="California"/>
    <x v="2"/>
    <s v="Phones"/>
    <s v="Plantronics CS 50-USB - headset - Convertible, Monaural"/>
    <n v="217.58400000000003"/>
    <n v="2"/>
  </r>
  <r>
    <x v="267"/>
    <d v="2014-06-28T00:00:00"/>
    <n v="5"/>
    <x v="1"/>
    <s v="CS-12355"/>
    <s v="Christine Sundaresam"/>
    <s v="California"/>
    <x v="0"/>
    <s v="Fasteners"/>
    <s v="Assorted Color Push Pins"/>
    <n v="5.43"/>
    <n v="3"/>
  </r>
  <r>
    <x v="267"/>
    <d v="2014-06-28T00:00:00"/>
    <n v="5"/>
    <x v="1"/>
    <s v="CS-12355"/>
    <s v="Christine Sundaresam"/>
    <s v="California"/>
    <x v="2"/>
    <s v="Phones"/>
    <s v="JBL Micro Wireless Portable Bluetooth Speaker"/>
    <n v="143.976"/>
    <n v="3"/>
  </r>
  <r>
    <x v="268"/>
    <d v="2014-06-30T00:00:00"/>
    <n v="5"/>
    <x v="1"/>
    <s v="JF-15565"/>
    <s v="Jill Fjeld"/>
    <s v="California"/>
    <x v="1"/>
    <s v="Furnishings"/>
    <s v="Dana Halogen Swing-Arm Architect Lamp"/>
    <n v="204.85"/>
    <n v="5"/>
  </r>
  <r>
    <x v="268"/>
    <d v="2014-07-01T00:00:00"/>
    <n v="6"/>
    <x v="1"/>
    <s v="AB-10165"/>
    <s v="Alan Barnes"/>
    <s v="California"/>
    <x v="0"/>
    <s v="Art"/>
    <s v="Staples in misc. colors"/>
    <n v="20.96"/>
    <n v="2"/>
  </r>
  <r>
    <x v="268"/>
    <d v="2014-07-01T00:00:00"/>
    <n v="6"/>
    <x v="1"/>
    <s v="AB-10165"/>
    <s v="Alan Barnes"/>
    <s v="California"/>
    <x v="0"/>
    <s v="Binders"/>
    <s v="GBC Velobind Prepunched Cover Sets, Regency Series"/>
    <n v="88.751999999999995"/>
    <n v="3"/>
  </r>
  <r>
    <x v="268"/>
    <d v="2014-07-01T00:00:00"/>
    <n v="6"/>
    <x v="1"/>
    <s v="AB-10165"/>
    <s v="Alan Barnes"/>
    <s v="California"/>
    <x v="0"/>
    <s v="Storage"/>
    <s v="Tennsco Regal Shelving Units"/>
    <n v="304.23"/>
    <n v="3"/>
  </r>
  <r>
    <x v="269"/>
    <d v="2014-07-02T00:00:00"/>
    <n v="4"/>
    <x v="1"/>
    <s v="CY-12745"/>
    <s v="Craig Yedwab"/>
    <s v="Arizona"/>
    <x v="0"/>
    <s v="Labels"/>
    <s v="Avery 501"/>
    <n v="5.9039999999999999"/>
    <n v="2"/>
  </r>
  <r>
    <x v="269"/>
    <d v="2014-07-02T00:00:00"/>
    <n v="4"/>
    <x v="1"/>
    <s v="CY-12745"/>
    <s v="Craig Yedwab"/>
    <s v="Arizona"/>
    <x v="1"/>
    <s v="Furnishings"/>
    <s v="Electrix Halogen Magnifier Lamp"/>
    <n v="621.7600000000001"/>
    <n v="4"/>
  </r>
  <r>
    <x v="270"/>
    <d v="2014-07-08T00:00:00"/>
    <n v="4"/>
    <x v="0"/>
    <s v="JP-16135"/>
    <s v="Julie Prescott"/>
    <s v="California"/>
    <x v="0"/>
    <s v="Binders"/>
    <s v="Avery Premier Heavy-Duty Binder with Round Locking Rings"/>
    <n v="22.847999999999999"/>
    <n v="2"/>
  </r>
  <r>
    <x v="271"/>
    <d v="2014-07-11T00:00:00"/>
    <n v="5"/>
    <x v="1"/>
    <s v="SJ-20215"/>
    <s v="Sarah Jordon"/>
    <s v="California"/>
    <x v="1"/>
    <s v="Chairs"/>
    <s v="Novimex Turbo Task Chair"/>
    <n v="170.35200000000003"/>
    <n v="3"/>
  </r>
  <r>
    <x v="272"/>
    <d v="2014-07-10T00:00:00"/>
    <n v="0"/>
    <x v="3"/>
    <s v="EH-13945"/>
    <s v="Eric Hoffmann"/>
    <s v="Arizona"/>
    <x v="0"/>
    <s v="Binders"/>
    <s v="Accohide Poly Flexible Ring Binders"/>
    <n v="3.366000000000001"/>
    <n v="3"/>
  </r>
  <r>
    <x v="272"/>
    <d v="2014-07-14T00:00:00"/>
    <n v="4"/>
    <x v="1"/>
    <s v="MV-18190"/>
    <s v="Mike Vittorini"/>
    <s v="California"/>
    <x v="0"/>
    <s v="Binders"/>
    <s v="Large Capacity Hanging Post Binders"/>
    <n v="39.92"/>
    <n v="2"/>
  </r>
  <r>
    <x v="273"/>
    <d v="2014-07-13T00:00:00"/>
    <n v="2"/>
    <x v="0"/>
    <s v="SC-20380"/>
    <s v="Shahid Collister"/>
    <s v="Washington"/>
    <x v="0"/>
    <s v="Paper"/>
    <s v="Xerox 1896"/>
    <n v="29.97"/>
    <n v="3"/>
  </r>
  <r>
    <x v="273"/>
    <d v="2014-07-13T00:00:00"/>
    <n v="2"/>
    <x v="0"/>
    <s v="SC-20380"/>
    <s v="Shahid Collister"/>
    <s v="Washington"/>
    <x v="0"/>
    <s v="Binders"/>
    <s v="Wilson Jones Ledger-Size, Piano-Hinge Binder, 2&quot;, Blue"/>
    <n v="98.352000000000004"/>
    <n v="3"/>
  </r>
  <r>
    <x v="274"/>
    <d v="2014-07-19T00:00:00"/>
    <n v="5"/>
    <x v="0"/>
    <s v="TG-21310"/>
    <s v="Toby Gnade"/>
    <s v="Arizona"/>
    <x v="0"/>
    <s v="Storage"/>
    <s v="SAFCO Boltless Steel Shelving"/>
    <n v="272.73599999999999"/>
    <n v="3"/>
  </r>
  <r>
    <x v="274"/>
    <d v="2014-07-19T00:00:00"/>
    <n v="5"/>
    <x v="0"/>
    <s v="TG-21310"/>
    <s v="Toby Gnade"/>
    <s v="Arizona"/>
    <x v="0"/>
    <s v="Paper"/>
    <s v="Xerox 1899"/>
    <n v="18.496000000000002"/>
    <n v="4"/>
  </r>
  <r>
    <x v="274"/>
    <d v="2014-07-19T00:00:00"/>
    <n v="5"/>
    <x v="0"/>
    <s v="TG-21310"/>
    <s v="Toby Gnade"/>
    <s v="Arizona"/>
    <x v="1"/>
    <s v="Chairs"/>
    <s v="SAFCO Arco Folding Chair"/>
    <n v="441.92"/>
    <n v="2"/>
  </r>
  <r>
    <x v="274"/>
    <d v="2014-07-19T00:00:00"/>
    <n v="5"/>
    <x v="0"/>
    <s v="TG-21310"/>
    <s v="Toby Gnade"/>
    <s v="Arizona"/>
    <x v="1"/>
    <s v="Bookcases"/>
    <s v="Hon Metal Bookcases, Black"/>
    <n v="127.76400000000002"/>
    <n v="6"/>
  </r>
  <r>
    <x v="275"/>
    <d v="2014-07-16T00:00:00"/>
    <n v="0"/>
    <x v="3"/>
    <s v="EM-13810"/>
    <s v="Eleni McCrary"/>
    <s v="California"/>
    <x v="1"/>
    <s v="Chairs"/>
    <s v="Hon 2090 “Pillow Soft” Series Mid Back Swivel/Tilt Chairs"/>
    <n v="1348.7040000000002"/>
    <n v="6"/>
  </r>
  <r>
    <x v="275"/>
    <d v="2014-07-16T00:00:00"/>
    <n v="0"/>
    <x v="3"/>
    <s v="EM-13810"/>
    <s v="Eleni McCrary"/>
    <s v="California"/>
    <x v="1"/>
    <s v="Chairs"/>
    <s v="Hon 4070 Series Pagoda Armless Upholstered Stacking Chairs"/>
    <n v="700.15200000000004"/>
    <n v="3"/>
  </r>
  <r>
    <x v="276"/>
    <d v="2014-07-19T00:00:00"/>
    <n v="2"/>
    <x v="0"/>
    <s v="JM-15535"/>
    <s v="Jessica Myrick"/>
    <s v="California"/>
    <x v="1"/>
    <s v="Bookcases"/>
    <s v="Sauder Camden County Collection Libraries, Planked Cherry Finish"/>
    <n v="195.46600000000001"/>
    <n v="2"/>
  </r>
  <r>
    <x v="277"/>
    <d v="2014-07-22T00:00:00"/>
    <n v="4"/>
    <x v="1"/>
    <s v="RF-19735"/>
    <s v="Roland Fjeld"/>
    <s v="California"/>
    <x v="2"/>
    <s v="Accessories"/>
    <s v="Logitech G35 7.1-Channel Surround Sound Headset"/>
    <n v="519.96"/>
    <n v="4"/>
  </r>
  <r>
    <x v="278"/>
    <d v="2014-07-20T00:00:00"/>
    <n v="1"/>
    <x v="2"/>
    <s v="TS-21085"/>
    <s v="Thais Sissman"/>
    <s v="Arizona"/>
    <x v="0"/>
    <s v="Binders"/>
    <s v="Wilson Jones DublLock D-Ring Binders"/>
    <n v="2.0250000000000004"/>
    <n v="1"/>
  </r>
  <r>
    <x v="279"/>
    <d v="2014-07-27T00:00:00"/>
    <n v="2"/>
    <x v="0"/>
    <s v="MH-18025"/>
    <s v="Michelle Huthwaite"/>
    <s v="Washington"/>
    <x v="0"/>
    <s v="Fasteners"/>
    <s v="Plymouth Boxed Rubber Bands by Plymouth"/>
    <n v="9.42"/>
    <n v="2"/>
  </r>
  <r>
    <x v="279"/>
    <d v="2014-07-27T00:00:00"/>
    <n v="2"/>
    <x v="0"/>
    <s v="MH-18025"/>
    <s v="Michelle Huthwaite"/>
    <s v="Washington"/>
    <x v="0"/>
    <s v="Paper"/>
    <s v="Xerox 228"/>
    <n v="12.96"/>
    <n v="2"/>
  </r>
  <r>
    <x v="279"/>
    <d v="2014-07-27T00:00:00"/>
    <n v="2"/>
    <x v="0"/>
    <s v="MH-18025"/>
    <s v="Michelle Huthwaite"/>
    <s v="Washington"/>
    <x v="1"/>
    <s v="Bookcases"/>
    <s v="Sauder Forest Hills Library, Woodland Oak Finish"/>
    <n v="704.9"/>
    <n v="5"/>
  </r>
  <r>
    <x v="279"/>
    <d v="2014-07-27T00:00:00"/>
    <n v="2"/>
    <x v="0"/>
    <s v="MH-18025"/>
    <s v="Michelle Huthwaite"/>
    <s v="Washington"/>
    <x v="1"/>
    <s v="Chairs"/>
    <s v="Office Star - Professional Matrix Back Chair with 2-to-1 Synchro Tilt and Mesh Fabric Seat"/>
    <n v="561.5680000000001"/>
    <n v="2"/>
  </r>
  <r>
    <x v="279"/>
    <d v="2014-07-30T00:00:00"/>
    <n v="5"/>
    <x v="1"/>
    <s v="RD-19930"/>
    <s v="Russell D'Ascenzo"/>
    <s v="California"/>
    <x v="2"/>
    <s v="Phones"/>
    <s v="Motorola L703CM"/>
    <n v="623.96"/>
    <n v="5"/>
  </r>
  <r>
    <x v="280"/>
    <d v="2014-07-28T00:00:00"/>
    <n v="2"/>
    <x v="2"/>
    <s v="CA-12775"/>
    <s v="Cynthia Arntzen"/>
    <s v="Arizona"/>
    <x v="1"/>
    <s v="Tables"/>
    <s v="Bevis Boat-Shaped Conference Table"/>
    <n v="393.16500000000002"/>
    <n v="3"/>
  </r>
  <r>
    <x v="280"/>
    <d v="2014-08-02T00:00:00"/>
    <n v="7"/>
    <x v="1"/>
    <s v="HA-14920"/>
    <s v="Helen Andreada"/>
    <s v="California"/>
    <x v="0"/>
    <s v="Envelopes"/>
    <s v="Airmail Envelopes"/>
    <n v="167.86"/>
    <n v="2"/>
  </r>
  <r>
    <x v="280"/>
    <d v="2014-07-31T00:00:00"/>
    <n v="5"/>
    <x v="1"/>
    <s v="BP-11095"/>
    <s v="Bart Pistole"/>
    <s v="California"/>
    <x v="0"/>
    <s v="Binders"/>
    <s v="Acco Pressboard Covers with Storage Hooks, 9 1/2&quot; x 11&quot;, Executive Red"/>
    <n v="9.1440000000000001"/>
    <n v="3"/>
  </r>
  <r>
    <x v="280"/>
    <d v="2014-07-31T00:00:00"/>
    <n v="5"/>
    <x v="1"/>
    <s v="BP-11095"/>
    <s v="Bart Pistole"/>
    <s v="California"/>
    <x v="0"/>
    <s v="Binders"/>
    <s v="Tuff Stuff Recycled Round Ring Binders"/>
    <n v="23.136000000000003"/>
    <n v="6"/>
  </r>
  <r>
    <x v="280"/>
    <d v="2014-07-31T00:00:00"/>
    <n v="5"/>
    <x v="1"/>
    <s v="BP-11095"/>
    <s v="Bart Pistole"/>
    <s v="California"/>
    <x v="0"/>
    <s v="Art"/>
    <s v="Newell 334"/>
    <n v="99.2"/>
    <n v="5"/>
  </r>
  <r>
    <x v="280"/>
    <d v="2014-07-31T00:00:00"/>
    <n v="5"/>
    <x v="1"/>
    <s v="CK-12760"/>
    <s v="Cyma Kinney"/>
    <s v="Arizona"/>
    <x v="1"/>
    <s v="Chairs"/>
    <s v="Office Star - Contemporary Task Swivel Chair"/>
    <n v="266.35200000000003"/>
    <n v="3"/>
  </r>
  <r>
    <x v="281"/>
    <d v="2014-07-31T00:00:00"/>
    <n v="1"/>
    <x v="2"/>
    <s v="HA-14920"/>
    <s v="Helen Andreada"/>
    <s v="California"/>
    <x v="2"/>
    <s v="Accessories"/>
    <s v="Logitech 910-002974 M325 Wireless Mouse for Web Scrolling"/>
    <n v="209.92999999999998"/>
    <n v="7"/>
  </r>
  <r>
    <x v="281"/>
    <d v="2014-07-31T00:00:00"/>
    <n v="1"/>
    <x v="2"/>
    <s v="HA-14920"/>
    <s v="Helen Andreada"/>
    <s v="California"/>
    <x v="1"/>
    <s v="Furnishings"/>
    <s v="Regeneration Desk Collection"/>
    <n v="5.28"/>
    <n v="3"/>
  </r>
  <r>
    <x v="281"/>
    <d v="2014-07-31T00:00:00"/>
    <n v="1"/>
    <x v="2"/>
    <s v="HA-14920"/>
    <s v="Helen Andreada"/>
    <s v="California"/>
    <x v="0"/>
    <s v="Binders"/>
    <s v="Presstex Flexible Ring Binders"/>
    <n v="10.92"/>
    <n v="3"/>
  </r>
  <r>
    <x v="282"/>
    <d v="2014-08-07T00:00:00"/>
    <n v="6"/>
    <x v="1"/>
    <s v="PC-19000"/>
    <s v="Pauline Chand"/>
    <s v="California"/>
    <x v="0"/>
    <s v="Art"/>
    <s v="Prang Dustless Chalk Sticks"/>
    <n v="6.72"/>
    <n v="4"/>
  </r>
  <r>
    <x v="282"/>
    <d v="2014-08-07T00:00:00"/>
    <n v="6"/>
    <x v="1"/>
    <s v="PC-19000"/>
    <s v="Pauline Chand"/>
    <s v="California"/>
    <x v="1"/>
    <s v="Tables"/>
    <s v="Hon 2111 Invitation Series Corner Table"/>
    <n v="1004.9760000000001"/>
    <n v="6"/>
  </r>
  <r>
    <x v="283"/>
    <d v="2014-08-06T00:00:00"/>
    <n v="4"/>
    <x v="1"/>
    <s v="Co-12640"/>
    <s v="Corey-Lock"/>
    <s v="Washington"/>
    <x v="0"/>
    <s v="Binders"/>
    <s v="Ibico Presentation Index for Binding Systems"/>
    <n v="6.3680000000000003"/>
    <n v="2"/>
  </r>
  <r>
    <x v="283"/>
    <d v="2014-08-06T00:00:00"/>
    <n v="4"/>
    <x v="1"/>
    <s v="Co-12640"/>
    <s v="Corey-Lock"/>
    <s v="Washington"/>
    <x v="2"/>
    <s v="Machines"/>
    <s v="Okidata C331dn Printer"/>
    <n v="558.4"/>
    <n v="2"/>
  </r>
  <r>
    <x v="283"/>
    <d v="2014-08-06T00:00:00"/>
    <n v="4"/>
    <x v="1"/>
    <s v="DK-12985"/>
    <s v="Darren Koutras"/>
    <s v="Oregon"/>
    <x v="1"/>
    <s v="Tables"/>
    <s v="Balt Split Level Computer Training Table"/>
    <n v="277.5"/>
    <n v="4"/>
  </r>
  <r>
    <x v="284"/>
    <d v="2014-08-11T00:00:00"/>
    <n v="4"/>
    <x v="1"/>
    <s v="NS-18640"/>
    <s v="Noel Staavos"/>
    <s v="Idaho"/>
    <x v="0"/>
    <s v="Binders"/>
    <s v="ACCOHIDE 3-Ring Binder, Blue, 1&quot;"/>
    <n v="3.3040000000000003"/>
    <n v="1"/>
  </r>
  <r>
    <x v="284"/>
    <d v="2014-08-12T00:00:00"/>
    <n v="5"/>
    <x v="1"/>
    <s v="PN-18775"/>
    <s v="Parhena Norris"/>
    <s v="California"/>
    <x v="0"/>
    <s v="Binders"/>
    <s v="Cardinal Hold-It CD Pocket"/>
    <n v="19.152000000000001"/>
    <n v="3"/>
  </r>
  <r>
    <x v="285"/>
    <d v="2014-08-08T00:00:00"/>
    <n v="0"/>
    <x v="3"/>
    <s v="TT-21220"/>
    <s v="Thomas Thornton"/>
    <s v="California"/>
    <x v="0"/>
    <s v="Binders"/>
    <s v="ACCOHIDE 3-Ring Binder, Blue, 1&quot;"/>
    <n v="6.6080000000000005"/>
    <n v="2"/>
  </r>
  <r>
    <x v="285"/>
    <d v="2014-08-08T00:00:00"/>
    <n v="0"/>
    <x v="3"/>
    <s v="TT-21220"/>
    <s v="Thomas Thornton"/>
    <s v="California"/>
    <x v="0"/>
    <s v="Binders"/>
    <s v="Presstex Flexible Ring Binders"/>
    <n v="7.28"/>
    <n v="2"/>
  </r>
  <r>
    <x v="285"/>
    <d v="2014-08-08T00:00:00"/>
    <n v="0"/>
    <x v="3"/>
    <s v="TT-21220"/>
    <s v="Thomas Thornton"/>
    <s v="California"/>
    <x v="1"/>
    <s v="Chairs"/>
    <s v="Global Ergonomic Managers Chair"/>
    <n v="144.78399999999999"/>
    <n v="1"/>
  </r>
  <r>
    <x v="286"/>
    <d v="2014-08-16T00:00:00"/>
    <n v="6"/>
    <x v="1"/>
    <s v="WB-21850"/>
    <s v="William Brown"/>
    <s v="Oregon"/>
    <x v="2"/>
    <s v="Phones"/>
    <s v="AT&amp;T 1080 Corded phone"/>
    <n v="438.36800000000005"/>
    <n v="4"/>
  </r>
  <r>
    <x v="286"/>
    <d v="2014-08-16T00:00:00"/>
    <n v="6"/>
    <x v="1"/>
    <s v="WB-21850"/>
    <s v="William Brown"/>
    <s v="Oregon"/>
    <x v="2"/>
    <s v="Phones"/>
    <s v="OtterBox Commuter Series Case - Samsung Galaxy S4"/>
    <n v="139.94400000000002"/>
    <n v="7"/>
  </r>
  <r>
    <x v="286"/>
    <d v="2014-08-16T00:00:00"/>
    <n v="6"/>
    <x v="1"/>
    <s v="WB-21850"/>
    <s v="William Brown"/>
    <s v="Oregon"/>
    <x v="0"/>
    <s v="Appliances"/>
    <s v="Fellowes 8 Outlet Superior Workstation Surge Protector"/>
    <n v="133.47200000000001"/>
    <n v="4"/>
  </r>
  <r>
    <x v="287"/>
    <d v="2014-08-20T00:00:00"/>
    <n v="7"/>
    <x v="1"/>
    <s v="ON-18715"/>
    <s v="Odella Nelson"/>
    <s v="California"/>
    <x v="0"/>
    <s v="Art"/>
    <s v="50 Colored Long Pencils"/>
    <n v="50.8"/>
    <n v="5"/>
  </r>
  <r>
    <x v="287"/>
    <d v="2014-08-13T00:00:00"/>
    <n v="0"/>
    <x v="3"/>
    <s v="SF-20065"/>
    <s v="Sandra Flanagan"/>
    <s v="California"/>
    <x v="1"/>
    <s v="Furnishings"/>
    <s v="Ultra Door Pull Handle"/>
    <n v="31.56"/>
    <n v="3"/>
  </r>
  <r>
    <x v="288"/>
    <d v="2014-08-19T00:00:00"/>
    <n v="4"/>
    <x v="1"/>
    <s v="TT-21265"/>
    <s v="Tim Taslimi"/>
    <s v="California"/>
    <x v="0"/>
    <s v="Storage"/>
    <s v="Fellowes Super Stor/Drawer Files"/>
    <n v="323.10000000000002"/>
    <n v="2"/>
  </r>
  <r>
    <x v="288"/>
    <d v="2014-08-19T00:00:00"/>
    <n v="4"/>
    <x v="1"/>
    <s v="RE-19450"/>
    <s v="Richard Eichhorn"/>
    <s v="California"/>
    <x v="1"/>
    <s v="Furnishings"/>
    <s v="Tensor Computer Mounted Lamp"/>
    <n v="104.23"/>
    <n v="7"/>
  </r>
  <r>
    <x v="288"/>
    <d v="2014-08-19T00:00:00"/>
    <n v="4"/>
    <x v="1"/>
    <s v="RE-19450"/>
    <s v="Richard Eichhorn"/>
    <s v="California"/>
    <x v="0"/>
    <s v="Storage"/>
    <s v="Mobile Personal File Cube"/>
    <n v="70.260000000000005"/>
    <n v="3"/>
  </r>
  <r>
    <x v="289"/>
    <d v="2014-08-22T00:00:00"/>
    <n v="6"/>
    <x v="1"/>
    <s v="JM-15865"/>
    <s v="John Murray"/>
    <s v="Arizona"/>
    <x v="0"/>
    <s v="Art"/>
    <s v="Newell 346"/>
    <n v="2.3039999999999998"/>
    <n v="1"/>
  </r>
  <r>
    <x v="289"/>
    <d v="2014-08-22T00:00:00"/>
    <n v="6"/>
    <x v="1"/>
    <s v="JM-15865"/>
    <s v="John Murray"/>
    <s v="Arizona"/>
    <x v="2"/>
    <s v="Phones"/>
    <s v="Samsung Galaxy S4 Mini"/>
    <n v="1879.96"/>
    <n v="5"/>
  </r>
  <r>
    <x v="289"/>
    <d v="2014-08-22T00:00:00"/>
    <n v="6"/>
    <x v="1"/>
    <s v="JM-15865"/>
    <s v="John Murray"/>
    <s v="Arizona"/>
    <x v="0"/>
    <s v="Paper"/>
    <s v="Xerox 1891"/>
    <n v="313.024"/>
    <n v="8"/>
  </r>
  <r>
    <x v="289"/>
    <d v="2014-08-22T00:00:00"/>
    <n v="6"/>
    <x v="1"/>
    <s v="JM-15865"/>
    <s v="John Murray"/>
    <s v="Arizona"/>
    <x v="0"/>
    <s v="Labels"/>
    <s v="Avery 488"/>
    <n v="5.04"/>
    <n v="2"/>
  </r>
  <r>
    <x v="290"/>
    <d v="2014-08-23T00:00:00"/>
    <n v="6"/>
    <x v="1"/>
    <s v="SC-20725"/>
    <s v="Steven Cartwright"/>
    <s v="Arizona"/>
    <x v="2"/>
    <s v="Accessories"/>
    <s v="Imation Clip USB flash drive - 8 GB"/>
    <n v="30.080000000000002"/>
    <n v="2"/>
  </r>
  <r>
    <x v="290"/>
    <d v="2014-08-23T00:00:00"/>
    <n v="6"/>
    <x v="1"/>
    <s v="SC-20725"/>
    <s v="Steven Cartwright"/>
    <s v="Arizona"/>
    <x v="0"/>
    <s v="Paper"/>
    <s v="Xerox 21"/>
    <n v="36.288000000000011"/>
    <n v="7"/>
  </r>
  <r>
    <x v="290"/>
    <d v="2014-08-23T00:00:00"/>
    <n v="6"/>
    <x v="1"/>
    <s v="SC-20725"/>
    <s v="Steven Cartwright"/>
    <s v="Arizona"/>
    <x v="0"/>
    <s v="Art"/>
    <s v="Newell 336"/>
    <n v="10.272000000000002"/>
    <n v="3"/>
  </r>
  <r>
    <x v="290"/>
    <d v="2014-08-23T00:00:00"/>
    <n v="6"/>
    <x v="1"/>
    <s v="SC-20725"/>
    <s v="Steven Cartwright"/>
    <s v="Arizona"/>
    <x v="2"/>
    <s v="Accessories"/>
    <s v="First Data FD10 PIN Pad"/>
    <n v="252.8"/>
    <n v="4"/>
  </r>
  <r>
    <x v="291"/>
    <d v="2014-08-23T00:00:00"/>
    <n v="2"/>
    <x v="2"/>
    <s v="NZ-18565"/>
    <s v="Nick Zandusky"/>
    <s v="California"/>
    <x v="1"/>
    <s v="Chairs"/>
    <s v="Hon GuestStacker Chair"/>
    <n v="544.00800000000004"/>
    <n v="3"/>
  </r>
  <r>
    <x v="291"/>
    <d v="2014-08-23T00:00:00"/>
    <n v="2"/>
    <x v="2"/>
    <s v="NZ-18565"/>
    <s v="Nick Zandusky"/>
    <s v="California"/>
    <x v="0"/>
    <s v="Paper"/>
    <s v="Xerox 191"/>
    <n v="59.94"/>
    <n v="3"/>
  </r>
  <r>
    <x v="291"/>
    <d v="2014-08-23T00:00:00"/>
    <n v="2"/>
    <x v="2"/>
    <s v="NZ-18565"/>
    <s v="Nick Zandusky"/>
    <s v="California"/>
    <x v="0"/>
    <s v="Paper"/>
    <s v="Xerox 1974"/>
    <n v="23.92"/>
    <n v="4"/>
  </r>
  <r>
    <x v="291"/>
    <d v="2014-08-23T00:00:00"/>
    <n v="2"/>
    <x v="2"/>
    <s v="NZ-18565"/>
    <s v="Nick Zandusky"/>
    <s v="California"/>
    <x v="0"/>
    <s v="Paper"/>
    <s v="Xerox 1927"/>
    <n v="4.28"/>
    <n v="1"/>
  </r>
  <r>
    <x v="291"/>
    <d v="2014-08-26T00:00:00"/>
    <n v="5"/>
    <x v="1"/>
    <s v="DS-13180"/>
    <s v="David Smith"/>
    <s v="California"/>
    <x v="1"/>
    <s v="Bookcases"/>
    <s v="Sauder Camden County Collection Library"/>
    <n v="586.39800000000002"/>
    <n v="6"/>
  </r>
  <r>
    <x v="291"/>
    <d v="2014-08-26T00:00:00"/>
    <n v="5"/>
    <x v="1"/>
    <s v="DS-13180"/>
    <s v="David Smith"/>
    <s v="California"/>
    <x v="0"/>
    <s v="Storage"/>
    <s v="Carina Double Wide Media Storage Towers in Natural &amp; Black"/>
    <n v="80.98"/>
    <n v="1"/>
  </r>
  <r>
    <x v="292"/>
    <d v="2014-08-26T00:00:00"/>
    <n v="2"/>
    <x v="2"/>
    <s v="DO-13435"/>
    <s v="Denny Ordway"/>
    <s v="Oregon"/>
    <x v="0"/>
    <s v="Art"/>
    <s v="Premium Writing Pencils, Soft, #2 by Central Association for the Blind"/>
    <n v="7.1519999999999992"/>
    <n v="3"/>
  </r>
  <r>
    <x v="293"/>
    <d v="2014-08-30T00:00:00"/>
    <n v="5"/>
    <x v="1"/>
    <s v="NL-18310"/>
    <s v="Nancy Lomonaco"/>
    <s v="California"/>
    <x v="1"/>
    <s v="Chairs"/>
    <s v="Global Deluxe Stacking Chair, Gray"/>
    <n v="40.783999999999999"/>
    <n v="1"/>
  </r>
  <r>
    <x v="293"/>
    <d v="2014-08-30T00:00:00"/>
    <n v="5"/>
    <x v="1"/>
    <s v="NL-18310"/>
    <s v="Nancy Lomonaco"/>
    <s v="California"/>
    <x v="0"/>
    <s v="Appliances"/>
    <s v="Fellowes Advanced Computer Series Surge Protectors"/>
    <n v="105.96"/>
    <n v="4"/>
  </r>
  <r>
    <x v="294"/>
    <d v="2014-08-31T00:00:00"/>
    <n v="4"/>
    <x v="1"/>
    <s v="RA-19945"/>
    <s v="Ryan Akin"/>
    <s v="California"/>
    <x v="0"/>
    <s v="Storage"/>
    <s v="Fellowes Super Stor/Drawer Files"/>
    <n v="484.65000000000003"/>
    <n v="3"/>
  </r>
  <r>
    <x v="294"/>
    <d v="2014-09-01T00:00:00"/>
    <n v="5"/>
    <x v="1"/>
    <s v="PF-19165"/>
    <s v="Philip Fox"/>
    <s v="California"/>
    <x v="0"/>
    <s v="Supplies"/>
    <s v="Fiskars Softgrip Scissors"/>
    <n v="32.94"/>
    <n v="3"/>
  </r>
  <r>
    <x v="294"/>
    <d v="2014-09-01T00:00:00"/>
    <n v="5"/>
    <x v="1"/>
    <s v="PF-19165"/>
    <s v="Philip Fox"/>
    <s v="California"/>
    <x v="0"/>
    <s v="Paper"/>
    <s v="Xerox 1973"/>
    <n v="114.2"/>
    <n v="5"/>
  </r>
  <r>
    <x v="294"/>
    <d v="2014-09-01T00:00:00"/>
    <n v="5"/>
    <x v="1"/>
    <s v="PF-19165"/>
    <s v="Philip Fox"/>
    <s v="California"/>
    <x v="0"/>
    <s v="Labels"/>
    <s v="Avery 511"/>
    <n v="3.08"/>
    <n v="1"/>
  </r>
  <r>
    <x v="294"/>
    <d v="2014-08-31T00:00:00"/>
    <n v="4"/>
    <x v="1"/>
    <s v="CC-12100"/>
    <s v="Chad Cunningham"/>
    <s v="California"/>
    <x v="0"/>
    <s v="Binders"/>
    <s v="Avery Heavy-Duty EZD View Binder with Locking Rings"/>
    <n v="5.1040000000000001"/>
    <n v="1"/>
  </r>
  <r>
    <x v="295"/>
    <d v="2014-09-04T00:00:00"/>
    <n v="7"/>
    <x v="1"/>
    <s v="CB-12025"/>
    <s v="Cassandra Brandow"/>
    <s v="California"/>
    <x v="0"/>
    <s v="Storage"/>
    <s v="Hot File 7-Pocket, Floor Stand"/>
    <n v="892.35"/>
    <n v="5"/>
  </r>
  <r>
    <x v="295"/>
    <d v="2014-09-04T00:00:00"/>
    <n v="7"/>
    <x v="1"/>
    <s v="CB-12025"/>
    <s v="Cassandra Brandow"/>
    <s v="California"/>
    <x v="1"/>
    <s v="Bookcases"/>
    <s v="O'Sullivan 2-Door Barrister Bookcase in Odessa Pine"/>
    <n v="307.666"/>
    <n v="2"/>
  </r>
  <r>
    <x v="295"/>
    <d v="2014-09-04T00:00:00"/>
    <n v="7"/>
    <x v="1"/>
    <s v="CB-12025"/>
    <s v="Cassandra Brandow"/>
    <s v="California"/>
    <x v="0"/>
    <s v="Storage"/>
    <s v="Carina Double Wide Media Storage Towers in Natural &amp; Black"/>
    <n v="728.82"/>
    <n v="9"/>
  </r>
  <r>
    <x v="295"/>
    <d v="2014-09-04T00:00:00"/>
    <n v="7"/>
    <x v="1"/>
    <s v="CB-12025"/>
    <s v="Cassandra Brandow"/>
    <s v="California"/>
    <x v="0"/>
    <s v="Binders"/>
    <s v="GBC Wire Binding Combs"/>
    <n v="41.36"/>
    <n v="5"/>
  </r>
  <r>
    <x v="295"/>
    <d v="2014-09-04T00:00:00"/>
    <n v="7"/>
    <x v="1"/>
    <s v="CB-12025"/>
    <s v="Cassandra Brandow"/>
    <s v="California"/>
    <x v="2"/>
    <s v="Phones"/>
    <s v="invisibleSHIELD by ZAGG Smudge-Free Screen Protector"/>
    <n v="43.176000000000002"/>
    <n v="3"/>
  </r>
  <r>
    <x v="295"/>
    <d v="2014-09-04T00:00:00"/>
    <n v="7"/>
    <x v="1"/>
    <s v="CB-12025"/>
    <s v="Cassandra Brandow"/>
    <s v="California"/>
    <x v="1"/>
    <s v="Furnishings"/>
    <s v="Eldon Wave Desk Accessories"/>
    <n v="4.16"/>
    <n v="2"/>
  </r>
  <r>
    <x v="296"/>
    <d v="2014-09-05T00:00:00"/>
    <n v="5"/>
    <x v="1"/>
    <s v="AR-10510"/>
    <s v="Andrew Roberts"/>
    <s v="California"/>
    <x v="0"/>
    <s v="Paper"/>
    <s v="Xerox 226"/>
    <n v="58.320000000000007"/>
    <n v="9"/>
  </r>
  <r>
    <x v="296"/>
    <d v="2014-09-02T00:00:00"/>
    <n v="2"/>
    <x v="2"/>
    <s v="SC-20260"/>
    <s v="Scott Cohen"/>
    <s v="California"/>
    <x v="1"/>
    <s v="Bookcases"/>
    <s v="Atlantic Metals Mobile 3-Shelf Bookcases, Custom Colors"/>
    <n v="1552.8309999999999"/>
    <n v="7"/>
  </r>
  <r>
    <x v="296"/>
    <d v="2014-09-02T00:00:00"/>
    <n v="2"/>
    <x v="2"/>
    <s v="SC-20260"/>
    <s v="Scott Cohen"/>
    <s v="California"/>
    <x v="0"/>
    <s v="Binders"/>
    <s v="GBC Prestige Therm-A-Bind Covers"/>
    <n v="137.24"/>
    <n v="5"/>
  </r>
  <r>
    <x v="296"/>
    <d v="2014-09-02T00:00:00"/>
    <n v="2"/>
    <x v="2"/>
    <s v="SC-20260"/>
    <s v="Scott Cohen"/>
    <s v="California"/>
    <x v="2"/>
    <s v="Accessories"/>
    <s v="Memorex Micro Travel Drive 32 GB"/>
    <n v="36.51"/>
    <n v="1"/>
  </r>
  <r>
    <x v="296"/>
    <d v="2014-09-02T00:00:00"/>
    <n v="2"/>
    <x v="2"/>
    <s v="SC-20260"/>
    <s v="Scott Cohen"/>
    <s v="California"/>
    <x v="2"/>
    <s v="Machines"/>
    <s v="Lexmark S315 Color Inkjet Printer"/>
    <n v="239.976"/>
    <n v="3"/>
  </r>
  <r>
    <x v="296"/>
    <d v="2014-09-04T00:00:00"/>
    <n v="4"/>
    <x v="1"/>
    <s v="RH-19510"/>
    <s v="Rick Huthwaite"/>
    <s v="California"/>
    <x v="2"/>
    <s v="Phones"/>
    <s v="Toshiba IPT2010-SD IP Telephone"/>
    <n v="555.96"/>
    <n v="5"/>
  </r>
  <r>
    <x v="297"/>
    <d v="2014-09-04T00:00:00"/>
    <n v="3"/>
    <x v="0"/>
    <s v="DB-13615"/>
    <s v="Doug Bickford"/>
    <s v="California"/>
    <x v="0"/>
    <s v="Binders"/>
    <s v="Storex Dura Pro Binders"/>
    <n v="4.7520000000000007"/>
    <n v="1"/>
  </r>
  <r>
    <x v="297"/>
    <d v="2014-09-04T00:00:00"/>
    <n v="3"/>
    <x v="0"/>
    <s v="DB-13615"/>
    <s v="Doug Bickford"/>
    <s v="California"/>
    <x v="2"/>
    <s v="Copiers"/>
    <s v="Hewlett Packard LaserJet 3310 Copier"/>
    <n v="959.98400000000004"/>
    <n v="2"/>
  </r>
  <r>
    <x v="297"/>
    <d v="2014-09-04T00:00:00"/>
    <n v="3"/>
    <x v="0"/>
    <s v="DB-13615"/>
    <s v="Doug Bickford"/>
    <s v="California"/>
    <x v="0"/>
    <s v="Binders"/>
    <s v="Avery Non-Stick Binders"/>
    <n v="14.368000000000002"/>
    <n v="4"/>
  </r>
  <r>
    <x v="298"/>
    <d v="2014-09-09T00:00:00"/>
    <n v="6"/>
    <x v="1"/>
    <s v="DB-13120"/>
    <s v="David Bremer"/>
    <s v="California"/>
    <x v="0"/>
    <s v="Storage"/>
    <s v="Sterilite Officeware Hinged File Box"/>
    <n v="31.44"/>
    <n v="3"/>
  </r>
  <r>
    <x v="298"/>
    <d v="2014-09-09T00:00:00"/>
    <n v="6"/>
    <x v="1"/>
    <s v="DB-13120"/>
    <s v="David Bremer"/>
    <s v="California"/>
    <x v="2"/>
    <s v="Accessories"/>
    <s v="Kingston Digital DataTraveler 16GB USB 2.0"/>
    <n v="17.899999999999999"/>
    <n v="2"/>
  </r>
  <r>
    <x v="298"/>
    <d v="2014-09-09T00:00:00"/>
    <n v="6"/>
    <x v="1"/>
    <s v="DB-13120"/>
    <s v="David Bremer"/>
    <s v="California"/>
    <x v="2"/>
    <s v="Accessories"/>
    <s v="TRENDnet 56K USB 2.0 Phone, Internet and Fax Modem"/>
    <n v="129.44999999999999"/>
    <n v="5"/>
  </r>
  <r>
    <x v="298"/>
    <d v="2014-09-08T00:00:00"/>
    <n v="5"/>
    <x v="1"/>
    <s v="AS-10630"/>
    <s v="Ann Steele"/>
    <s v="California"/>
    <x v="1"/>
    <s v="Chairs"/>
    <s v="Office Star - Ergonomically Designed Knee Chair"/>
    <n v="129.56800000000001"/>
    <n v="2"/>
  </r>
  <r>
    <x v="298"/>
    <d v="2014-09-08T00:00:00"/>
    <n v="5"/>
    <x v="1"/>
    <s v="AS-10630"/>
    <s v="Ann Steele"/>
    <s v="California"/>
    <x v="0"/>
    <s v="Binders"/>
    <s v="Avery Durable Slant Ring Binders, No Labels"/>
    <n v="6.3680000000000003"/>
    <n v="2"/>
  </r>
  <r>
    <x v="298"/>
    <d v="2014-09-08T00:00:00"/>
    <n v="5"/>
    <x v="1"/>
    <s v="CP-12085"/>
    <s v="Cathy Prescott"/>
    <s v="Arizona"/>
    <x v="1"/>
    <s v="Furnishings"/>
    <s v="GE 48&quot; Fluorescent Tube, Cool White Energy Saver, 34 Watts, 30/Box"/>
    <n v="238.15200000000004"/>
    <n v="3"/>
  </r>
  <r>
    <x v="299"/>
    <d v="2014-09-09T00:00:00"/>
    <n v="5"/>
    <x v="1"/>
    <s v="KB-16585"/>
    <s v="Ken Black"/>
    <s v="Oregon"/>
    <x v="0"/>
    <s v="Binders"/>
    <s v="Acco Flexible ACCOHIDE Square Ring Data Binder, Dark Blue, 11 1/2&quot; X 14&quot; 7/8&quot;"/>
    <n v="9.7620000000000005"/>
    <n v="2"/>
  </r>
  <r>
    <x v="300"/>
    <d v="2014-09-09T00:00:00"/>
    <n v="4"/>
    <x v="1"/>
    <s v="AG-10900"/>
    <s v="Arthur Gainer"/>
    <s v="California"/>
    <x v="1"/>
    <s v="Bookcases"/>
    <s v="Sauder Camden County Barrister Bookcase, Planked Cherry Finish"/>
    <n v="411.33199999999999"/>
    <n v="4"/>
  </r>
  <r>
    <x v="300"/>
    <d v="2014-09-09T00:00:00"/>
    <n v="4"/>
    <x v="1"/>
    <s v="AG-10900"/>
    <s v="Arthur Gainer"/>
    <s v="California"/>
    <x v="0"/>
    <s v="Binders"/>
    <s v="DXL Angle-View Binders with Locking Rings, Black"/>
    <n v="28.752000000000002"/>
    <n v="6"/>
  </r>
  <r>
    <x v="300"/>
    <d v="2014-09-09T00:00:00"/>
    <n v="4"/>
    <x v="1"/>
    <s v="AG-10900"/>
    <s v="Arthur Gainer"/>
    <s v="California"/>
    <x v="1"/>
    <s v="Bookcases"/>
    <s v="Sauder Camden County Collection Libraries, Planked Cherry Finish"/>
    <n v="293.19900000000001"/>
    <n v="3"/>
  </r>
  <r>
    <x v="301"/>
    <d v="2014-09-12T00:00:00"/>
    <n v="6"/>
    <x v="1"/>
    <s v="BT-11305"/>
    <s v="Beth Thompson"/>
    <s v="Washington"/>
    <x v="0"/>
    <s v="Binders"/>
    <s v="Acco Hanging Data Binders"/>
    <n v="6.0960000000000001"/>
    <n v="2"/>
  </r>
  <r>
    <x v="301"/>
    <d v="2014-09-12T00:00:00"/>
    <n v="6"/>
    <x v="1"/>
    <s v="BT-11305"/>
    <s v="Beth Thompson"/>
    <s v="Washington"/>
    <x v="1"/>
    <s v="Furnishings"/>
    <s v="Howard Miller 16&quot; Diameter Gallery Wall Clock"/>
    <n v="191.82"/>
    <n v="3"/>
  </r>
  <r>
    <x v="301"/>
    <d v="2014-09-08T00:00:00"/>
    <n v="2"/>
    <x v="2"/>
    <s v="LO-17170"/>
    <s v="Lori Olson"/>
    <s v="California"/>
    <x v="2"/>
    <s v="Accessories"/>
    <s v="Memorex Mini Travel Drive 8 GB USB 2.0 Flash Drive"/>
    <n v="46.32"/>
    <n v="4"/>
  </r>
  <r>
    <x v="302"/>
    <d v="2014-09-12T00:00:00"/>
    <n v="5"/>
    <x v="1"/>
    <s v="HA-14920"/>
    <s v="Helen Andreada"/>
    <s v="California"/>
    <x v="0"/>
    <s v="Storage"/>
    <s v="Safco Industrial Wire Shelving"/>
    <n v="671.93"/>
    <n v="7"/>
  </r>
  <r>
    <x v="303"/>
    <d v="2014-09-11T00:00:00"/>
    <n v="3"/>
    <x v="2"/>
    <s v="NM-18520"/>
    <s v="Neoma Murray"/>
    <s v="California"/>
    <x v="0"/>
    <s v="Paper"/>
    <s v="Xerox 1928"/>
    <n v="26.400000000000002"/>
    <n v="5"/>
  </r>
  <r>
    <x v="303"/>
    <d v="2014-09-11T00:00:00"/>
    <n v="3"/>
    <x v="2"/>
    <s v="NM-18520"/>
    <s v="Neoma Murray"/>
    <s v="California"/>
    <x v="0"/>
    <s v="Storage"/>
    <s v="Eldon Shelf Savers Cubes and Bins"/>
    <n v="41.88"/>
    <n v="6"/>
  </r>
  <r>
    <x v="304"/>
    <d v="2014-09-14T00:00:00"/>
    <n v="4"/>
    <x v="1"/>
    <s v="CC-12145"/>
    <s v="Charles Crestani"/>
    <s v="California"/>
    <x v="0"/>
    <s v="Supplies"/>
    <s v="Martin-Yale Premier Letter Opener"/>
    <n v="51.52"/>
    <n v="4"/>
  </r>
  <r>
    <x v="304"/>
    <d v="2014-09-12T00:00:00"/>
    <n v="2"/>
    <x v="0"/>
    <s v="MC-17575"/>
    <s v="Matt Collins"/>
    <s v="Washington"/>
    <x v="0"/>
    <s v="Storage"/>
    <s v="Belkin 19&quot; Center-Weighted Shelf, Gray"/>
    <n v="353.88"/>
    <n v="6"/>
  </r>
  <r>
    <x v="304"/>
    <d v="2014-09-16T00:00:00"/>
    <n v="6"/>
    <x v="1"/>
    <s v="FA-14230"/>
    <s v="Frank Atkinson"/>
    <s v="California"/>
    <x v="1"/>
    <s v="Furnishings"/>
    <s v="Seth Thomas 13 1/2&quot; Wall Clock"/>
    <n v="106.68"/>
    <n v="6"/>
  </r>
  <r>
    <x v="305"/>
    <d v="2014-09-15T00:00:00"/>
    <n v="4"/>
    <x v="1"/>
    <s v="SC-20725"/>
    <s v="Steven Cartwright"/>
    <s v="California"/>
    <x v="0"/>
    <s v="Art"/>
    <s v="Boston 19500 Mighty Mite Electric Pencil Sharpener"/>
    <n v="181.35"/>
    <n v="9"/>
  </r>
  <r>
    <x v="305"/>
    <d v="2014-09-15T00:00:00"/>
    <n v="4"/>
    <x v="1"/>
    <s v="SC-20725"/>
    <s v="Steven Cartwright"/>
    <s v="California"/>
    <x v="0"/>
    <s v="Labels"/>
    <s v="Avery 474"/>
    <n v="8.64"/>
    <n v="3"/>
  </r>
  <r>
    <x v="305"/>
    <d v="2014-09-16T00:00:00"/>
    <n v="5"/>
    <x v="1"/>
    <s v="SB-20290"/>
    <s v="Sean Braxton"/>
    <s v="California"/>
    <x v="0"/>
    <s v="Art"/>
    <s v="Hunt PowerHouse Electric Pencil Sharpener, Blue"/>
    <n v="265.85999999999996"/>
    <n v="7"/>
  </r>
  <r>
    <x v="305"/>
    <d v="2014-09-12T00:00:00"/>
    <n v="1"/>
    <x v="2"/>
    <s v="GB-14530"/>
    <s v="George Bell"/>
    <s v="Colorado"/>
    <x v="1"/>
    <s v="Furnishings"/>
    <s v="Deflect-O Glasstique Clear Desk Accessories"/>
    <n v="24.64"/>
    <n v="4"/>
  </r>
  <r>
    <x v="306"/>
    <d v="2014-09-17T00:00:00"/>
    <n v="5"/>
    <x v="0"/>
    <s v="CC-12670"/>
    <s v="Craig Carreira"/>
    <s v="Washington"/>
    <x v="2"/>
    <s v="Accessories"/>
    <s v="Memorex Froggy Flash Drive 4 GB"/>
    <n v="21.98"/>
    <n v="2"/>
  </r>
  <r>
    <x v="307"/>
    <d v="2014-09-15T00:00:00"/>
    <n v="2"/>
    <x v="2"/>
    <s v="KD-16615"/>
    <s v="Ken Dana"/>
    <s v="California"/>
    <x v="1"/>
    <s v="Furnishings"/>
    <s v="Flat Face Poster Frame"/>
    <n v="131.88"/>
    <n v="7"/>
  </r>
  <r>
    <x v="307"/>
    <d v="2014-09-15T00:00:00"/>
    <n v="2"/>
    <x v="2"/>
    <s v="KD-16615"/>
    <s v="Ken Dana"/>
    <s v="California"/>
    <x v="0"/>
    <s v="Binders"/>
    <s v="Acco Data Flex Cable Posts For Top &amp; Bottom Load Binders, 6&quot; Capacity"/>
    <n v="25.031999999999996"/>
    <n v="3"/>
  </r>
  <r>
    <x v="307"/>
    <d v="2014-09-15T00:00:00"/>
    <n v="2"/>
    <x v="2"/>
    <s v="KD-16615"/>
    <s v="Ken Dana"/>
    <s v="California"/>
    <x v="1"/>
    <s v="Chairs"/>
    <s v="Global Comet Stacking Armless Chair"/>
    <n v="717.72"/>
    <n v="3"/>
  </r>
  <r>
    <x v="307"/>
    <d v="2014-09-15T00:00:00"/>
    <n v="2"/>
    <x v="2"/>
    <s v="KD-16615"/>
    <s v="Ken Dana"/>
    <s v="California"/>
    <x v="1"/>
    <s v="Furnishings"/>
    <s v="Eldon Econocleat Chair Mats for Low Pile Carpets"/>
    <n v="207.35"/>
    <n v="5"/>
  </r>
  <r>
    <x v="307"/>
    <d v="2014-09-15T00:00:00"/>
    <n v="2"/>
    <x v="2"/>
    <s v="KD-16615"/>
    <s v="Ken Dana"/>
    <s v="California"/>
    <x v="1"/>
    <s v="Furnishings"/>
    <s v="Tensor Computer Mounted Lamp"/>
    <n v="44.67"/>
    <n v="3"/>
  </r>
  <r>
    <x v="307"/>
    <d v="2014-09-15T00:00:00"/>
    <n v="2"/>
    <x v="2"/>
    <s v="KD-16615"/>
    <s v="Ken Dana"/>
    <s v="California"/>
    <x v="0"/>
    <s v="Paper"/>
    <s v="Xerox 1915"/>
    <n v="209.7"/>
    <n v="2"/>
  </r>
  <r>
    <x v="308"/>
    <d v="2014-09-19T00:00:00"/>
    <n v="5"/>
    <x v="1"/>
    <s v="CA-12265"/>
    <s v="Christina Anderson"/>
    <s v="Utah"/>
    <x v="1"/>
    <s v="Tables"/>
    <s v="Lesro Round Back Collection Coffee Table, End Table"/>
    <n v="912.75"/>
    <n v="5"/>
  </r>
  <r>
    <x v="308"/>
    <d v="2014-09-18T00:00:00"/>
    <n v="4"/>
    <x v="1"/>
    <s v="SP-20620"/>
    <s v="Stefania Perrino"/>
    <s v="California"/>
    <x v="1"/>
    <s v="Tables"/>
    <s v="KI Conference Tables"/>
    <n v="170.13600000000002"/>
    <n v="3"/>
  </r>
  <r>
    <x v="309"/>
    <d v="2014-09-19T00:00:00"/>
    <n v="2"/>
    <x v="0"/>
    <s v="MO-17800"/>
    <s v="Meg O'Connel"/>
    <s v="California"/>
    <x v="0"/>
    <s v="Paper"/>
    <s v="Xerox 216"/>
    <n v="32.400000000000006"/>
    <n v="5"/>
  </r>
  <r>
    <x v="309"/>
    <d v="2014-09-20T00:00:00"/>
    <n v="3"/>
    <x v="2"/>
    <s v="CS-11845"/>
    <s v="Cari Sayre"/>
    <s v="Washington"/>
    <x v="0"/>
    <s v="Binders"/>
    <s v="Acco Data Flex Cable Posts For Top &amp; Bottom Load Binders, 6&quot; Capacity"/>
    <n v="25.031999999999996"/>
    <n v="3"/>
  </r>
  <r>
    <x v="310"/>
    <d v="2014-09-22T00:00:00"/>
    <n v="4"/>
    <x v="0"/>
    <s v="TG-21640"/>
    <s v="Trudy Glocke"/>
    <s v="California"/>
    <x v="0"/>
    <s v="Paper"/>
    <s v="Personal Creations Ink Jet Cards and Labels"/>
    <n v="160.72"/>
    <n v="14"/>
  </r>
  <r>
    <x v="310"/>
    <d v="2014-09-22T00:00:00"/>
    <n v="4"/>
    <x v="0"/>
    <s v="TG-21640"/>
    <s v="Trudy Glocke"/>
    <s v="California"/>
    <x v="0"/>
    <s v="Paper"/>
    <s v="Rediform S.O.S. Phone Message Books"/>
    <n v="19.920000000000002"/>
    <n v="4"/>
  </r>
  <r>
    <x v="310"/>
    <d v="2014-09-22T00:00:00"/>
    <n v="4"/>
    <x v="0"/>
    <s v="TG-21640"/>
    <s v="Trudy Glocke"/>
    <s v="California"/>
    <x v="0"/>
    <s v="Supplies"/>
    <s v="Acme Value Line Scissors"/>
    <n v="7.3"/>
    <n v="2"/>
  </r>
  <r>
    <x v="310"/>
    <d v="2014-09-23T00:00:00"/>
    <n v="5"/>
    <x v="1"/>
    <s v="GB-14530"/>
    <s v="George Bell"/>
    <s v="California"/>
    <x v="0"/>
    <s v="Art"/>
    <s v="Quartet Omega Colored Chalk, 12/Pack"/>
    <n v="11.68"/>
    <n v="2"/>
  </r>
  <r>
    <x v="310"/>
    <d v="2014-09-23T00:00:00"/>
    <n v="5"/>
    <x v="1"/>
    <s v="GB-14530"/>
    <s v="George Bell"/>
    <s v="California"/>
    <x v="0"/>
    <s v="Supplies"/>
    <s v="Elite 5&quot; Scissors"/>
    <n v="16.899999999999999"/>
    <n v="2"/>
  </r>
  <r>
    <x v="310"/>
    <d v="2014-09-23T00:00:00"/>
    <n v="5"/>
    <x v="1"/>
    <s v="GB-14530"/>
    <s v="George Bell"/>
    <s v="California"/>
    <x v="1"/>
    <s v="Furnishings"/>
    <s v="Advantus Panel Wall Certificate Holder - 8.5x11"/>
    <n v="24.4"/>
    <n v="2"/>
  </r>
  <r>
    <x v="310"/>
    <d v="2014-09-24T00:00:00"/>
    <n v="6"/>
    <x v="1"/>
    <s v="AB-10060"/>
    <s v="Adam Bellavance"/>
    <s v="Washington"/>
    <x v="0"/>
    <s v="Paper"/>
    <s v="Wirebound Message Books, Four 2 3/4&quot; x 5&quot; Forms per Page, 600 Sets per Book"/>
    <n v="18.54"/>
    <n v="2"/>
  </r>
  <r>
    <x v="310"/>
    <d v="2014-09-21T00:00:00"/>
    <n v="3"/>
    <x v="2"/>
    <s v="CM-12190"/>
    <s v="Charlotte Melton"/>
    <s v="California"/>
    <x v="0"/>
    <s v="Storage"/>
    <s v="Stur-D-Stor Shelving, Vertical 5-Shelf: 72&quot;H x 36&quot;W x 18 1/2&quot;D"/>
    <n v="443.92"/>
    <n v="4"/>
  </r>
  <r>
    <x v="311"/>
    <d v="2014-09-22T00:00:00"/>
    <n v="3"/>
    <x v="0"/>
    <s v="RW-19540"/>
    <s v="Rick Wilson"/>
    <s v="California"/>
    <x v="0"/>
    <s v="Paper"/>
    <s v="Personal Creations Ink Jet Cards and Labels"/>
    <n v="22.96"/>
    <n v="2"/>
  </r>
  <r>
    <x v="311"/>
    <d v="2014-09-24T00:00:00"/>
    <n v="5"/>
    <x v="1"/>
    <s v="MH-17290"/>
    <s v="Marc Harrigan"/>
    <s v="New Mexico"/>
    <x v="0"/>
    <s v="Art"/>
    <s v="Newell 323"/>
    <n v="8.4"/>
    <n v="5"/>
  </r>
  <r>
    <x v="311"/>
    <d v="2014-09-23T00:00:00"/>
    <n v="4"/>
    <x v="1"/>
    <s v="FC-14245"/>
    <s v="Frank Carlisle"/>
    <s v="California"/>
    <x v="1"/>
    <s v="Furnishings"/>
    <s v="Seth Thomas 8 1/2&quot; Cubicle Clock"/>
    <n v="60.84"/>
    <n v="3"/>
  </r>
  <r>
    <x v="312"/>
    <d v="2014-09-26T00:00:00"/>
    <n v="6"/>
    <x v="1"/>
    <s v="AM-10705"/>
    <s v="Anne McFarland"/>
    <s v="Nevada"/>
    <x v="0"/>
    <s v="Binders"/>
    <s v="Wilson Jones Impact Binders"/>
    <n v="45.584000000000003"/>
    <n v="11"/>
  </r>
  <r>
    <x v="313"/>
    <d v="2014-09-27T00:00:00"/>
    <n v="6"/>
    <x v="1"/>
    <s v="CS-12130"/>
    <s v="Chad Sievert"/>
    <s v="Washington"/>
    <x v="0"/>
    <s v="Storage"/>
    <s v="Fellowes Bases and Tops For Staxonsteel/High-Stak Systems"/>
    <n v="199.74"/>
    <n v="6"/>
  </r>
  <r>
    <x v="313"/>
    <d v="2014-09-23T00:00:00"/>
    <n v="2"/>
    <x v="2"/>
    <s v="CD-12790"/>
    <s v="Cynthia Delaney"/>
    <s v="California"/>
    <x v="1"/>
    <s v="Chairs"/>
    <s v="Hon Every-Day Series Multi-Task Chairs"/>
    <n v="601.53599999999994"/>
    <n v="4"/>
  </r>
  <r>
    <x v="313"/>
    <d v="2014-09-23T00:00:00"/>
    <n v="2"/>
    <x v="2"/>
    <s v="CD-12790"/>
    <s v="Cynthia Delaney"/>
    <s v="California"/>
    <x v="0"/>
    <s v="Fasteners"/>
    <s v="Advantus Map Pennant Flags and Round Head Tacks"/>
    <n v="7.9"/>
    <n v="2"/>
  </r>
  <r>
    <x v="314"/>
    <d v="2014-09-22T00:00:00"/>
    <n v="0"/>
    <x v="3"/>
    <s v="DL-12925"/>
    <s v="Daniel Lacy"/>
    <s v="California"/>
    <x v="1"/>
    <s v="Furnishings"/>
    <s v="Luxo Professional Combination Clamp-On Lamps"/>
    <n v="204.6"/>
    <n v="2"/>
  </r>
  <r>
    <x v="314"/>
    <d v="2014-09-26T00:00:00"/>
    <n v="4"/>
    <x v="0"/>
    <s v="MM-18280"/>
    <s v="Muhammed MacIntyre"/>
    <s v="California"/>
    <x v="0"/>
    <s v="Appliances"/>
    <s v="Kensington 6 Outlet Guardian Standard Surge Protector"/>
    <n v="61.44"/>
    <n v="3"/>
  </r>
  <r>
    <x v="315"/>
    <d v="2014-09-26T00:00:00"/>
    <n v="2"/>
    <x v="0"/>
    <s v="ME-17725"/>
    <s v="Max Engle"/>
    <s v="Washington"/>
    <x v="0"/>
    <s v="Art"/>
    <s v="BOSTON Model 1800 Electric Pencil Sharpeners, Putty/Woodgrain"/>
    <n v="35.96"/>
    <n v="2"/>
  </r>
  <r>
    <x v="315"/>
    <d v="2014-09-26T00:00:00"/>
    <n v="2"/>
    <x v="0"/>
    <s v="ME-17725"/>
    <s v="Max Engle"/>
    <s v="Washington"/>
    <x v="0"/>
    <s v="Binders"/>
    <s v="Avery Hole Reinforcements"/>
    <n v="14.952000000000002"/>
    <n v="3"/>
  </r>
  <r>
    <x v="315"/>
    <d v="2014-09-28T00:00:00"/>
    <n v="4"/>
    <x v="1"/>
    <s v="SC-20440"/>
    <s v="Shaun Chance"/>
    <s v="California"/>
    <x v="1"/>
    <s v="Furnishings"/>
    <s v="DAX Value U-Channel Document Frames, Easel Back"/>
    <n v="14.91"/>
    <n v="3"/>
  </r>
  <r>
    <x v="315"/>
    <d v="2014-09-28T00:00:00"/>
    <n v="4"/>
    <x v="1"/>
    <s v="SC-20440"/>
    <s v="Shaun Chance"/>
    <s v="California"/>
    <x v="0"/>
    <s v="Appliances"/>
    <s v="Hoover Upright Vacuum With Dirt Cup"/>
    <n v="1158.1199999999999"/>
    <n v="4"/>
  </r>
  <r>
    <x v="315"/>
    <d v="2014-09-26T00:00:00"/>
    <n v="2"/>
    <x v="0"/>
    <s v="CM-11935"/>
    <s v="Carlos Meador"/>
    <s v="Arizona"/>
    <x v="2"/>
    <s v="Phones"/>
    <s v="Samsung HM1900 Bluetooth Headset"/>
    <n v="35.119999999999997"/>
    <n v="2"/>
  </r>
  <r>
    <x v="315"/>
    <d v="2014-09-29T00:00:00"/>
    <n v="5"/>
    <x v="0"/>
    <s v="KM-16720"/>
    <s v="Kunst Miller"/>
    <s v="Arizona"/>
    <x v="0"/>
    <s v="Art"/>
    <s v="Dixon Ticonderoga Core-Lock Colored Pencils"/>
    <n v="14.576000000000001"/>
    <n v="2"/>
  </r>
  <r>
    <x v="315"/>
    <d v="2014-09-29T00:00:00"/>
    <n v="5"/>
    <x v="0"/>
    <s v="KM-16720"/>
    <s v="Kunst Miller"/>
    <s v="Arizona"/>
    <x v="2"/>
    <s v="Accessories"/>
    <s v="HP Standard 104 key PS/2 Keyboard"/>
    <n v="23.200000000000003"/>
    <n v="2"/>
  </r>
  <r>
    <x v="315"/>
    <d v="2014-09-29T00:00:00"/>
    <n v="5"/>
    <x v="0"/>
    <s v="KM-16720"/>
    <s v="Kunst Miller"/>
    <s v="Arizona"/>
    <x v="0"/>
    <s v="Art"/>
    <s v="Newell 317"/>
    <n v="16.463999999999999"/>
    <n v="7"/>
  </r>
  <r>
    <x v="316"/>
    <d v="2014-09-30T00:00:00"/>
    <n v="5"/>
    <x v="1"/>
    <s v="EB-13870"/>
    <s v="Emily Burns"/>
    <s v="Utah"/>
    <x v="1"/>
    <s v="Tables"/>
    <s v="Bretford CR4500 Series Slim Rectangular Table"/>
    <n v="1044.6299999999999"/>
    <n v="3"/>
  </r>
  <r>
    <x v="316"/>
    <d v="2014-10-01T00:00:00"/>
    <n v="6"/>
    <x v="1"/>
    <s v="AM-10705"/>
    <s v="Anne McFarland"/>
    <s v="California"/>
    <x v="0"/>
    <s v="Envelopes"/>
    <s v="#10- 4 1/8&quot; x 9 1/2&quot; Recycled Envelopes"/>
    <n v="17.48"/>
    <n v="2"/>
  </r>
  <r>
    <x v="316"/>
    <d v="2014-09-30T00:00:00"/>
    <n v="5"/>
    <x v="1"/>
    <s v="SH-19975"/>
    <s v="Sally Hughsby"/>
    <s v="Washington"/>
    <x v="1"/>
    <s v="Chairs"/>
    <s v="Global Super Steno Chair"/>
    <n v="307.13600000000002"/>
    <n v="4"/>
  </r>
  <r>
    <x v="316"/>
    <d v="2014-09-30T00:00:00"/>
    <n v="5"/>
    <x v="1"/>
    <s v="SH-19975"/>
    <s v="Sally Hughsby"/>
    <s v="Washington"/>
    <x v="0"/>
    <s v="Labels"/>
    <s v="Permanent Self-Adhesive File Folder Labels for Typewriters, 1 1/8 x 3 1/2, White"/>
    <n v="12.6"/>
    <n v="2"/>
  </r>
  <r>
    <x v="316"/>
    <d v="2014-09-30T00:00:00"/>
    <n v="5"/>
    <x v="1"/>
    <s v="SH-19975"/>
    <s v="Sally Hughsby"/>
    <s v="Washington"/>
    <x v="2"/>
    <s v="Accessories"/>
    <s v="Logitech G602 Wireless Gaming Mouse"/>
    <n v="159.97999999999999"/>
    <n v="2"/>
  </r>
  <r>
    <x v="317"/>
    <d v="2014-10-02T00:00:00"/>
    <n v="6"/>
    <x v="1"/>
    <s v="TB-21520"/>
    <s v="Tracy Blumstein"/>
    <s v="Oregon"/>
    <x v="0"/>
    <s v="Paper"/>
    <s v="Easy-staple paper"/>
    <n v="141.76"/>
    <n v="5"/>
  </r>
  <r>
    <x v="317"/>
    <d v="2014-10-02T00:00:00"/>
    <n v="6"/>
    <x v="1"/>
    <s v="TB-21520"/>
    <s v="Tracy Blumstein"/>
    <s v="Oregon"/>
    <x v="2"/>
    <s v="Accessories"/>
    <s v="Microsoft Arc Touch Mouse"/>
    <n v="239.80000000000004"/>
    <n v="5"/>
  </r>
  <r>
    <x v="317"/>
    <d v="2014-10-02T00:00:00"/>
    <n v="6"/>
    <x v="1"/>
    <s v="TB-21520"/>
    <s v="Tracy Blumstein"/>
    <s v="Oregon"/>
    <x v="0"/>
    <s v="Paper"/>
    <s v="Xerox 216"/>
    <n v="31.104000000000006"/>
    <n v="6"/>
  </r>
  <r>
    <x v="317"/>
    <d v="2014-09-30T00:00:00"/>
    <n v="4"/>
    <x v="1"/>
    <s v="RW-19540"/>
    <s v="Rick Wilson"/>
    <s v="Arizona"/>
    <x v="0"/>
    <s v="Paper"/>
    <s v="Petty Cash Envelope"/>
    <n v="86.272000000000006"/>
    <n v="4"/>
  </r>
  <r>
    <x v="317"/>
    <d v="2014-09-30T00:00:00"/>
    <n v="4"/>
    <x v="1"/>
    <s v="RW-19540"/>
    <s v="Rick Wilson"/>
    <s v="Arizona"/>
    <x v="0"/>
    <s v="Binders"/>
    <s v="GBC VeloBinder Electric Binding Machine"/>
    <n v="72.588000000000008"/>
    <n v="2"/>
  </r>
  <r>
    <x v="317"/>
    <d v="2014-09-30T00:00:00"/>
    <n v="4"/>
    <x v="1"/>
    <s v="RW-19540"/>
    <s v="Rick Wilson"/>
    <s v="Arizona"/>
    <x v="0"/>
    <s v="Appliances"/>
    <s v="3M Replacement Filter for Office Air Cleaner for 20' x 33' Room"/>
    <n v="60.672000000000004"/>
    <n v="2"/>
  </r>
  <r>
    <x v="317"/>
    <d v="2014-09-30T00:00:00"/>
    <n v="4"/>
    <x v="1"/>
    <s v="RW-19540"/>
    <s v="Rick Wilson"/>
    <s v="Arizona"/>
    <x v="0"/>
    <s v="Binders"/>
    <s v="Lock-Up Easel 'Spel-Binder'"/>
    <n v="77.031000000000006"/>
    <n v="9"/>
  </r>
  <r>
    <x v="317"/>
    <d v="2014-09-30T00:00:00"/>
    <n v="4"/>
    <x v="1"/>
    <s v="RW-19540"/>
    <s v="Rick Wilson"/>
    <s v="Arizona"/>
    <x v="0"/>
    <s v="Storage"/>
    <s v="2300 Heavy-Duty Transfer File Systems by Perma"/>
    <n v="119.90400000000001"/>
    <n v="6"/>
  </r>
  <r>
    <x v="317"/>
    <d v="2014-09-30T00:00:00"/>
    <n v="4"/>
    <x v="1"/>
    <s v="RW-19540"/>
    <s v="Rick Wilson"/>
    <s v="Arizona"/>
    <x v="2"/>
    <s v="Phones"/>
    <s v="Samsung Rugby III"/>
    <n v="263.96000000000004"/>
    <n v="5"/>
  </r>
  <r>
    <x v="317"/>
    <d v="2014-09-30T00:00:00"/>
    <n v="4"/>
    <x v="1"/>
    <s v="RW-19540"/>
    <s v="Rick Wilson"/>
    <s v="Arizona"/>
    <x v="0"/>
    <s v="Storage"/>
    <s v="SAFCO Boltless Steel Shelving"/>
    <n v="363.64800000000002"/>
    <n v="4"/>
  </r>
  <r>
    <x v="317"/>
    <d v="2014-10-01T00:00:00"/>
    <n v="5"/>
    <x v="1"/>
    <s v="BS-11800"/>
    <s v="Bryan Spruell"/>
    <s v="California"/>
    <x v="0"/>
    <s v="Storage"/>
    <s v="Sortfiler Multipurpose Personal File Organizer, Black"/>
    <n v="64.17"/>
    <n v="3"/>
  </r>
  <r>
    <x v="317"/>
    <d v="2014-10-01T00:00:00"/>
    <n v="5"/>
    <x v="1"/>
    <s v="BS-11800"/>
    <s v="Bryan Spruell"/>
    <s v="California"/>
    <x v="0"/>
    <s v="Envelopes"/>
    <s v="Cameo Buff Policy Envelopes"/>
    <n v="124.46"/>
    <n v="2"/>
  </r>
  <r>
    <x v="318"/>
    <d v="2014-09-29T00:00:00"/>
    <n v="2"/>
    <x v="0"/>
    <s v="RH-19510"/>
    <s v="Rick Huthwaite"/>
    <s v="California"/>
    <x v="0"/>
    <s v="Storage"/>
    <s v="Personal Filing Tote with Lid, Black/Gray"/>
    <n v="15.51"/>
    <n v="1"/>
  </r>
  <r>
    <x v="318"/>
    <d v="2014-09-29T00:00:00"/>
    <n v="2"/>
    <x v="0"/>
    <s v="RH-19510"/>
    <s v="Rick Huthwaite"/>
    <s v="California"/>
    <x v="0"/>
    <s v="Paper"/>
    <s v="Xerox 1916"/>
    <n v="146.82"/>
    <n v="3"/>
  </r>
  <r>
    <x v="318"/>
    <d v="2014-09-29T00:00:00"/>
    <n v="2"/>
    <x v="0"/>
    <s v="RH-19510"/>
    <s v="Rick Huthwaite"/>
    <s v="California"/>
    <x v="0"/>
    <s v="Paper"/>
    <s v="Xerox 226"/>
    <n v="12.96"/>
    <n v="2"/>
  </r>
  <r>
    <x v="318"/>
    <d v="2014-09-29T00:00:00"/>
    <n v="2"/>
    <x v="0"/>
    <s v="SS-20140"/>
    <s v="Saphhira Shifley"/>
    <s v="Washington"/>
    <x v="0"/>
    <s v="Art"/>
    <s v="Newell 334"/>
    <n v="99.2"/>
    <n v="5"/>
  </r>
  <r>
    <x v="319"/>
    <d v="2014-10-01T00:00:00"/>
    <n v="3"/>
    <x v="2"/>
    <s v="HG-14965"/>
    <s v="Henry Goldwyn"/>
    <s v="California"/>
    <x v="0"/>
    <s v="Appliances"/>
    <s v="Holmes Odor Grabber"/>
    <n v="43.26"/>
    <n v="3"/>
  </r>
  <r>
    <x v="319"/>
    <d v="2014-10-01T00:00:00"/>
    <n v="3"/>
    <x v="2"/>
    <s v="HG-14965"/>
    <s v="Henry Goldwyn"/>
    <s v="California"/>
    <x v="0"/>
    <s v="Appliances"/>
    <s v="Holmes HEPA Air Purifier"/>
    <n v="43.56"/>
    <n v="2"/>
  </r>
  <r>
    <x v="319"/>
    <d v="2014-10-04T00:00:00"/>
    <n v="6"/>
    <x v="1"/>
    <s v="ZC-21910"/>
    <s v="Zuschuss Carroll"/>
    <s v="Colorado"/>
    <x v="0"/>
    <s v="Envelopes"/>
    <s v="#10 White Business Envelopes,4 1/8 x 9 1/2"/>
    <n v="12.536000000000001"/>
    <n v="1"/>
  </r>
  <r>
    <x v="319"/>
    <d v="2014-10-04T00:00:00"/>
    <n v="6"/>
    <x v="1"/>
    <s v="ZC-21910"/>
    <s v="Zuschuss Carroll"/>
    <s v="Colorado"/>
    <x v="0"/>
    <s v="Binders"/>
    <s v="Wilson Jones Easy Flow II Sheet Lifters"/>
    <n v="1.0800000000000003"/>
    <n v="2"/>
  </r>
  <r>
    <x v="319"/>
    <d v="2014-10-04T00:00:00"/>
    <n v="6"/>
    <x v="1"/>
    <s v="ZC-21910"/>
    <s v="Zuschuss Carroll"/>
    <s v="Colorado"/>
    <x v="0"/>
    <s v="Fasteners"/>
    <s v="Staples"/>
    <n v="4.5120000000000005"/>
    <n v="3"/>
  </r>
  <r>
    <x v="319"/>
    <d v="2014-10-05T00:00:00"/>
    <n v="7"/>
    <x v="1"/>
    <s v="RP-19855"/>
    <s v="Roy Phan"/>
    <s v="California"/>
    <x v="0"/>
    <s v="Appliances"/>
    <s v="Acco Smartsocket Table Surge Protector, 6 Color-Coded Adapter Outlets"/>
    <n v="186.14999999999998"/>
    <n v="3"/>
  </r>
  <r>
    <x v="319"/>
    <d v="2014-10-05T00:00:00"/>
    <n v="7"/>
    <x v="1"/>
    <s v="RP-19855"/>
    <s v="Roy Phan"/>
    <s v="California"/>
    <x v="0"/>
    <s v="Binders"/>
    <s v="GBC Recycled VeloBinder Covers"/>
    <n v="81.792000000000002"/>
    <n v="6"/>
  </r>
  <r>
    <x v="319"/>
    <d v="2014-10-05T00:00:00"/>
    <n v="7"/>
    <x v="1"/>
    <s v="RP-19855"/>
    <s v="Roy Phan"/>
    <s v="California"/>
    <x v="0"/>
    <s v="Supplies"/>
    <s v="Acme Galleria Hot Forged Steel Scissors with Colored Handles"/>
    <n v="47.19"/>
    <n v="3"/>
  </r>
  <r>
    <x v="319"/>
    <d v="2014-10-05T00:00:00"/>
    <n v="7"/>
    <x v="1"/>
    <s v="RP-19855"/>
    <s v="Roy Phan"/>
    <s v="California"/>
    <x v="2"/>
    <s v="Phones"/>
    <s v="Motorola HK250 Universal Bluetooth Headset"/>
    <n v="36.783999999999999"/>
    <n v="2"/>
  </r>
  <r>
    <x v="320"/>
    <d v="2014-10-06T00:00:00"/>
    <n v="5"/>
    <x v="1"/>
    <s v="SC-20440"/>
    <s v="Shaun Chance"/>
    <s v="Colorado"/>
    <x v="0"/>
    <s v="Storage"/>
    <s v="Trav-L-File Heavy-Duty Shuttle II, Black"/>
    <n v="139.42400000000001"/>
    <n v="4"/>
  </r>
  <r>
    <x v="320"/>
    <d v="2014-10-04T00:00:00"/>
    <n v="3"/>
    <x v="2"/>
    <s v="EM-13960"/>
    <s v="Eric Murdock"/>
    <s v="Oregon"/>
    <x v="2"/>
    <s v="Phones"/>
    <s v="Wilson Electronics DB Pro Signal Booster"/>
    <n v="572.80000000000007"/>
    <n v="2"/>
  </r>
  <r>
    <x v="321"/>
    <d v="2014-10-08T00:00:00"/>
    <n v="6"/>
    <x v="1"/>
    <s v="EB-13705"/>
    <s v="Ed Braxton"/>
    <s v="California"/>
    <x v="0"/>
    <s v="Binders"/>
    <s v="GBC Personal VeloBind Strips"/>
    <n v="57.504000000000005"/>
    <n v="6"/>
  </r>
  <r>
    <x v="321"/>
    <d v="2014-10-07T00:00:00"/>
    <n v="5"/>
    <x v="0"/>
    <s v="CS-12400"/>
    <s v="Christopher Schild"/>
    <s v="California"/>
    <x v="0"/>
    <s v="Storage"/>
    <s v="Eldon ProFile File 'N Store Portable File Tub Letter/Legal Size Black"/>
    <n v="270.33999999999997"/>
    <n v="14"/>
  </r>
  <r>
    <x v="321"/>
    <d v="2014-10-03T00:00:00"/>
    <n v="1"/>
    <x v="2"/>
    <s v="HM-14980"/>
    <s v="Henry MacAllister"/>
    <s v="California"/>
    <x v="0"/>
    <s v="Binders"/>
    <s v="Pressboard Hanging Data Binders for Unburst Sheets"/>
    <n v="11.808"/>
    <n v="3"/>
  </r>
  <r>
    <x v="321"/>
    <d v="2014-10-03T00:00:00"/>
    <n v="1"/>
    <x v="2"/>
    <s v="HM-14980"/>
    <s v="Henry MacAllister"/>
    <s v="California"/>
    <x v="0"/>
    <s v="Binders"/>
    <s v="GBC Poly Designer Binding Covers"/>
    <n v="53.567999999999998"/>
    <n v="4"/>
  </r>
  <r>
    <x v="321"/>
    <d v="2014-10-03T00:00:00"/>
    <n v="1"/>
    <x v="2"/>
    <s v="HM-14980"/>
    <s v="Henry MacAllister"/>
    <s v="California"/>
    <x v="2"/>
    <s v="Phones"/>
    <s v="HTC One Mini"/>
    <n v="503.96000000000004"/>
    <n v="5"/>
  </r>
  <r>
    <x v="321"/>
    <d v="2014-10-07T00:00:00"/>
    <n v="5"/>
    <x v="1"/>
    <s v="RP-19390"/>
    <s v="Resi Pölking"/>
    <s v="Colorado"/>
    <x v="0"/>
    <s v="Supplies"/>
    <s v="Acme Design Line 8&quot; Stainless Steel Bent Scissors w/Champagne Handles, 3-1/8&quot; Cut"/>
    <n v="10.944000000000001"/>
    <n v="2"/>
  </r>
  <r>
    <x v="321"/>
    <d v="2014-10-04T00:00:00"/>
    <n v="2"/>
    <x v="2"/>
    <s v="CK-12205"/>
    <s v="Chloris Kastensmidt"/>
    <s v="Oregon"/>
    <x v="1"/>
    <s v="Furnishings"/>
    <s v="9-3/4 Diameter Round Wall Clock"/>
    <n v="11.032"/>
    <n v="1"/>
  </r>
  <r>
    <x v="321"/>
    <d v="2014-10-04T00:00:00"/>
    <n v="2"/>
    <x v="2"/>
    <s v="CK-12205"/>
    <s v="Chloris Kastensmidt"/>
    <s v="Oregon"/>
    <x v="2"/>
    <s v="Accessories"/>
    <s v="SanDisk Ultra 32 GB MicroSDHC Class 10 Memory Card"/>
    <n v="53.040000000000006"/>
    <n v="3"/>
  </r>
  <r>
    <x v="322"/>
    <d v="2014-10-08T00:00:00"/>
    <n v="5"/>
    <x v="1"/>
    <s v="BS-11755"/>
    <s v="Bruce Stewart"/>
    <s v="California"/>
    <x v="1"/>
    <s v="Bookcases"/>
    <s v="Safco Value Mate Series Steel Bookcases, Baked Enamel Finish on Steel, Gray"/>
    <n v="120.666"/>
    <n v="2"/>
  </r>
  <r>
    <x v="323"/>
    <d v="2014-10-07T00:00:00"/>
    <n v="3"/>
    <x v="2"/>
    <s v="AA-10315"/>
    <s v="Alex Avila"/>
    <s v="California"/>
    <x v="0"/>
    <s v="Storage"/>
    <s v="Tenex Personal Project File with Scoop Front Design, Black"/>
    <n v="26.96"/>
    <n v="2"/>
  </r>
  <r>
    <x v="324"/>
    <d v="2014-10-09T00:00:00"/>
    <n v="4"/>
    <x v="1"/>
    <s v="JF-15490"/>
    <s v="Jeremy Farry"/>
    <s v="Oregon"/>
    <x v="1"/>
    <s v="Bookcases"/>
    <s v="Bush Cubix Collection Bookcases, Fully Assembled"/>
    <n v="66.294000000000011"/>
    <n v="1"/>
  </r>
  <r>
    <x v="324"/>
    <d v="2014-10-09T00:00:00"/>
    <n v="4"/>
    <x v="1"/>
    <s v="JF-15490"/>
    <s v="Jeremy Farry"/>
    <s v="Oregon"/>
    <x v="1"/>
    <s v="Chairs"/>
    <s v="Global Highback Leather Tilter in Burgundy"/>
    <n v="291.16800000000001"/>
    <n v="4"/>
  </r>
  <r>
    <x v="325"/>
    <d v="2014-10-12T00:00:00"/>
    <n v="4"/>
    <x v="1"/>
    <s v="MB-17305"/>
    <s v="Maria Bertelson"/>
    <s v="California"/>
    <x v="1"/>
    <s v="Furnishings"/>
    <s v="Deflect-o SuperTray Unbreakable Stackable Tray, Letter, Black"/>
    <n v="145.9"/>
    <n v="5"/>
  </r>
  <r>
    <x v="326"/>
    <d v="2014-10-11T00:00:00"/>
    <n v="1"/>
    <x v="2"/>
    <s v="DJ-13420"/>
    <s v="Denny Joy"/>
    <s v="California"/>
    <x v="0"/>
    <s v="Paper"/>
    <s v="Xerox 1894"/>
    <n v="45.36"/>
    <n v="7"/>
  </r>
  <r>
    <x v="326"/>
    <d v="2014-10-12T00:00:00"/>
    <n v="2"/>
    <x v="2"/>
    <s v="KN-16390"/>
    <s v="Katherine Nockton"/>
    <s v="California"/>
    <x v="1"/>
    <s v="Chairs"/>
    <s v="Global Leather &amp; Oak Executive Chair, Burgundy"/>
    <n v="362.13599999999997"/>
    <n v="3"/>
  </r>
  <r>
    <x v="326"/>
    <d v="2014-10-12T00:00:00"/>
    <n v="2"/>
    <x v="2"/>
    <s v="KN-16390"/>
    <s v="Katherine Nockton"/>
    <s v="California"/>
    <x v="0"/>
    <s v="Labels"/>
    <s v="Avery 503"/>
    <n v="31.049999999999997"/>
    <n v="3"/>
  </r>
  <r>
    <x v="327"/>
    <d v="2014-10-17T00:00:00"/>
    <n v="5"/>
    <x v="1"/>
    <s v="KA-16525"/>
    <s v="Kelly Andreada"/>
    <s v="Washington"/>
    <x v="2"/>
    <s v="Accessories"/>
    <s v="Kingston Digital DataTraveler 16GB USB 2.0"/>
    <n v="17.899999999999999"/>
    <n v="2"/>
  </r>
  <r>
    <x v="327"/>
    <d v="2014-10-17T00:00:00"/>
    <n v="5"/>
    <x v="1"/>
    <s v="KA-16525"/>
    <s v="Kelly Andreada"/>
    <s v="Washington"/>
    <x v="0"/>
    <s v="Storage"/>
    <s v="Contico 72&quot;H Heavy-Duty Storage System"/>
    <n v="81.96"/>
    <n v="2"/>
  </r>
  <r>
    <x v="328"/>
    <d v="2014-10-17T00:00:00"/>
    <n v="0"/>
    <x v="3"/>
    <s v="CM-12190"/>
    <s v="Charlotte Melton"/>
    <s v="California"/>
    <x v="0"/>
    <s v="Storage"/>
    <s v="Eldon Base for stackable storage shelf, platinum"/>
    <n v="77.88"/>
    <n v="2"/>
  </r>
  <r>
    <x v="329"/>
    <d v="2014-10-22T00:00:00"/>
    <n v="4"/>
    <x v="1"/>
    <s v="JC-15775"/>
    <s v="John Castell"/>
    <s v="Washington"/>
    <x v="2"/>
    <s v="Phones"/>
    <s v="Motorola L703CM"/>
    <n v="249.58400000000003"/>
    <n v="2"/>
  </r>
  <r>
    <x v="329"/>
    <d v="2014-10-22T00:00:00"/>
    <n v="4"/>
    <x v="1"/>
    <s v="JC-15775"/>
    <s v="John Castell"/>
    <s v="Washington"/>
    <x v="0"/>
    <s v="Paper"/>
    <s v="Xerox 1903"/>
    <n v="17.940000000000001"/>
    <n v="3"/>
  </r>
  <r>
    <x v="329"/>
    <d v="2014-10-22T00:00:00"/>
    <n v="4"/>
    <x v="1"/>
    <s v="JC-15775"/>
    <s v="John Castell"/>
    <s v="Washington"/>
    <x v="1"/>
    <s v="Furnishings"/>
    <s v="Eldon 100 Class Desk Accessories"/>
    <n v="10.11"/>
    <n v="3"/>
  </r>
  <r>
    <x v="330"/>
    <d v="2014-10-24T00:00:00"/>
    <n v="5"/>
    <x v="1"/>
    <s v="RM-19675"/>
    <s v="Robert Marley"/>
    <s v="California"/>
    <x v="0"/>
    <s v="Appliances"/>
    <s v="Sanyo Counter Height Refrigerator with Crisper, 3.6 Cubic Foot, Stainless Steel/Black"/>
    <n v="1640.6999999999998"/>
    <n v="5"/>
  </r>
  <r>
    <x v="330"/>
    <d v="2014-10-24T00:00:00"/>
    <n v="5"/>
    <x v="1"/>
    <s v="RM-19675"/>
    <s v="Robert Marley"/>
    <s v="California"/>
    <x v="2"/>
    <s v="Accessories"/>
    <s v="NETGEAR N750 Dual Band Wi-Fi Gigabit Router"/>
    <n v="270"/>
    <n v="3"/>
  </r>
  <r>
    <x v="331"/>
    <d v="2014-10-24T00:00:00"/>
    <n v="4"/>
    <x v="1"/>
    <s v="NS-18640"/>
    <s v="Noel Staavos"/>
    <s v="California"/>
    <x v="2"/>
    <s v="Accessories"/>
    <s v="Logitech G602 Wireless Gaming Mouse"/>
    <n v="239.96999999999997"/>
    <n v="3"/>
  </r>
  <r>
    <x v="331"/>
    <d v="2014-10-24T00:00:00"/>
    <n v="4"/>
    <x v="1"/>
    <s v="NS-18640"/>
    <s v="Noel Staavos"/>
    <s v="California"/>
    <x v="1"/>
    <s v="Furnishings"/>
    <s v="Acrylic Self-Standing Desk Frames"/>
    <n v="16.02"/>
    <n v="6"/>
  </r>
  <r>
    <x v="331"/>
    <d v="2014-10-24T00:00:00"/>
    <n v="4"/>
    <x v="1"/>
    <s v="SV-20785"/>
    <s v="Stewart Visinsky"/>
    <s v="California"/>
    <x v="1"/>
    <s v="Furnishings"/>
    <s v="Nu-Dell Oak Frame"/>
    <n v="74.759999999999991"/>
    <n v="7"/>
  </r>
  <r>
    <x v="331"/>
    <d v="2014-10-24T00:00:00"/>
    <n v="4"/>
    <x v="1"/>
    <s v="SV-20785"/>
    <s v="Stewart Visinsky"/>
    <s v="California"/>
    <x v="1"/>
    <s v="Tables"/>
    <s v="SAFCO PlanMaster Boards, 60w x 37-1/2d, White Melamine"/>
    <n v="364.77600000000007"/>
    <n v="3"/>
  </r>
  <r>
    <x v="332"/>
    <d v="2014-10-27T00:00:00"/>
    <n v="4"/>
    <x v="0"/>
    <s v="JF-15355"/>
    <s v="Jay Fein"/>
    <s v="California"/>
    <x v="2"/>
    <s v="Accessories"/>
    <s v="Maxell DVD-RAM Discs"/>
    <n v="148.32"/>
    <n v="9"/>
  </r>
  <r>
    <x v="332"/>
    <d v="2014-10-27T00:00:00"/>
    <n v="4"/>
    <x v="0"/>
    <s v="JF-15355"/>
    <s v="Jay Fein"/>
    <s v="California"/>
    <x v="1"/>
    <s v="Chairs"/>
    <s v="Global Leather and Oak Executive Chair, Black"/>
    <n v="240.78400000000002"/>
    <n v="1"/>
  </r>
  <r>
    <x v="332"/>
    <d v="2014-10-27T00:00:00"/>
    <n v="4"/>
    <x v="0"/>
    <s v="JF-15355"/>
    <s v="Jay Fein"/>
    <s v="California"/>
    <x v="1"/>
    <s v="Chairs"/>
    <s v="Global Chrome Stack Chair"/>
    <n v="191.96800000000002"/>
    <n v="7"/>
  </r>
  <r>
    <x v="332"/>
    <d v="2014-10-27T00:00:00"/>
    <n v="4"/>
    <x v="0"/>
    <s v="JF-15355"/>
    <s v="Jay Fein"/>
    <s v="California"/>
    <x v="0"/>
    <s v="Paper"/>
    <s v="Xerox 196"/>
    <n v="11.56"/>
    <n v="2"/>
  </r>
  <r>
    <x v="332"/>
    <d v="2014-10-27T00:00:00"/>
    <n v="4"/>
    <x v="0"/>
    <s v="JF-15355"/>
    <s v="Jay Fein"/>
    <s v="California"/>
    <x v="0"/>
    <s v="Envelopes"/>
    <s v="Redi-Strip #10 Envelopes, 4 1/8 x 9 1/2"/>
    <n v="11.8"/>
    <n v="4"/>
  </r>
  <r>
    <x v="332"/>
    <d v="2014-10-27T00:00:00"/>
    <n v="4"/>
    <x v="0"/>
    <s v="JF-15355"/>
    <s v="Jay Fein"/>
    <s v="California"/>
    <x v="1"/>
    <s v="Chairs"/>
    <s v="Office Star - Professional Matrix Back Chair with 2-to-1 Synchro Tilt and Mesh Fabric Seat"/>
    <n v="842.35200000000009"/>
    <n v="3"/>
  </r>
  <r>
    <x v="332"/>
    <d v="2014-10-28T00:00:00"/>
    <n v="5"/>
    <x v="1"/>
    <s v="AG-10495"/>
    <s v="Andrew Gjertsen"/>
    <s v="Washington"/>
    <x v="0"/>
    <s v="Binders"/>
    <s v="Avery Non-Stick Binders"/>
    <n v="3.5920000000000005"/>
    <n v="1"/>
  </r>
  <r>
    <x v="333"/>
    <d v="2014-10-27T00:00:00"/>
    <n v="3"/>
    <x v="2"/>
    <s v="RD-19660"/>
    <s v="Robert Dilbeck"/>
    <s v="California"/>
    <x v="1"/>
    <s v="Chairs"/>
    <s v="Novimex High-Tech Fabric Mesh Task Chair"/>
    <n v="454.27200000000005"/>
    <n v="8"/>
  </r>
  <r>
    <x v="334"/>
    <d v="2014-10-30T00:00:00"/>
    <n v="5"/>
    <x v="1"/>
    <s v="TB-21625"/>
    <s v="Trudy Brown"/>
    <s v="California"/>
    <x v="0"/>
    <s v="Art"/>
    <s v="Boston 19500 Mighty Mite Electric Pencil Sharpener"/>
    <n v="60.449999999999996"/>
    <n v="3"/>
  </r>
  <r>
    <x v="334"/>
    <d v="2014-10-30T00:00:00"/>
    <n v="5"/>
    <x v="1"/>
    <s v="TB-21625"/>
    <s v="Trudy Brown"/>
    <s v="California"/>
    <x v="1"/>
    <s v="Tables"/>
    <s v="Balt Solid Wood Rectangular Table"/>
    <n v="253.17599999999999"/>
    <n v="3"/>
  </r>
  <r>
    <x v="334"/>
    <d v="2014-10-27T00:00:00"/>
    <n v="2"/>
    <x v="0"/>
    <s v="JF-15415"/>
    <s v="Jennifer Ferguson"/>
    <s v="Nevada"/>
    <x v="0"/>
    <s v="Art"/>
    <s v="Newell 319"/>
    <n v="79.36"/>
    <n v="4"/>
  </r>
  <r>
    <x v="334"/>
    <d v="2014-10-25T00:00:00"/>
    <n v="0"/>
    <x v="3"/>
    <s v="DG-13300"/>
    <s v="Deirdre Greer"/>
    <s v="Colorado"/>
    <x v="1"/>
    <s v="Chairs"/>
    <s v="Global Highback Leather Tilter in Burgundy"/>
    <n v="582.33600000000001"/>
    <n v="8"/>
  </r>
  <r>
    <x v="335"/>
    <d v="2014-10-30T00:00:00"/>
    <n v="4"/>
    <x v="1"/>
    <s v="MY-17380"/>
    <s v="Maribeth Yedwab"/>
    <s v="California"/>
    <x v="0"/>
    <s v="Labels"/>
    <s v="Avery 507"/>
    <n v="5.76"/>
    <n v="2"/>
  </r>
  <r>
    <x v="335"/>
    <d v="2014-10-30T00:00:00"/>
    <n v="4"/>
    <x v="0"/>
    <s v="AG-10495"/>
    <s v="Andrew Gjertsen"/>
    <s v="Arizona"/>
    <x v="2"/>
    <s v="Phones"/>
    <s v="Panasonic KX-TG6844B Expandable Digital Cordless Telephone"/>
    <n v="105.584"/>
    <n v="2"/>
  </r>
  <r>
    <x v="335"/>
    <d v="2014-10-30T00:00:00"/>
    <n v="4"/>
    <x v="0"/>
    <s v="AG-10495"/>
    <s v="Andrew Gjertsen"/>
    <s v="Arizona"/>
    <x v="2"/>
    <s v="Phones"/>
    <s v="Plantronics MX500i Earset"/>
    <n v="68.720000000000013"/>
    <n v="2"/>
  </r>
  <r>
    <x v="335"/>
    <d v="2014-11-01T00:00:00"/>
    <n v="6"/>
    <x v="1"/>
    <s v="KH-16690"/>
    <s v="Kristen Hastings"/>
    <s v="Oregon"/>
    <x v="0"/>
    <s v="Labels"/>
    <s v="Avery 477"/>
    <n v="146.54400000000001"/>
    <n v="6"/>
  </r>
  <r>
    <x v="335"/>
    <d v="2014-11-01T00:00:00"/>
    <n v="6"/>
    <x v="1"/>
    <s v="KH-16690"/>
    <s v="Kristen Hastings"/>
    <s v="Oregon"/>
    <x v="0"/>
    <s v="Paper"/>
    <s v="Xerox 1914"/>
    <n v="131.904"/>
    <n v="3"/>
  </r>
  <r>
    <x v="335"/>
    <d v="2014-11-01T00:00:00"/>
    <n v="6"/>
    <x v="1"/>
    <s v="KH-16690"/>
    <s v="Kristen Hastings"/>
    <s v="Oregon"/>
    <x v="0"/>
    <s v="Appliances"/>
    <s v="Tripp Lite TLP810NET Broadband Surge for Modem/Fax"/>
    <n v="203.88000000000002"/>
    <n v="5"/>
  </r>
  <r>
    <x v="335"/>
    <d v="2014-11-01T00:00:00"/>
    <n v="6"/>
    <x v="1"/>
    <s v="KH-16690"/>
    <s v="Kristen Hastings"/>
    <s v="Oregon"/>
    <x v="0"/>
    <s v="Binders"/>
    <s v="Avery Self-Adhesive Photo Pockets for Polaroid Photos"/>
    <n v="14.301000000000002"/>
    <n v="7"/>
  </r>
  <r>
    <x v="335"/>
    <d v="2014-11-01T00:00:00"/>
    <n v="6"/>
    <x v="1"/>
    <s v="KH-16690"/>
    <s v="Kristen Hastings"/>
    <s v="Oregon"/>
    <x v="0"/>
    <s v="Storage"/>
    <s v="Fellowes Officeware Wire Shelving"/>
    <n v="718.6400000000001"/>
    <n v="10"/>
  </r>
  <r>
    <x v="336"/>
    <d v="2014-11-02T00:00:00"/>
    <n v="4"/>
    <x v="1"/>
    <s v="NB-18655"/>
    <s v="Nona Balk"/>
    <s v="California"/>
    <x v="0"/>
    <s v="Paper"/>
    <s v="Xerox 1898"/>
    <n v="33.4"/>
    <n v="5"/>
  </r>
  <r>
    <x v="336"/>
    <d v="2014-11-02T00:00:00"/>
    <n v="4"/>
    <x v="1"/>
    <s v="NB-18655"/>
    <s v="Nona Balk"/>
    <s v="California"/>
    <x v="0"/>
    <s v="Envelopes"/>
    <s v="Strathmore #10 Envelopes, Ultimate White"/>
    <n v="210.84"/>
    <n v="4"/>
  </r>
  <r>
    <x v="337"/>
    <d v="2014-11-02T00:00:00"/>
    <n v="3"/>
    <x v="0"/>
    <s v="FA-14230"/>
    <s v="Frank Atkinson"/>
    <s v="Colorado"/>
    <x v="2"/>
    <s v="Machines"/>
    <s v="Lexmark S315 Color Inkjet Printer"/>
    <n v="59.994000000000007"/>
    <n v="2"/>
  </r>
  <r>
    <x v="337"/>
    <d v="2014-11-02T00:00:00"/>
    <n v="3"/>
    <x v="0"/>
    <s v="FA-14230"/>
    <s v="Frank Atkinson"/>
    <s v="Colorado"/>
    <x v="2"/>
    <s v="Copiers"/>
    <s v="Sharp 1540cs Digital Laser Copier"/>
    <n v="439.99200000000002"/>
    <n v="1"/>
  </r>
  <r>
    <x v="337"/>
    <d v="2014-11-02T00:00:00"/>
    <n v="3"/>
    <x v="0"/>
    <s v="FA-14230"/>
    <s v="Frank Atkinson"/>
    <s v="Colorado"/>
    <x v="2"/>
    <s v="Phones"/>
    <s v="OtterBox Commuter Series Case - iPhone 5 &amp; 5s"/>
    <n v="87.96"/>
    <n v="5"/>
  </r>
  <r>
    <x v="337"/>
    <d v="2014-11-02T00:00:00"/>
    <n v="3"/>
    <x v="0"/>
    <s v="FA-14230"/>
    <s v="Frank Atkinson"/>
    <s v="Colorado"/>
    <x v="1"/>
    <s v="Furnishings"/>
    <s v="Eldon Regeneration Recycled Desk Accessories, Black"/>
    <n v="15.488"/>
    <n v="4"/>
  </r>
  <r>
    <x v="338"/>
    <d v="2014-11-06T00:00:00"/>
    <n v="6"/>
    <x v="1"/>
    <s v="MZ-17515"/>
    <s v="Mary Zewe"/>
    <s v="California"/>
    <x v="0"/>
    <s v="Envelopes"/>
    <s v="Poly String Tie Envelopes"/>
    <n v="14.280000000000001"/>
    <n v="7"/>
  </r>
  <r>
    <x v="338"/>
    <d v="2014-11-04T00:00:00"/>
    <n v="4"/>
    <x v="0"/>
    <s v="DK-12835"/>
    <s v="Damala Kotsonis"/>
    <s v="California"/>
    <x v="0"/>
    <s v="Binders"/>
    <s v="Prestige Round Ring Binders"/>
    <n v="9.7280000000000015"/>
    <n v="2"/>
  </r>
  <r>
    <x v="338"/>
    <d v="2014-11-04T00:00:00"/>
    <n v="4"/>
    <x v="0"/>
    <s v="DK-12835"/>
    <s v="Damala Kotsonis"/>
    <s v="California"/>
    <x v="0"/>
    <s v="Envelopes"/>
    <s v="Redi-Strip #10 Envelopes, 4 1/8 x 9 1/2"/>
    <n v="14.75"/>
    <n v="5"/>
  </r>
  <r>
    <x v="338"/>
    <d v="2014-11-04T00:00:00"/>
    <n v="4"/>
    <x v="0"/>
    <s v="DK-12835"/>
    <s v="Damala Kotsonis"/>
    <s v="California"/>
    <x v="0"/>
    <s v="Binders"/>
    <s v="Acco Four Pocket Poly Ring Binder with Label Holder, Smoke, 1&quot;"/>
    <n v="29.800000000000004"/>
    <n v="5"/>
  </r>
  <r>
    <x v="338"/>
    <d v="2014-11-04T00:00:00"/>
    <n v="4"/>
    <x v="0"/>
    <s v="DK-12835"/>
    <s v="Damala Kotsonis"/>
    <s v="California"/>
    <x v="0"/>
    <s v="Labels"/>
    <s v="Avery 4027 File Folder Labels for Dot Matrix Printers, 5000 Labels per Box, White"/>
    <n v="427.42"/>
    <n v="14"/>
  </r>
  <r>
    <x v="338"/>
    <d v="2014-10-31T00:00:00"/>
    <n v="0"/>
    <x v="3"/>
    <s v="SG-20080"/>
    <s v="Sandra Glassco"/>
    <s v="California"/>
    <x v="0"/>
    <s v="Paper"/>
    <s v="Xerox 191"/>
    <n v="19.98"/>
    <n v="1"/>
  </r>
  <r>
    <x v="338"/>
    <d v="2014-10-31T00:00:00"/>
    <n v="0"/>
    <x v="3"/>
    <s v="SG-20080"/>
    <s v="Sandra Glassco"/>
    <s v="California"/>
    <x v="0"/>
    <s v="Binders"/>
    <s v="GBC DocuBind P100 Manual Binding Machine"/>
    <n v="398.35199999999998"/>
    <n v="3"/>
  </r>
  <r>
    <x v="338"/>
    <d v="2014-10-31T00:00:00"/>
    <n v="0"/>
    <x v="3"/>
    <s v="SG-20080"/>
    <s v="Sandra Glassco"/>
    <s v="California"/>
    <x v="0"/>
    <s v="Art"/>
    <s v="Newell 308"/>
    <n v="5.04"/>
    <n v="3"/>
  </r>
  <r>
    <x v="338"/>
    <d v="2014-10-31T00:00:00"/>
    <n v="0"/>
    <x v="3"/>
    <s v="SG-20080"/>
    <s v="Sandra Glassco"/>
    <s v="California"/>
    <x v="0"/>
    <s v="Fasteners"/>
    <s v="OIC Bulk Pack Metal Binder Clips"/>
    <n v="17.450000000000003"/>
    <n v="5"/>
  </r>
  <r>
    <x v="338"/>
    <d v="2014-10-31T00:00:00"/>
    <n v="0"/>
    <x v="3"/>
    <s v="SG-20080"/>
    <s v="Sandra Glassco"/>
    <s v="California"/>
    <x v="1"/>
    <s v="Chairs"/>
    <s v="Global Fabric Manager's Chair, Dark Gray"/>
    <n v="323.13600000000002"/>
    <n v="4"/>
  </r>
  <r>
    <x v="338"/>
    <d v="2014-10-31T00:00:00"/>
    <n v="0"/>
    <x v="3"/>
    <s v="SG-20080"/>
    <s v="Sandra Glassco"/>
    <s v="California"/>
    <x v="0"/>
    <s v="Supplies"/>
    <s v="Acme Tagit Stainless Steel Antibacterial Scissors"/>
    <n v="29.700000000000003"/>
    <n v="3"/>
  </r>
  <r>
    <x v="338"/>
    <d v="2014-10-31T00:00:00"/>
    <n v="0"/>
    <x v="3"/>
    <s v="SG-20080"/>
    <s v="Sandra Glassco"/>
    <s v="California"/>
    <x v="2"/>
    <s v="Phones"/>
    <s v="Polycom SoundStation2 EX Conference phone"/>
    <n v="1295.8400000000001"/>
    <n v="4"/>
  </r>
  <r>
    <x v="338"/>
    <d v="2014-10-31T00:00:00"/>
    <n v="0"/>
    <x v="3"/>
    <s v="SG-20080"/>
    <s v="Sandra Glassco"/>
    <s v="California"/>
    <x v="0"/>
    <s v="Storage"/>
    <s v="Mobile Personal File Cube"/>
    <n v="46.84"/>
    <n v="2"/>
  </r>
  <r>
    <x v="338"/>
    <d v="2014-10-31T00:00:00"/>
    <n v="0"/>
    <x v="3"/>
    <s v="SG-20080"/>
    <s v="Sandra Glassco"/>
    <s v="California"/>
    <x v="1"/>
    <s v="Bookcases"/>
    <s v="DMI Eclipse Executive Suite Bookcases"/>
    <n v="425.83300000000003"/>
    <n v="1"/>
  </r>
  <r>
    <x v="339"/>
    <d v="2014-11-04T00:00:00"/>
    <n v="3"/>
    <x v="2"/>
    <s v="GA-14725"/>
    <s v="Guy Armstrong"/>
    <s v="Oregon"/>
    <x v="0"/>
    <s v="Art"/>
    <s v="Lumber Crayons"/>
    <n v="7.88"/>
    <n v="1"/>
  </r>
  <r>
    <x v="340"/>
    <d v="2014-11-06T00:00:00"/>
    <n v="4"/>
    <x v="1"/>
    <s v="JO-15280"/>
    <s v="Jas O'Carroll"/>
    <s v="California"/>
    <x v="1"/>
    <s v="Tables"/>
    <s v="Bevis Round Bullnose 29&quot; High Table Top"/>
    <n v="1038.8399999999999"/>
    <n v="5"/>
  </r>
  <r>
    <x v="340"/>
    <d v="2014-11-02T00:00:00"/>
    <n v="0"/>
    <x v="3"/>
    <s v="KC-16540"/>
    <s v="Kelly Collister"/>
    <s v="Washington"/>
    <x v="2"/>
    <s v="Accessories"/>
    <s v="Logitech K350 2.4Ghz Wireless Keyboard"/>
    <n v="447.93"/>
    <n v="9"/>
  </r>
  <r>
    <x v="340"/>
    <d v="2014-11-06T00:00:00"/>
    <n v="4"/>
    <x v="1"/>
    <s v="LT-17110"/>
    <s v="Liz Thompson"/>
    <s v="California"/>
    <x v="1"/>
    <s v="Furnishings"/>
    <s v="Contemporary Wood/Metal Frame"/>
    <n v="96.960000000000008"/>
    <n v="6"/>
  </r>
  <r>
    <x v="340"/>
    <d v="2014-11-06T00:00:00"/>
    <n v="4"/>
    <x v="1"/>
    <s v="LT-17110"/>
    <s v="Liz Thompson"/>
    <s v="California"/>
    <x v="0"/>
    <s v="Binders"/>
    <s v="GBC Premium Transparent Covers with Diagonal Lined Pattern"/>
    <n v="117.48800000000001"/>
    <n v="7"/>
  </r>
  <r>
    <x v="340"/>
    <d v="2014-11-06T00:00:00"/>
    <n v="4"/>
    <x v="1"/>
    <s v="LT-17110"/>
    <s v="Liz Thompson"/>
    <s v="California"/>
    <x v="0"/>
    <s v="Binders"/>
    <s v="Cardinal Holdit Business Card Pockets"/>
    <n v="11.952000000000002"/>
    <n v="3"/>
  </r>
  <r>
    <x v="340"/>
    <d v="2014-11-06T00:00:00"/>
    <n v="4"/>
    <x v="1"/>
    <s v="LT-17110"/>
    <s v="Liz Thompson"/>
    <s v="California"/>
    <x v="1"/>
    <s v="Bookcases"/>
    <s v="O'Sullivan Living Dimensions 3-Shelf Bookcases"/>
    <n v="512.49900000000002"/>
    <n v="3"/>
  </r>
  <r>
    <x v="341"/>
    <d v="2014-11-07T00:00:00"/>
    <n v="4"/>
    <x v="1"/>
    <s v="CM-12655"/>
    <s v="Corinna Mitchell"/>
    <s v="California"/>
    <x v="2"/>
    <s v="Phones"/>
    <s v="Cisco IP Phone 7961G-GE VoIP phone"/>
    <n v="1212.848"/>
    <n v="7"/>
  </r>
  <r>
    <x v="341"/>
    <d v="2014-11-07T00:00:00"/>
    <n v="4"/>
    <x v="1"/>
    <s v="CM-12655"/>
    <s v="Corinna Mitchell"/>
    <s v="California"/>
    <x v="2"/>
    <s v="Accessories"/>
    <s v="Logitech Trackman Marble Mouse"/>
    <n v="89.97"/>
    <n v="3"/>
  </r>
  <r>
    <x v="341"/>
    <d v="2014-11-07T00:00:00"/>
    <n v="4"/>
    <x v="1"/>
    <s v="CM-12655"/>
    <s v="Corinna Mitchell"/>
    <s v="California"/>
    <x v="1"/>
    <s v="Furnishings"/>
    <s v="Coloredge Poster Frame"/>
    <n v="42.599999999999994"/>
    <n v="3"/>
  </r>
  <r>
    <x v="342"/>
    <d v="2014-11-05T00:00:00"/>
    <n v="0"/>
    <x v="3"/>
    <s v="JM-16195"/>
    <s v="Justin MacKendrick"/>
    <s v="California"/>
    <x v="0"/>
    <s v="Storage"/>
    <s v="Hanging Personal Folder File"/>
    <n v="62.8"/>
    <n v="4"/>
  </r>
  <r>
    <x v="342"/>
    <d v="2014-11-05T00:00:00"/>
    <n v="0"/>
    <x v="3"/>
    <s v="KL-16645"/>
    <s v="Ken Lonsdale"/>
    <s v="Washington"/>
    <x v="0"/>
    <s v="Binders"/>
    <s v="Avery Trapezoid Ring Binder, 3&quot; Capacity, Black, 1040 sheets"/>
    <n v="98.352000000000004"/>
    <n v="3"/>
  </r>
  <r>
    <x v="343"/>
    <d v="2014-11-09T00:00:00"/>
    <n v="3"/>
    <x v="2"/>
    <s v="MT-17815"/>
    <s v="Meg Tillman"/>
    <s v="Arizona"/>
    <x v="0"/>
    <s v="Envelopes"/>
    <s v="Redi-Strip #10 Envelopes, 4 1/8 x 9 1/2"/>
    <n v="7.080000000000001"/>
    <n v="3"/>
  </r>
  <r>
    <x v="343"/>
    <d v="2014-11-09T00:00:00"/>
    <n v="3"/>
    <x v="2"/>
    <s v="MT-17815"/>
    <s v="Meg Tillman"/>
    <s v="Arizona"/>
    <x v="0"/>
    <s v="Binders"/>
    <s v="UniKeep View Case Binders"/>
    <n v="4.4009999999999998"/>
    <n v="3"/>
  </r>
  <r>
    <x v="344"/>
    <d v="2014-11-09T00:00:00"/>
    <n v="2"/>
    <x v="0"/>
    <s v="KB-16240"/>
    <s v="Karen Bern"/>
    <s v="California"/>
    <x v="1"/>
    <s v="Chairs"/>
    <s v="Safco Contoured Stacking Chairs"/>
    <n v="190.72000000000003"/>
    <n v="1"/>
  </r>
  <r>
    <x v="345"/>
    <d v="2014-11-10T00:00:00"/>
    <n v="2"/>
    <x v="0"/>
    <s v="MZ-17335"/>
    <s v="Maria Zettner"/>
    <s v="California"/>
    <x v="0"/>
    <s v="Fasteners"/>
    <s v="Advantus Plastic Paper Clips"/>
    <n v="5"/>
    <n v="1"/>
  </r>
  <r>
    <x v="345"/>
    <d v="2014-11-10T00:00:00"/>
    <n v="2"/>
    <x v="0"/>
    <s v="MZ-17335"/>
    <s v="Maria Zettner"/>
    <s v="California"/>
    <x v="2"/>
    <s v="Accessories"/>
    <s v="Logitech G19 Programmable Gaming Keyboard"/>
    <n v="371.96999999999997"/>
    <n v="3"/>
  </r>
  <r>
    <x v="345"/>
    <d v="2014-11-14T00:00:00"/>
    <n v="6"/>
    <x v="1"/>
    <s v="SC-20095"/>
    <s v="Sanjit Chand"/>
    <s v="Utah"/>
    <x v="0"/>
    <s v="Fasteners"/>
    <s v="Alliance Rubber Bands"/>
    <n v="5.04"/>
    <n v="3"/>
  </r>
  <r>
    <x v="345"/>
    <d v="2014-11-14T00:00:00"/>
    <n v="6"/>
    <x v="1"/>
    <s v="SC-20095"/>
    <s v="Sanjit Chand"/>
    <s v="Utah"/>
    <x v="0"/>
    <s v="Paper"/>
    <s v="Xerox 1988"/>
    <n v="92.94"/>
    <n v="3"/>
  </r>
  <r>
    <x v="345"/>
    <d v="2014-11-14T00:00:00"/>
    <n v="6"/>
    <x v="1"/>
    <s v="SC-20095"/>
    <s v="Sanjit Chand"/>
    <s v="Utah"/>
    <x v="1"/>
    <s v="Furnishings"/>
    <s v="Executive Impressions 14&quot; Contract Wall Clock"/>
    <n v="66.69"/>
    <n v="3"/>
  </r>
  <r>
    <x v="345"/>
    <d v="2014-11-14T00:00:00"/>
    <n v="6"/>
    <x v="1"/>
    <s v="SC-20095"/>
    <s v="Sanjit Chand"/>
    <s v="Utah"/>
    <x v="0"/>
    <s v="Binders"/>
    <s v="Deluxe Heavy-Duty Vinyl Round Ring Binder"/>
    <n v="91.68"/>
    <n v="5"/>
  </r>
  <r>
    <x v="345"/>
    <d v="2014-11-12T00:00:00"/>
    <n v="4"/>
    <x v="1"/>
    <s v="SW-20455"/>
    <s v="Shaun Weien"/>
    <s v="California"/>
    <x v="2"/>
    <s v="Accessories"/>
    <s v="Microsoft Arc Touch Mouse"/>
    <n v="119.9"/>
    <n v="2"/>
  </r>
  <r>
    <x v="346"/>
    <d v="2014-11-13T00:00:00"/>
    <n v="4"/>
    <x v="1"/>
    <s v="JO-15550"/>
    <s v="Jesus Ocampo"/>
    <s v="California"/>
    <x v="0"/>
    <s v="Fasteners"/>
    <s v="OIC Binder Clips, Mini, 1/4&quot; Capacity, Black"/>
    <n v="2.48"/>
    <n v="2"/>
  </r>
  <r>
    <x v="347"/>
    <d v="2014-11-15T00:00:00"/>
    <n v="5"/>
    <x v="1"/>
    <s v="AH-10210"/>
    <s v="Alan Hwang"/>
    <s v="California"/>
    <x v="2"/>
    <s v="Accessories"/>
    <s v="Microsoft Sculpt Comfort Mouse"/>
    <n v="79.900000000000006"/>
    <n v="2"/>
  </r>
  <r>
    <x v="348"/>
    <d v="2014-11-14T00:00:00"/>
    <n v="2"/>
    <x v="2"/>
    <s v="YC-21895"/>
    <s v="Yoseph Carroll"/>
    <s v="California"/>
    <x v="0"/>
    <s v="Paper"/>
    <s v="Adams &quot;While You Were Out&quot; Message Pads"/>
    <n v="15.700000000000001"/>
    <n v="5"/>
  </r>
  <r>
    <x v="349"/>
    <d v="2014-11-17T00:00:00"/>
    <n v="4"/>
    <x v="1"/>
    <s v="LC-16870"/>
    <s v="Lena Cacioppo"/>
    <s v="Colorado"/>
    <x v="2"/>
    <s v="Accessories"/>
    <s v="Logitech K350 2.4Ghz Wireless Keyboard"/>
    <n v="238.89600000000002"/>
    <n v="6"/>
  </r>
  <r>
    <x v="349"/>
    <d v="2014-11-17T00:00:00"/>
    <n v="4"/>
    <x v="1"/>
    <s v="LC-16870"/>
    <s v="Lena Cacioppo"/>
    <s v="Colorado"/>
    <x v="1"/>
    <s v="Furnishings"/>
    <s v="Deflect-o DuraMat Lighweight, Studded, Beveled Mat for Low Pile Carpeting"/>
    <n v="102.35999999999999"/>
    <n v="3"/>
  </r>
  <r>
    <x v="349"/>
    <d v="2014-11-17T00:00:00"/>
    <n v="4"/>
    <x v="1"/>
    <s v="LC-16870"/>
    <s v="Lena Cacioppo"/>
    <s v="Colorado"/>
    <x v="0"/>
    <s v="Binders"/>
    <s v="Avery Trapezoid Ring Binder, 3&quot; Capacity, Black, 1040 sheets"/>
    <n v="36.882000000000005"/>
    <n v="3"/>
  </r>
  <r>
    <x v="349"/>
    <d v="2014-11-17T00:00:00"/>
    <n v="4"/>
    <x v="1"/>
    <s v="AW-10930"/>
    <s v="Arthur Wiediger"/>
    <s v="Montana"/>
    <x v="2"/>
    <s v="Phones"/>
    <s v="Panasonic KX TS3282W Corded phone"/>
    <n v="339.96000000000004"/>
    <n v="5"/>
  </r>
  <r>
    <x v="349"/>
    <d v="2014-11-17T00:00:00"/>
    <n v="4"/>
    <x v="1"/>
    <s v="AW-10930"/>
    <s v="Arthur Wiediger"/>
    <s v="Montana"/>
    <x v="1"/>
    <s v="Furnishings"/>
    <s v="Eldon Stackable Tray, Side-Load, Legal, Smoke"/>
    <n v="63.980000000000004"/>
    <n v="7"/>
  </r>
  <r>
    <x v="349"/>
    <d v="2014-11-17T00:00:00"/>
    <n v="4"/>
    <x v="1"/>
    <s v="KH-16510"/>
    <s v="Keith Herrera"/>
    <s v="California"/>
    <x v="0"/>
    <s v="Binders"/>
    <s v="Universal Recycled Hanging Pressboard Report Binders, Letter Size"/>
    <n v="9.8719999999999999"/>
    <n v="2"/>
  </r>
  <r>
    <x v="349"/>
    <d v="2014-11-17T00:00:00"/>
    <n v="4"/>
    <x v="1"/>
    <s v="KH-16510"/>
    <s v="Keith Herrera"/>
    <s v="California"/>
    <x v="1"/>
    <s v="Bookcases"/>
    <s v="O'Sullivan Living Dimensions 3-Shelf Bookcases"/>
    <n v="683.33199999999999"/>
    <n v="4"/>
  </r>
  <r>
    <x v="349"/>
    <d v="2014-11-17T00:00:00"/>
    <n v="4"/>
    <x v="1"/>
    <s v="KH-16510"/>
    <s v="Keith Herrera"/>
    <s v="California"/>
    <x v="0"/>
    <s v="Paper"/>
    <s v="Xerox 1900"/>
    <n v="29.96"/>
    <n v="7"/>
  </r>
  <r>
    <x v="350"/>
    <d v="2014-11-17T00:00:00"/>
    <n v="3"/>
    <x v="2"/>
    <s v="KB-16585"/>
    <s v="Ken Black"/>
    <s v="Oregon"/>
    <x v="0"/>
    <s v="Fasteners"/>
    <s v="Advantus Push Pins"/>
    <n v="8.7200000000000006"/>
    <n v="5"/>
  </r>
  <r>
    <x v="350"/>
    <d v="2014-11-17T00:00:00"/>
    <n v="3"/>
    <x v="2"/>
    <s v="KB-16585"/>
    <s v="Ken Black"/>
    <s v="Oregon"/>
    <x v="2"/>
    <s v="Accessories"/>
    <s v="Imation Secure Drive + Hardware Encrypted USB flash drive - 16 GB"/>
    <n v="91.176000000000016"/>
    <n v="3"/>
  </r>
  <r>
    <x v="350"/>
    <d v="2014-11-17T00:00:00"/>
    <n v="3"/>
    <x v="2"/>
    <s v="KB-16585"/>
    <s v="Ken Black"/>
    <s v="Oregon"/>
    <x v="2"/>
    <s v="Accessories"/>
    <s v="Plantronics Audio 478 Stereo USB Headset"/>
    <n v="159.96800000000002"/>
    <n v="4"/>
  </r>
  <r>
    <x v="350"/>
    <d v="2014-11-19T00:00:00"/>
    <n v="5"/>
    <x v="1"/>
    <s v="GZ-14470"/>
    <s v="Gary Zandusky"/>
    <s v="New Mexico"/>
    <x v="1"/>
    <s v="Chairs"/>
    <s v="SAFCO Arco Folding Chair"/>
    <n v="883.84"/>
    <n v="4"/>
  </r>
  <r>
    <x v="350"/>
    <d v="2014-11-19T00:00:00"/>
    <n v="5"/>
    <x v="1"/>
    <s v="GZ-14470"/>
    <s v="Gary Zandusky"/>
    <s v="New Mexico"/>
    <x v="1"/>
    <s v="Chairs"/>
    <s v="Global Deluxe Office Fabric Chairs"/>
    <n v="230.35200000000003"/>
    <n v="3"/>
  </r>
  <r>
    <x v="351"/>
    <d v="2014-11-20T00:00:00"/>
    <n v="4"/>
    <x v="1"/>
    <s v="HK-14890"/>
    <s v="Heather Kirkland"/>
    <s v="Idaho"/>
    <x v="1"/>
    <s v="Tables"/>
    <s v="Bretford CR4500 Series Slim Rectangular Table"/>
    <n v="696.42"/>
    <n v="2"/>
  </r>
  <r>
    <x v="351"/>
    <d v="2014-11-20T00:00:00"/>
    <n v="4"/>
    <x v="1"/>
    <s v="HK-14890"/>
    <s v="Heather Kirkland"/>
    <s v="Idaho"/>
    <x v="2"/>
    <s v="Phones"/>
    <s v="Jabra BIZ 2300 Duo QD Duo Corded Headset"/>
    <n v="304.77600000000001"/>
    <n v="3"/>
  </r>
  <r>
    <x v="351"/>
    <d v="2014-11-18T00:00:00"/>
    <n v="2"/>
    <x v="2"/>
    <s v="JG-15805"/>
    <s v="John Grady"/>
    <s v="California"/>
    <x v="0"/>
    <s v="Labels"/>
    <s v="Avery 51"/>
    <n v="18.899999999999999"/>
    <n v="3"/>
  </r>
  <r>
    <x v="352"/>
    <d v="2014-11-21T00:00:00"/>
    <n v="4"/>
    <x v="1"/>
    <s v="BS-11665"/>
    <s v="Brian Stugart"/>
    <s v="California"/>
    <x v="2"/>
    <s v="Phones"/>
    <s v="RCA ViSYS 25825 Wireless digital phone"/>
    <n v="415.96800000000007"/>
    <n v="4"/>
  </r>
  <r>
    <x v="352"/>
    <d v="2014-11-21T00:00:00"/>
    <n v="4"/>
    <x v="1"/>
    <s v="BS-11665"/>
    <s v="Brian Stugart"/>
    <s v="California"/>
    <x v="0"/>
    <s v="Storage"/>
    <s v="Carina Media Storage Towers in Natural &amp; Black"/>
    <n v="304.89999999999998"/>
    <n v="5"/>
  </r>
  <r>
    <x v="352"/>
    <d v="2014-11-21T00:00:00"/>
    <n v="4"/>
    <x v="1"/>
    <s v="BS-11665"/>
    <s v="Brian Stugart"/>
    <s v="California"/>
    <x v="1"/>
    <s v="Furnishings"/>
    <s v="DAX Contemporary Wood Frame with Silver Metal Mat, Desktop, 11 x 14 Size"/>
    <n v="80.959999999999994"/>
    <n v="4"/>
  </r>
  <r>
    <x v="352"/>
    <d v="2014-11-21T00:00:00"/>
    <n v="4"/>
    <x v="1"/>
    <s v="BS-11665"/>
    <s v="Brian Stugart"/>
    <s v="California"/>
    <x v="0"/>
    <s v="Storage"/>
    <s v="Fellowes Recycled Storage Drawers"/>
    <n v="777.21"/>
    <n v="7"/>
  </r>
  <r>
    <x v="352"/>
    <d v="2014-11-21T00:00:00"/>
    <n v="4"/>
    <x v="1"/>
    <s v="BS-11665"/>
    <s v="Brian Stugart"/>
    <s v="California"/>
    <x v="0"/>
    <s v="Paper"/>
    <s v="Xerox 203"/>
    <n v="32.400000000000006"/>
    <n v="5"/>
  </r>
  <r>
    <x v="352"/>
    <d v="2014-11-21T00:00:00"/>
    <n v="4"/>
    <x v="1"/>
    <s v="BS-11665"/>
    <s v="Brian Stugart"/>
    <s v="California"/>
    <x v="1"/>
    <s v="Chairs"/>
    <s v="Office Star - Contemporary Swivel Chair with Padded Adjustable Arms and Flex Back"/>
    <n v="225.56799999999998"/>
    <n v="2"/>
  </r>
  <r>
    <x v="352"/>
    <d v="2014-11-21T00:00:00"/>
    <n v="4"/>
    <x v="1"/>
    <s v="BS-11665"/>
    <s v="Brian Stugart"/>
    <s v="California"/>
    <x v="1"/>
    <s v="Furnishings"/>
    <s v="Advantus Panel Wall Certificate Holder - 8.5x11"/>
    <n v="36.599999999999994"/>
    <n v="3"/>
  </r>
  <r>
    <x v="353"/>
    <d v="2014-11-21T00:00:00"/>
    <n v="2"/>
    <x v="0"/>
    <s v="TC-21475"/>
    <s v="Tony Chapman"/>
    <s v="Washington"/>
    <x v="1"/>
    <s v="Furnishings"/>
    <s v="Tenex V2T-RE Standard Weight Series Chair Mat, 45&quot; x 53&quot;, Lip 25&quot; x 12&quot;"/>
    <n v="141.96"/>
    <n v="2"/>
  </r>
  <r>
    <x v="353"/>
    <d v="2014-11-26T00:00:00"/>
    <n v="7"/>
    <x v="1"/>
    <s v="AG-10300"/>
    <s v="Aleksandra Gannaway"/>
    <s v="Nevada"/>
    <x v="0"/>
    <s v="Appliances"/>
    <s v="Hoover Commercial Soft Guard Upright Vacuum And Disposable Filtration Bags"/>
    <n v="31.08"/>
    <n v="4"/>
  </r>
  <r>
    <x v="354"/>
    <d v="2014-11-26T00:00:00"/>
    <n v="6"/>
    <x v="1"/>
    <s v="SN-20560"/>
    <s v="Skye Norling"/>
    <s v="California"/>
    <x v="0"/>
    <s v="Art"/>
    <s v="Newell 333"/>
    <n v="19.459999999999997"/>
    <n v="7"/>
  </r>
  <r>
    <x v="354"/>
    <d v="2014-11-24T00:00:00"/>
    <n v="4"/>
    <x v="1"/>
    <s v="LC-16885"/>
    <s v="Lena Creighton"/>
    <s v="California"/>
    <x v="2"/>
    <s v="Phones"/>
    <s v="Gear Head AU3700S Headset"/>
    <n v="72.744000000000014"/>
    <n v="7"/>
  </r>
  <r>
    <x v="354"/>
    <d v="2014-11-24T00:00:00"/>
    <n v="4"/>
    <x v="1"/>
    <s v="LC-16885"/>
    <s v="Lena Creighton"/>
    <s v="California"/>
    <x v="1"/>
    <s v="Chairs"/>
    <s v="Safco Contoured Stacking Chairs"/>
    <n v="572.16000000000008"/>
    <n v="3"/>
  </r>
  <r>
    <x v="354"/>
    <d v="2014-11-24T00:00:00"/>
    <n v="4"/>
    <x v="1"/>
    <s v="PB-18805"/>
    <s v="Patrick Bzostek"/>
    <s v="California"/>
    <x v="0"/>
    <s v="Binders"/>
    <s v="Cardinal Poly Pocket Divider Pockets for Ring Binders"/>
    <n v="24.192"/>
    <n v="9"/>
  </r>
  <r>
    <x v="354"/>
    <d v="2014-11-25T00:00:00"/>
    <n v="5"/>
    <x v="1"/>
    <s v="KB-16405"/>
    <s v="Katrina Bavinger"/>
    <s v="Washington"/>
    <x v="0"/>
    <s v="Art"/>
    <s v="Newell 334"/>
    <n v="119.03999999999999"/>
    <n v="6"/>
  </r>
  <r>
    <x v="354"/>
    <d v="2014-11-25T00:00:00"/>
    <n v="5"/>
    <x v="1"/>
    <s v="KB-16405"/>
    <s v="Katrina Bavinger"/>
    <s v="Washington"/>
    <x v="1"/>
    <s v="Furnishings"/>
    <s v="Eldon Expressions Wood Desk Accessories, Oak"/>
    <n v="22.14"/>
    <n v="3"/>
  </r>
  <r>
    <x v="354"/>
    <d v="2014-11-25T00:00:00"/>
    <n v="5"/>
    <x v="1"/>
    <s v="KB-16405"/>
    <s v="Katrina Bavinger"/>
    <s v="Washington"/>
    <x v="2"/>
    <s v="Accessories"/>
    <s v="AmazonBasics 3-Button USB Wired Mouse"/>
    <n v="13.98"/>
    <n v="2"/>
  </r>
  <r>
    <x v="354"/>
    <d v="2014-11-23T00:00:00"/>
    <n v="3"/>
    <x v="0"/>
    <s v="MM-18055"/>
    <s v="Michelle Moray"/>
    <s v="Colorado"/>
    <x v="0"/>
    <s v="Binders"/>
    <s v="Wilson Jones Custom Binder Spines &amp; Labels"/>
    <n v="4.8960000000000008"/>
    <n v="3"/>
  </r>
  <r>
    <x v="354"/>
    <d v="2014-11-23T00:00:00"/>
    <n v="3"/>
    <x v="0"/>
    <s v="MM-18055"/>
    <s v="Michelle Moray"/>
    <s v="Colorado"/>
    <x v="1"/>
    <s v="Bookcases"/>
    <s v="Sauder Barrister Bookcases"/>
    <n v="145.76400000000001"/>
    <n v="6"/>
  </r>
  <r>
    <x v="354"/>
    <d v="2014-11-23T00:00:00"/>
    <n v="3"/>
    <x v="0"/>
    <s v="MM-18055"/>
    <s v="Michelle Moray"/>
    <s v="Colorado"/>
    <x v="0"/>
    <s v="Binders"/>
    <s v="Wilson Jones 14 Line Acrylic Coated Pressboard Data Binders"/>
    <n v="9.6120000000000001"/>
    <n v="6"/>
  </r>
  <r>
    <x v="354"/>
    <d v="2014-11-21T00:00:00"/>
    <n v="1"/>
    <x v="2"/>
    <s v="CS-12250"/>
    <s v="Chris Selesnick"/>
    <s v="California"/>
    <x v="0"/>
    <s v="Binders"/>
    <s v="Performers Binder/Pad Holder, Black"/>
    <n v="89.696000000000012"/>
    <n v="4"/>
  </r>
  <r>
    <x v="354"/>
    <d v="2014-11-21T00:00:00"/>
    <n v="1"/>
    <x v="2"/>
    <s v="CS-12250"/>
    <s v="Chris Selesnick"/>
    <s v="California"/>
    <x v="0"/>
    <s v="Labels"/>
    <s v="Avery 485"/>
    <n v="50.12"/>
    <n v="4"/>
  </r>
  <r>
    <x v="354"/>
    <d v="2014-11-24T00:00:00"/>
    <n v="4"/>
    <x v="1"/>
    <s v="KW-16570"/>
    <s v="Kelly Williams"/>
    <s v="California"/>
    <x v="1"/>
    <s v="Furnishings"/>
    <s v="Dana Swing-Arm Lamps"/>
    <n v="32.04"/>
    <n v="3"/>
  </r>
  <r>
    <x v="355"/>
    <d v="2014-11-25T00:00:00"/>
    <n v="4"/>
    <x v="1"/>
    <s v="NW-18400"/>
    <s v="Natalie Webber"/>
    <s v="Nevada"/>
    <x v="1"/>
    <s v="Bookcases"/>
    <s v="Hon Metal Bookcases, Putty"/>
    <n v="141.96"/>
    <n v="2"/>
  </r>
  <r>
    <x v="355"/>
    <d v="2014-11-25T00:00:00"/>
    <n v="4"/>
    <x v="1"/>
    <s v="NW-18400"/>
    <s v="Natalie Webber"/>
    <s v="Nevada"/>
    <x v="0"/>
    <s v="Binders"/>
    <s v="Square Ring Data Binders, Rigid 75 Pt. Covers, 11&quot; x 14-7/8&quot;"/>
    <n v="66.048000000000002"/>
    <n v="4"/>
  </r>
  <r>
    <x v="355"/>
    <d v="2014-11-23T00:00:00"/>
    <n v="2"/>
    <x v="0"/>
    <s v="EM-14095"/>
    <s v="Eudokia Martin"/>
    <s v="Arizona"/>
    <x v="0"/>
    <s v="Appliances"/>
    <s v="Fellowes Command Center 5-outlet power strip"/>
    <n v="325.63200000000006"/>
    <n v="6"/>
  </r>
  <r>
    <x v="355"/>
    <d v="2014-11-23T00:00:00"/>
    <n v="2"/>
    <x v="0"/>
    <s v="EM-14095"/>
    <s v="Eudokia Martin"/>
    <s v="Arizona"/>
    <x v="2"/>
    <s v="Accessories"/>
    <s v="Belkin Standard 104 key USB Keyboard"/>
    <n v="23.344000000000001"/>
    <n v="2"/>
  </r>
  <r>
    <x v="355"/>
    <d v="2014-11-23T00:00:00"/>
    <n v="2"/>
    <x v="0"/>
    <s v="EM-14095"/>
    <s v="Eudokia Martin"/>
    <s v="Arizona"/>
    <x v="0"/>
    <s v="Labels"/>
    <s v="Avery 506"/>
    <n v="16.520000000000003"/>
    <n v="5"/>
  </r>
  <r>
    <x v="356"/>
    <d v="2014-11-25T00:00:00"/>
    <n v="3"/>
    <x v="0"/>
    <s v="NG-18430"/>
    <s v="Nathan Gelder"/>
    <s v="California"/>
    <x v="0"/>
    <s v="Paper"/>
    <s v="Xerox 1887"/>
    <n v="37.94"/>
    <n v="2"/>
  </r>
  <r>
    <x v="356"/>
    <d v="2014-11-25T00:00:00"/>
    <n v="3"/>
    <x v="0"/>
    <s v="NG-18430"/>
    <s v="Nathan Gelder"/>
    <s v="California"/>
    <x v="0"/>
    <s v="Paper"/>
    <s v="Xerox 1971"/>
    <n v="42.800000000000004"/>
    <n v="10"/>
  </r>
  <r>
    <x v="356"/>
    <d v="2014-11-25T00:00:00"/>
    <n v="3"/>
    <x v="0"/>
    <s v="NG-18430"/>
    <s v="Nathan Gelder"/>
    <s v="California"/>
    <x v="0"/>
    <s v="Storage"/>
    <s v="Personal Folder Holder, Ebony"/>
    <n v="33.630000000000003"/>
    <n v="3"/>
  </r>
  <r>
    <x v="357"/>
    <d v="2014-11-30T00:00:00"/>
    <n v="6"/>
    <x v="1"/>
    <s v="KM-16720"/>
    <s v="Kunst Miller"/>
    <s v="California"/>
    <x v="2"/>
    <s v="Accessories"/>
    <s v="Verbatim 25 GB 6x Blu-ray Single Layer Recordable Disc, 3/Pack"/>
    <n v="13.98"/>
    <n v="2"/>
  </r>
  <r>
    <x v="357"/>
    <d v="2014-11-30T00:00:00"/>
    <n v="6"/>
    <x v="1"/>
    <s v="KM-16720"/>
    <s v="Kunst Miller"/>
    <s v="California"/>
    <x v="0"/>
    <s v="Binders"/>
    <s v="Acco PRESSTEX Data Binder with Storage Hooks, Dark Blue, 14 7/8&quot; X 11&quot;"/>
    <n v="25.824000000000002"/>
    <n v="6"/>
  </r>
  <r>
    <x v="357"/>
    <d v="2014-11-30T00:00:00"/>
    <n v="6"/>
    <x v="1"/>
    <s v="KM-16720"/>
    <s v="Kunst Miller"/>
    <s v="California"/>
    <x v="0"/>
    <s v="Paper"/>
    <s v="Xerox 1943"/>
    <n v="146.72999999999999"/>
    <n v="3"/>
  </r>
  <r>
    <x v="357"/>
    <d v="2014-11-30T00:00:00"/>
    <n v="6"/>
    <x v="1"/>
    <s v="KM-16720"/>
    <s v="Kunst Miller"/>
    <s v="California"/>
    <x v="1"/>
    <s v="Furnishings"/>
    <s v="Luxo Economy Swing Arm Lamp"/>
    <n v="79.760000000000005"/>
    <n v="4"/>
  </r>
  <r>
    <x v="357"/>
    <d v="2014-11-28T00:00:00"/>
    <n v="4"/>
    <x v="1"/>
    <s v="DP-13000"/>
    <s v="Darren Powers"/>
    <s v="California"/>
    <x v="0"/>
    <s v="Paper"/>
    <s v="Xerox 1919"/>
    <n v="368.91"/>
    <n v="9"/>
  </r>
  <r>
    <x v="357"/>
    <d v="2014-11-28T00:00:00"/>
    <n v="4"/>
    <x v="1"/>
    <s v="DP-13000"/>
    <s v="Darren Powers"/>
    <s v="California"/>
    <x v="0"/>
    <s v="Art"/>
    <s v="Prang Colored Pencils"/>
    <n v="14.7"/>
    <n v="5"/>
  </r>
  <r>
    <x v="357"/>
    <d v="2014-11-29T00:00:00"/>
    <n v="5"/>
    <x v="1"/>
    <s v="TS-21340"/>
    <s v="Toby Swindell"/>
    <s v="California"/>
    <x v="0"/>
    <s v="Binders"/>
    <s v="Avery Reinforcements for Hole-Punch Pages"/>
    <n v="3.1680000000000001"/>
    <n v="2"/>
  </r>
  <r>
    <x v="357"/>
    <d v="2014-11-29T00:00:00"/>
    <n v="5"/>
    <x v="1"/>
    <s v="TS-21340"/>
    <s v="Toby Swindell"/>
    <s v="California"/>
    <x v="0"/>
    <s v="Paper"/>
    <s v="Xerox 225"/>
    <n v="19.440000000000001"/>
    <n v="3"/>
  </r>
  <r>
    <x v="357"/>
    <d v="2014-11-29T00:00:00"/>
    <n v="5"/>
    <x v="1"/>
    <s v="TS-21340"/>
    <s v="Toby Swindell"/>
    <s v="California"/>
    <x v="0"/>
    <s v="Storage"/>
    <s v="Fellowes Bankers Box Staxonsteel Drawer File/Stacking System"/>
    <n v="454.86"/>
    <n v="7"/>
  </r>
  <r>
    <x v="357"/>
    <d v="2014-11-29T00:00:00"/>
    <n v="5"/>
    <x v="1"/>
    <s v="TS-21340"/>
    <s v="Toby Swindell"/>
    <s v="California"/>
    <x v="0"/>
    <s v="Binders"/>
    <s v="Avery Premier Heavy-Duty Binder with Round Locking Rings"/>
    <n v="91.391999999999996"/>
    <n v="8"/>
  </r>
  <r>
    <x v="358"/>
    <d v="2014-12-03T00:00:00"/>
    <n v="6"/>
    <x v="1"/>
    <s v="CD-11920"/>
    <s v="Carlos Daly"/>
    <s v="California"/>
    <x v="1"/>
    <s v="Chairs"/>
    <s v="Situations Contoured Folding Chairs, 4/Set"/>
    <n v="283.92"/>
    <n v="5"/>
  </r>
  <r>
    <x v="358"/>
    <d v="2014-12-01T00:00:00"/>
    <n v="4"/>
    <x v="1"/>
    <s v="SN-20710"/>
    <s v="Steve Nguyen"/>
    <s v="California"/>
    <x v="2"/>
    <s v="Accessories"/>
    <s v="Sony 64GB Class 10 Micro SDHC R40 Memory Card"/>
    <n v="107.97"/>
    <n v="3"/>
  </r>
  <r>
    <x v="358"/>
    <d v="2014-12-01T00:00:00"/>
    <n v="4"/>
    <x v="1"/>
    <s v="SN-20710"/>
    <s v="Steve Nguyen"/>
    <s v="California"/>
    <x v="0"/>
    <s v="Paper"/>
    <s v="Snap-A-Way Black Print Carbonless Ruled Speed Letter, Triplicate"/>
    <n v="113.82"/>
    <n v="3"/>
  </r>
  <r>
    <x v="359"/>
    <d v="2014-12-03T00:00:00"/>
    <n v="5"/>
    <x v="1"/>
    <s v="MA-17995"/>
    <s v="Michelle Arnett"/>
    <s v="New Mexico"/>
    <x v="0"/>
    <s v="Art"/>
    <s v="BIC Brite Liner Highlighters"/>
    <n v="8.2799999999999994"/>
    <n v="2"/>
  </r>
  <r>
    <x v="359"/>
    <d v="2014-11-30T00:00:00"/>
    <n v="2"/>
    <x v="2"/>
    <s v="AJ-10945"/>
    <s v="Ashley Jarboe"/>
    <s v="California"/>
    <x v="0"/>
    <s v="Appliances"/>
    <s v="Holmes Visible Mist Ultrasonic Humidifier with 2.3-Gallon Output per Day, Replacement Filter"/>
    <n v="45.28"/>
    <n v="4"/>
  </r>
  <r>
    <x v="360"/>
    <d v="2014-11-30T00:00:00"/>
    <n v="1"/>
    <x v="3"/>
    <s v="PO-19195"/>
    <s v="Phillina Ober"/>
    <s v="California"/>
    <x v="0"/>
    <s v="Binders"/>
    <s v="Acco PRESSTEX Data Binder with Storage Hooks, Dark Blue, 14 7/8&quot; X 11&quot;"/>
    <n v="4.3040000000000003"/>
    <n v="1"/>
  </r>
  <r>
    <x v="360"/>
    <d v="2014-11-30T00:00:00"/>
    <n v="1"/>
    <x v="2"/>
    <s v="EK-13795"/>
    <s v="Eileen Kiefer"/>
    <s v="California"/>
    <x v="0"/>
    <s v="Art"/>
    <s v="Boston Electric Pencil Sharpener, Model 1818, Charcoal Black"/>
    <n v="56.3"/>
    <n v="2"/>
  </r>
  <r>
    <x v="361"/>
    <d v="2014-12-02T00:00:00"/>
    <n v="2"/>
    <x v="0"/>
    <s v="JM-15865"/>
    <s v="John Murray"/>
    <s v="Nevada"/>
    <x v="1"/>
    <s v="Furnishings"/>
    <s v="DAX Contemporary Wood Frame with Silver Metal Mat, Desktop, 11 x 14 Size"/>
    <n v="80.959999999999994"/>
    <n v="4"/>
  </r>
  <r>
    <x v="361"/>
    <d v="2014-12-02T00:00:00"/>
    <n v="2"/>
    <x v="0"/>
    <s v="JM-15865"/>
    <s v="John Murray"/>
    <s v="Nevada"/>
    <x v="0"/>
    <s v="Paper"/>
    <s v="Xerox 1997"/>
    <n v="25.92"/>
    <n v="4"/>
  </r>
  <r>
    <x v="362"/>
    <d v="2014-12-08T00:00:00"/>
    <n v="7"/>
    <x v="1"/>
    <s v="LC-17140"/>
    <s v="Logan Currie"/>
    <s v="Washington"/>
    <x v="0"/>
    <s v="Binders"/>
    <s v="Wilson Jones Heavy-Duty Casebound Ring Binders with Metal Hinges"/>
    <n v="55.424000000000007"/>
    <n v="2"/>
  </r>
  <r>
    <x v="362"/>
    <d v="2014-12-06T00:00:00"/>
    <n v="5"/>
    <x v="1"/>
    <s v="BT-11305"/>
    <s v="Beth Thompson"/>
    <s v="Washington"/>
    <x v="0"/>
    <s v="Art"/>
    <s v="Prang Drawing Pencil Set"/>
    <n v="13.899999999999999"/>
    <n v="5"/>
  </r>
  <r>
    <x v="362"/>
    <d v="2014-12-05T00:00:00"/>
    <n v="4"/>
    <x v="0"/>
    <s v="TW-21025"/>
    <s v="Tamara Willingham"/>
    <s v="Washington"/>
    <x v="1"/>
    <s v="Chairs"/>
    <s v="Global Troy Executive Leather Low-Back Tilter"/>
    <n v="2003.9200000000003"/>
    <n v="5"/>
  </r>
  <r>
    <x v="362"/>
    <d v="2014-12-05T00:00:00"/>
    <n v="4"/>
    <x v="0"/>
    <s v="TW-21025"/>
    <s v="Tamara Willingham"/>
    <s v="Washington"/>
    <x v="0"/>
    <s v="Paper"/>
    <s v="Xerox 219"/>
    <n v="32.400000000000006"/>
    <n v="5"/>
  </r>
  <r>
    <x v="362"/>
    <d v="2014-12-05T00:00:00"/>
    <n v="4"/>
    <x v="0"/>
    <s v="TW-21025"/>
    <s v="Tamara Willingham"/>
    <s v="Washington"/>
    <x v="1"/>
    <s v="Tables"/>
    <s v="Bush Advantage Collection Round Conference Table"/>
    <n v="1913.3999999999999"/>
    <n v="9"/>
  </r>
  <r>
    <x v="362"/>
    <d v="2014-12-05T00:00:00"/>
    <n v="4"/>
    <x v="0"/>
    <s v="TW-21025"/>
    <s v="Tamara Willingham"/>
    <s v="Washington"/>
    <x v="0"/>
    <s v="Storage"/>
    <s v="Tennsco Industrial Shelving"/>
    <n v="146.72999999999999"/>
    <n v="3"/>
  </r>
  <r>
    <x v="362"/>
    <d v="2014-12-05T00:00:00"/>
    <n v="4"/>
    <x v="0"/>
    <s v="TW-21025"/>
    <s v="Tamara Willingham"/>
    <s v="Washington"/>
    <x v="0"/>
    <s v="Paper"/>
    <s v="Xerox Color Copier Paper, 11&quot; x 17&quot;, Ream"/>
    <n v="114.2"/>
    <n v="5"/>
  </r>
  <r>
    <x v="362"/>
    <d v="2014-12-06T00:00:00"/>
    <n v="5"/>
    <x v="1"/>
    <s v="LC-16960"/>
    <s v="Lindsay Castell"/>
    <s v="California"/>
    <x v="1"/>
    <s v="Chairs"/>
    <s v="GuestStacker Chair with Chrome Finish Legs"/>
    <n v="2676.672"/>
    <n v="9"/>
  </r>
  <r>
    <x v="363"/>
    <d v="2014-12-07T00:00:00"/>
    <n v="4"/>
    <x v="1"/>
    <s v="PW-19240"/>
    <s v="Pierre Wener"/>
    <s v="California"/>
    <x v="1"/>
    <s v="Bookcases"/>
    <s v="Sauder Forest Hills Library, Woodland Oak Finish"/>
    <n v="359.49899999999997"/>
    <n v="3"/>
  </r>
  <r>
    <x v="364"/>
    <d v="2014-12-09T00:00:00"/>
    <n v="5"/>
    <x v="0"/>
    <s v="HM-14860"/>
    <s v="Harry Marie"/>
    <s v="California"/>
    <x v="0"/>
    <s v="Envelopes"/>
    <s v="Tyvek Side-Opening Peel &amp; Seel Expanding Envelopes"/>
    <n v="271.44"/>
    <n v="3"/>
  </r>
  <r>
    <x v="364"/>
    <d v="2014-12-09T00:00:00"/>
    <n v="5"/>
    <x v="0"/>
    <s v="HM-14860"/>
    <s v="Harry Marie"/>
    <s v="California"/>
    <x v="2"/>
    <s v="Phones"/>
    <s v="Jensen SMPS-640 - speaker phone"/>
    <n v="110.352"/>
    <n v="3"/>
  </r>
  <r>
    <x v="364"/>
    <d v="2014-12-09T00:00:00"/>
    <n v="5"/>
    <x v="0"/>
    <s v="HM-14860"/>
    <s v="Harry Marie"/>
    <s v="California"/>
    <x v="1"/>
    <s v="Furnishings"/>
    <s v="Master Caster Door Stop, Large Brown"/>
    <n v="36.4"/>
    <n v="5"/>
  </r>
  <r>
    <x v="364"/>
    <d v="2014-12-09T00:00:00"/>
    <n v="5"/>
    <x v="1"/>
    <s v="TZ-21580"/>
    <s v="Tracy Zic"/>
    <s v="California"/>
    <x v="0"/>
    <s v="Art"/>
    <s v="Avery Hi-Liter Fluorescent Desk Style Markers"/>
    <n v="16.899999999999999"/>
    <n v="5"/>
  </r>
  <r>
    <x v="364"/>
    <d v="2014-12-09T00:00:00"/>
    <n v="5"/>
    <x v="1"/>
    <s v="TZ-21580"/>
    <s v="Tracy Zic"/>
    <s v="California"/>
    <x v="1"/>
    <s v="Furnishings"/>
    <s v="Eldon Image Series Desk Accessories, Burgundy"/>
    <n v="25.08"/>
    <n v="6"/>
  </r>
  <r>
    <x v="365"/>
    <d v="2014-12-09T00:00:00"/>
    <n v="4"/>
    <x v="1"/>
    <s v="MH-17620"/>
    <s v="Matt Hagelstein"/>
    <s v="California"/>
    <x v="1"/>
    <s v="Furnishings"/>
    <s v="Executive Impressions 14&quot; Contract Wall Clock"/>
    <n v="44.46"/>
    <n v="2"/>
  </r>
  <r>
    <x v="365"/>
    <d v="2014-12-10T00:00:00"/>
    <n v="5"/>
    <x v="1"/>
    <s v="GB-14530"/>
    <s v="George Bell"/>
    <s v="California"/>
    <x v="2"/>
    <s v="Accessories"/>
    <s v="Memorex Micro Travel Drive 8 GB"/>
    <n v="39"/>
    <n v="3"/>
  </r>
  <r>
    <x v="365"/>
    <d v="2014-12-10T00:00:00"/>
    <n v="5"/>
    <x v="1"/>
    <s v="GB-14530"/>
    <s v="George Bell"/>
    <s v="California"/>
    <x v="0"/>
    <s v="Labels"/>
    <s v="Avery 488"/>
    <n v="12.6"/>
    <n v="4"/>
  </r>
  <r>
    <x v="366"/>
    <d v="2014-12-13T00:00:00"/>
    <n v="7"/>
    <x v="1"/>
    <s v="NP-18325"/>
    <s v="Naresj Patel"/>
    <s v="California"/>
    <x v="0"/>
    <s v="Art"/>
    <s v="Stanley Contemporary Battery Pencil Sharpeners"/>
    <n v="120.14999999999999"/>
    <n v="9"/>
  </r>
  <r>
    <x v="366"/>
    <d v="2014-12-13T00:00:00"/>
    <n v="7"/>
    <x v="1"/>
    <s v="NP-18325"/>
    <s v="Naresj Patel"/>
    <s v="California"/>
    <x v="2"/>
    <s v="Phones"/>
    <s v="AT&amp;T 1080 Corded phone"/>
    <n v="219.18400000000003"/>
    <n v="2"/>
  </r>
  <r>
    <x v="366"/>
    <d v="2014-12-11T00:00:00"/>
    <n v="5"/>
    <x v="1"/>
    <s v="GH-14425"/>
    <s v="Gary Hwang"/>
    <s v="Arizona"/>
    <x v="1"/>
    <s v="Furnishings"/>
    <s v="Howard Miller 13&quot; Diameter Pewter Finish Round Wall Clock"/>
    <n v="206.11199999999997"/>
    <n v="6"/>
  </r>
  <r>
    <x v="366"/>
    <d v="2014-12-11T00:00:00"/>
    <n v="5"/>
    <x v="1"/>
    <s v="GH-14425"/>
    <s v="Gary Hwang"/>
    <s v="Arizona"/>
    <x v="0"/>
    <s v="Paper"/>
    <s v="Xerox 1970"/>
    <n v="19.920000000000002"/>
    <n v="5"/>
  </r>
  <r>
    <x v="366"/>
    <d v="2014-12-11T00:00:00"/>
    <n v="5"/>
    <x v="1"/>
    <s v="GH-14425"/>
    <s v="Gary Hwang"/>
    <s v="Arizona"/>
    <x v="0"/>
    <s v="Paper"/>
    <s v="Xerox 1960"/>
    <n v="198.27200000000002"/>
    <n v="8"/>
  </r>
  <r>
    <x v="366"/>
    <d v="2014-12-11T00:00:00"/>
    <n v="5"/>
    <x v="1"/>
    <s v="GH-14425"/>
    <s v="Gary Hwang"/>
    <s v="Arizona"/>
    <x v="0"/>
    <s v="Storage"/>
    <s v="Belkin 19&quot; Vented Equipment Shelf, Black"/>
    <n v="247.10399999999998"/>
    <n v="6"/>
  </r>
  <r>
    <x v="366"/>
    <d v="2014-12-11T00:00:00"/>
    <n v="5"/>
    <x v="1"/>
    <s v="GH-14425"/>
    <s v="Gary Hwang"/>
    <s v="Arizona"/>
    <x v="0"/>
    <s v="Art"/>
    <s v="BOSTON Model 1800 Electric Pencil Sharpeners, Putty/Woodgrain"/>
    <n v="86.304000000000002"/>
    <n v="6"/>
  </r>
  <r>
    <x v="366"/>
    <d v="2014-12-11T00:00:00"/>
    <n v="5"/>
    <x v="1"/>
    <s v="KM-16375"/>
    <s v="Katherine Murray"/>
    <s v="California"/>
    <x v="0"/>
    <s v="Paper"/>
    <s v="Message Book, Phone, Wirebound Standard Line Memo, 2 3/4&quot; X 5&quot;"/>
    <n v="32.75"/>
    <n v="5"/>
  </r>
  <r>
    <x v="366"/>
    <d v="2014-12-10T00:00:00"/>
    <n v="4"/>
    <x v="1"/>
    <s v="IL-15100"/>
    <s v="Ivan Liston"/>
    <s v="Nevada"/>
    <x v="0"/>
    <s v="Paper"/>
    <s v="Xerox 20"/>
    <n v="6.48"/>
    <n v="1"/>
  </r>
  <r>
    <x v="366"/>
    <d v="2014-12-10T00:00:00"/>
    <n v="4"/>
    <x v="1"/>
    <s v="IL-15100"/>
    <s v="Ivan Liston"/>
    <s v="Nevada"/>
    <x v="0"/>
    <s v="Storage"/>
    <s v="Tennsco 6- and 18-Compartment Lockers"/>
    <n v="1325.8500000000001"/>
    <n v="5"/>
  </r>
  <r>
    <x v="366"/>
    <d v="2014-12-10T00:00:00"/>
    <n v="4"/>
    <x v="1"/>
    <s v="IL-15100"/>
    <s v="Ivan Liston"/>
    <s v="Nevada"/>
    <x v="0"/>
    <s v="Labels"/>
    <s v="Avery 483"/>
    <n v="14.940000000000001"/>
    <n v="3"/>
  </r>
  <r>
    <x v="366"/>
    <d v="2014-12-11T00:00:00"/>
    <n v="5"/>
    <x v="1"/>
    <s v="AF-10870"/>
    <s v="Art Ferguson"/>
    <s v="California"/>
    <x v="0"/>
    <s v="Appliances"/>
    <s v="Commercial WindTunnel Clean Air Upright Vacuum, Replacement Belts, Filtration Bags"/>
    <n v="7.78"/>
    <n v="2"/>
  </r>
  <r>
    <x v="366"/>
    <d v="2014-12-11T00:00:00"/>
    <n v="5"/>
    <x v="0"/>
    <s v="DB-13120"/>
    <s v="David Bremer"/>
    <s v="California"/>
    <x v="0"/>
    <s v="Paper"/>
    <s v="Spiral Phone Message Books with Labels by Adams"/>
    <n v="8.9600000000000009"/>
    <n v="2"/>
  </r>
  <r>
    <x v="367"/>
    <d v="2014-12-09T00:00:00"/>
    <n v="2"/>
    <x v="2"/>
    <s v="JF-15490"/>
    <s v="Jeremy Farry"/>
    <s v="Washington"/>
    <x v="0"/>
    <s v="Fasteners"/>
    <s v="Alliance Big Bands Rubber Bands, 12/Pack"/>
    <n v="3.96"/>
    <n v="2"/>
  </r>
  <r>
    <x v="367"/>
    <d v="2014-12-09T00:00:00"/>
    <n v="2"/>
    <x v="2"/>
    <s v="JF-15490"/>
    <s v="Jeremy Farry"/>
    <s v="Washington"/>
    <x v="0"/>
    <s v="Labels"/>
    <s v="Avery 509"/>
    <n v="2.61"/>
    <n v="1"/>
  </r>
  <r>
    <x v="367"/>
    <d v="2014-12-12T00:00:00"/>
    <n v="5"/>
    <x v="1"/>
    <s v="MS-17830"/>
    <s v="Melanie Seite"/>
    <s v="California"/>
    <x v="1"/>
    <s v="Furnishings"/>
    <s v="12-1/2 Diameter Round Wall Clock"/>
    <n v="79.92"/>
    <n v="4"/>
  </r>
  <r>
    <x v="367"/>
    <d v="2014-12-07T00:00:00"/>
    <n v="0"/>
    <x v="3"/>
    <s v="KH-16690"/>
    <s v="Kristen Hastings"/>
    <s v="California"/>
    <x v="0"/>
    <s v="Paper"/>
    <s v="Xerox 218"/>
    <n v="12.96"/>
    <n v="2"/>
  </r>
  <r>
    <x v="368"/>
    <d v="2014-12-12T00:00:00"/>
    <n v="4"/>
    <x v="1"/>
    <s v="YS-21880"/>
    <s v="Yana Sorensen"/>
    <s v="California"/>
    <x v="0"/>
    <s v="Storage"/>
    <s v="Stur-D-Stor Shelving, Vertical 5-Shelf: 72&quot;H x 36&quot;W x 18 1/2&quot;D"/>
    <n v="221.96"/>
    <n v="2"/>
  </r>
  <r>
    <x v="368"/>
    <d v="2014-12-12T00:00:00"/>
    <n v="4"/>
    <x v="1"/>
    <s v="YS-21880"/>
    <s v="Yana Sorensen"/>
    <s v="California"/>
    <x v="2"/>
    <s v="Accessories"/>
    <s v="WD My Passport Ultra 500GB Portable External Hard Drive"/>
    <n v="236"/>
    <n v="4"/>
  </r>
  <r>
    <x v="368"/>
    <d v="2014-12-12T00:00:00"/>
    <n v="4"/>
    <x v="1"/>
    <s v="HG-14965"/>
    <s v="Henry Goldwyn"/>
    <s v="Colorado"/>
    <x v="0"/>
    <s v="Paper"/>
    <s v="Southworth Parchment Paper &amp; Envelopes"/>
    <n v="15.696000000000002"/>
    <n v="3"/>
  </r>
  <r>
    <x v="369"/>
    <d v="2014-12-15T00:00:00"/>
    <n v="5"/>
    <x v="1"/>
    <s v="FC-14245"/>
    <s v="Frank Carlisle"/>
    <s v="California"/>
    <x v="0"/>
    <s v="Art"/>
    <s v="Boston Electric Pencil Sharpener, Model 1818, Charcoal Black"/>
    <n v="56.3"/>
    <n v="2"/>
  </r>
  <r>
    <x v="369"/>
    <d v="2014-12-14T00:00:00"/>
    <n v="4"/>
    <x v="1"/>
    <s v="MT-17815"/>
    <s v="Meg Tillman"/>
    <s v="California"/>
    <x v="0"/>
    <s v="Labels"/>
    <s v="Avery File Folder Labels"/>
    <n v="5.76"/>
    <n v="2"/>
  </r>
  <r>
    <x v="370"/>
    <d v="2014-12-16T00:00:00"/>
    <n v="5"/>
    <x v="1"/>
    <s v="IM-15070"/>
    <s v="Irene Maddox"/>
    <s v="Colorado"/>
    <x v="0"/>
    <s v="Art"/>
    <s v="Newell 313"/>
    <n v="13.120000000000001"/>
    <n v="5"/>
  </r>
  <r>
    <x v="370"/>
    <d v="2014-12-16T00:00:00"/>
    <n v="5"/>
    <x v="1"/>
    <s v="IM-15070"/>
    <s v="Irene Maddox"/>
    <s v="Colorado"/>
    <x v="1"/>
    <s v="Bookcases"/>
    <s v="Bush Westfield Collection Bookcases, Dark Cherry Finish"/>
    <n v="69.576000000000008"/>
    <n v="4"/>
  </r>
  <r>
    <x v="370"/>
    <d v="2014-12-16T00:00:00"/>
    <n v="5"/>
    <x v="1"/>
    <s v="IM-15070"/>
    <s v="Irene Maddox"/>
    <s v="Colorado"/>
    <x v="0"/>
    <s v="Art"/>
    <s v="Newell 326"/>
    <n v="4.2240000000000002"/>
    <n v="3"/>
  </r>
  <r>
    <x v="370"/>
    <d v="2014-12-16T00:00:00"/>
    <n v="5"/>
    <x v="1"/>
    <s v="IM-15070"/>
    <s v="Irene Maddox"/>
    <s v="Colorado"/>
    <x v="2"/>
    <s v="Accessories"/>
    <s v="Logitech Keyboard K120"/>
    <n v="58.08"/>
    <n v="4"/>
  </r>
  <r>
    <x v="370"/>
    <d v="2014-12-16T00:00:00"/>
    <n v="5"/>
    <x v="1"/>
    <s v="IM-15070"/>
    <s v="Irene Maddox"/>
    <s v="Colorado"/>
    <x v="1"/>
    <s v="Furnishings"/>
    <s v="Master Caster Door Stop, Large Neon Orange"/>
    <n v="52.416000000000004"/>
    <n v="9"/>
  </r>
  <r>
    <x v="370"/>
    <d v="2014-12-16T00:00:00"/>
    <n v="5"/>
    <x v="1"/>
    <s v="IM-15070"/>
    <s v="Irene Maddox"/>
    <s v="Colorado"/>
    <x v="1"/>
    <s v="Furnishings"/>
    <s v="DAX Wood Document Frame"/>
    <n v="54.920000000000009"/>
    <n v="5"/>
  </r>
  <r>
    <x v="370"/>
    <d v="2014-12-16T00:00:00"/>
    <n v="5"/>
    <x v="1"/>
    <s v="IM-15070"/>
    <s v="Irene Maddox"/>
    <s v="Colorado"/>
    <x v="1"/>
    <s v="Tables"/>
    <s v="Bevis Rectangular Conference Tables"/>
    <n v="364.95"/>
    <n v="5"/>
  </r>
  <r>
    <x v="370"/>
    <d v="2014-12-16T00:00:00"/>
    <n v="5"/>
    <x v="1"/>
    <s v="IM-15070"/>
    <s v="Irene Maddox"/>
    <s v="Colorado"/>
    <x v="0"/>
    <s v="Paper"/>
    <s v="Xerox 1932"/>
    <n v="85.055999999999997"/>
    <n v="3"/>
  </r>
  <r>
    <x v="370"/>
    <d v="2014-12-16T00:00:00"/>
    <n v="5"/>
    <x v="1"/>
    <s v="IM-15070"/>
    <s v="Irene Maddox"/>
    <s v="Colorado"/>
    <x v="0"/>
    <s v="Paper"/>
    <s v="Avery Personal Creations Heavyweight Cards"/>
    <n v="27.695999999999998"/>
    <n v="3"/>
  </r>
  <r>
    <x v="370"/>
    <d v="2014-12-17T00:00:00"/>
    <n v="6"/>
    <x v="1"/>
    <s v="JK-15640"/>
    <s v="Jim Kriz"/>
    <s v="California"/>
    <x v="0"/>
    <s v="Binders"/>
    <s v="GBC Recycled Grain Textured Covers"/>
    <n v="110.52800000000001"/>
    <n v="4"/>
  </r>
  <r>
    <x v="371"/>
    <d v="2014-12-16T00:00:00"/>
    <n v="4"/>
    <x v="1"/>
    <s v="LT-17110"/>
    <s v="Liz Thompson"/>
    <s v="California"/>
    <x v="1"/>
    <s v="Chairs"/>
    <s v="Lifetime Advantage Folding Chairs, 4/Carton"/>
    <n v="348.92800000000005"/>
    <n v="2"/>
  </r>
  <r>
    <x v="371"/>
    <d v="2014-12-15T00:00:00"/>
    <n v="3"/>
    <x v="2"/>
    <s v="DK-13375"/>
    <s v="Dennis Kane"/>
    <s v="California"/>
    <x v="0"/>
    <s v="Fasteners"/>
    <s v="Staples"/>
    <n v="7.86"/>
    <n v="2"/>
  </r>
  <r>
    <x v="371"/>
    <d v="2014-12-15T00:00:00"/>
    <n v="3"/>
    <x v="2"/>
    <s v="DK-13375"/>
    <s v="Dennis Kane"/>
    <s v="California"/>
    <x v="0"/>
    <s v="Binders"/>
    <s v="Recycled Premium Regency Composition Covers"/>
    <n v="24.448"/>
    <n v="2"/>
  </r>
  <r>
    <x v="371"/>
    <d v="2014-12-16T00:00:00"/>
    <n v="4"/>
    <x v="0"/>
    <s v="XP-21865"/>
    <s v="Xylona Preis"/>
    <s v="California"/>
    <x v="0"/>
    <s v="Art"/>
    <s v="Newell 311"/>
    <n v="2.21"/>
    <n v="1"/>
  </r>
  <r>
    <x v="371"/>
    <d v="2014-12-16T00:00:00"/>
    <n v="4"/>
    <x v="0"/>
    <s v="XP-21865"/>
    <s v="Xylona Preis"/>
    <s v="California"/>
    <x v="0"/>
    <s v="Envelopes"/>
    <s v="Peel &amp; Seel Envelopes"/>
    <n v="15.52"/>
    <n v="4"/>
  </r>
  <r>
    <x v="371"/>
    <d v="2014-12-16T00:00:00"/>
    <n v="4"/>
    <x v="0"/>
    <s v="XP-21865"/>
    <s v="Xylona Preis"/>
    <s v="California"/>
    <x v="0"/>
    <s v="Paper"/>
    <s v="Black Print Carbonless Snap-Off Rapid Letter, 8 1/2&quot; x 7&quot;"/>
    <n v="36.44"/>
    <n v="4"/>
  </r>
  <r>
    <x v="371"/>
    <d v="2014-12-16T00:00:00"/>
    <n v="4"/>
    <x v="1"/>
    <s v="HA-14905"/>
    <s v="Helen Abelman"/>
    <s v="California"/>
    <x v="1"/>
    <s v="Furnishings"/>
    <s v="Eldon Cleatmat Chair Mats for Medium Pile Carpets"/>
    <n v="166.5"/>
    <n v="3"/>
  </r>
  <r>
    <x v="371"/>
    <d v="2014-12-16T00:00:00"/>
    <n v="4"/>
    <x v="1"/>
    <s v="HA-14905"/>
    <s v="Helen Abelman"/>
    <s v="California"/>
    <x v="0"/>
    <s v="Storage"/>
    <s v="Standard Rollaway File with Lock"/>
    <n v="360.38"/>
    <n v="2"/>
  </r>
  <r>
    <x v="371"/>
    <d v="2014-12-15T00:00:00"/>
    <n v="3"/>
    <x v="0"/>
    <s v="JD-15895"/>
    <s v="Jonathan Doherty"/>
    <s v="Nevada"/>
    <x v="0"/>
    <s v="Paper"/>
    <s v="Xerox 1930"/>
    <n v="32.400000000000006"/>
    <n v="5"/>
  </r>
  <r>
    <x v="371"/>
    <d v="2014-12-15T00:00:00"/>
    <n v="3"/>
    <x v="0"/>
    <s v="JD-15895"/>
    <s v="Jonathan Doherty"/>
    <s v="Nevada"/>
    <x v="0"/>
    <s v="Paper"/>
    <s v="Xerox 1916"/>
    <n v="97.88"/>
    <n v="2"/>
  </r>
  <r>
    <x v="371"/>
    <d v="2014-12-15T00:00:00"/>
    <n v="3"/>
    <x v="2"/>
    <s v="KD-16270"/>
    <s v="Karen Daniels"/>
    <s v="California"/>
    <x v="2"/>
    <s v="Accessories"/>
    <s v="Logitech Wireless Marathon Mouse M705"/>
    <n v="299.94"/>
    <n v="6"/>
  </r>
  <r>
    <x v="371"/>
    <d v="2014-12-15T00:00:00"/>
    <n v="3"/>
    <x v="2"/>
    <s v="KD-16270"/>
    <s v="Karen Daniels"/>
    <s v="California"/>
    <x v="0"/>
    <s v="Supplies"/>
    <s v="Staple remover"/>
    <n v="25.76"/>
    <n v="7"/>
  </r>
  <r>
    <x v="372"/>
    <d v="2014-12-17T00:00:00"/>
    <n v="4"/>
    <x v="1"/>
    <s v="RP-19270"/>
    <s v="Rachel Payne"/>
    <s v="California"/>
    <x v="0"/>
    <s v="Paper"/>
    <s v="Xerox 213"/>
    <n v="12.96"/>
    <n v="2"/>
  </r>
  <r>
    <x v="372"/>
    <d v="2014-12-17T00:00:00"/>
    <n v="4"/>
    <x v="1"/>
    <s v="RP-19270"/>
    <s v="Rachel Payne"/>
    <s v="California"/>
    <x v="0"/>
    <s v="Appliances"/>
    <s v="Fellowes 8 Outlet Superior Workstation Surge Protector w/o Phone/Fax/Modem Protection"/>
    <n v="134.47999999999999"/>
    <n v="4"/>
  </r>
  <r>
    <x v="372"/>
    <d v="2014-12-15T00:00:00"/>
    <n v="2"/>
    <x v="0"/>
    <s v="MC-17575"/>
    <s v="Matt Collins"/>
    <s v="California"/>
    <x v="0"/>
    <s v="Labels"/>
    <s v="Avery 513"/>
    <n v="9.9600000000000009"/>
    <n v="2"/>
  </r>
  <r>
    <x v="372"/>
    <d v="2014-12-15T00:00:00"/>
    <n v="2"/>
    <x v="2"/>
    <s v="RD-19585"/>
    <s v="Rob Dowd"/>
    <s v="California"/>
    <x v="2"/>
    <s v="Phones"/>
    <s v="Plantronics Voyager Pro Legend"/>
    <n v="494.37600000000009"/>
    <n v="3"/>
  </r>
  <r>
    <x v="372"/>
    <d v="2014-12-15T00:00:00"/>
    <n v="2"/>
    <x v="2"/>
    <s v="RD-19585"/>
    <s v="Rob Dowd"/>
    <s v="California"/>
    <x v="0"/>
    <s v="Binders"/>
    <s v="Angle-D Binders with Locking Rings, Label Holders"/>
    <n v="29.2"/>
    <n v="5"/>
  </r>
  <r>
    <x v="372"/>
    <d v="2014-12-15T00:00:00"/>
    <n v="2"/>
    <x v="2"/>
    <s v="RD-19585"/>
    <s v="Rob Dowd"/>
    <s v="California"/>
    <x v="2"/>
    <s v="Accessories"/>
    <s v="Logitech K350 2.4Ghz Wireless Keyboard"/>
    <n v="248.85000000000002"/>
    <n v="5"/>
  </r>
  <r>
    <x v="372"/>
    <d v="2014-12-15T00:00:00"/>
    <n v="2"/>
    <x v="2"/>
    <s v="RD-19585"/>
    <s v="Rob Dowd"/>
    <s v="California"/>
    <x v="2"/>
    <s v="Accessories"/>
    <s v="Memorex Mini Travel Drive 64 GB USB 2.0 Flash Drive"/>
    <n v="36.24"/>
    <n v="1"/>
  </r>
  <r>
    <x v="373"/>
    <d v="2014-12-16T00:00:00"/>
    <n v="2"/>
    <x v="0"/>
    <s v="DJ-13630"/>
    <s v="Doug Jacobs"/>
    <s v="Oregon"/>
    <x v="2"/>
    <s v="Phones"/>
    <s v="HTC One"/>
    <n v="319.96800000000002"/>
    <n v="4"/>
  </r>
  <r>
    <x v="373"/>
    <d v="2014-12-19T00:00:00"/>
    <n v="5"/>
    <x v="1"/>
    <s v="RD-19480"/>
    <s v="Rick Duston"/>
    <s v="California"/>
    <x v="0"/>
    <s v="Binders"/>
    <s v="Wilson Jones Standard D-Ring Binders"/>
    <n v="8.0960000000000001"/>
    <n v="2"/>
  </r>
  <r>
    <x v="373"/>
    <d v="2014-12-18T00:00:00"/>
    <n v="4"/>
    <x v="1"/>
    <s v="PP-18955"/>
    <s v="Paul Prost"/>
    <s v="California"/>
    <x v="1"/>
    <s v="Furnishings"/>
    <s v="Master Caster Door Stop, Gray"/>
    <n v="15.24"/>
    <n v="3"/>
  </r>
  <r>
    <x v="373"/>
    <d v="2014-12-18T00:00:00"/>
    <n v="4"/>
    <x v="1"/>
    <s v="EH-13945"/>
    <s v="Eric Hoffmann"/>
    <s v="California"/>
    <x v="1"/>
    <s v="Furnishings"/>
    <s v="Staple-based wall hangings"/>
    <n v="29.22"/>
    <n v="3"/>
  </r>
  <r>
    <x v="373"/>
    <d v="2014-12-19T00:00:00"/>
    <n v="5"/>
    <x v="0"/>
    <s v="AJ-10945"/>
    <s v="Ashley Jarboe"/>
    <s v="California"/>
    <x v="2"/>
    <s v="Accessories"/>
    <s v="Micro Innovations USB RF Wireless Keyboard with Mouse"/>
    <n v="50"/>
    <n v="2"/>
  </r>
  <r>
    <x v="373"/>
    <d v="2014-12-16T00:00:00"/>
    <n v="2"/>
    <x v="0"/>
    <s v="DB-12970"/>
    <s v="Darren Budd"/>
    <s v="California"/>
    <x v="0"/>
    <s v="Binders"/>
    <s v="Ibico Recycled Grain-Textured Covers"/>
    <n v="55.264000000000003"/>
    <n v="2"/>
  </r>
  <r>
    <x v="373"/>
    <d v="2014-12-16T00:00:00"/>
    <n v="2"/>
    <x v="0"/>
    <s v="DB-12970"/>
    <s v="Darren Budd"/>
    <s v="California"/>
    <x v="0"/>
    <s v="Paper"/>
    <s v="Xerox 23"/>
    <n v="6.48"/>
    <n v="1"/>
  </r>
  <r>
    <x v="373"/>
    <d v="2014-12-16T00:00:00"/>
    <n v="2"/>
    <x v="0"/>
    <s v="DB-12970"/>
    <s v="Darren Budd"/>
    <s v="California"/>
    <x v="0"/>
    <s v="Binders"/>
    <s v="GBC Laser Imprintable Binding System Covers, Desert Sand"/>
    <n v="34.248000000000005"/>
    <n v="3"/>
  </r>
  <r>
    <x v="373"/>
    <d v="2014-12-16T00:00:00"/>
    <n v="2"/>
    <x v="0"/>
    <s v="DB-12970"/>
    <s v="Darren Budd"/>
    <s v="California"/>
    <x v="1"/>
    <s v="Tables"/>
    <s v="Bush Andora Conference Table, Maple/Graphite Gray Finish"/>
    <n v="273.56799999999998"/>
    <n v="2"/>
  </r>
  <r>
    <x v="374"/>
    <d v="2014-12-22T00:00:00"/>
    <n v="7"/>
    <x v="1"/>
    <s v="JH-15985"/>
    <s v="Joseph Holt"/>
    <s v="Washington"/>
    <x v="0"/>
    <s v="Appliances"/>
    <s v="3M Office Air Cleaner"/>
    <n v="103.92"/>
    <n v="4"/>
  </r>
  <r>
    <x v="374"/>
    <d v="2014-12-22T00:00:00"/>
    <n v="7"/>
    <x v="1"/>
    <s v="JH-15985"/>
    <s v="Joseph Holt"/>
    <s v="Washington"/>
    <x v="2"/>
    <s v="Accessories"/>
    <s v="Logitech G700s Rechargeable Gaming Mouse"/>
    <n v="899.91"/>
    <n v="9"/>
  </r>
  <r>
    <x v="374"/>
    <d v="2014-12-22T00:00:00"/>
    <n v="7"/>
    <x v="1"/>
    <s v="JH-15985"/>
    <s v="Joseph Holt"/>
    <s v="Washington"/>
    <x v="0"/>
    <s v="Binders"/>
    <s v="Acco D-Ring Binder w/DublLock"/>
    <n v="51.311999999999998"/>
    <n v="3"/>
  </r>
  <r>
    <x v="375"/>
    <d v="2014-12-19T00:00:00"/>
    <n v="3"/>
    <x v="2"/>
    <s v="SG-20080"/>
    <s v="Sandra Glassco"/>
    <s v="Washington"/>
    <x v="0"/>
    <s v="Paper"/>
    <s v="Xerox 190"/>
    <n v="4.9800000000000004"/>
    <n v="1"/>
  </r>
  <r>
    <x v="376"/>
    <d v="2014-12-19T00:00:00"/>
    <n v="2"/>
    <x v="0"/>
    <s v="PG-18895"/>
    <s v="Paul Gonzalez"/>
    <s v="California"/>
    <x v="0"/>
    <s v="Art"/>
    <s v="Sanford 52201 APSCO Electric Pencil Sharpener"/>
    <n v="204.85"/>
    <n v="5"/>
  </r>
  <r>
    <x v="376"/>
    <d v="2014-12-19T00:00:00"/>
    <n v="2"/>
    <x v="0"/>
    <s v="PG-18895"/>
    <s v="Paul Gonzalez"/>
    <s v="California"/>
    <x v="2"/>
    <s v="Phones"/>
    <s v="Panasonic KX TS3282W Corded phone"/>
    <n v="135.98400000000001"/>
    <n v="2"/>
  </r>
  <r>
    <x v="376"/>
    <d v="2014-12-19T00:00:00"/>
    <n v="2"/>
    <x v="0"/>
    <s v="PG-18895"/>
    <s v="Paul Gonzalez"/>
    <s v="California"/>
    <x v="0"/>
    <s v="Art"/>
    <s v="Sanford Colorific Eraseable Coloring Pencils, 12 Count"/>
    <n v="16.399999999999999"/>
    <n v="5"/>
  </r>
  <r>
    <x v="376"/>
    <d v="2014-12-19T00:00:00"/>
    <n v="2"/>
    <x v="0"/>
    <s v="PG-18895"/>
    <s v="Paul Gonzalez"/>
    <s v="California"/>
    <x v="0"/>
    <s v="Binders"/>
    <s v="Avery Arch Ring Binders"/>
    <n v="92.960000000000008"/>
    <n v="2"/>
  </r>
  <r>
    <x v="377"/>
    <d v="2014-12-22T00:00:00"/>
    <n v="4"/>
    <x v="1"/>
    <s v="MK-17905"/>
    <s v="Michael Kennedy"/>
    <s v="Colorado"/>
    <x v="0"/>
    <s v="Art"/>
    <s v="Newell 320"/>
    <n v="6.8480000000000008"/>
    <n v="2"/>
  </r>
  <r>
    <x v="378"/>
    <d v="2014-12-24T00:00:00"/>
    <n v="5"/>
    <x v="1"/>
    <s v="JG-15160"/>
    <s v="James Galang"/>
    <s v="California"/>
    <x v="2"/>
    <s v="Phones"/>
    <s v="ShoreTel ShorePhone IP 230 VoIP phone"/>
    <n v="675.96"/>
    <n v="5"/>
  </r>
  <r>
    <x v="378"/>
    <d v="2014-12-24T00:00:00"/>
    <n v="5"/>
    <x v="1"/>
    <s v="JG-15160"/>
    <s v="James Galang"/>
    <s v="California"/>
    <x v="2"/>
    <s v="Accessories"/>
    <s v="Plantronics Savi W720 Multi-Device Wireless Headset System"/>
    <n v="1265.8499999999999"/>
    <n v="3"/>
  </r>
  <r>
    <x v="379"/>
    <d v="2014-12-24T00:00:00"/>
    <n v="4"/>
    <x v="1"/>
    <s v="GZ-14470"/>
    <s v="Gary Zandusky"/>
    <s v="Arizona"/>
    <x v="0"/>
    <s v="Envelopes"/>
    <s v="#6 3/4 Gummed Flap White Envelopes"/>
    <n v="7.9200000000000008"/>
    <n v="1"/>
  </r>
  <r>
    <x v="379"/>
    <d v="2014-12-24T00:00:00"/>
    <n v="4"/>
    <x v="1"/>
    <s v="GZ-14470"/>
    <s v="Gary Zandusky"/>
    <s v="Arizona"/>
    <x v="1"/>
    <s v="Furnishings"/>
    <s v="Nu-Dell Float Frame 11 x 14 1/2"/>
    <n v="14.368000000000002"/>
    <n v="2"/>
  </r>
  <r>
    <x v="379"/>
    <d v="2014-12-25T00:00:00"/>
    <n v="5"/>
    <x v="0"/>
    <s v="AI-10855"/>
    <s v="Arianne Irving"/>
    <s v="California"/>
    <x v="0"/>
    <s v="Paper"/>
    <s v="Easy-staple paper"/>
    <n v="17.12"/>
    <n v="4"/>
  </r>
  <r>
    <x v="380"/>
    <d v="2014-12-24T00:00:00"/>
    <n v="3"/>
    <x v="0"/>
    <s v="JS-15880"/>
    <s v="John Stevenson"/>
    <s v="Washington"/>
    <x v="1"/>
    <s v="Tables"/>
    <s v="Bevis 36 x 72 Conference Tables"/>
    <n v="1618.37"/>
    <n v="13"/>
  </r>
  <r>
    <x v="380"/>
    <d v="2014-12-24T00:00:00"/>
    <n v="3"/>
    <x v="0"/>
    <s v="JS-15880"/>
    <s v="John Stevenson"/>
    <s v="Washington"/>
    <x v="2"/>
    <s v="Accessories"/>
    <s v="Enermax Acrylux Wireless Keyboard"/>
    <n v="99.6"/>
    <n v="1"/>
  </r>
  <r>
    <x v="380"/>
    <d v="2014-12-25T00:00:00"/>
    <n v="4"/>
    <x v="1"/>
    <s v="ER-13855"/>
    <s v="Elpida Rittenbach"/>
    <s v="Colorado"/>
    <x v="0"/>
    <s v="Appliances"/>
    <s v="Belkin 6 Outlet Metallic Surge Strip"/>
    <n v="60.984000000000009"/>
    <n v="7"/>
  </r>
  <r>
    <x v="381"/>
    <d v="2014-12-28T00:00:00"/>
    <n v="4"/>
    <x v="1"/>
    <s v="JR-15670"/>
    <s v="Jim Radford"/>
    <s v="Colorado"/>
    <x v="1"/>
    <s v="Bookcases"/>
    <s v="Atlantic Metals Mobile 4-Shelf Bookcases, Custom Colors"/>
    <n v="590.05800000000011"/>
    <n v="7"/>
  </r>
  <r>
    <x v="381"/>
    <d v="2014-12-28T00:00:00"/>
    <n v="4"/>
    <x v="1"/>
    <s v="JR-15670"/>
    <s v="Jim Radford"/>
    <s v="Colorado"/>
    <x v="0"/>
    <s v="Art"/>
    <s v="Dixon My First Ticonderoga Pencil, #2"/>
    <n v="14.04"/>
    <n v="3"/>
  </r>
  <r>
    <x v="381"/>
    <d v="2014-12-29T00:00:00"/>
    <n v="5"/>
    <x v="1"/>
    <s v="MS-17365"/>
    <s v="Maribeth Schnelling"/>
    <s v="Arizona"/>
    <x v="0"/>
    <s v="Paper"/>
    <s v="Computer Printout Paper with Letter-Trim Perforations"/>
    <n v="106.232"/>
    <n v="7"/>
  </r>
  <r>
    <x v="381"/>
    <d v="2014-12-29T00:00:00"/>
    <n v="5"/>
    <x v="1"/>
    <s v="MS-17365"/>
    <s v="Maribeth Schnelling"/>
    <s v="Arizona"/>
    <x v="2"/>
    <s v="Phones"/>
    <s v="ClearSounds CSC500 Amplified Spirit Phone Corded phone"/>
    <n v="111.98399999999999"/>
    <n v="2"/>
  </r>
  <r>
    <x v="381"/>
    <d v="2014-12-29T00:00:00"/>
    <n v="5"/>
    <x v="1"/>
    <s v="MS-17365"/>
    <s v="Maribeth Schnelling"/>
    <s v="Arizona"/>
    <x v="1"/>
    <s v="Furnishings"/>
    <s v="Magna Visual Magnetic Picture Hangers"/>
    <n v="7.7120000000000006"/>
    <n v="2"/>
  </r>
  <r>
    <x v="381"/>
    <d v="2014-12-28T00:00:00"/>
    <n v="4"/>
    <x v="1"/>
    <s v="HR-14830"/>
    <s v="Harold Ryan"/>
    <s v="Arizona"/>
    <x v="1"/>
    <s v="Chairs"/>
    <s v="SAFCO Arco Folding Chair"/>
    <n v="883.84"/>
    <n v="4"/>
  </r>
  <r>
    <x v="381"/>
    <d v="2014-12-29T00:00:00"/>
    <n v="5"/>
    <x v="1"/>
    <s v="KT-16465"/>
    <s v="Kean Takahito"/>
    <s v="California"/>
    <x v="0"/>
    <s v="Binders"/>
    <s v="Avery Hole Reinforcements"/>
    <n v="19.936000000000003"/>
    <n v="4"/>
  </r>
  <r>
    <x v="381"/>
    <d v="2014-12-29T00:00:00"/>
    <n v="5"/>
    <x v="1"/>
    <s v="KT-16465"/>
    <s v="Kean Takahito"/>
    <s v="California"/>
    <x v="0"/>
    <s v="Fasteners"/>
    <s v="Vinyl Coated Wire Paper Clips in Organizer Box, 800/Box"/>
    <n v="45.92"/>
    <n v="4"/>
  </r>
  <r>
    <x v="382"/>
    <d v="2014-12-30T00:00:00"/>
    <n v="5"/>
    <x v="0"/>
    <s v="RA-19285"/>
    <s v="Ralph Arnett"/>
    <s v="California"/>
    <x v="2"/>
    <s v="Copiers"/>
    <s v="Brother DCP1000 Digital 3 in 1 Multifunction Machine"/>
    <n v="1199.96"/>
    <n v="5"/>
  </r>
  <r>
    <x v="382"/>
    <d v="2014-12-30T00:00:00"/>
    <n v="5"/>
    <x v="0"/>
    <s v="RA-19285"/>
    <s v="Ralph Arnett"/>
    <s v="California"/>
    <x v="0"/>
    <s v="Paper"/>
    <s v="Important Message Pads, 50 4-1/4 x 5-1/2 Forms per Pad"/>
    <n v="12.600000000000001"/>
    <n v="3"/>
  </r>
  <r>
    <x v="382"/>
    <d v="2014-12-30T00:00:00"/>
    <n v="5"/>
    <x v="0"/>
    <s v="RA-19285"/>
    <s v="Ralph Arnett"/>
    <s v="California"/>
    <x v="0"/>
    <s v="Paper"/>
    <s v="Great White Multi-Use Recycled Paper (20Lb. and 84 Bright)"/>
    <n v="17.940000000000001"/>
    <n v="3"/>
  </r>
  <r>
    <x v="382"/>
    <d v="2014-12-29T00:00:00"/>
    <n v="4"/>
    <x v="1"/>
    <s v="SM-20320"/>
    <s v="Sean Miller"/>
    <s v="California"/>
    <x v="0"/>
    <s v="Paper"/>
    <s v="Xerox 1949"/>
    <n v="9.9600000000000009"/>
    <n v="2"/>
  </r>
  <r>
    <x v="383"/>
    <d v="2014-12-31T00:00:00"/>
    <n v="4"/>
    <x v="1"/>
    <s v="AG-10900"/>
    <s v="Arthur Gainer"/>
    <s v="California"/>
    <x v="0"/>
    <s v="Appliances"/>
    <s v="Belkin F9G930V10-GRY 9 Outlet Surge"/>
    <n v="106.96"/>
    <n v="2"/>
  </r>
  <r>
    <x v="383"/>
    <d v="2014-12-31T00:00:00"/>
    <n v="4"/>
    <x v="1"/>
    <s v="AG-10900"/>
    <s v="Arthur Gainer"/>
    <s v="California"/>
    <x v="0"/>
    <s v="Labels"/>
    <s v="Avery 497"/>
    <n v="21.560000000000002"/>
    <n v="7"/>
  </r>
  <r>
    <x v="383"/>
    <d v="2014-12-29T00:00:00"/>
    <n v="2"/>
    <x v="0"/>
    <s v="KN-16450"/>
    <s v="Kean Nguyen"/>
    <s v="California"/>
    <x v="2"/>
    <s v="Accessories"/>
    <s v="Maxell 4.7GB DVD-R 5/Pack"/>
    <n v="7.92"/>
    <n v="8"/>
  </r>
  <r>
    <x v="383"/>
    <d v="2014-12-31T00:00:00"/>
    <n v="4"/>
    <x v="1"/>
    <s v="AH-10030"/>
    <s v="Aaron Hawkins"/>
    <s v="California"/>
    <x v="0"/>
    <s v="Storage"/>
    <s v="Fellowes Super Stor/Drawer Files"/>
    <n v="323.10000000000002"/>
    <n v="2"/>
  </r>
  <r>
    <x v="383"/>
    <d v="2014-12-31T00:00:00"/>
    <n v="4"/>
    <x v="1"/>
    <s v="AH-10030"/>
    <s v="Aaron Hawkins"/>
    <s v="California"/>
    <x v="2"/>
    <s v="Phones"/>
    <s v="Geemarc AmpliPOWER60"/>
    <n v="668.16"/>
    <n v="9"/>
  </r>
  <r>
    <x v="384"/>
    <d v="2015-01-03T00:00:00"/>
    <n v="4"/>
    <x v="1"/>
    <s v="CL-12565"/>
    <s v="Clay Ludtke"/>
    <s v="California"/>
    <x v="0"/>
    <s v="Paper"/>
    <s v="Xerox 1929"/>
    <n v="68.52"/>
    <n v="3"/>
  </r>
  <r>
    <x v="384"/>
    <d v="2015-01-03T00:00:00"/>
    <n v="4"/>
    <x v="1"/>
    <s v="CL-12565"/>
    <s v="Clay Ludtke"/>
    <s v="California"/>
    <x v="0"/>
    <s v="Storage"/>
    <s v="2300 Heavy-Duty Transfer File Systems by Perma"/>
    <n v="74.94"/>
    <n v="3"/>
  </r>
  <r>
    <x v="384"/>
    <d v="2015-01-03T00:00:00"/>
    <n v="4"/>
    <x v="1"/>
    <s v="CL-12565"/>
    <s v="Clay Ludtke"/>
    <s v="California"/>
    <x v="2"/>
    <s v="Machines"/>
    <s v="Zebra GX420t Direct Thermal/Thermal Transfer Printer"/>
    <n v="2548.5600000000004"/>
    <n v="6"/>
  </r>
  <r>
    <x v="384"/>
    <d v="2015-01-03T00:00:00"/>
    <n v="4"/>
    <x v="1"/>
    <s v="CL-12565"/>
    <s v="Clay Ludtke"/>
    <s v="California"/>
    <x v="0"/>
    <s v="Envelopes"/>
    <s v="Tyvek Side-Opening Peel &amp; Seel Expanding Envelopes"/>
    <n v="271.44"/>
    <n v="3"/>
  </r>
  <r>
    <x v="384"/>
    <d v="2015-01-03T00:00:00"/>
    <n v="4"/>
    <x v="1"/>
    <s v="CL-12565"/>
    <s v="Clay Ludtke"/>
    <s v="California"/>
    <x v="2"/>
    <s v="Phones"/>
    <s v="Cisco SPA 502G IP Phone"/>
    <n v="287.88"/>
    <n v="3"/>
  </r>
  <r>
    <x v="385"/>
    <d v="2015-01-04T00:00:00"/>
    <n v="4"/>
    <x v="1"/>
    <s v="JO-15280"/>
    <s v="Jas O'Carroll"/>
    <s v="Montana"/>
    <x v="0"/>
    <s v="Binders"/>
    <s v="Ibico Hi-Tech Manual Binding System"/>
    <n v="487.98400000000004"/>
    <n v="2"/>
  </r>
  <r>
    <x v="386"/>
    <d v="2015-01-05T00:00:00"/>
    <n v="2"/>
    <x v="2"/>
    <s v="LR-16915"/>
    <s v="Lena Radford"/>
    <s v="California"/>
    <x v="0"/>
    <s v="Storage"/>
    <s v="Recycled Steel Personal File for Hanging File Folders"/>
    <n v="114.46"/>
    <n v="2"/>
  </r>
  <r>
    <x v="387"/>
    <d v="2015-01-12T00:00:00"/>
    <n v="5"/>
    <x v="1"/>
    <s v="DW-13480"/>
    <s v="Dianna Wilson"/>
    <s v="California"/>
    <x v="0"/>
    <s v="Art"/>
    <s v="Panasonic KP-350BK Electric Pencil Sharpener with Auto Stop"/>
    <n v="34.58"/>
    <n v="1"/>
  </r>
  <r>
    <x v="388"/>
    <d v="2015-01-15T00:00:00"/>
    <n v="6"/>
    <x v="1"/>
    <s v="LA-16780"/>
    <s v="Laura Armstrong"/>
    <s v="California"/>
    <x v="2"/>
    <s v="Accessories"/>
    <s v="Logitech G500s Laser Gaming Mouse with Adjustable Weight Tuning"/>
    <n v="349.95"/>
    <n v="5"/>
  </r>
  <r>
    <x v="388"/>
    <d v="2015-01-15T00:00:00"/>
    <n v="6"/>
    <x v="1"/>
    <s v="LA-16780"/>
    <s v="Laura Armstrong"/>
    <s v="California"/>
    <x v="2"/>
    <s v="Phones"/>
    <s v="netTALK DUO VoIP Telephone Service"/>
    <n v="377.92800000000005"/>
    <n v="9"/>
  </r>
  <r>
    <x v="389"/>
    <d v="2015-01-17T00:00:00"/>
    <n v="7"/>
    <x v="1"/>
    <s v="KB-16585"/>
    <s v="Ken Black"/>
    <s v="Washington"/>
    <x v="1"/>
    <s v="Furnishings"/>
    <s v="24-Hour Round Wall Clock"/>
    <n v="79.92"/>
    <n v="4"/>
  </r>
  <r>
    <x v="389"/>
    <d v="2015-01-17T00:00:00"/>
    <n v="7"/>
    <x v="1"/>
    <s v="KB-16585"/>
    <s v="Ken Black"/>
    <s v="Washington"/>
    <x v="2"/>
    <s v="Accessories"/>
    <s v="Logitech Media Keyboard K200"/>
    <n v="69.98"/>
    <n v="2"/>
  </r>
  <r>
    <x v="389"/>
    <d v="2015-01-13T00:00:00"/>
    <n v="3"/>
    <x v="0"/>
    <s v="JB-16000"/>
    <s v="Joy Bell-"/>
    <s v="Washington"/>
    <x v="1"/>
    <s v="Furnishings"/>
    <s v="DAX Value U-Channel Document Frames, Easel Back"/>
    <n v="24.849999999999998"/>
    <n v="5"/>
  </r>
  <r>
    <x v="390"/>
    <d v="2015-01-20T00:00:00"/>
    <n v="4"/>
    <x v="0"/>
    <s v="EH-13945"/>
    <s v="Eric Hoffmann"/>
    <s v="California"/>
    <x v="0"/>
    <s v="Binders"/>
    <s v="Wilson Jones Active Use Binders"/>
    <n v="11.648000000000001"/>
    <n v="2"/>
  </r>
  <r>
    <x v="390"/>
    <d v="2015-01-20T00:00:00"/>
    <n v="4"/>
    <x v="0"/>
    <s v="EH-13945"/>
    <s v="Eric Hoffmann"/>
    <s v="California"/>
    <x v="2"/>
    <s v="Accessories"/>
    <s v="Imation 8GB Mini TravelDrive USB 2.0 Flash Drive"/>
    <n v="90.570000000000007"/>
    <n v="3"/>
  </r>
  <r>
    <x v="391"/>
    <d v="2015-01-23T00:00:00"/>
    <n v="2"/>
    <x v="0"/>
    <s v="TD-20995"/>
    <s v="Tamara Dahlen"/>
    <s v="California"/>
    <x v="1"/>
    <s v="Chairs"/>
    <s v="Global Super Steno Chair"/>
    <n v="153.56800000000001"/>
    <n v="2"/>
  </r>
  <r>
    <x v="391"/>
    <d v="2015-01-23T00:00:00"/>
    <n v="2"/>
    <x v="0"/>
    <s v="TD-20995"/>
    <s v="Tamara Dahlen"/>
    <s v="California"/>
    <x v="1"/>
    <s v="Chairs"/>
    <s v="Global Ergonomic Managers Chair"/>
    <n v="1013.4879999999999"/>
    <n v="7"/>
  </r>
  <r>
    <x v="392"/>
    <d v="2015-01-28T00:00:00"/>
    <n v="6"/>
    <x v="1"/>
    <s v="AJ-10795"/>
    <s v="Anthony Johnson"/>
    <s v="Washington"/>
    <x v="1"/>
    <s v="Furnishings"/>
    <s v="Contract Clock, 14&quot;, Brown"/>
    <n v="109.9"/>
    <n v="5"/>
  </r>
  <r>
    <x v="392"/>
    <d v="2015-01-27T00:00:00"/>
    <n v="5"/>
    <x v="1"/>
    <s v="MC-17275"/>
    <s v="Marc Crier"/>
    <s v="Washington"/>
    <x v="0"/>
    <s v="Paper"/>
    <s v="Xerox 218"/>
    <n v="12.96"/>
    <n v="2"/>
  </r>
  <r>
    <x v="392"/>
    <d v="2015-01-28T00:00:00"/>
    <n v="6"/>
    <x v="1"/>
    <s v="FP-14320"/>
    <s v="Frank Preis"/>
    <s v="California"/>
    <x v="0"/>
    <s v="Labels"/>
    <s v="Avery 475"/>
    <n v="44.400000000000006"/>
    <n v="3"/>
  </r>
  <r>
    <x v="392"/>
    <d v="2015-01-28T00:00:00"/>
    <n v="6"/>
    <x v="1"/>
    <s v="FP-14320"/>
    <s v="Frank Preis"/>
    <s v="California"/>
    <x v="0"/>
    <s v="Labels"/>
    <s v="Avery 476"/>
    <n v="20.65"/>
    <n v="5"/>
  </r>
  <r>
    <x v="393"/>
    <d v="2015-01-29T00:00:00"/>
    <n v="6"/>
    <x v="1"/>
    <s v="CB-12415"/>
    <s v="Christy Brittain"/>
    <s v="California"/>
    <x v="1"/>
    <s v="Furnishings"/>
    <s v="DAX Cubicle Frames, 8-1/2 x 11"/>
    <n v="59.99"/>
    <n v="7"/>
  </r>
  <r>
    <x v="394"/>
    <d v="2015-02-01T00:00:00"/>
    <n v="4"/>
    <x v="0"/>
    <s v="HG-14965"/>
    <s v="Henry Goldwyn"/>
    <s v="California"/>
    <x v="0"/>
    <s v="Art"/>
    <s v="Newell 345"/>
    <n v="39.68"/>
    <n v="2"/>
  </r>
  <r>
    <x v="395"/>
    <d v="2015-02-03T00:00:00"/>
    <n v="4"/>
    <x v="1"/>
    <s v="JF-15490"/>
    <s v="Jeremy Farry"/>
    <s v="California"/>
    <x v="0"/>
    <s v="Binders"/>
    <s v="Heavy-Duty E-Z-D Binders"/>
    <n v="17.456"/>
    <n v="2"/>
  </r>
  <r>
    <x v="395"/>
    <d v="2015-01-31T00:00:00"/>
    <n v="1"/>
    <x v="2"/>
    <s v="SC-20725"/>
    <s v="Steven Cartwright"/>
    <s v="California"/>
    <x v="0"/>
    <s v="Storage"/>
    <s v="File Shuttle II and Handi-File, Black"/>
    <n v="305.01"/>
    <n v="9"/>
  </r>
  <r>
    <x v="395"/>
    <d v="2015-01-31T00:00:00"/>
    <n v="1"/>
    <x v="2"/>
    <s v="SC-20725"/>
    <s v="Steven Cartwright"/>
    <s v="California"/>
    <x v="0"/>
    <s v="Binders"/>
    <s v="GBC Wire Binding Strips"/>
    <n v="50.783999999999999"/>
    <n v="2"/>
  </r>
  <r>
    <x v="395"/>
    <d v="2015-01-31T00:00:00"/>
    <n v="1"/>
    <x v="2"/>
    <s v="SC-20725"/>
    <s v="Steven Cartwright"/>
    <s v="California"/>
    <x v="0"/>
    <s v="Labels"/>
    <s v="Avery 512"/>
    <n v="26.01"/>
    <n v="9"/>
  </r>
  <r>
    <x v="395"/>
    <d v="2015-02-01T00:00:00"/>
    <n v="2"/>
    <x v="0"/>
    <s v="TB-21250"/>
    <s v="Tim Brockman"/>
    <s v="Washington"/>
    <x v="1"/>
    <s v="Chairs"/>
    <s v="Global Deluxe High-Back Office Chair in Storm"/>
    <n v="435.16800000000006"/>
    <n v="4"/>
  </r>
  <r>
    <x v="395"/>
    <d v="2015-02-01T00:00:00"/>
    <n v="2"/>
    <x v="0"/>
    <s v="TB-21250"/>
    <s v="Tim Brockman"/>
    <s v="Washington"/>
    <x v="1"/>
    <s v="Bookcases"/>
    <s v="O'Sullivan 2-Shelf Heavy-Duty Bookcases"/>
    <n v="48.58"/>
    <n v="1"/>
  </r>
  <r>
    <x v="396"/>
    <d v="2015-02-04T00:00:00"/>
    <n v="4"/>
    <x v="1"/>
    <s v="SC-20050"/>
    <s v="Sample Company A"/>
    <s v="California"/>
    <x v="2"/>
    <s v="Phones"/>
    <s v="AT&amp;T 1080 Phone"/>
    <n v="109.59200000000001"/>
    <n v="1"/>
  </r>
  <r>
    <x v="396"/>
    <d v="2015-02-04T00:00:00"/>
    <n v="4"/>
    <x v="1"/>
    <s v="SC-20050"/>
    <s v="Sample Company A"/>
    <s v="California"/>
    <x v="0"/>
    <s v="Paper"/>
    <s v="Easy-staple paper"/>
    <n v="56.7"/>
    <n v="5"/>
  </r>
  <r>
    <x v="397"/>
    <d v="2015-02-07T00:00:00"/>
    <n v="6"/>
    <x v="1"/>
    <s v="SM-20950"/>
    <s v="Suzanne McNair"/>
    <s v="California"/>
    <x v="0"/>
    <s v="Paper"/>
    <s v="Xerox 1883"/>
    <n v="105.52"/>
    <n v="4"/>
  </r>
  <r>
    <x v="398"/>
    <d v="2015-02-08T00:00:00"/>
    <n v="4"/>
    <x v="1"/>
    <s v="TB-21520"/>
    <s v="Tracy Blumstein"/>
    <s v="Arizona"/>
    <x v="1"/>
    <s v="Furnishings"/>
    <s v="Nu-Dell Float Frame 11 x 14 1/2"/>
    <n v="14.368000000000002"/>
    <n v="2"/>
  </r>
  <r>
    <x v="398"/>
    <d v="2015-02-09T00:00:00"/>
    <n v="5"/>
    <x v="1"/>
    <s v="JB-15400"/>
    <s v="Jennifer Braxton"/>
    <s v="California"/>
    <x v="0"/>
    <s v="Storage"/>
    <s v="Safco Commercial Shelving"/>
    <n v="93.02"/>
    <n v="2"/>
  </r>
  <r>
    <x v="399"/>
    <d v="2015-02-10T00:00:00"/>
    <n v="5"/>
    <x v="1"/>
    <s v="AZ-10750"/>
    <s v="Annie Zypern"/>
    <s v="California"/>
    <x v="0"/>
    <s v="Labels"/>
    <s v="Avery 508"/>
    <n v="14.73"/>
    <n v="3"/>
  </r>
  <r>
    <x v="399"/>
    <d v="2015-02-10T00:00:00"/>
    <n v="5"/>
    <x v="1"/>
    <s v="AZ-10750"/>
    <s v="Annie Zypern"/>
    <s v="California"/>
    <x v="0"/>
    <s v="Storage"/>
    <s v="Fellowes Mobile File Cart, Black"/>
    <n v="186.54"/>
    <n v="3"/>
  </r>
  <r>
    <x v="399"/>
    <d v="2015-02-10T00:00:00"/>
    <n v="5"/>
    <x v="1"/>
    <s v="AZ-10750"/>
    <s v="Annie Zypern"/>
    <s v="California"/>
    <x v="1"/>
    <s v="Tables"/>
    <s v="Chromcraft Round Conference Tables"/>
    <n v="557.72799999999995"/>
    <n v="4"/>
  </r>
  <r>
    <x v="399"/>
    <d v="2015-02-10T00:00:00"/>
    <n v="5"/>
    <x v="1"/>
    <s v="AZ-10750"/>
    <s v="Annie Zypern"/>
    <s v="California"/>
    <x v="2"/>
    <s v="Phones"/>
    <s v="Anker Astro 15000mAh USB Portable Charger"/>
    <n v="159.96800000000002"/>
    <n v="4"/>
  </r>
  <r>
    <x v="400"/>
    <d v="2015-02-10T00:00:00"/>
    <n v="3"/>
    <x v="0"/>
    <s v="EB-13975"/>
    <s v="Erica Bern"/>
    <s v="California"/>
    <x v="2"/>
    <s v="Phones"/>
    <s v="Motorola L703CM"/>
    <n v="623.96"/>
    <n v="5"/>
  </r>
  <r>
    <x v="401"/>
    <d v="2015-02-13T00:00:00"/>
    <n v="4"/>
    <x v="1"/>
    <s v="JR-16210"/>
    <s v="Justin Ritter"/>
    <s v="California"/>
    <x v="2"/>
    <s v="Accessories"/>
    <s v="Logitech 910-002974 M325 Wireless Mouse for Web Scrolling"/>
    <n v="89.97"/>
    <n v="3"/>
  </r>
  <r>
    <x v="401"/>
    <d v="2015-02-13T00:00:00"/>
    <n v="4"/>
    <x v="1"/>
    <s v="JR-16210"/>
    <s v="Justin Ritter"/>
    <s v="California"/>
    <x v="2"/>
    <s v="Accessories"/>
    <s v="Maxell 4.7GB DVD+RW 3/Pack"/>
    <n v="31.86"/>
    <n v="2"/>
  </r>
  <r>
    <x v="402"/>
    <d v="2015-02-18T00:00:00"/>
    <n v="5"/>
    <x v="1"/>
    <s v="RD-19810"/>
    <s v="Ross DeVincentis"/>
    <s v="California"/>
    <x v="0"/>
    <s v="Paper"/>
    <s v="Tops Green Bar Computer Printout Paper"/>
    <n v="146.82"/>
    <n v="3"/>
  </r>
  <r>
    <x v="403"/>
    <d v="2015-02-22T00:00:00"/>
    <n v="3"/>
    <x v="0"/>
    <s v="GT-14710"/>
    <s v="Greg Tran"/>
    <s v="California"/>
    <x v="0"/>
    <s v="Paper"/>
    <s v="Xerox 1880"/>
    <n v="70.88"/>
    <n v="2"/>
  </r>
  <r>
    <x v="404"/>
    <d v="2015-02-26T00:00:00"/>
    <n v="5"/>
    <x v="0"/>
    <s v="MC-17635"/>
    <s v="Matthew Clasen"/>
    <s v="California"/>
    <x v="2"/>
    <s v="Accessories"/>
    <s v="SanDisk Ultra 16 GB MicroSDHC Class 10 Memory Card"/>
    <n v="12.99"/>
    <n v="1"/>
  </r>
  <r>
    <x v="404"/>
    <d v="2015-02-26T00:00:00"/>
    <n v="5"/>
    <x v="0"/>
    <s v="MC-17635"/>
    <s v="Matthew Clasen"/>
    <s v="California"/>
    <x v="0"/>
    <s v="Binders"/>
    <s v="Wilson Jones Clip &amp; Carry Folder Binder Tool for Ring Binders, Clear"/>
    <n v="18.559999999999999"/>
    <n v="4"/>
  </r>
  <r>
    <x v="404"/>
    <d v="2015-02-26T00:00:00"/>
    <n v="5"/>
    <x v="0"/>
    <s v="MC-17635"/>
    <s v="Matthew Clasen"/>
    <s v="California"/>
    <x v="0"/>
    <s v="Storage"/>
    <s v="Fellowes Officeware Wire Shelving"/>
    <n v="449.15"/>
    <n v="5"/>
  </r>
  <r>
    <x v="404"/>
    <d v="2015-02-26T00:00:00"/>
    <n v="5"/>
    <x v="0"/>
    <s v="MC-17635"/>
    <s v="Matthew Clasen"/>
    <s v="California"/>
    <x v="0"/>
    <s v="Binders"/>
    <s v="Avery Heavy-Duty EZD  Binder With Locking Rings"/>
    <n v="31.248000000000005"/>
    <n v="7"/>
  </r>
  <r>
    <x v="405"/>
    <d v="2015-02-26T00:00:00"/>
    <n v="4"/>
    <x v="1"/>
    <s v="TZ-21580"/>
    <s v="Tracy Zic"/>
    <s v="California"/>
    <x v="2"/>
    <s v="Phones"/>
    <s v="AT&amp;T 1070 Corded Phone"/>
    <n v="445.96000000000004"/>
    <n v="5"/>
  </r>
  <r>
    <x v="405"/>
    <d v="2015-02-26T00:00:00"/>
    <n v="4"/>
    <x v="1"/>
    <s v="TZ-21580"/>
    <s v="Tracy Zic"/>
    <s v="California"/>
    <x v="2"/>
    <s v="Accessories"/>
    <s v="Memorex Mini Travel Drive 64 GB USB 2.0 Flash Drive"/>
    <n v="36.24"/>
    <n v="1"/>
  </r>
  <r>
    <x v="405"/>
    <d v="2015-02-26T00:00:00"/>
    <n v="4"/>
    <x v="1"/>
    <s v="TZ-21580"/>
    <s v="Tracy Zic"/>
    <s v="California"/>
    <x v="0"/>
    <s v="Fasteners"/>
    <s v="Acco Clips to Go Binder Clips, 24 Clips in Two Sizes"/>
    <n v="10.649999999999999"/>
    <n v="3"/>
  </r>
  <r>
    <x v="406"/>
    <d v="2015-03-09T00:00:00"/>
    <n v="7"/>
    <x v="1"/>
    <s v="ON-18715"/>
    <s v="Odella Nelson"/>
    <s v="Colorado"/>
    <x v="2"/>
    <s v="Phones"/>
    <s v="RCA ViSYS 25423RE1 Corded phone"/>
    <n v="159.98400000000001"/>
    <n v="2"/>
  </r>
  <r>
    <x v="407"/>
    <d v="2015-03-04T00:00:00"/>
    <n v="0"/>
    <x v="3"/>
    <s v="TS-21160"/>
    <s v="Theresa Swint"/>
    <s v="California"/>
    <x v="0"/>
    <s v="Supplies"/>
    <s v="Elite 5&quot; Scissors"/>
    <n v="25.349999999999998"/>
    <n v="3"/>
  </r>
  <r>
    <x v="407"/>
    <d v="2015-03-04T00:00:00"/>
    <n v="0"/>
    <x v="3"/>
    <s v="TS-21160"/>
    <s v="Theresa Swint"/>
    <s v="California"/>
    <x v="1"/>
    <s v="Furnishings"/>
    <s v="Executive Impressions 10&quot; Spectator Wall Clock"/>
    <n v="35.28"/>
    <n v="3"/>
  </r>
  <r>
    <x v="408"/>
    <d v="2015-03-11T00:00:00"/>
    <n v="6"/>
    <x v="1"/>
    <s v="MG-17890"/>
    <s v="Michael Granlund"/>
    <s v="California"/>
    <x v="0"/>
    <s v="Art"/>
    <s v="Berol Giant Pencil Sharpener"/>
    <n v="16.989999999999998"/>
    <n v="1"/>
  </r>
  <r>
    <x v="409"/>
    <d v="2015-03-09T00:00:00"/>
    <n v="0"/>
    <x v="3"/>
    <s v="PG-18820"/>
    <s v="Patrick Gardner"/>
    <s v="Arizona"/>
    <x v="0"/>
    <s v="Binders"/>
    <s v="GBC Standard Recycled Report Covers, Clear Plastic Sheets"/>
    <n v="9.7020000000000017"/>
    <n v="3"/>
  </r>
  <r>
    <x v="410"/>
    <d v="2015-03-12T00:00:00"/>
    <n v="1"/>
    <x v="2"/>
    <s v="KF-16285"/>
    <s v="Karen Ferguson"/>
    <s v="California"/>
    <x v="0"/>
    <s v="Paper"/>
    <s v="Rediform Voice Mail Log Books"/>
    <n v="14.9"/>
    <n v="5"/>
  </r>
  <r>
    <x v="410"/>
    <d v="2015-03-12T00:00:00"/>
    <n v="1"/>
    <x v="2"/>
    <s v="KF-16285"/>
    <s v="Karen Ferguson"/>
    <s v="California"/>
    <x v="2"/>
    <s v="Phones"/>
    <s v="Apple iPhone 5"/>
    <n v="4158.9120000000003"/>
    <n v="8"/>
  </r>
  <r>
    <x v="410"/>
    <d v="2015-03-14T00:00:00"/>
    <n v="3"/>
    <x v="2"/>
    <s v="RH-19510"/>
    <s v="Rick Huthwaite"/>
    <s v="California"/>
    <x v="2"/>
    <s v="Accessories"/>
    <s v="Kingston Digital DataTraveler 16GB USB 2.0"/>
    <n v="26.849999999999998"/>
    <n v="3"/>
  </r>
  <r>
    <x v="410"/>
    <d v="2015-03-14T00:00:00"/>
    <n v="3"/>
    <x v="2"/>
    <s v="RH-19510"/>
    <s v="Rick Huthwaite"/>
    <s v="California"/>
    <x v="2"/>
    <s v="Machines"/>
    <s v="Okidata MB760 Printer"/>
    <n v="3357.6000000000004"/>
    <n v="3"/>
  </r>
  <r>
    <x v="410"/>
    <d v="2015-03-15T00:00:00"/>
    <n v="4"/>
    <x v="0"/>
    <s v="MH-17785"/>
    <s v="Maya Herman"/>
    <s v="Arizona"/>
    <x v="0"/>
    <s v="Storage"/>
    <s v="Mini 13-1/2 Capacity Data Binder Rack, Pearl"/>
    <n v="104.69600000000001"/>
    <n v="1"/>
  </r>
  <r>
    <x v="411"/>
    <d v="2015-03-16T00:00:00"/>
    <n v="3"/>
    <x v="0"/>
    <s v="DK-13225"/>
    <s v="Dean Katz"/>
    <s v="California"/>
    <x v="0"/>
    <s v="Storage"/>
    <s v="Tennsco Stur-D-Stor Boltless Shelving, 5 Shelves, 24&quot; Deep, Sand"/>
    <n v="676.55"/>
    <n v="5"/>
  </r>
  <r>
    <x v="411"/>
    <d v="2015-03-16T00:00:00"/>
    <n v="3"/>
    <x v="0"/>
    <s v="DK-13225"/>
    <s v="Dean Katz"/>
    <s v="California"/>
    <x v="0"/>
    <s v="Appliances"/>
    <s v="Euro-Pro Shark Turbo Vacuum"/>
    <n v="154.9"/>
    <n v="5"/>
  </r>
  <r>
    <x v="411"/>
    <d v="2015-03-16T00:00:00"/>
    <n v="3"/>
    <x v="0"/>
    <s v="DK-13225"/>
    <s v="Dean Katz"/>
    <s v="California"/>
    <x v="0"/>
    <s v="Envelopes"/>
    <s v="Security-Tint Envelopes"/>
    <n v="30.56"/>
    <n v="4"/>
  </r>
  <r>
    <x v="411"/>
    <d v="2015-03-16T00:00:00"/>
    <n v="3"/>
    <x v="0"/>
    <s v="DK-13225"/>
    <s v="Dean Katz"/>
    <s v="California"/>
    <x v="1"/>
    <s v="Chairs"/>
    <s v="Hon 4070 Series Pagoda Round Back Stacking Chairs"/>
    <n v="770.35200000000009"/>
    <n v="3"/>
  </r>
  <r>
    <x v="411"/>
    <d v="2015-03-17T00:00:00"/>
    <n v="4"/>
    <x v="1"/>
    <s v="SW-20245"/>
    <s v="Scot Wooten"/>
    <s v="California"/>
    <x v="0"/>
    <s v="Paper"/>
    <s v="Hammermill Color Copier Paper (28Lb. and 96 Bright)"/>
    <n v="19.98"/>
    <n v="2"/>
  </r>
  <r>
    <x v="412"/>
    <d v="2015-03-17T00:00:00"/>
    <n v="3"/>
    <x v="2"/>
    <s v="TW-21025"/>
    <s v="Tamara Willingham"/>
    <s v="Arizona"/>
    <x v="0"/>
    <s v="Appliances"/>
    <s v="Belkin 7 Outlet SurgeMaster Surge Protector with Phone Protection"/>
    <n v="157.91999999999999"/>
    <n v="5"/>
  </r>
  <r>
    <x v="412"/>
    <d v="2015-03-17T00:00:00"/>
    <n v="3"/>
    <x v="2"/>
    <s v="TW-21025"/>
    <s v="Tamara Willingham"/>
    <s v="Arizona"/>
    <x v="2"/>
    <s v="Phones"/>
    <s v="Jabra BIZ 2300 Duo QD Duo Corded Headset"/>
    <n v="203.184"/>
    <n v="2"/>
  </r>
  <r>
    <x v="412"/>
    <d v="2015-03-16T00:00:00"/>
    <n v="2"/>
    <x v="0"/>
    <s v="EH-13765"/>
    <s v="Edward Hooks"/>
    <s v="California"/>
    <x v="1"/>
    <s v="Furnishings"/>
    <s v="Westinghouse Mesh Shade Clip-On Gooseneck Lamp, Black"/>
    <n v="28.28"/>
    <n v="2"/>
  </r>
  <r>
    <x v="412"/>
    <d v="2015-03-16T00:00:00"/>
    <n v="2"/>
    <x v="0"/>
    <s v="EH-13765"/>
    <s v="Edward Hooks"/>
    <s v="California"/>
    <x v="0"/>
    <s v="Supplies"/>
    <s v="High Speed Automatic Electric Letter Opener"/>
    <n v="4912.59"/>
    <n v="3"/>
  </r>
  <r>
    <x v="412"/>
    <d v="2015-03-19T00:00:00"/>
    <n v="5"/>
    <x v="1"/>
    <s v="DB-13360"/>
    <s v="Dennis Bolton"/>
    <s v="California"/>
    <x v="0"/>
    <s v="Binders"/>
    <s v="Cardinal EasyOpen D-Ring Binders"/>
    <n v="51.184000000000012"/>
    <n v="7"/>
  </r>
  <r>
    <x v="413"/>
    <d v="2015-03-17T00:00:00"/>
    <n v="2"/>
    <x v="2"/>
    <s v="MM-18280"/>
    <s v="Muhammed MacIntyre"/>
    <s v="Washington"/>
    <x v="1"/>
    <s v="Chairs"/>
    <s v="Global High-Back Leather Tilter, Burgundy"/>
    <n v="196.78399999999999"/>
    <n v="2"/>
  </r>
  <r>
    <x v="413"/>
    <d v="2015-03-21T00:00:00"/>
    <n v="6"/>
    <x v="1"/>
    <s v="SP-20650"/>
    <s v="Stephanie Phelps"/>
    <s v="California"/>
    <x v="0"/>
    <s v="Binders"/>
    <s v="Wilson Jones Leather-Like Binders with DublLock Round Rings"/>
    <n v="41.904000000000003"/>
    <n v="6"/>
  </r>
  <r>
    <x v="414"/>
    <d v="2015-03-17T00:00:00"/>
    <n v="1"/>
    <x v="2"/>
    <s v="FC-14335"/>
    <s v="Fred Chung"/>
    <s v="California"/>
    <x v="0"/>
    <s v="Binders"/>
    <s v="Avery Round Ring Poly Binders"/>
    <n v="4.5439999999999996"/>
    <n v="2"/>
  </r>
  <r>
    <x v="414"/>
    <d v="2015-03-17T00:00:00"/>
    <n v="1"/>
    <x v="2"/>
    <s v="FC-14335"/>
    <s v="Fred Chung"/>
    <s v="California"/>
    <x v="1"/>
    <s v="Chairs"/>
    <s v="Global Comet Stacking Arm Chair"/>
    <n v="1352.0320000000002"/>
    <n v="4"/>
  </r>
  <r>
    <x v="415"/>
    <d v="2015-03-20T00:00:00"/>
    <n v="2"/>
    <x v="0"/>
    <s v="AC-10660"/>
    <s v="Anna Chung"/>
    <s v="California"/>
    <x v="2"/>
    <s v="Phones"/>
    <s v="i.Sound Portable Power - 8000 mAh"/>
    <n v="84.784000000000006"/>
    <n v="2"/>
  </r>
  <r>
    <x v="416"/>
    <d v="2015-03-22T00:00:00"/>
    <n v="2"/>
    <x v="0"/>
    <s v="BT-11440"/>
    <s v="Bobby Trafton"/>
    <s v="Colorado"/>
    <x v="1"/>
    <s v="Bookcases"/>
    <s v="Atlantic Metals Mobile 2-Shelf Bookcases, Custom Colors"/>
    <n v="72.294000000000011"/>
    <n v="1"/>
  </r>
  <r>
    <x v="417"/>
    <d v="2015-03-25T00:00:00"/>
    <n v="4"/>
    <x v="1"/>
    <s v="ZC-21910"/>
    <s v="Zuschuss Carroll"/>
    <s v="Oregon"/>
    <x v="2"/>
    <s v="Phones"/>
    <s v="i.Sound Portable Power - 8000 mAh"/>
    <n v="84.784000000000006"/>
    <n v="2"/>
  </r>
  <r>
    <x v="417"/>
    <d v="2015-03-25T00:00:00"/>
    <n v="4"/>
    <x v="1"/>
    <s v="ZC-21910"/>
    <s v="Zuschuss Carroll"/>
    <s v="Oregon"/>
    <x v="0"/>
    <s v="Paper"/>
    <s v="Xerox 225"/>
    <n v="20.736000000000004"/>
    <n v="4"/>
  </r>
  <r>
    <x v="417"/>
    <d v="2015-03-25T00:00:00"/>
    <n v="4"/>
    <x v="1"/>
    <s v="ZC-21910"/>
    <s v="Zuschuss Carroll"/>
    <s v="Oregon"/>
    <x v="0"/>
    <s v="Binders"/>
    <s v="Clear Mylar Reinforcing Strips"/>
    <n v="16.821000000000005"/>
    <n v="3"/>
  </r>
  <r>
    <x v="417"/>
    <d v="2015-03-25T00:00:00"/>
    <n v="4"/>
    <x v="1"/>
    <s v="ZC-21910"/>
    <s v="Zuschuss Carroll"/>
    <s v="Oregon"/>
    <x v="0"/>
    <s v="Paper"/>
    <s v="Xerox 1894"/>
    <n v="10.368000000000002"/>
    <n v="2"/>
  </r>
  <r>
    <x v="418"/>
    <d v="2015-03-26T00:00:00"/>
    <n v="3"/>
    <x v="2"/>
    <s v="RB-19645"/>
    <s v="Robert Barroso"/>
    <s v="Nevada"/>
    <x v="2"/>
    <s v="Accessories"/>
    <s v="Logitech ClearChat Comfort/USB Headset H390"/>
    <n v="58.58"/>
    <n v="2"/>
  </r>
  <r>
    <x v="418"/>
    <d v="2015-03-23T00:00:00"/>
    <n v="0"/>
    <x v="3"/>
    <s v="MC-17275"/>
    <s v="Marc Crier"/>
    <s v="Washington"/>
    <x v="1"/>
    <s v="Chairs"/>
    <s v="Global Stack Chair with Arms, Black"/>
    <n v="167.88800000000001"/>
    <n v="7"/>
  </r>
  <r>
    <x v="419"/>
    <d v="2015-03-29T00:00:00"/>
    <n v="4"/>
    <x v="1"/>
    <s v="DR-12880"/>
    <s v="Dan Reichenbach"/>
    <s v="Oregon"/>
    <x v="2"/>
    <s v="Phones"/>
    <s v="BlackBerry Q10"/>
    <n v="403.16800000000001"/>
    <n v="4"/>
  </r>
  <r>
    <x v="420"/>
    <d v="2015-03-29T00:00:00"/>
    <n v="2"/>
    <x v="0"/>
    <s v="MV-17485"/>
    <s v="Mark Van Huff"/>
    <s v="Idaho"/>
    <x v="0"/>
    <s v="Paper"/>
    <s v="Adams Telephone Message Book W/Dividers/Space For Phone Numbers, 5 1/4&quot;X8 1/2&quot;, 300/Messages"/>
    <n v="17.64"/>
    <n v="3"/>
  </r>
  <r>
    <x v="420"/>
    <d v="2015-03-29T00:00:00"/>
    <n v="2"/>
    <x v="0"/>
    <s v="MV-17485"/>
    <s v="Mark Van Huff"/>
    <s v="Idaho"/>
    <x v="0"/>
    <s v="Binders"/>
    <s v="Wilson Jones Hanging View Binder, White, 1&quot;"/>
    <n v="17.04"/>
    <n v="3"/>
  </r>
  <r>
    <x v="421"/>
    <d v="2015-04-01T00:00:00"/>
    <n v="3"/>
    <x v="0"/>
    <s v="CC-12220"/>
    <s v="Chris Cortes"/>
    <s v="California"/>
    <x v="0"/>
    <s v="Storage"/>
    <s v="Rogers Deluxe File Chest"/>
    <n v="87.92"/>
    <n v="4"/>
  </r>
  <r>
    <x v="421"/>
    <d v="2015-04-01T00:00:00"/>
    <n v="3"/>
    <x v="0"/>
    <s v="CC-12220"/>
    <s v="Chris Cortes"/>
    <s v="California"/>
    <x v="0"/>
    <s v="Paper"/>
    <s v="Xerox 1983"/>
    <n v="5.98"/>
    <n v="1"/>
  </r>
  <r>
    <x v="422"/>
    <d v="2015-04-09T00:00:00"/>
    <n v="7"/>
    <x v="1"/>
    <s v="BB-10990"/>
    <s v="Barry Blumstein"/>
    <s v="Arizona"/>
    <x v="0"/>
    <s v="Fasteners"/>
    <s v="Staples"/>
    <n v="31.560000000000002"/>
    <n v="5"/>
  </r>
  <r>
    <x v="422"/>
    <d v="2015-04-09T00:00:00"/>
    <n v="7"/>
    <x v="1"/>
    <s v="BB-10990"/>
    <s v="Barry Blumstein"/>
    <s v="Arizona"/>
    <x v="0"/>
    <s v="Appliances"/>
    <s v="Belkin F9H710-06 7 Outlet SurgeMaster Surge Protector"/>
    <n v="30.144000000000002"/>
    <n v="2"/>
  </r>
  <r>
    <x v="423"/>
    <d v="2015-04-10T00:00:00"/>
    <n v="2"/>
    <x v="2"/>
    <s v="YC-21895"/>
    <s v="Yoseph Carroll"/>
    <s v="California"/>
    <x v="2"/>
    <s v="Copiers"/>
    <s v="Hewlett Packard 610 Color Digital Copier / Printer"/>
    <n v="1199.9760000000001"/>
    <n v="3"/>
  </r>
  <r>
    <x v="424"/>
    <d v="2015-04-13T00:00:00"/>
    <n v="4"/>
    <x v="1"/>
    <s v="LC-17140"/>
    <s v="Logan Currie"/>
    <s v="California"/>
    <x v="0"/>
    <s v="Paper"/>
    <s v="Xerox 1923"/>
    <n v="20.04"/>
    <n v="3"/>
  </r>
  <r>
    <x v="424"/>
    <d v="2015-04-13T00:00:00"/>
    <n v="4"/>
    <x v="1"/>
    <s v="LC-17140"/>
    <s v="Logan Currie"/>
    <s v="California"/>
    <x v="0"/>
    <s v="Storage"/>
    <s v="Fellowes Neat Ideas Storage Cubes"/>
    <n v="64.959999999999994"/>
    <n v="2"/>
  </r>
  <r>
    <x v="424"/>
    <d v="2015-04-13T00:00:00"/>
    <n v="4"/>
    <x v="1"/>
    <s v="LC-17140"/>
    <s v="Logan Currie"/>
    <s v="California"/>
    <x v="0"/>
    <s v="Paper"/>
    <s v="Xerox 1931"/>
    <n v="12.96"/>
    <n v="2"/>
  </r>
  <r>
    <x v="424"/>
    <d v="2015-04-15T00:00:00"/>
    <n v="6"/>
    <x v="1"/>
    <s v="CK-12595"/>
    <s v="Clytie Kelty"/>
    <s v="California"/>
    <x v="1"/>
    <s v="Furnishings"/>
    <s v="C-Line Magnetic Cubicle Keepers, Clear Polypropylene"/>
    <n v="24.700000000000003"/>
    <n v="5"/>
  </r>
  <r>
    <x v="425"/>
    <d v="2015-04-14T00:00:00"/>
    <n v="4"/>
    <x v="1"/>
    <s v="EB-13750"/>
    <s v="Edward Becker"/>
    <s v="Washington"/>
    <x v="0"/>
    <s v="Binders"/>
    <s v="Acco Pressboard Covers with Storage Hooks, 14 7/8&quot; x 11&quot;, Light Blue"/>
    <n v="35.352000000000004"/>
    <n v="9"/>
  </r>
  <r>
    <x v="425"/>
    <d v="2015-04-15T00:00:00"/>
    <n v="5"/>
    <x v="1"/>
    <s v="HF-14995"/>
    <s v="Herbert Flentye"/>
    <s v="California"/>
    <x v="1"/>
    <s v="Bookcases"/>
    <s v="Bush Somerset Collection Bookcase"/>
    <n v="556.66499999999996"/>
    <n v="5"/>
  </r>
  <r>
    <x v="426"/>
    <d v="2015-04-17T00:00:00"/>
    <n v="6"/>
    <x v="1"/>
    <s v="FM-14215"/>
    <s v="Filia McAdams"/>
    <s v="California"/>
    <x v="0"/>
    <s v="Paper"/>
    <s v="Xerox 227"/>
    <n v="12.96"/>
    <n v="2"/>
  </r>
  <r>
    <x v="426"/>
    <d v="2015-04-17T00:00:00"/>
    <n v="6"/>
    <x v="1"/>
    <s v="FM-14215"/>
    <s v="Filia McAdams"/>
    <s v="California"/>
    <x v="0"/>
    <s v="Binders"/>
    <s v="Wilson Jones Clip &amp; Carry Folder Binder Tool for Ring Binders, Clear"/>
    <n v="23.2"/>
    <n v="5"/>
  </r>
  <r>
    <x v="426"/>
    <d v="2015-04-18T00:00:00"/>
    <n v="7"/>
    <x v="1"/>
    <s v="BT-11680"/>
    <s v="Brian Thompson"/>
    <s v="California"/>
    <x v="0"/>
    <s v="Appliances"/>
    <s v="3M Replacement Filter for Office Air Cleaner for 20' x 33' Room"/>
    <n v="113.76"/>
    <n v="3"/>
  </r>
  <r>
    <x v="426"/>
    <d v="2015-04-18T00:00:00"/>
    <n v="7"/>
    <x v="1"/>
    <s v="BT-11680"/>
    <s v="Brian Thompson"/>
    <s v="California"/>
    <x v="0"/>
    <s v="Storage"/>
    <s v="Fellowes Staxonsteel Drawer Files"/>
    <n v="579.51"/>
    <n v="3"/>
  </r>
  <r>
    <x v="426"/>
    <d v="2015-04-18T00:00:00"/>
    <n v="7"/>
    <x v="1"/>
    <s v="BT-11680"/>
    <s v="Brian Thompson"/>
    <s v="California"/>
    <x v="0"/>
    <s v="Storage"/>
    <s v="Rogers Profile Extra Capacity Storage Tub"/>
    <n v="150.66"/>
    <n v="9"/>
  </r>
  <r>
    <x v="426"/>
    <d v="2015-04-18T00:00:00"/>
    <n v="7"/>
    <x v="1"/>
    <s v="BT-11680"/>
    <s v="Brian Thompson"/>
    <s v="California"/>
    <x v="0"/>
    <s v="Binders"/>
    <s v="GBC Prepunched Paper, 19-Hole, for Binding Systems, 24-lb"/>
    <n v="48.032000000000004"/>
    <n v="4"/>
  </r>
  <r>
    <x v="427"/>
    <d v="2015-04-17T00:00:00"/>
    <n v="4"/>
    <x v="1"/>
    <s v="BP-11290"/>
    <s v="Beth Paige"/>
    <s v="California"/>
    <x v="1"/>
    <s v="Chairs"/>
    <s v="Hon Comfortask Task/Swivel Chairs"/>
    <n v="638.28800000000012"/>
    <n v="7"/>
  </r>
  <r>
    <x v="427"/>
    <d v="2015-04-17T00:00:00"/>
    <n v="4"/>
    <x v="1"/>
    <s v="BP-11290"/>
    <s v="Beth Paige"/>
    <s v="California"/>
    <x v="0"/>
    <s v="Binders"/>
    <s v="JM Magazine Binder"/>
    <n v="13.208000000000002"/>
    <n v="1"/>
  </r>
  <r>
    <x v="427"/>
    <d v="2015-04-15T00:00:00"/>
    <n v="2"/>
    <x v="2"/>
    <s v="JF-15295"/>
    <s v="Jason Fortune-"/>
    <s v="California"/>
    <x v="0"/>
    <s v="Paper"/>
    <s v="Xerox 206"/>
    <n v="19.440000000000001"/>
    <n v="3"/>
  </r>
  <r>
    <x v="427"/>
    <d v="2015-04-15T00:00:00"/>
    <n v="2"/>
    <x v="2"/>
    <s v="JF-15295"/>
    <s v="Jason Fortune-"/>
    <s v="California"/>
    <x v="1"/>
    <s v="Chairs"/>
    <s v="Global Geo Office Task Chair, Gray"/>
    <n v="194.35200000000003"/>
    <n v="3"/>
  </r>
  <r>
    <x v="427"/>
    <d v="2015-04-15T00:00:00"/>
    <n v="2"/>
    <x v="2"/>
    <s v="JF-15295"/>
    <s v="Jason Fortune-"/>
    <s v="California"/>
    <x v="0"/>
    <s v="Binders"/>
    <s v="Aluminum Screw Posts"/>
    <n v="36.624000000000002"/>
    <n v="3"/>
  </r>
  <r>
    <x v="428"/>
    <d v="2015-04-16T00:00:00"/>
    <n v="2"/>
    <x v="2"/>
    <s v="SP-20920"/>
    <s v="Susan Pistek"/>
    <s v="California"/>
    <x v="0"/>
    <s v="Envelopes"/>
    <s v="Poly String Tie Envelopes"/>
    <n v="6.12"/>
    <n v="3"/>
  </r>
  <r>
    <x v="429"/>
    <d v="2015-04-19T00:00:00"/>
    <n v="4"/>
    <x v="1"/>
    <s v="PB-19150"/>
    <s v="Philip Brown"/>
    <s v="California"/>
    <x v="1"/>
    <s v="Chairs"/>
    <s v="Bevis Steel Folding Chairs"/>
    <n v="383.8"/>
    <n v="5"/>
  </r>
  <r>
    <x v="429"/>
    <d v="2015-04-15T00:00:00"/>
    <n v="0"/>
    <x v="3"/>
    <s v="KT-16465"/>
    <s v="Kean Takahito"/>
    <s v="Arizona"/>
    <x v="1"/>
    <s v="Chairs"/>
    <s v="Hon 4070 Series Pagoda Armless Upholstered Stacking Chairs"/>
    <n v="933.53600000000006"/>
    <n v="4"/>
  </r>
  <r>
    <x v="429"/>
    <d v="2015-04-15T00:00:00"/>
    <n v="0"/>
    <x v="3"/>
    <s v="KT-16465"/>
    <s v="Kean Takahito"/>
    <s v="Arizona"/>
    <x v="0"/>
    <s v="Storage"/>
    <s v="Fellowes Personal Hanging Folder Files, Navy"/>
    <n v="42.975999999999999"/>
    <n v="4"/>
  </r>
  <r>
    <x v="430"/>
    <d v="2015-04-18T00:00:00"/>
    <n v="2"/>
    <x v="0"/>
    <s v="BD-11320"/>
    <s v="Bill Donatelli"/>
    <s v="California"/>
    <x v="1"/>
    <s v="Chairs"/>
    <s v="HON 5400 Series Task Chairs for Big and Tall"/>
    <n v="1121.568"/>
    <n v="2"/>
  </r>
  <r>
    <x v="430"/>
    <d v="2015-04-18T00:00:00"/>
    <n v="2"/>
    <x v="0"/>
    <s v="JK-16120"/>
    <s v="Julie Kriz"/>
    <s v="California"/>
    <x v="0"/>
    <s v="Paper"/>
    <s v="Xerox 1911"/>
    <n v="143.69999999999999"/>
    <n v="3"/>
  </r>
  <r>
    <x v="431"/>
    <d v="2015-04-19T00:00:00"/>
    <n v="2"/>
    <x v="0"/>
    <s v="BM-11785"/>
    <s v="Bryan Mills"/>
    <s v="Washington"/>
    <x v="0"/>
    <s v="Supplies"/>
    <s v="Stiletto Hand Letter Openers"/>
    <n v="28.799999999999997"/>
    <n v="3"/>
  </r>
  <r>
    <x v="432"/>
    <d v="2015-04-22T00:00:00"/>
    <n v="4"/>
    <x v="1"/>
    <s v="JM-15535"/>
    <s v="Jessica Myrick"/>
    <s v="California"/>
    <x v="1"/>
    <s v="Bookcases"/>
    <s v="Bush Westfield Collection Bookcases, Fully Assembled"/>
    <n v="257.49900000000002"/>
    <n v="3"/>
  </r>
  <r>
    <x v="433"/>
    <d v="2015-04-25T00:00:00"/>
    <n v="5"/>
    <x v="0"/>
    <s v="JO-15280"/>
    <s v="Jas O'Carroll"/>
    <s v="California"/>
    <x v="2"/>
    <s v="Phones"/>
    <s v="PowerGen Dual USB Car Charger"/>
    <n v="39.960000000000008"/>
    <n v="5"/>
  </r>
  <r>
    <x v="433"/>
    <d v="2015-04-25T00:00:00"/>
    <n v="5"/>
    <x v="0"/>
    <s v="JO-15280"/>
    <s v="Jas O'Carroll"/>
    <s v="California"/>
    <x v="0"/>
    <s v="Art"/>
    <s v="Newell 307"/>
    <n v="5.46"/>
    <n v="3"/>
  </r>
  <r>
    <x v="433"/>
    <d v="2015-04-25T00:00:00"/>
    <n v="5"/>
    <x v="0"/>
    <s v="JO-15280"/>
    <s v="Jas O'Carroll"/>
    <s v="California"/>
    <x v="0"/>
    <s v="Art"/>
    <s v="Panasonic KP-4ABK Battery-Operated Pencil Sharpener"/>
    <n v="73.2"/>
    <n v="5"/>
  </r>
  <r>
    <x v="433"/>
    <d v="2015-04-25T00:00:00"/>
    <n v="5"/>
    <x v="0"/>
    <s v="JO-15280"/>
    <s v="Jas O'Carroll"/>
    <s v="California"/>
    <x v="0"/>
    <s v="Binders"/>
    <s v="Angle-D Binders with Locking Rings, Label Holders"/>
    <n v="5.84"/>
    <n v="1"/>
  </r>
  <r>
    <x v="433"/>
    <d v="2015-04-25T00:00:00"/>
    <n v="5"/>
    <x v="0"/>
    <s v="JO-15280"/>
    <s v="Jas O'Carroll"/>
    <s v="California"/>
    <x v="0"/>
    <s v="Paper"/>
    <s v="Adams Telephone Message Book W/Dividers/Space For Phone Numbers, 5 1/4&quot;X8 1/2&quot;, 200/Messages"/>
    <n v="22.72"/>
    <n v="4"/>
  </r>
  <r>
    <x v="433"/>
    <d v="2015-04-25T00:00:00"/>
    <n v="5"/>
    <x v="0"/>
    <s v="JO-15280"/>
    <s v="Jas O'Carroll"/>
    <s v="California"/>
    <x v="0"/>
    <s v="Binders"/>
    <s v="Avery Binder Labels"/>
    <n v="9.3360000000000003"/>
    <n v="3"/>
  </r>
  <r>
    <x v="434"/>
    <d v="2015-04-25T00:00:00"/>
    <n v="3"/>
    <x v="2"/>
    <s v="DN-13690"/>
    <s v="Duane Noonan"/>
    <s v="Washington"/>
    <x v="0"/>
    <s v="Binders"/>
    <s v="Round Ring Binders"/>
    <n v="8.32"/>
    <n v="5"/>
  </r>
  <r>
    <x v="435"/>
    <d v="2015-04-30T00:00:00"/>
    <n v="7"/>
    <x v="1"/>
    <s v="TN-21040"/>
    <s v="Tanja Norvell"/>
    <s v="Arizona"/>
    <x v="1"/>
    <s v="Furnishings"/>
    <s v="Eldon Wave Desk Accessories"/>
    <n v="23.56"/>
    <n v="5"/>
  </r>
  <r>
    <x v="435"/>
    <d v="2015-04-30T00:00:00"/>
    <n v="7"/>
    <x v="1"/>
    <s v="TN-21040"/>
    <s v="Tanja Norvell"/>
    <s v="Arizona"/>
    <x v="1"/>
    <s v="Tables"/>
    <s v="Bush Advantage Collection Racetrack Conference Table"/>
    <n v="1272.6299999999999"/>
    <n v="6"/>
  </r>
  <r>
    <x v="435"/>
    <d v="2015-04-30T00:00:00"/>
    <n v="7"/>
    <x v="1"/>
    <s v="TN-21040"/>
    <s v="Tanja Norvell"/>
    <s v="Arizona"/>
    <x v="0"/>
    <s v="Binders"/>
    <s v="Poly Designer Cover &amp; Back"/>
    <n v="28.484999999999999"/>
    <n v="5"/>
  </r>
  <r>
    <x v="435"/>
    <d v="2015-04-30T00:00:00"/>
    <n v="7"/>
    <x v="1"/>
    <s v="TN-21040"/>
    <s v="Tanja Norvell"/>
    <s v="Arizona"/>
    <x v="0"/>
    <s v="Supplies"/>
    <s v="Premier Electric Letter Opener"/>
    <n v="185.376"/>
    <n v="2"/>
  </r>
  <r>
    <x v="435"/>
    <d v="2015-04-30T00:00:00"/>
    <n v="7"/>
    <x v="1"/>
    <s v="TN-21040"/>
    <s v="Tanja Norvell"/>
    <s v="Arizona"/>
    <x v="0"/>
    <s v="Appliances"/>
    <s v="Fellowes Premier Superior Surge Suppressor, 10-Outlet, With Phone and Remote"/>
    <n v="78.272000000000006"/>
    <n v="2"/>
  </r>
  <r>
    <x v="435"/>
    <d v="2015-04-27T00:00:00"/>
    <n v="4"/>
    <x v="0"/>
    <s v="PG-18895"/>
    <s v="Paul Gonzalez"/>
    <s v="California"/>
    <x v="1"/>
    <s v="Furnishings"/>
    <s v="Ultra Door Pull Handle"/>
    <n v="31.56"/>
    <n v="3"/>
  </r>
  <r>
    <x v="436"/>
    <d v="2015-04-28T00:00:00"/>
    <n v="4"/>
    <x v="1"/>
    <s v="GK-14620"/>
    <s v="Grace Kelly"/>
    <s v="California"/>
    <x v="0"/>
    <s v="Binders"/>
    <s v="Ibico Laser Imprintable Binding System Covers"/>
    <n v="251.52"/>
    <n v="6"/>
  </r>
  <r>
    <x v="436"/>
    <d v="2015-04-28T00:00:00"/>
    <n v="4"/>
    <x v="1"/>
    <s v="GK-14620"/>
    <s v="Grace Kelly"/>
    <s v="California"/>
    <x v="2"/>
    <s v="Accessories"/>
    <s v="Logitech Wireless Headset h800"/>
    <n v="99.99"/>
    <n v="1"/>
  </r>
  <r>
    <x v="436"/>
    <d v="2015-04-28T00:00:00"/>
    <n v="4"/>
    <x v="1"/>
    <s v="AF-10870"/>
    <s v="Art Ferguson"/>
    <s v="California"/>
    <x v="0"/>
    <s v="Binders"/>
    <s v="Recycled Pressboard Report Cover with Reinforced Top Hinge"/>
    <n v="18.088000000000001"/>
    <n v="7"/>
  </r>
  <r>
    <x v="436"/>
    <d v="2015-04-28T00:00:00"/>
    <n v="4"/>
    <x v="1"/>
    <s v="AF-10870"/>
    <s v="Art Ferguson"/>
    <s v="California"/>
    <x v="0"/>
    <s v="Envelopes"/>
    <s v="Recycled Interoffice Envelopes with String and Button Closure, 10 x 13"/>
    <n v="71.97"/>
    <n v="3"/>
  </r>
  <r>
    <x v="437"/>
    <d v="2015-04-28T00:00:00"/>
    <n v="3"/>
    <x v="2"/>
    <s v="JL-15130"/>
    <s v="Jack Lebron"/>
    <s v="California"/>
    <x v="0"/>
    <s v="Binders"/>
    <s v="Cardinal Holdit Business Card Pockets"/>
    <n v="3.9840000000000004"/>
    <n v="1"/>
  </r>
  <r>
    <x v="437"/>
    <d v="2015-04-29T00:00:00"/>
    <n v="4"/>
    <x v="1"/>
    <s v="CL-12700"/>
    <s v="Craig Leslie"/>
    <s v="Colorado"/>
    <x v="0"/>
    <s v="Paper"/>
    <s v="Xerox 226"/>
    <n v="15.552000000000003"/>
    <n v="3"/>
  </r>
  <r>
    <x v="437"/>
    <d v="2015-04-29T00:00:00"/>
    <n v="4"/>
    <x v="1"/>
    <s v="CL-12700"/>
    <s v="Craig Leslie"/>
    <s v="Colorado"/>
    <x v="1"/>
    <s v="Chairs"/>
    <s v="SAFCO Arco Folding Chair"/>
    <n v="1325.76"/>
    <n v="6"/>
  </r>
  <r>
    <x v="437"/>
    <d v="2015-04-29T00:00:00"/>
    <n v="4"/>
    <x v="1"/>
    <s v="CL-12700"/>
    <s v="Craig Leslie"/>
    <s v="Colorado"/>
    <x v="0"/>
    <s v="Binders"/>
    <s v="Wilson Jones Impact Binders"/>
    <n v="3.1080000000000001"/>
    <n v="2"/>
  </r>
  <r>
    <x v="438"/>
    <d v="2015-05-03T00:00:00"/>
    <n v="4"/>
    <x v="1"/>
    <s v="EH-14005"/>
    <s v="Erica Hernandez"/>
    <s v="Colorado"/>
    <x v="0"/>
    <s v="Paper"/>
    <s v="Xerox 1881"/>
    <n v="29.472000000000001"/>
    <n v="3"/>
  </r>
  <r>
    <x v="438"/>
    <d v="2015-05-06T00:00:00"/>
    <n v="7"/>
    <x v="1"/>
    <s v="BO-11350"/>
    <s v="Bill Overfelt"/>
    <s v="California"/>
    <x v="1"/>
    <s v="Chairs"/>
    <s v="Global Stack Chair without Arms, Black"/>
    <n v="41.568000000000005"/>
    <n v="2"/>
  </r>
  <r>
    <x v="439"/>
    <d v="2015-05-05T00:00:00"/>
    <n v="4"/>
    <x v="1"/>
    <s v="KD-16615"/>
    <s v="Ken Dana"/>
    <s v="Arizona"/>
    <x v="1"/>
    <s v="Furnishings"/>
    <s v="12-1/2 Diameter Round Wall Clock"/>
    <n v="111.88800000000001"/>
    <n v="7"/>
  </r>
  <r>
    <x v="440"/>
    <d v="2015-05-10T00:00:00"/>
    <n v="4"/>
    <x v="1"/>
    <s v="BF-11005"/>
    <s v="Barry Franz"/>
    <s v="California"/>
    <x v="0"/>
    <s v="Storage"/>
    <s v="Perma STOR-ALL Hanging File Box, 13 1/8&quot;W x 12 1/4&quot;D x 10 1/2&quot;H"/>
    <n v="5.98"/>
    <n v="1"/>
  </r>
  <r>
    <x v="440"/>
    <d v="2015-05-10T00:00:00"/>
    <n v="4"/>
    <x v="1"/>
    <s v="BF-11005"/>
    <s v="Barry Franz"/>
    <s v="California"/>
    <x v="2"/>
    <s v="Phones"/>
    <s v="Cisco Small Business SPA 502G VoIP phone"/>
    <n v="246.16800000000001"/>
    <n v="3"/>
  </r>
  <r>
    <x v="440"/>
    <d v="2015-05-09T00:00:00"/>
    <n v="3"/>
    <x v="2"/>
    <s v="DM-13015"/>
    <s v="Darrin Martin"/>
    <s v="California"/>
    <x v="0"/>
    <s v="Binders"/>
    <s v="Computer Printout Index Tabs"/>
    <n v="6.7200000000000006"/>
    <n v="5"/>
  </r>
  <r>
    <x v="440"/>
    <d v="2015-05-09T00:00:00"/>
    <n v="3"/>
    <x v="2"/>
    <s v="DM-13015"/>
    <s v="Darrin Martin"/>
    <s v="California"/>
    <x v="1"/>
    <s v="Tables"/>
    <s v="Bevis 36 x 72 Conference Tables"/>
    <n v="298.77600000000001"/>
    <n v="3"/>
  </r>
  <r>
    <x v="440"/>
    <d v="2015-05-08T00:00:00"/>
    <n v="2"/>
    <x v="0"/>
    <s v="AH-10465"/>
    <s v="Amy Hunt"/>
    <s v="California"/>
    <x v="1"/>
    <s v="Tables"/>
    <s v="Hon 61000 Series Interactive Training Tables"/>
    <n v="71.088000000000008"/>
    <n v="2"/>
  </r>
  <r>
    <x v="440"/>
    <d v="2015-05-07T00:00:00"/>
    <n v="1"/>
    <x v="2"/>
    <s v="LW-16990"/>
    <s v="Lindsay Williams"/>
    <s v="Nevada"/>
    <x v="1"/>
    <s v="Tables"/>
    <s v="Global Adaptabilities Conference Tables"/>
    <n v="1685.88"/>
    <n v="6"/>
  </r>
  <r>
    <x v="440"/>
    <d v="2015-05-07T00:00:00"/>
    <n v="1"/>
    <x v="2"/>
    <s v="LW-16990"/>
    <s v="Lindsay Williams"/>
    <s v="Nevada"/>
    <x v="0"/>
    <s v="Binders"/>
    <s v="Avery Poly Binder Pockets"/>
    <n v="5.7280000000000006"/>
    <n v="2"/>
  </r>
  <r>
    <x v="441"/>
    <d v="2015-05-11T00:00:00"/>
    <n v="4"/>
    <x v="1"/>
    <s v="GM-14500"/>
    <s v="Gene McClure"/>
    <s v="California"/>
    <x v="1"/>
    <s v="Furnishings"/>
    <s v="Executive Impressions 8-1/2&quot; Career Panel/Partition Cubicle Clock"/>
    <n v="41.6"/>
    <n v="4"/>
  </r>
  <r>
    <x v="442"/>
    <d v="2015-05-11T00:00:00"/>
    <n v="2"/>
    <x v="2"/>
    <s v="TB-21625"/>
    <s v="Trudy Brown"/>
    <s v="California"/>
    <x v="0"/>
    <s v="Paper"/>
    <s v="Xerox 1920"/>
    <n v="17.940000000000001"/>
    <n v="3"/>
  </r>
  <r>
    <x v="443"/>
    <d v="2015-05-15T00:00:00"/>
    <n v="5"/>
    <x v="1"/>
    <s v="SS-20590"/>
    <s v="Sonia Sunley"/>
    <s v="Washington"/>
    <x v="2"/>
    <s v="Accessories"/>
    <s v="Sony Micro Vault Click 8 GB USB 2.0 Flash Drive"/>
    <n v="93.98"/>
    <n v="2"/>
  </r>
  <r>
    <x v="443"/>
    <d v="2015-05-15T00:00:00"/>
    <n v="5"/>
    <x v="1"/>
    <s v="RS-19420"/>
    <s v="Ricardo Sperren"/>
    <s v="California"/>
    <x v="0"/>
    <s v="Paper"/>
    <s v="TOPS Money Receipt Book, Consecutively Numbered in Red,"/>
    <n v="32.04"/>
    <n v="4"/>
  </r>
  <r>
    <x v="444"/>
    <d v="2015-05-17T00:00:00"/>
    <n v="6"/>
    <x v="1"/>
    <s v="RD-19720"/>
    <s v="Roger Demir"/>
    <s v="Washington"/>
    <x v="0"/>
    <s v="Paper"/>
    <s v="Xerox 1965"/>
    <n v="11.96"/>
    <n v="2"/>
  </r>
  <r>
    <x v="445"/>
    <d v="2015-05-13T00:00:00"/>
    <n v="1"/>
    <x v="2"/>
    <s v="TT-21070"/>
    <s v="Ted Trevino"/>
    <s v="California"/>
    <x v="0"/>
    <s v="Paper"/>
    <s v="Xerox 1920"/>
    <n v="5.98"/>
    <n v="1"/>
  </r>
  <r>
    <x v="446"/>
    <d v="2015-05-18T00:00:00"/>
    <n v="5"/>
    <x v="1"/>
    <s v="JM-15580"/>
    <s v="Jill Matthias"/>
    <s v="Washington"/>
    <x v="0"/>
    <s v="Envelopes"/>
    <s v="Manila Recycled Extra-Heavyweight Clasp Envelopes, 6&quot; x 9&quot;"/>
    <n v="54.900000000000006"/>
    <n v="5"/>
  </r>
  <r>
    <x v="446"/>
    <d v="2015-05-17T00:00:00"/>
    <n v="4"/>
    <x v="1"/>
    <s v="VM-21835"/>
    <s v="Vivian Mathis"/>
    <s v="California"/>
    <x v="2"/>
    <s v="Accessories"/>
    <s v="Memorex Mini Travel Drive 32 GB USB 2.0 Flash Drive"/>
    <n v="120"/>
    <n v="6"/>
  </r>
  <r>
    <x v="446"/>
    <d v="2015-05-17T00:00:00"/>
    <n v="4"/>
    <x v="1"/>
    <s v="VM-21835"/>
    <s v="Vivian Mathis"/>
    <s v="California"/>
    <x v="0"/>
    <s v="Appliances"/>
    <s v="Staple holder"/>
    <n v="8.67"/>
    <n v="1"/>
  </r>
  <r>
    <x v="447"/>
    <d v="2015-05-15T00:00:00"/>
    <n v="0"/>
    <x v="3"/>
    <s v="TH-21235"/>
    <s v="Tiffany House"/>
    <s v="Arizona"/>
    <x v="2"/>
    <s v="Accessories"/>
    <s v="Imation 16GB Mini TravelDrive USB 2.0 Flash Drive"/>
    <n v="185.52800000000002"/>
    <n v="7"/>
  </r>
  <r>
    <x v="448"/>
    <d v="2015-05-22T00:00:00"/>
    <n v="5"/>
    <x v="0"/>
    <s v="DO-13435"/>
    <s v="Denny Ordway"/>
    <s v="California"/>
    <x v="0"/>
    <s v="Paper"/>
    <s v="Xerox 196"/>
    <n v="17.34"/>
    <n v="3"/>
  </r>
  <r>
    <x v="448"/>
    <d v="2015-05-20T00:00:00"/>
    <n v="3"/>
    <x v="0"/>
    <s v="SC-20095"/>
    <s v="Sanjit Chand"/>
    <s v="California"/>
    <x v="1"/>
    <s v="Furnishings"/>
    <s v="Tenex Carpeted, Granite-Look or Clear Contemporary Contour Shape Chair Mats"/>
    <n v="282.83999999999997"/>
    <n v="4"/>
  </r>
  <r>
    <x v="448"/>
    <d v="2015-05-20T00:00:00"/>
    <n v="3"/>
    <x v="0"/>
    <s v="SC-20095"/>
    <s v="Sanjit Chand"/>
    <s v="California"/>
    <x v="0"/>
    <s v="Labels"/>
    <s v="Avery 481"/>
    <n v="27.72"/>
    <n v="9"/>
  </r>
  <r>
    <x v="449"/>
    <d v="2015-05-25T00:00:00"/>
    <n v="6"/>
    <x v="1"/>
    <s v="EB-13930"/>
    <s v="Eric Barreto"/>
    <s v="California"/>
    <x v="0"/>
    <s v="Storage"/>
    <s v="Home/Office Personal File Carts"/>
    <n v="104.28"/>
    <n v="3"/>
  </r>
  <r>
    <x v="449"/>
    <d v="2015-05-25T00:00:00"/>
    <n v="6"/>
    <x v="1"/>
    <s v="EB-13930"/>
    <s v="Eric Barreto"/>
    <s v="California"/>
    <x v="0"/>
    <s v="Paper"/>
    <s v="Universal Premium White Copier/Laser Paper (20Lb. and 87 Bright)"/>
    <n v="17.940000000000001"/>
    <n v="3"/>
  </r>
  <r>
    <x v="450"/>
    <d v="2015-05-25T00:00:00"/>
    <n v="5"/>
    <x v="1"/>
    <s v="BT-11395"/>
    <s v="Bill Tyler"/>
    <s v="California"/>
    <x v="0"/>
    <s v="Binders"/>
    <s v="GBC Personal VeloBind Strips"/>
    <n v="9.5840000000000014"/>
    <n v="1"/>
  </r>
  <r>
    <x v="450"/>
    <d v="2015-05-24T00:00:00"/>
    <n v="4"/>
    <x v="1"/>
    <s v="AH-10690"/>
    <s v="Anna Häberlin"/>
    <s v="California"/>
    <x v="0"/>
    <s v="Appliances"/>
    <s v="Staple holder"/>
    <n v="87.84"/>
    <n v="8"/>
  </r>
  <r>
    <x v="451"/>
    <d v="2015-05-26T00:00:00"/>
    <n v="5"/>
    <x v="1"/>
    <s v="RB-19465"/>
    <s v="Rick Bensley"/>
    <s v="California"/>
    <x v="1"/>
    <s v="Furnishings"/>
    <s v="Luxo Professional Fluorescent Magnifier Lamp with Clamp-Mount Base"/>
    <n v="1049.2"/>
    <n v="5"/>
  </r>
  <r>
    <x v="451"/>
    <d v="2015-05-26T00:00:00"/>
    <n v="5"/>
    <x v="1"/>
    <s v="RB-19465"/>
    <s v="Rick Bensley"/>
    <s v="California"/>
    <x v="0"/>
    <s v="Binders"/>
    <s v="Wilson Jones Turn Tabs Binder Tool for Ring Binders"/>
    <n v="15.424000000000001"/>
    <n v="4"/>
  </r>
  <r>
    <x v="451"/>
    <d v="2015-05-24T00:00:00"/>
    <n v="3"/>
    <x v="2"/>
    <s v="EH-14125"/>
    <s v="Eugene Hildebrand"/>
    <s v="Colorado"/>
    <x v="0"/>
    <s v="Binders"/>
    <s v="GBC Durable Plastic Covers"/>
    <n v="40.635000000000012"/>
    <n v="7"/>
  </r>
  <r>
    <x v="452"/>
    <d v="2015-05-24T00:00:00"/>
    <n v="2"/>
    <x v="2"/>
    <s v="LH-17155"/>
    <s v="Logan Haushalter"/>
    <s v="California"/>
    <x v="2"/>
    <s v="Phones"/>
    <s v="Motorola HK250 Universal Bluetooth Headset"/>
    <n v="55.176000000000002"/>
    <n v="3"/>
  </r>
  <r>
    <x v="452"/>
    <d v="2015-05-24T00:00:00"/>
    <n v="2"/>
    <x v="2"/>
    <s v="LH-17155"/>
    <s v="Logan Haushalter"/>
    <s v="California"/>
    <x v="2"/>
    <s v="Accessories"/>
    <s v="Imation 16GB Mini TravelDrive USB 2.0 Flash Drive"/>
    <n v="66.260000000000005"/>
    <n v="2"/>
  </r>
  <r>
    <x v="452"/>
    <d v="2015-05-29T00:00:00"/>
    <n v="7"/>
    <x v="1"/>
    <s v="LC-16930"/>
    <s v="Linda Cazamias"/>
    <s v="Nevada"/>
    <x v="2"/>
    <s v="Machines"/>
    <s v="Panasonic KX MB2061 Multifunction Printer"/>
    <n v="2396.4"/>
    <n v="10"/>
  </r>
  <r>
    <x v="453"/>
    <d v="2015-05-30T00:00:00"/>
    <n v="7"/>
    <x v="1"/>
    <s v="JE-15610"/>
    <s v="Jim Epp"/>
    <s v="California"/>
    <x v="2"/>
    <s v="Phones"/>
    <s v="Nortel Business Series Terminal T7208 Digital phone"/>
    <n v="222.38400000000001"/>
    <n v="2"/>
  </r>
  <r>
    <x v="454"/>
    <d v="2015-05-28T00:00:00"/>
    <n v="4"/>
    <x v="1"/>
    <s v="LD-17005"/>
    <s v="Lisa DeCherney"/>
    <s v="California"/>
    <x v="1"/>
    <s v="Furnishings"/>
    <s v="Eldon Image Series Desk Accessories, Ebony"/>
    <n v="37.049999999999997"/>
    <n v="3"/>
  </r>
  <r>
    <x v="455"/>
    <d v="2015-06-01T00:00:00"/>
    <n v="5"/>
    <x v="1"/>
    <s v="SV-20785"/>
    <s v="Stewart Visinsky"/>
    <s v="California"/>
    <x v="0"/>
    <s v="Fasteners"/>
    <s v="Alliance Big Bands Rubber Bands, 12/Pack"/>
    <n v="5.9399999999999995"/>
    <n v="3"/>
  </r>
  <r>
    <x v="455"/>
    <d v="2015-06-01T00:00:00"/>
    <n v="5"/>
    <x v="1"/>
    <s v="SV-20785"/>
    <s v="Stewart Visinsky"/>
    <s v="California"/>
    <x v="0"/>
    <s v="Paper"/>
    <s v="Xerox 1946"/>
    <n v="45.36"/>
    <n v="7"/>
  </r>
  <r>
    <x v="455"/>
    <d v="2015-06-01T00:00:00"/>
    <n v="5"/>
    <x v="1"/>
    <s v="SV-20785"/>
    <s v="Stewart Visinsky"/>
    <s v="California"/>
    <x v="2"/>
    <s v="Phones"/>
    <s v="Cisco SPA508G"/>
    <n v="211.16800000000001"/>
    <n v="4"/>
  </r>
  <r>
    <x v="455"/>
    <d v="2015-06-01T00:00:00"/>
    <n v="5"/>
    <x v="1"/>
    <s v="SV-20785"/>
    <s v="Stewart Visinsky"/>
    <s v="California"/>
    <x v="1"/>
    <s v="Chairs"/>
    <s v="Global Low Back Tilter Chair"/>
    <n v="484.70400000000006"/>
    <n v="6"/>
  </r>
  <r>
    <x v="455"/>
    <d v="2015-06-01T00:00:00"/>
    <n v="5"/>
    <x v="1"/>
    <s v="SV-20785"/>
    <s v="Stewart Visinsky"/>
    <s v="California"/>
    <x v="2"/>
    <s v="Machines"/>
    <s v="Fellowes Powershred HS-440 4-Sheet High Security Shredder"/>
    <n v="371.97600000000006"/>
    <n v="3"/>
  </r>
  <r>
    <x v="456"/>
    <d v="2015-06-03T00:00:00"/>
    <n v="6"/>
    <x v="1"/>
    <s v="LS-17245"/>
    <s v="Lynn Smith"/>
    <s v="California"/>
    <x v="0"/>
    <s v="Paper"/>
    <s v="Wirebound Message Books, Four 2 3/4 x 5 White Forms per Page"/>
    <n v="13.38"/>
    <n v="2"/>
  </r>
  <r>
    <x v="457"/>
    <d v="2015-06-04T00:00:00"/>
    <n v="6"/>
    <x v="1"/>
    <s v="CL-12565"/>
    <s v="Clay Ludtke"/>
    <s v="California"/>
    <x v="0"/>
    <s v="Appliances"/>
    <s v="Kensington 7 Outlet MasterPiece HOMEOFFICE Power Control Center"/>
    <n v="262.24"/>
    <n v="2"/>
  </r>
  <r>
    <x v="457"/>
    <d v="2015-06-04T00:00:00"/>
    <n v="6"/>
    <x v="1"/>
    <s v="CL-12565"/>
    <s v="Clay Ludtke"/>
    <s v="California"/>
    <x v="0"/>
    <s v="Paper"/>
    <s v="Xerox 1991"/>
    <n v="182.72"/>
    <n v="8"/>
  </r>
  <r>
    <x v="457"/>
    <d v="2015-06-04T00:00:00"/>
    <n v="6"/>
    <x v="1"/>
    <s v="CL-12565"/>
    <s v="Clay Ludtke"/>
    <s v="California"/>
    <x v="2"/>
    <s v="Accessories"/>
    <s v="Imation Clip USB flash drive - 8 GB"/>
    <n v="131.6"/>
    <n v="7"/>
  </r>
  <r>
    <x v="457"/>
    <d v="2015-06-04T00:00:00"/>
    <n v="6"/>
    <x v="1"/>
    <s v="CL-12565"/>
    <s v="Clay Ludtke"/>
    <s v="California"/>
    <x v="0"/>
    <s v="Binders"/>
    <s v="Wilson Jones Hanging View Binder, White, 1&quot;"/>
    <n v="22.72"/>
    <n v="4"/>
  </r>
  <r>
    <x v="457"/>
    <d v="2015-06-04T00:00:00"/>
    <n v="6"/>
    <x v="1"/>
    <s v="CL-12565"/>
    <s v="Clay Ludtke"/>
    <s v="California"/>
    <x v="2"/>
    <s v="Machines"/>
    <s v="Okidata C331dn Printer"/>
    <n v="558.4"/>
    <n v="2"/>
  </r>
  <r>
    <x v="458"/>
    <d v="2015-06-05T00:00:00"/>
    <n v="5"/>
    <x v="1"/>
    <s v="MY-17380"/>
    <s v="Maribeth Yedwab"/>
    <s v="Colorado"/>
    <x v="0"/>
    <s v="Binders"/>
    <s v="Vinyl Sectional Post Binders"/>
    <n v="22.620000000000005"/>
    <n v="2"/>
  </r>
  <r>
    <x v="458"/>
    <d v="2015-06-05T00:00:00"/>
    <n v="5"/>
    <x v="1"/>
    <s v="MY-17380"/>
    <s v="Maribeth Yedwab"/>
    <s v="Colorado"/>
    <x v="0"/>
    <s v="Binders"/>
    <s v="GBC Standard Therm-A-Bind Covers"/>
    <n v="14.952000000000004"/>
    <n v="2"/>
  </r>
  <r>
    <x v="458"/>
    <d v="2015-06-05T00:00:00"/>
    <n v="5"/>
    <x v="1"/>
    <s v="MY-17380"/>
    <s v="Maribeth Yedwab"/>
    <s v="Colorado"/>
    <x v="1"/>
    <s v="Chairs"/>
    <s v="Global Troy Executive Leather Low-Back Tilter"/>
    <n v="801.5680000000001"/>
    <n v="2"/>
  </r>
  <r>
    <x v="458"/>
    <d v="2015-06-05T00:00:00"/>
    <n v="5"/>
    <x v="1"/>
    <s v="MY-17380"/>
    <s v="Maribeth Yedwab"/>
    <s v="Colorado"/>
    <x v="0"/>
    <s v="Binders"/>
    <s v="Storex Flexible Poly Binders with Double Pockets"/>
    <n v="2.3760000000000003"/>
    <n v="3"/>
  </r>
  <r>
    <x v="458"/>
    <d v="2015-06-05T00:00:00"/>
    <n v="5"/>
    <x v="1"/>
    <s v="MY-17380"/>
    <s v="Maribeth Yedwab"/>
    <s v="Colorado"/>
    <x v="0"/>
    <s v="Paper"/>
    <s v="White Dual Perf Computer Printout Paper, 2700 Sheets, 1 Part, Heavyweight, 20 lbs., 14 7/8 x 11"/>
    <n v="32.792000000000002"/>
    <n v="1"/>
  </r>
  <r>
    <x v="458"/>
    <d v="2015-06-04T00:00:00"/>
    <n v="4"/>
    <x v="1"/>
    <s v="NL-18310"/>
    <s v="Nancy Lomonaco"/>
    <s v="California"/>
    <x v="0"/>
    <s v="Paper"/>
    <s v="Xerox 228"/>
    <n v="38.880000000000003"/>
    <n v="6"/>
  </r>
  <r>
    <x v="458"/>
    <d v="2015-06-07T00:00:00"/>
    <n v="7"/>
    <x v="1"/>
    <s v="JG-15310"/>
    <s v="Jason Gross"/>
    <s v="California"/>
    <x v="1"/>
    <s v="Furnishings"/>
    <s v="36X48 HARDFLOOR CHAIRMAT"/>
    <n v="167.84"/>
    <n v="8"/>
  </r>
  <r>
    <x v="459"/>
    <d v="2015-06-07T00:00:00"/>
    <n v="4"/>
    <x v="1"/>
    <s v="EH-13765"/>
    <s v="Edward Hooks"/>
    <s v="Washington"/>
    <x v="0"/>
    <s v="Paper"/>
    <s v="Riverleaf Stik-Withit Designer Note Cubes"/>
    <n v="30.18"/>
    <n v="3"/>
  </r>
  <r>
    <x v="459"/>
    <d v="2015-06-07T00:00:00"/>
    <n v="4"/>
    <x v="1"/>
    <s v="EH-13765"/>
    <s v="Edward Hooks"/>
    <s v="Washington"/>
    <x v="0"/>
    <s v="Binders"/>
    <s v="Acco PRESSTEX Data Binder with Storage Hooks, Dark Blue, 14 7/8&quot; X 11&quot;"/>
    <n v="51.648000000000003"/>
    <n v="12"/>
  </r>
  <r>
    <x v="459"/>
    <d v="2015-06-07T00:00:00"/>
    <n v="4"/>
    <x v="1"/>
    <s v="EH-13765"/>
    <s v="Edward Hooks"/>
    <s v="Washington"/>
    <x v="0"/>
    <s v="Binders"/>
    <s v="Acco Translucent Poly Ring Binders"/>
    <n v="11.231999999999999"/>
    <n v="3"/>
  </r>
  <r>
    <x v="460"/>
    <d v="2015-06-07T00:00:00"/>
    <n v="3"/>
    <x v="0"/>
    <s v="CP-12340"/>
    <s v="Christine Phan"/>
    <s v="California"/>
    <x v="1"/>
    <s v="Tables"/>
    <s v="Hon 61000 Series Interactive Training Tables"/>
    <n v="71.088000000000008"/>
    <n v="2"/>
  </r>
  <r>
    <x v="461"/>
    <d v="2015-06-08T00:00:00"/>
    <n v="2"/>
    <x v="2"/>
    <s v="CK-12205"/>
    <s v="Chloris Kastensmidt"/>
    <s v="California"/>
    <x v="0"/>
    <s v="Binders"/>
    <s v="Avery Non-Stick Binders"/>
    <n v="21.552000000000003"/>
    <n v="6"/>
  </r>
  <r>
    <x v="461"/>
    <d v="2015-06-08T00:00:00"/>
    <n v="2"/>
    <x v="2"/>
    <s v="CK-12205"/>
    <s v="Chloris Kastensmidt"/>
    <s v="California"/>
    <x v="0"/>
    <s v="Appliances"/>
    <s v="Acco 6 Outlet Guardian Premium Surge Suppressor"/>
    <n v="58.24"/>
    <n v="4"/>
  </r>
  <r>
    <x v="461"/>
    <d v="2015-06-10T00:00:00"/>
    <n v="4"/>
    <x v="1"/>
    <s v="KB-16600"/>
    <s v="Ken Brennan"/>
    <s v="Washington"/>
    <x v="0"/>
    <s v="Supplies"/>
    <s v="Acme Box Cutter Scissors"/>
    <n v="61.38"/>
    <n v="6"/>
  </r>
  <r>
    <x v="462"/>
    <d v="2015-06-13T00:00:00"/>
    <n v="6"/>
    <x v="1"/>
    <s v="RB-19795"/>
    <s v="Ross Baird"/>
    <s v="California"/>
    <x v="0"/>
    <s v="Labels"/>
    <s v="Avery 488"/>
    <n v="22.05"/>
    <n v="7"/>
  </r>
  <r>
    <x v="462"/>
    <d v="2015-06-13T00:00:00"/>
    <n v="6"/>
    <x v="1"/>
    <s v="RB-19795"/>
    <s v="Ross Baird"/>
    <s v="California"/>
    <x v="0"/>
    <s v="Paper"/>
    <s v="Xerox Blank Computer Paper"/>
    <n v="99.9"/>
    <n v="5"/>
  </r>
  <r>
    <x v="462"/>
    <d v="2015-06-12T00:00:00"/>
    <n v="5"/>
    <x v="1"/>
    <s v="ME-17320"/>
    <s v="Maria Etezadi"/>
    <s v="California"/>
    <x v="2"/>
    <s v="Phones"/>
    <s v="Samsung Galaxy Mega 6.3"/>
    <n v="3023.9280000000003"/>
    <n v="9"/>
  </r>
  <r>
    <x v="462"/>
    <d v="2015-06-12T00:00:00"/>
    <n v="5"/>
    <x v="1"/>
    <s v="ME-17320"/>
    <s v="Maria Etezadi"/>
    <s v="California"/>
    <x v="2"/>
    <s v="Accessories"/>
    <s v="Rosewill 107 Normal Keys USB Wired Standard Keyboard"/>
    <n v="26.96"/>
    <n v="2"/>
  </r>
  <r>
    <x v="462"/>
    <d v="2015-06-12T00:00:00"/>
    <n v="5"/>
    <x v="1"/>
    <s v="ME-17320"/>
    <s v="Maria Etezadi"/>
    <s v="California"/>
    <x v="2"/>
    <s v="Phones"/>
    <s v="Bose SoundLink Bluetooth Speaker"/>
    <n v="477.6"/>
    <n v="3"/>
  </r>
  <r>
    <x v="463"/>
    <d v="2015-06-12T00:00:00"/>
    <n v="4"/>
    <x v="1"/>
    <s v="FM-14290"/>
    <s v="Frank Merwin"/>
    <s v="California"/>
    <x v="0"/>
    <s v="Binders"/>
    <s v="Avery Hanging File Binders"/>
    <n v="4.7840000000000007"/>
    <n v="1"/>
  </r>
  <r>
    <x v="463"/>
    <d v="2015-06-12T00:00:00"/>
    <n v="4"/>
    <x v="1"/>
    <s v="FM-14290"/>
    <s v="Frank Merwin"/>
    <s v="California"/>
    <x v="0"/>
    <s v="Paper"/>
    <s v="While You Were Out Pads, 50 per Pad, 4 x 5 1/4, Green Cycle"/>
    <n v="4.7300000000000004"/>
    <n v="1"/>
  </r>
  <r>
    <x v="464"/>
    <d v="2015-06-16T00:00:00"/>
    <n v="6"/>
    <x v="1"/>
    <s v="GM-14680"/>
    <s v="Greg Matthias"/>
    <s v="California"/>
    <x v="2"/>
    <s v="Phones"/>
    <s v="Avaya 4621SW VoIP phone"/>
    <n v="177.48000000000002"/>
    <n v="3"/>
  </r>
  <r>
    <x v="464"/>
    <d v="2015-06-15T00:00:00"/>
    <n v="5"/>
    <x v="1"/>
    <s v="DB-13210"/>
    <s v="Dean Braden"/>
    <s v="California"/>
    <x v="1"/>
    <s v="Chairs"/>
    <s v="Global Deluxe Stacking Chair, Gray"/>
    <n v="122.352"/>
    <n v="3"/>
  </r>
  <r>
    <x v="465"/>
    <d v="2015-06-16T00:00:00"/>
    <n v="5"/>
    <x v="1"/>
    <s v="OT-18730"/>
    <s v="Olvera Toch"/>
    <s v="California"/>
    <x v="0"/>
    <s v="Labels"/>
    <s v="Avery 473"/>
    <n v="20.7"/>
    <n v="2"/>
  </r>
  <r>
    <x v="465"/>
    <d v="2015-06-16T00:00:00"/>
    <n v="5"/>
    <x v="1"/>
    <s v="OT-18730"/>
    <s v="Olvera Toch"/>
    <s v="California"/>
    <x v="1"/>
    <s v="Tables"/>
    <s v="Bretford “Just In Time” Height-Adjustable Multi-Task Work Tables"/>
    <n v="1335.68"/>
    <n v="4"/>
  </r>
  <r>
    <x v="465"/>
    <d v="2015-06-16T00:00:00"/>
    <n v="5"/>
    <x v="1"/>
    <s v="OT-18730"/>
    <s v="Olvera Toch"/>
    <s v="California"/>
    <x v="0"/>
    <s v="Paper"/>
    <s v="Xerox 226"/>
    <n v="32.400000000000006"/>
    <n v="5"/>
  </r>
  <r>
    <x v="466"/>
    <d v="2015-06-16T00:00:00"/>
    <n v="4"/>
    <x v="1"/>
    <s v="SE-20110"/>
    <s v="Sanjit Engle"/>
    <s v="Washington"/>
    <x v="0"/>
    <s v="Labels"/>
    <s v="Avery 486"/>
    <n v="14.62"/>
    <n v="2"/>
  </r>
  <r>
    <x v="466"/>
    <d v="2015-06-16T00:00:00"/>
    <n v="4"/>
    <x v="1"/>
    <s v="SE-20110"/>
    <s v="Sanjit Engle"/>
    <s v="Washington"/>
    <x v="0"/>
    <s v="Binders"/>
    <s v="Wilson Jones Turn Tabs Binder Tool for Ring Binders"/>
    <n v="53.984000000000002"/>
    <n v="14"/>
  </r>
  <r>
    <x v="466"/>
    <d v="2015-06-16T00:00:00"/>
    <n v="4"/>
    <x v="1"/>
    <s v="SE-20110"/>
    <s v="Sanjit Engle"/>
    <s v="Washington"/>
    <x v="2"/>
    <s v="Accessories"/>
    <s v="Logitech G35 7.1-Channel Surround Sound Headset"/>
    <n v="389.97"/>
    <n v="3"/>
  </r>
  <r>
    <x v="466"/>
    <d v="2015-06-17T00:00:00"/>
    <n v="5"/>
    <x v="1"/>
    <s v="SV-20365"/>
    <s v="Seth Vernon"/>
    <s v="California"/>
    <x v="1"/>
    <s v="Tables"/>
    <s v="Bretford Rectangular Conference Table Tops"/>
    <n v="902.71199999999999"/>
    <n v="3"/>
  </r>
  <r>
    <x v="467"/>
    <d v="2015-06-17T00:00:00"/>
    <n v="4"/>
    <x v="0"/>
    <s v="DV-13045"/>
    <s v="Darrin Van Huff"/>
    <s v="California"/>
    <x v="0"/>
    <s v="Labels"/>
    <s v="Self-Adhesive Address Labels for Typewriters by Universal"/>
    <n v="14.62"/>
    <n v="2"/>
  </r>
  <r>
    <x v="467"/>
    <d v="2015-06-17T00:00:00"/>
    <n v="4"/>
    <x v="1"/>
    <s v="EA-14035"/>
    <s v="Erin Ashbrook"/>
    <s v="California"/>
    <x v="0"/>
    <s v="Paper"/>
    <s v="IBM Multi-Purpose Copy Paper, 8 1/2 x 11&quot;, Case"/>
    <n v="185.88"/>
    <n v="6"/>
  </r>
  <r>
    <x v="467"/>
    <d v="2015-06-17T00:00:00"/>
    <n v="4"/>
    <x v="1"/>
    <s v="EA-14035"/>
    <s v="Erin Ashbrook"/>
    <s v="California"/>
    <x v="0"/>
    <s v="Paper"/>
    <s v="Xerox 228"/>
    <n v="12.96"/>
    <n v="2"/>
  </r>
  <r>
    <x v="468"/>
    <d v="2015-06-18T00:00:00"/>
    <n v="3"/>
    <x v="2"/>
    <s v="PV-18985"/>
    <s v="Paul Van Hugh"/>
    <s v="California"/>
    <x v="0"/>
    <s v="Art"/>
    <s v="Newell 326"/>
    <n v="7.04"/>
    <n v="4"/>
  </r>
  <r>
    <x v="468"/>
    <d v="2015-06-18T00:00:00"/>
    <n v="3"/>
    <x v="2"/>
    <s v="PV-18985"/>
    <s v="Paul Van Hugh"/>
    <s v="California"/>
    <x v="1"/>
    <s v="Furnishings"/>
    <s v="GE General Purpose, Extra Long Life, Showcase &amp; Floodlight Incandescent Bulbs"/>
    <n v="8.73"/>
    <n v="3"/>
  </r>
  <r>
    <x v="468"/>
    <d v="2015-06-18T00:00:00"/>
    <n v="3"/>
    <x v="2"/>
    <s v="PV-18985"/>
    <s v="Paul Van Hugh"/>
    <s v="California"/>
    <x v="2"/>
    <s v="Accessories"/>
    <s v="Logitech ClearChat Comfort/USB Headset H390"/>
    <n v="29.29"/>
    <n v="1"/>
  </r>
  <r>
    <x v="468"/>
    <d v="2015-06-18T00:00:00"/>
    <n v="3"/>
    <x v="2"/>
    <s v="PV-18985"/>
    <s v="Paul Van Hugh"/>
    <s v="California"/>
    <x v="0"/>
    <s v="Art"/>
    <s v="Newell 346"/>
    <n v="8.64"/>
    <n v="3"/>
  </r>
  <r>
    <x v="468"/>
    <d v="2015-06-15T00:00:00"/>
    <n v="0"/>
    <x v="3"/>
    <s v="MH-17290"/>
    <s v="Marc Harrigan"/>
    <s v="California"/>
    <x v="1"/>
    <s v="Bookcases"/>
    <s v="Bush Heritage Pine Collection 5-Shelf Bookcase, Albany Pine Finish, *Special Order"/>
    <n v="599.16499999999996"/>
    <n v="5"/>
  </r>
  <r>
    <x v="468"/>
    <d v="2015-06-15T00:00:00"/>
    <n v="0"/>
    <x v="3"/>
    <s v="EB-13705"/>
    <s v="Ed Braxton"/>
    <s v="California"/>
    <x v="1"/>
    <s v="Tables"/>
    <s v="Bush Cubix Conference Tables, Fully Assembled"/>
    <n v="1293.4879999999998"/>
    <n v="7"/>
  </r>
  <r>
    <x v="468"/>
    <d v="2015-06-19T00:00:00"/>
    <n v="4"/>
    <x v="1"/>
    <s v="AR-10825"/>
    <s v="Anthony Rawles"/>
    <s v="Washington"/>
    <x v="1"/>
    <s v="Tables"/>
    <s v="Hon Non-Folding Utility Tables"/>
    <n v="1115.17"/>
    <n v="7"/>
  </r>
  <r>
    <x v="469"/>
    <d v="2015-06-19T00:00:00"/>
    <n v="2"/>
    <x v="0"/>
    <s v="BD-11320"/>
    <s v="Bill Donatelli"/>
    <s v="California"/>
    <x v="0"/>
    <s v="Paper"/>
    <s v="Wirebound Message Books, Four 2 3/4&quot; x 5&quot; Forms per Page, 600 Sets per Book"/>
    <n v="46.349999999999994"/>
    <n v="5"/>
  </r>
  <r>
    <x v="470"/>
    <d v="2015-06-23T00:00:00"/>
    <n v="5"/>
    <x v="1"/>
    <s v="IG-15085"/>
    <s v="Ivan Gibson"/>
    <s v="California"/>
    <x v="0"/>
    <s v="Paper"/>
    <s v="Xerox 1934"/>
    <n v="111.96"/>
    <n v="2"/>
  </r>
  <r>
    <x v="470"/>
    <d v="2015-06-20T00:00:00"/>
    <n v="2"/>
    <x v="2"/>
    <s v="MV-18190"/>
    <s v="Mike Vittorini"/>
    <s v="California"/>
    <x v="1"/>
    <s v="Bookcases"/>
    <s v="Bush Heritage Pine Collection 5-Shelf Bookcase, Albany Pine Finish, *Special Order"/>
    <n v="239.66599999999997"/>
    <n v="2"/>
  </r>
  <r>
    <x v="470"/>
    <d v="2015-06-20T00:00:00"/>
    <n v="2"/>
    <x v="2"/>
    <s v="MV-18190"/>
    <s v="Mike Vittorini"/>
    <s v="California"/>
    <x v="0"/>
    <s v="Labels"/>
    <s v="Avery 496"/>
    <n v="22.5"/>
    <n v="6"/>
  </r>
  <r>
    <x v="470"/>
    <d v="2015-06-20T00:00:00"/>
    <n v="2"/>
    <x v="2"/>
    <s v="MV-18190"/>
    <s v="Mike Vittorini"/>
    <s v="California"/>
    <x v="0"/>
    <s v="Paper"/>
    <s v="Xerox 1914"/>
    <n v="219.84"/>
    <n v="4"/>
  </r>
  <r>
    <x v="470"/>
    <d v="2015-06-20T00:00:00"/>
    <n v="2"/>
    <x v="2"/>
    <s v="LC-16885"/>
    <s v="Lena Creighton"/>
    <s v="Colorado"/>
    <x v="1"/>
    <s v="Furnishings"/>
    <s v="Rubbermaid ClusterMat Chairmats, Mat Size- 66&quot; x 60&quot;, Lip 20&quot; x 11&quot; -90 Degree Angle"/>
    <n v="266.35200000000003"/>
    <n v="3"/>
  </r>
  <r>
    <x v="470"/>
    <d v="2015-06-20T00:00:00"/>
    <n v="2"/>
    <x v="2"/>
    <s v="LC-16885"/>
    <s v="Lena Creighton"/>
    <s v="Colorado"/>
    <x v="1"/>
    <s v="Chairs"/>
    <s v="Global Manager's Adjustable Task Chair, Storm"/>
    <n v="483.13599999999997"/>
    <n v="4"/>
  </r>
  <r>
    <x v="471"/>
    <d v="2015-06-21T00:00:00"/>
    <n v="1"/>
    <x v="2"/>
    <s v="KC-16255"/>
    <s v="Karen Carlisle"/>
    <s v="California"/>
    <x v="0"/>
    <s v="Paper"/>
    <s v="Message Book, Standard Line &quot;While You Were Out&quot;, 5 1/2&quot; X 4&quot;, 200 Sets/Book"/>
    <n v="17.12"/>
    <n v="2"/>
  </r>
  <r>
    <x v="472"/>
    <d v="2015-06-26T00:00:00"/>
    <n v="5"/>
    <x v="0"/>
    <s v="DP-13105"/>
    <s v="Dave Poirier"/>
    <s v="California"/>
    <x v="0"/>
    <s v="Art"/>
    <s v="DIXON Oriole Pencils"/>
    <n v="5.16"/>
    <n v="2"/>
  </r>
  <r>
    <x v="472"/>
    <d v="2015-06-26T00:00:00"/>
    <n v="5"/>
    <x v="0"/>
    <s v="DP-13105"/>
    <s v="Dave Poirier"/>
    <s v="California"/>
    <x v="0"/>
    <s v="Paper"/>
    <s v="Xerox 202"/>
    <n v="38.880000000000003"/>
    <n v="6"/>
  </r>
  <r>
    <x v="472"/>
    <d v="2015-06-22T00:00:00"/>
    <n v="1"/>
    <x v="2"/>
    <s v="RC-19825"/>
    <s v="Roy Collins"/>
    <s v="California"/>
    <x v="0"/>
    <s v="Paper"/>
    <s v="Xerox 1898"/>
    <n v="46.76"/>
    <n v="7"/>
  </r>
  <r>
    <x v="472"/>
    <d v="2015-06-22T00:00:00"/>
    <n v="1"/>
    <x v="2"/>
    <s v="RC-19825"/>
    <s v="Roy Collins"/>
    <s v="California"/>
    <x v="0"/>
    <s v="Binders"/>
    <s v="GBC Plastic Binding Combs"/>
    <n v="17.712"/>
    <n v="3"/>
  </r>
  <r>
    <x v="472"/>
    <d v="2015-06-22T00:00:00"/>
    <n v="1"/>
    <x v="2"/>
    <s v="RC-19825"/>
    <s v="Roy Collins"/>
    <s v="California"/>
    <x v="0"/>
    <s v="Appliances"/>
    <s v="Belkin 6 Outlet Metallic Surge Strip"/>
    <n v="21.78"/>
    <n v="2"/>
  </r>
  <r>
    <x v="472"/>
    <d v="2015-06-22T00:00:00"/>
    <n v="1"/>
    <x v="2"/>
    <s v="RC-19825"/>
    <s v="Roy Collins"/>
    <s v="California"/>
    <x v="0"/>
    <s v="Storage"/>
    <s v="Fellowes Bankers Box Recycled Super Stor/Drawer"/>
    <n v="161.94"/>
    <n v="3"/>
  </r>
  <r>
    <x v="472"/>
    <d v="2015-06-22T00:00:00"/>
    <n v="1"/>
    <x v="2"/>
    <s v="RC-19825"/>
    <s v="Roy Collins"/>
    <s v="California"/>
    <x v="1"/>
    <s v="Chairs"/>
    <s v="Hon Valutask Swivel Chairs"/>
    <n v="161.56800000000001"/>
    <n v="2"/>
  </r>
  <r>
    <x v="473"/>
    <d v="2015-06-26T00:00:00"/>
    <n v="2"/>
    <x v="0"/>
    <s v="RD-19900"/>
    <s v="Ruben Dartt"/>
    <s v="California"/>
    <x v="0"/>
    <s v="Storage"/>
    <s v="Mobile Personal File Cube"/>
    <n v="93.68"/>
    <n v="4"/>
  </r>
  <r>
    <x v="473"/>
    <d v="2015-06-26T00:00:00"/>
    <n v="2"/>
    <x v="0"/>
    <s v="RD-19900"/>
    <s v="Ruben Dartt"/>
    <s v="California"/>
    <x v="0"/>
    <s v="Labels"/>
    <s v="Avery 516"/>
    <n v="21.93"/>
    <n v="3"/>
  </r>
  <r>
    <x v="473"/>
    <d v="2015-06-26T00:00:00"/>
    <n v="2"/>
    <x v="0"/>
    <s v="RD-19900"/>
    <s v="Ruben Dartt"/>
    <s v="California"/>
    <x v="2"/>
    <s v="Phones"/>
    <s v="Nortel Meridian M3904 Professional Digital phone"/>
    <n v="862.34400000000005"/>
    <n v="7"/>
  </r>
  <r>
    <x v="473"/>
    <d v="2015-06-26T00:00:00"/>
    <n v="2"/>
    <x v="0"/>
    <s v="RD-19900"/>
    <s v="Ruben Dartt"/>
    <s v="California"/>
    <x v="0"/>
    <s v="Paper"/>
    <s v="Xerox 1884"/>
    <n v="19.98"/>
    <n v="1"/>
  </r>
  <r>
    <x v="474"/>
    <d v="2015-06-30T00:00:00"/>
    <n v="5"/>
    <x v="1"/>
    <s v="BD-11320"/>
    <s v="Bill Donatelli"/>
    <s v="California"/>
    <x v="2"/>
    <s v="Phones"/>
    <s v="Macally Suction Cup Mount"/>
    <n v="38.24"/>
    <n v="4"/>
  </r>
  <r>
    <x v="474"/>
    <d v="2015-06-27T00:00:00"/>
    <n v="2"/>
    <x v="0"/>
    <s v="MJ-17740"/>
    <s v="Max Jones"/>
    <s v="California"/>
    <x v="2"/>
    <s v="Machines"/>
    <s v="Okidata MB760 Printer"/>
    <n v="4476.8"/>
    <n v="4"/>
  </r>
  <r>
    <x v="474"/>
    <d v="2015-06-27T00:00:00"/>
    <n v="2"/>
    <x v="0"/>
    <s v="MJ-17740"/>
    <s v="Max Jones"/>
    <s v="California"/>
    <x v="0"/>
    <s v="Paper"/>
    <s v="Xerox 189"/>
    <n v="104.85"/>
    <n v="1"/>
  </r>
  <r>
    <x v="474"/>
    <d v="2015-06-27T00:00:00"/>
    <n v="2"/>
    <x v="0"/>
    <s v="MJ-17740"/>
    <s v="Max Jones"/>
    <s v="California"/>
    <x v="0"/>
    <s v="Appliances"/>
    <s v="APC 7 Outlet Network SurgeArrest Surge Protector"/>
    <n v="241.44"/>
    <n v="3"/>
  </r>
  <r>
    <x v="475"/>
    <d v="2015-06-30T00:00:00"/>
    <n v="4"/>
    <x v="1"/>
    <s v="AS-10240"/>
    <s v="Alan Shonely"/>
    <s v="California"/>
    <x v="0"/>
    <s v="Appliances"/>
    <s v="Fellowes Mighty 8 Compact Surge Protector"/>
    <n v="60.81"/>
    <n v="3"/>
  </r>
  <r>
    <x v="476"/>
    <d v="2015-07-04T00:00:00"/>
    <n v="7"/>
    <x v="1"/>
    <s v="DN-13690"/>
    <s v="Duane Noonan"/>
    <s v="California"/>
    <x v="1"/>
    <s v="Furnishings"/>
    <s v="Eldon Expressions Wood Desk Accessories, Oak"/>
    <n v="22.14"/>
    <n v="3"/>
  </r>
  <r>
    <x v="476"/>
    <d v="2015-06-27T00:00:00"/>
    <n v="0"/>
    <x v="3"/>
    <s v="AH-10075"/>
    <s v="Adam Hart"/>
    <s v="California"/>
    <x v="0"/>
    <s v="Supplies"/>
    <s v="Premier Electric Letter Opener"/>
    <n v="231.72"/>
    <n v="2"/>
  </r>
  <r>
    <x v="476"/>
    <d v="2015-06-27T00:00:00"/>
    <n v="0"/>
    <x v="3"/>
    <s v="AH-10075"/>
    <s v="Adam Hart"/>
    <s v="California"/>
    <x v="0"/>
    <s v="Fasteners"/>
    <s v="OIC Binder Clips"/>
    <n v="17.899999999999999"/>
    <n v="5"/>
  </r>
  <r>
    <x v="476"/>
    <d v="2015-06-27T00:00:00"/>
    <n v="0"/>
    <x v="3"/>
    <s v="AH-10075"/>
    <s v="Adam Hart"/>
    <s v="California"/>
    <x v="0"/>
    <s v="Paper"/>
    <s v="Ampad Phone Message Book, Recycled, 400 Message Capacity, 5 ¾” x 11”"/>
    <n v="12.48"/>
    <n v="2"/>
  </r>
  <r>
    <x v="477"/>
    <d v="2015-06-30T00:00:00"/>
    <n v="2"/>
    <x v="0"/>
    <s v="AC-10660"/>
    <s v="Anna Chung"/>
    <s v="California"/>
    <x v="2"/>
    <s v="Phones"/>
    <s v="Ooma Telo VoIP Home Phone System"/>
    <n v="201.584"/>
    <n v="2"/>
  </r>
  <r>
    <x v="478"/>
    <d v="2015-06-29T00:00:00"/>
    <n v="0"/>
    <x v="3"/>
    <s v="CS-12250"/>
    <s v="Chris Selesnick"/>
    <s v="California"/>
    <x v="0"/>
    <s v="Binders"/>
    <s v="Recycled Pressboard Report Cover with Reinforced Top Hinge"/>
    <n v="7.7520000000000007"/>
    <n v="3"/>
  </r>
  <r>
    <x v="478"/>
    <d v="2015-06-29T00:00:00"/>
    <n v="0"/>
    <x v="3"/>
    <s v="CS-12250"/>
    <s v="Chris Selesnick"/>
    <s v="California"/>
    <x v="0"/>
    <s v="Binders"/>
    <s v="GBC Premium Transparent Covers with Diagonal Lined Pattern"/>
    <n v="33.568000000000005"/>
    <n v="2"/>
  </r>
  <r>
    <x v="479"/>
    <d v="2015-07-04T00:00:00"/>
    <n v="2"/>
    <x v="2"/>
    <s v="EM-14140"/>
    <s v="Eugene Moren"/>
    <s v="Utah"/>
    <x v="2"/>
    <s v="Copiers"/>
    <s v="Hewlett Packard 310 Color Digital Copier"/>
    <n v="1499.95"/>
    <n v="5"/>
  </r>
  <r>
    <x v="479"/>
    <d v="2015-07-03T00:00:00"/>
    <n v="1"/>
    <x v="2"/>
    <s v="NZ-18565"/>
    <s v="Nick Zandusky"/>
    <s v="Washington"/>
    <x v="0"/>
    <s v="Binders"/>
    <s v="Zipper Ring Binder Pockets"/>
    <n v="2.4960000000000004"/>
    <n v="1"/>
  </r>
  <r>
    <x v="480"/>
    <d v="2015-07-08T00:00:00"/>
    <n v="5"/>
    <x v="0"/>
    <s v="GB-14530"/>
    <s v="George Bell"/>
    <s v="California"/>
    <x v="1"/>
    <s v="Chairs"/>
    <s v="Hon Deluxe Fabric Upholstered Stacking Chairs"/>
    <n v="195.184"/>
    <n v="1"/>
  </r>
  <r>
    <x v="481"/>
    <d v="2015-07-07T00:00:00"/>
    <n v="3"/>
    <x v="2"/>
    <s v="GT-14755"/>
    <s v="Guy Thornton"/>
    <s v="California"/>
    <x v="0"/>
    <s v="Paper"/>
    <s v="Xerox 200"/>
    <n v="12.96"/>
    <n v="2"/>
  </r>
  <r>
    <x v="481"/>
    <d v="2015-07-07T00:00:00"/>
    <n v="3"/>
    <x v="2"/>
    <s v="GT-14755"/>
    <s v="Guy Thornton"/>
    <s v="California"/>
    <x v="0"/>
    <s v="Fasteners"/>
    <s v="Brites Rubber Bands, 1 1/2 oz. Box"/>
    <n v="3.96"/>
    <n v="2"/>
  </r>
  <r>
    <x v="482"/>
    <d v="2015-07-07T00:00:00"/>
    <n v="2"/>
    <x v="2"/>
    <s v="AA-10645"/>
    <s v="Anna Andreadi"/>
    <s v="California"/>
    <x v="1"/>
    <s v="Furnishings"/>
    <s v="Master Caster Door Stop, Brown"/>
    <n v="25.4"/>
    <n v="5"/>
  </r>
  <r>
    <x v="482"/>
    <d v="2015-07-07T00:00:00"/>
    <n v="2"/>
    <x v="2"/>
    <s v="AA-10645"/>
    <s v="Anna Andreadi"/>
    <s v="California"/>
    <x v="0"/>
    <s v="Envelopes"/>
    <s v="Inter-Office Recycled Envelopes, Brown Kraft, Button-String,10&quot; x 13&quot; , 100/Box"/>
    <n v="43.96"/>
    <n v="2"/>
  </r>
  <r>
    <x v="482"/>
    <d v="2015-07-07T00:00:00"/>
    <n v="2"/>
    <x v="2"/>
    <s v="AA-10645"/>
    <s v="Anna Andreadi"/>
    <s v="California"/>
    <x v="1"/>
    <s v="Bookcases"/>
    <s v="Atlantic Metals Mobile 5-Shelf Bookcases, Custom Colors"/>
    <n v="1279.165"/>
    <n v="5"/>
  </r>
  <r>
    <x v="482"/>
    <d v="2015-07-07T00:00:00"/>
    <n v="2"/>
    <x v="2"/>
    <s v="AA-10645"/>
    <s v="Anna Andreadi"/>
    <s v="California"/>
    <x v="0"/>
    <s v="Storage"/>
    <s v="Eldon Shelf Savers Cubes and Bins"/>
    <n v="27.92"/>
    <n v="4"/>
  </r>
  <r>
    <x v="482"/>
    <d v="2015-07-05T00:00:00"/>
    <n v="0"/>
    <x v="3"/>
    <s v="RB-19465"/>
    <s v="Rick Bensley"/>
    <s v="Washington"/>
    <x v="1"/>
    <s v="Furnishings"/>
    <s v="Master Caster Door Stop, Brown"/>
    <n v="25.4"/>
    <n v="5"/>
  </r>
  <r>
    <x v="482"/>
    <d v="2015-07-05T00:00:00"/>
    <n v="0"/>
    <x v="3"/>
    <s v="RB-19465"/>
    <s v="Rick Bensley"/>
    <s v="Washington"/>
    <x v="2"/>
    <s v="Phones"/>
    <s v="Avaya 4621SW VoIP phone"/>
    <n v="177.48000000000002"/>
    <n v="3"/>
  </r>
  <r>
    <x v="482"/>
    <d v="2015-07-05T00:00:00"/>
    <n v="0"/>
    <x v="3"/>
    <s v="RB-19465"/>
    <s v="Rick Bensley"/>
    <s v="Washington"/>
    <x v="2"/>
    <s v="Phones"/>
    <s v="OtterBox Defender Series Case - Samsung Galaxy S4"/>
    <n v="71.975999999999999"/>
    <n v="3"/>
  </r>
  <r>
    <x v="483"/>
    <d v="2015-07-12T00:00:00"/>
    <n v="4"/>
    <x v="1"/>
    <s v="RM-19375"/>
    <s v="Raymond Messe"/>
    <s v="California"/>
    <x v="1"/>
    <s v="Furnishings"/>
    <s v="Howard Miller 11-1/2&quot; Diameter Grantwood Wall Clock"/>
    <n v="215.65"/>
    <n v="5"/>
  </r>
  <r>
    <x v="483"/>
    <d v="2015-07-10T00:00:00"/>
    <n v="2"/>
    <x v="0"/>
    <s v="CC-12370"/>
    <s v="Christopher Conant"/>
    <s v="California"/>
    <x v="1"/>
    <s v="Chairs"/>
    <s v="Global Leather Task Chair, Black"/>
    <n v="287.96800000000002"/>
    <n v="4"/>
  </r>
  <r>
    <x v="483"/>
    <d v="2015-07-10T00:00:00"/>
    <n v="2"/>
    <x v="0"/>
    <s v="CC-12370"/>
    <s v="Christopher Conant"/>
    <s v="California"/>
    <x v="2"/>
    <s v="Copiers"/>
    <s v="Canon PC1060 Personal Laser Copier"/>
    <n v="2799.9600000000005"/>
    <n v="5"/>
  </r>
  <r>
    <x v="483"/>
    <d v="2015-07-10T00:00:00"/>
    <n v="2"/>
    <x v="0"/>
    <s v="CC-12370"/>
    <s v="Christopher Conant"/>
    <s v="California"/>
    <x v="0"/>
    <s v="Paper"/>
    <s v="Xerox 1942"/>
    <n v="48.94"/>
    <n v="1"/>
  </r>
  <r>
    <x v="483"/>
    <d v="2015-07-14T00:00:00"/>
    <n v="6"/>
    <x v="1"/>
    <s v="MJ-17740"/>
    <s v="Max Jones"/>
    <s v="Utah"/>
    <x v="0"/>
    <s v="Paper"/>
    <s v="Xerox 226"/>
    <n v="12.96"/>
    <n v="2"/>
  </r>
  <r>
    <x v="483"/>
    <d v="2015-07-14T00:00:00"/>
    <n v="6"/>
    <x v="1"/>
    <s v="MJ-17740"/>
    <s v="Max Jones"/>
    <s v="Utah"/>
    <x v="0"/>
    <s v="Art"/>
    <s v="Boston KS Multi-Size Manual Pencil Sharpener"/>
    <n v="45.98"/>
    <n v="2"/>
  </r>
  <r>
    <x v="484"/>
    <d v="2015-07-13T00:00:00"/>
    <n v="4"/>
    <x v="1"/>
    <s v="JE-15715"/>
    <s v="Joe Elijah"/>
    <s v="Colorado"/>
    <x v="0"/>
    <s v="Binders"/>
    <s v="GBC Twin Loop Wire Binding Elements"/>
    <n v="19.968000000000004"/>
    <n v="2"/>
  </r>
  <r>
    <x v="484"/>
    <d v="2015-07-13T00:00:00"/>
    <n v="4"/>
    <x v="1"/>
    <s v="JE-15715"/>
    <s v="Joe Elijah"/>
    <s v="Colorado"/>
    <x v="0"/>
    <s v="Storage"/>
    <s v="Perma STOR-ALL Hanging File Box, 13 1/8&quot;W x 12 1/4&quot;D x 10 1/2&quot;H"/>
    <n v="33.488000000000007"/>
    <n v="7"/>
  </r>
  <r>
    <x v="484"/>
    <d v="2015-07-13T00:00:00"/>
    <n v="4"/>
    <x v="1"/>
    <s v="JE-15715"/>
    <s v="Joe Elijah"/>
    <s v="Colorado"/>
    <x v="0"/>
    <s v="Binders"/>
    <s v="Wilson Jones Active Use Binders"/>
    <n v="8.7360000000000024"/>
    <n v="4"/>
  </r>
  <r>
    <x v="484"/>
    <d v="2015-07-13T00:00:00"/>
    <n v="4"/>
    <x v="1"/>
    <s v="JE-15715"/>
    <s v="Joe Elijah"/>
    <s v="Colorado"/>
    <x v="1"/>
    <s v="Chairs"/>
    <s v="SAFCO Arco Folding Chair"/>
    <n v="662.88"/>
    <n v="3"/>
  </r>
  <r>
    <x v="484"/>
    <d v="2015-07-15T00:00:00"/>
    <n v="6"/>
    <x v="1"/>
    <s v="CC-12220"/>
    <s v="Chris Cortes"/>
    <s v="Washington"/>
    <x v="2"/>
    <s v="Phones"/>
    <s v="Logitech Mobile Speakerphone P710e - speaker phone"/>
    <n v="107.98399999999999"/>
    <n v="1"/>
  </r>
  <r>
    <x v="484"/>
    <d v="2015-07-15T00:00:00"/>
    <n v="6"/>
    <x v="1"/>
    <s v="CC-12220"/>
    <s v="Chris Cortes"/>
    <s v="Washington"/>
    <x v="0"/>
    <s v="Binders"/>
    <s v="Fellowes Twister Kit, Gray/Clear, 3/pkg"/>
    <n v="19.295999999999999"/>
    <n v="3"/>
  </r>
  <r>
    <x v="485"/>
    <d v="2015-07-17T00:00:00"/>
    <n v="6"/>
    <x v="1"/>
    <s v="AA-10375"/>
    <s v="Allen Armold"/>
    <s v="Arizona"/>
    <x v="0"/>
    <s v="Storage"/>
    <s v="Sterilite Officeware Hinged File Box"/>
    <n v="16.768000000000001"/>
    <n v="2"/>
  </r>
  <r>
    <x v="485"/>
    <d v="2015-07-12T00:00:00"/>
    <n v="1"/>
    <x v="3"/>
    <s v="NZ-18565"/>
    <s v="Nick Zandusky"/>
    <s v="Arizona"/>
    <x v="0"/>
    <s v="Binders"/>
    <s v="GBC Standard Therm-A-Bind Covers"/>
    <n v="44.856000000000009"/>
    <n v="6"/>
  </r>
  <r>
    <x v="486"/>
    <d v="2015-07-20T00:00:00"/>
    <n v="7"/>
    <x v="1"/>
    <s v="KH-16690"/>
    <s v="Kristen Hastings"/>
    <s v="California"/>
    <x v="2"/>
    <s v="Phones"/>
    <s v="Cisco SPA525G2 IP Phone - Wireless"/>
    <n v="95.76"/>
    <n v="6"/>
  </r>
  <r>
    <x v="487"/>
    <d v="2015-07-18T00:00:00"/>
    <n v="3"/>
    <x v="2"/>
    <s v="ES-14080"/>
    <s v="Erin Smith"/>
    <s v="Arizona"/>
    <x v="2"/>
    <s v="Phones"/>
    <s v="LG Electronics Tone+ HBS-730 Bluetooth Headset"/>
    <n v="380.86400000000003"/>
    <n v="8"/>
  </r>
  <r>
    <x v="487"/>
    <d v="2015-07-19T00:00:00"/>
    <n v="4"/>
    <x v="1"/>
    <s v="RB-19360"/>
    <s v="Raymond Buch"/>
    <s v="California"/>
    <x v="2"/>
    <s v="Phones"/>
    <s v="Panasonic Kx-TS550"/>
    <n v="110.376"/>
    <n v="3"/>
  </r>
  <r>
    <x v="487"/>
    <d v="2015-07-19T00:00:00"/>
    <n v="4"/>
    <x v="1"/>
    <s v="RB-19360"/>
    <s v="Raymond Buch"/>
    <s v="California"/>
    <x v="0"/>
    <s v="Appliances"/>
    <s v="Holmes 99% HEPA Air Purifier"/>
    <n v="151.62"/>
    <n v="7"/>
  </r>
  <r>
    <x v="487"/>
    <d v="2015-07-19T00:00:00"/>
    <n v="4"/>
    <x v="1"/>
    <s v="RB-19360"/>
    <s v="Raymond Buch"/>
    <s v="California"/>
    <x v="1"/>
    <s v="Furnishings"/>
    <s v="Deflect-O Glasstique Clear Desk Accessories"/>
    <n v="30.8"/>
    <n v="4"/>
  </r>
  <r>
    <x v="488"/>
    <d v="2015-07-22T00:00:00"/>
    <n v="6"/>
    <x v="1"/>
    <s v="RH-19510"/>
    <s v="Rick Huthwaite"/>
    <s v="Utah"/>
    <x v="0"/>
    <s v="Supplies"/>
    <s v="Fiskars Home &amp; Office Scissors"/>
    <n v="44.400000000000006"/>
    <n v="5"/>
  </r>
  <r>
    <x v="488"/>
    <d v="2015-07-21T00:00:00"/>
    <n v="5"/>
    <x v="1"/>
    <s v="MC-17425"/>
    <s v="Mark Cousins"/>
    <s v="Oregon"/>
    <x v="1"/>
    <s v="Chairs"/>
    <s v="Bevis Steel Folding Chairs"/>
    <n v="230.28000000000003"/>
    <n v="3"/>
  </r>
  <r>
    <x v="488"/>
    <d v="2015-07-21T00:00:00"/>
    <n v="5"/>
    <x v="1"/>
    <s v="MC-17425"/>
    <s v="Mark Cousins"/>
    <s v="Oregon"/>
    <x v="0"/>
    <s v="Paper"/>
    <s v="Xerox 1909"/>
    <n v="105.52"/>
    <n v="5"/>
  </r>
  <r>
    <x v="489"/>
    <d v="2015-07-23T00:00:00"/>
    <n v="5"/>
    <x v="1"/>
    <s v="RA-19885"/>
    <s v="Ruben Ausman"/>
    <s v="California"/>
    <x v="0"/>
    <s v="Storage"/>
    <s v="Eldon Base for stackable storage shelf, platinum"/>
    <n v="77.88"/>
    <n v="2"/>
  </r>
  <r>
    <x v="489"/>
    <d v="2015-07-23T00:00:00"/>
    <n v="5"/>
    <x v="0"/>
    <s v="DK-13375"/>
    <s v="Dennis Kane"/>
    <s v="Washington"/>
    <x v="1"/>
    <s v="Furnishings"/>
    <s v="Eldon Image Series Black Desk Accessories"/>
    <n v="12.419999999999998"/>
    <n v="3"/>
  </r>
  <r>
    <x v="489"/>
    <d v="2015-07-23T00:00:00"/>
    <n v="5"/>
    <x v="0"/>
    <s v="DK-13375"/>
    <s v="Dennis Kane"/>
    <s v="Washington"/>
    <x v="2"/>
    <s v="Accessories"/>
    <s v="First Data TMFD35 PIN Pad"/>
    <n v="428.40000000000003"/>
    <n v="3"/>
  </r>
  <r>
    <x v="489"/>
    <d v="2015-07-23T00:00:00"/>
    <n v="5"/>
    <x v="0"/>
    <s v="DK-13375"/>
    <s v="Dennis Kane"/>
    <s v="Washington"/>
    <x v="1"/>
    <s v="Furnishings"/>
    <s v="Eldon 300 Class Desk Accessories, Black"/>
    <n v="24.75"/>
    <n v="5"/>
  </r>
  <r>
    <x v="489"/>
    <d v="2015-07-23T00:00:00"/>
    <n v="5"/>
    <x v="0"/>
    <s v="DK-13375"/>
    <s v="Dennis Kane"/>
    <s v="Washington"/>
    <x v="0"/>
    <s v="Labels"/>
    <s v="Round Specialty Laser Printer Labels"/>
    <n v="87.71"/>
    <n v="7"/>
  </r>
  <r>
    <x v="489"/>
    <d v="2015-07-23T00:00:00"/>
    <n v="5"/>
    <x v="0"/>
    <s v="DK-13375"/>
    <s v="Dennis Kane"/>
    <s v="Washington"/>
    <x v="0"/>
    <s v="Storage"/>
    <s v="Home/Office Personal File Carts"/>
    <n v="69.52"/>
    <n v="2"/>
  </r>
  <r>
    <x v="489"/>
    <d v="2015-07-23T00:00:00"/>
    <n v="5"/>
    <x v="0"/>
    <s v="DK-13375"/>
    <s v="Dennis Kane"/>
    <s v="Washington"/>
    <x v="2"/>
    <s v="Phones"/>
    <s v="Cyber Acoustics AC-202b Speech Recognition Stereo Headset"/>
    <n v="20.784000000000002"/>
    <n v="2"/>
  </r>
  <r>
    <x v="489"/>
    <d v="2015-07-23T00:00:00"/>
    <n v="5"/>
    <x v="0"/>
    <s v="DK-13375"/>
    <s v="Dennis Kane"/>
    <s v="Washington"/>
    <x v="0"/>
    <s v="Binders"/>
    <s v="Pressboard Data Binder, Crimson, 12&quot; X 8 1/2&quot;"/>
    <n v="12.816000000000001"/>
    <n v="3"/>
  </r>
  <r>
    <x v="490"/>
    <d v="2015-07-25T00:00:00"/>
    <n v="6"/>
    <x v="1"/>
    <s v="LS-16945"/>
    <s v="Linda Southworth"/>
    <s v="Colorado"/>
    <x v="1"/>
    <s v="Chairs"/>
    <s v="Hon GuestStacker Chair"/>
    <n v="544.00800000000004"/>
    <n v="3"/>
  </r>
  <r>
    <x v="490"/>
    <d v="2015-07-25T00:00:00"/>
    <n v="6"/>
    <x v="1"/>
    <s v="LS-16945"/>
    <s v="Linda Southworth"/>
    <s v="Colorado"/>
    <x v="0"/>
    <s v="Binders"/>
    <s v="Round Ring Binders"/>
    <n v="1.8720000000000003"/>
    <n v="3"/>
  </r>
  <r>
    <x v="490"/>
    <d v="2015-07-25T00:00:00"/>
    <n v="6"/>
    <x v="1"/>
    <s v="LS-16945"/>
    <s v="Linda Southworth"/>
    <s v="Colorado"/>
    <x v="1"/>
    <s v="Chairs"/>
    <s v="Hon 4700 Series Mobuis Mid-Back Task Chairs with Adjustable Arms"/>
    <n v="854.35200000000009"/>
    <n v="3"/>
  </r>
  <r>
    <x v="490"/>
    <d v="2015-07-25T00:00:00"/>
    <n v="6"/>
    <x v="1"/>
    <s v="LS-16945"/>
    <s v="Linda Southworth"/>
    <s v="Colorado"/>
    <x v="0"/>
    <s v="Storage"/>
    <s v="Sauder Facets Collection Locker/File Cabinet, Sky Alder Finish"/>
    <n v="593.5680000000001"/>
    <n v="2"/>
  </r>
  <r>
    <x v="490"/>
    <d v="2015-07-25T00:00:00"/>
    <n v="6"/>
    <x v="1"/>
    <s v="LS-16945"/>
    <s v="Linda Southworth"/>
    <s v="Colorado"/>
    <x v="0"/>
    <s v="Storage"/>
    <s v="Fellowes Strictly Business Drawer File, Letter/Legal Size"/>
    <n v="338.04"/>
    <n v="3"/>
  </r>
  <r>
    <x v="490"/>
    <d v="2015-07-24T00:00:00"/>
    <n v="5"/>
    <x v="1"/>
    <s v="JP-15460"/>
    <s v="Jennifer Patt"/>
    <s v="Arizona"/>
    <x v="0"/>
    <s v="Supplies"/>
    <s v="Elite 5&quot; Scissors"/>
    <n v="33.799999999999997"/>
    <n v="5"/>
  </r>
  <r>
    <x v="490"/>
    <d v="2015-07-23T00:00:00"/>
    <n v="4"/>
    <x v="1"/>
    <s v="NP-18670"/>
    <s v="Nora Paige"/>
    <s v="Arizona"/>
    <x v="2"/>
    <s v="Phones"/>
    <s v="iHome FM Clock Radio with Lightning Dock"/>
    <n v="55.991999999999997"/>
    <n v="1"/>
  </r>
  <r>
    <x v="491"/>
    <d v="2015-07-22T00:00:00"/>
    <n v="2"/>
    <x v="2"/>
    <s v="TC-21535"/>
    <s v="Tracy Collins"/>
    <s v="California"/>
    <x v="2"/>
    <s v="Phones"/>
    <s v="Griffin GC36547 PowerJolt SE Lightning Charger"/>
    <n v="35.984000000000002"/>
    <n v="2"/>
  </r>
  <r>
    <x v="491"/>
    <d v="2015-07-22T00:00:00"/>
    <n v="2"/>
    <x v="2"/>
    <s v="TC-21535"/>
    <s v="Tracy Collins"/>
    <s v="California"/>
    <x v="2"/>
    <s v="Accessories"/>
    <s v="Logitech G35 7.1-Channel Surround Sound Headset"/>
    <n v="389.97"/>
    <n v="3"/>
  </r>
  <r>
    <x v="492"/>
    <d v="2015-07-27T00:00:00"/>
    <n v="5"/>
    <x v="1"/>
    <s v="DK-12835"/>
    <s v="Damala Kotsonis"/>
    <s v="California"/>
    <x v="0"/>
    <s v="Envelopes"/>
    <s v="Ames Color-File Green Diamond Border X-ray Mailers"/>
    <n v="419.90000000000003"/>
    <n v="5"/>
  </r>
  <r>
    <x v="492"/>
    <d v="2015-07-27T00:00:00"/>
    <n v="5"/>
    <x v="1"/>
    <s v="DK-12835"/>
    <s v="Damala Kotsonis"/>
    <s v="California"/>
    <x v="0"/>
    <s v="Labels"/>
    <s v="Self-Adhesive Removable Labels"/>
    <n v="3.15"/>
    <n v="1"/>
  </r>
  <r>
    <x v="493"/>
    <d v="2015-07-25T00:00:00"/>
    <n v="2"/>
    <x v="0"/>
    <s v="DL-13495"/>
    <s v="Dionis Lloyd"/>
    <s v="California"/>
    <x v="0"/>
    <s v="Labels"/>
    <s v="Self-Adhesive Removable Labels"/>
    <n v="6.3"/>
    <n v="2"/>
  </r>
  <r>
    <x v="493"/>
    <d v="2015-07-30T00:00:00"/>
    <n v="7"/>
    <x v="1"/>
    <s v="KN-16705"/>
    <s v="Kristina Nunn"/>
    <s v="Nevada"/>
    <x v="0"/>
    <s v="Supplies"/>
    <s v="Fiskars 8&quot; Scissors, 2/Pack"/>
    <n v="86.199999999999989"/>
    <n v="5"/>
  </r>
  <r>
    <x v="494"/>
    <d v="2015-08-01T00:00:00"/>
    <n v="6"/>
    <x v="1"/>
    <s v="SC-20095"/>
    <s v="Sanjit Chand"/>
    <s v="California"/>
    <x v="0"/>
    <s v="Binders"/>
    <s v="Clear Mylar Reinforcing Strips"/>
    <n v="119.61600000000001"/>
    <n v="8"/>
  </r>
  <r>
    <x v="494"/>
    <d v="2015-08-01T00:00:00"/>
    <n v="6"/>
    <x v="1"/>
    <s v="SC-20095"/>
    <s v="Sanjit Chand"/>
    <s v="California"/>
    <x v="1"/>
    <s v="Furnishings"/>
    <s v="Howard Miller 14-1/2&quot; Diameter Chrome Round Wall Clock"/>
    <n v="255.76"/>
    <n v="4"/>
  </r>
  <r>
    <x v="494"/>
    <d v="2015-08-01T00:00:00"/>
    <n v="6"/>
    <x v="1"/>
    <s v="SC-20095"/>
    <s v="Sanjit Chand"/>
    <s v="California"/>
    <x v="1"/>
    <s v="Chairs"/>
    <s v="DMI Arturo Collection Mission-style Design Wood Chair"/>
    <n v="241.56799999999998"/>
    <n v="2"/>
  </r>
  <r>
    <x v="494"/>
    <d v="2015-08-01T00:00:00"/>
    <n v="6"/>
    <x v="1"/>
    <s v="SC-20095"/>
    <s v="Sanjit Chand"/>
    <s v="California"/>
    <x v="1"/>
    <s v="Furnishings"/>
    <s v="Deflect-O Glasstique Clear Desk Accessories"/>
    <n v="69.3"/>
    <n v="9"/>
  </r>
  <r>
    <x v="494"/>
    <d v="2015-07-28T00:00:00"/>
    <n v="2"/>
    <x v="0"/>
    <s v="LB-16735"/>
    <s v="Larry Blacks"/>
    <s v="California"/>
    <x v="0"/>
    <s v="Fasteners"/>
    <s v="OIC Binder Clips"/>
    <n v="21.48"/>
    <n v="6"/>
  </r>
  <r>
    <x v="494"/>
    <d v="2015-07-26T00:00:00"/>
    <n v="0"/>
    <x v="3"/>
    <s v="BC-11125"/>
    <s v="Becky Castell"/>
    <s v="California"/>
    <x v="0"/>
    <s v="Art"/>
    <s v="Newell 325"/>
    <n v="37.17"/>
    <n v="9"/>
  </r>
  <r>
    <x v="495"/>
    <d v="2015-08-04T00:00:00"/>
    <n v="6"/>
    <x v="1"/>
    <s v="KM-16660"/>
    <s v="Khloe Miller"/>
    <s v="California"/>
    <x v="0"/>
    <s v="Labels"/>
    <s v="Avery 495"/>
    <n v="18.899999999999999"/>
    <n v="3"/>
  </r>
  <r>
    <x v="496"/>
    <d v="2015-08-03T00:00:00"/>
    <n v="3"/>
    <x v="2"/>
    <s v="RW-19630"/>
    <s v="Rob Williams"/>
    <s v="California"/>
    <x v="0"/>
    <s v="Appliances"/>
    <s v="Hoover Shoulder Vac Commercial Portable Vacuum"/>
    <n v="715.64"/>
    <n v="2"/>
  </r>
  <r>
    <x v="497"/>
    <d v="2015-08-06T00:00:00"/>
    <n v="5"/>
    <x v="1"/>
    <s v="AH-10690"/>
    <s v="Anna Häberlin"/>
    <s v="California"/>
    <x v="1"/>
    <s v="Tables"/>
    <s v="Laminate Occasional Tables"/>
    <n v="863.12800000000004"/>
    <n v="7"/>
  </r>
  <r>
    <x v="498"/>
    <d v="2015-08-02T00:00:00"/>
    <n v="0"/>
    <x v="3"/>
    <s v="TS-21205"/>
    <s v="Thomas Seio"/>
    <s v="California"/>
    <x v="2"/>
    <s v="Phones"/>
    <s v="Apple iPhone 5"/>
    <n v="1039.7280000000001"/>
    <n v="2"/>
  </r>
  <r>
    <x v="498"/>
    <d v="2015-08-02T00:00:00"/>
    <n v="0"/>
    <x v="3"/>
    <s v="TS-21205"/>
    <s v="Thomas Seio"/>
    <s v="California"/>
    <x v="0"/>
    <s v="Appliances"/>
    <s v="Belkin F5C206VTEL 6 Outlet Surge"/>
    <n v="45.96"/>
    <n v="2"/>
  </r>
  <r>
    <x v="499"/>
    <d v="2015-08-05T00:00:00"/>
    <n v="2"/>
    <x v="0"/>
    <s v="BF-11020"/>
    <s v="Barry Französisch"/>
    <s v="California"/>
    <x v="1"/>
    <s v="Tables"/>
    <s v="Barricks Non-Folding Utility Table with Steel Legs, Laminate Tops"/>
    <n v="136.46400000000003"/>
    <n v="2"/>
  </r>
  <r>
    <x v="499"/>
    <d v="2015-08-05T00:00:00"/>
    <n v="2"/>
    <x v="0"/>
    <s v="BF-11020"/>
    <s v="Barry Französisch"/>
    <s v="California"/>
    <x v="2"/>
    <s v="Phones"/>
    <s v="Nortel Business Series Terminal T7208 Digital phone"/>
    <n v="333.57600000000002"/>
    <n v="3"/>
  </r>
  <r>
    <x v="499"/>
    <d v="2015-08-05T00:00:00"/>
    <n v="2"/>
    <x v="0"/>
    <s v="BF-11020"/>
    <s v="Barry Französisch"/>
    <s v="California"/>
    <x v="0"/>
    <s v="Binders"/>
    <s v="XtraLife ClearVue Slant-D Ring Binders by Cardinal"/>
    <n v="12.544"/>
    <n v="2"/>
  </r>
  <r>
    <x v="500"/>
    <d v="2015-08-07T00:00:00"/>
    <n v="2"/>
    <x v="0"/>
    <s v="LC-16930"/>
    <s v="Linda Cazamias"/>
    <s v="California"/>
    <x v="2"/>
    <s v="Phones"/>
    <s v="Mitel 5320 IP Phone VoIP phone"/>
    <n v="302.38400000000001"/>
    <n v="2"/>
  </r>
  <r>
    <x v="500"/>
    <d v="2015-08-07T00:00:00"/>
    <n v="2"/>
    <x v="0"/>
    <s v="LC-16930"/>
    <s v="Linda Cazamias"/>
    <s v="California"/>
    <x v="0"/>
    <s v="Binders"/>
    <s v="Wilson Jones Leather-Like Binders with DublLock Round Rings"/>
    <n v="20.952000000000002"/>
    <n v="3"/>
  </r>
  <r>
    <x v="500"/>
    <d v="2015-08-07T00:00:00"/>
    <n v="2"/>
    <x v="0"/>
    <s v="LC-16930"/>
    <s v="Linda Cazamias"/>
    <s v="California"/>
    <x v="0"/>
    <s v="Binders"/>
    <s v="Pressboard Covers with Storage Hooks, 9 1/2&quot; x 11&quot;, Light Blue"/>
    <n v="11.784000000000001"/>
    <n v="3"/>
  </r>
  <r>
    <x v="501"/>
    <d v="2015-08-14T00:00:00"/>
    <n v="7"/>
    <x v="1"/>
    <s v="VG-21790"/>
    <s v="Vivek Gonzalez"/>
    <s v="California"/>
    <x v="2"/>
    <s v="Phones"/>
    <s v="Panasonic KX-TG6844B Expandable Digital Cordless Telephone"/>
    <n v="211.16800000000001"/>
    <n v="4"/>
  </r>
  <r>
    <x v="502"/>
    <d v="2015-08-12T00:00:00"/>
    <n v="4"/>
    <x v="1"/>
    <s v="DW-13585"/>
    <s v="Dorothy Wardle"/>
    <s v="Washington"/>
    <x v="2"/>
    <s v="Accessories"/>
    <s v="Logitech Illuminated - Keyboard"/>
    <n v="179.97"/>
    <n v="3"/>
  </r>
  <r>
    <x v="503"/>
    <d v="2015-08-16T00:00:00"/>
    <n v="7"/>
    <x v="1"/>
    <s v="CA-12055"/>
    <s v="Cathy Armstrong"/>
    <s v="California"/>
    <x v="1"/>
    <s v="Tables"/>
    <s v="Chromcraft 48&quot; x 96&quot; Racetrack Double Pedestal Table"/>
    <n v="513.024"/>
    <n v="2"/>
  </r>
  <r>
    <x v="503"/>
    <d v="2015-08-16T00:00:00"/>
    <n v="7"/>
    <x v="1"/>
    <s v="CA-12055"/>
    <s v="Cathy Armstrong"/>
    <s v="California"/>
    <x v="0"/>
    <s v="Appliances"/>
    <s v="Kensington 4 Outlet MasterPiece Compact Power Control Center"/>
    <n v="487.91999999999996"/>
    <n v="6"/>
  </r>
  <r>
    <x v="503"/>
    <d v="2015-08-16T00:00:00"/>
    <n v="7"/>
    <x v="1"/>
    <s v="CA-12055"/>
    <s v="Cathy Armstrong"/>
    <s v="California"/>
    <x v="0"/>
    <s v="Binders"/>
    <s v="Acco Hanging Data Binders"/>
    <n v="15.24"/>
    <n v="5"/>
  </r>
  <r>
    <x v="504"/>
    <d v="2015-08-19T00:00:00"/>
    <n v="4"/>
    <x v="1"/>
    <s v="JM-15580"/>
    <s v="Jill Matthias"/>
    <s v="California"/>
    <x v="0"/>
    <s v="Paper"/>
    <s v="Array Memo Cubes"/>
    <n v="15.54"/>
    <n v="3"/>
  </r>
  <r>
    <x v="504"/>
    <d v="2015-08-19T00:00:00"/>
    <n v="4"/>
    <x v="1"/>
    <s v="JM-15580"/>
    <s v="Jill Matthias"/>
    <s v="California"/>
    <x v="2"/>
    <s v="Machines"/>
    <s v="Texas Instruments TI-34 Scientific Calculator"/>
    <n v="105.55199999999999"/>
    <n v="6"/>
  </r>
  <r>
    <x v="505"/>
    <d v="2015-08-22T00:00:00"/>
    <n v="6"/>
    <x v="1"/>
    <s v="ME-17725"/>
    <s v="Max Engle"/>
    <s v="Colorado"/>
    <x v="0"/>
    <s v="Binders"/>
    <s v="Premium Transparent Presentation Covers by GBC"/>
    <n v="18.882000000000005"/>
    <n v="3"/>
  </r>
  <r>
    <x v="505"/>
    <d v="2015-08-22T00:00:00"/>
    <n v="6"/>
    <x v="1"/>
    <s v="ME-17725"/>
    <s v="Max Engle"/>
    <s v="Colorado"/>
    <x v="0"/>
    <s v="Appliances"/>
    <s v="Tripp Lite TLP810NET Broadband Surge for Modem/Fax"/>
    <n v="122.328"/>
    <n v="3"/>
  </r>
  <r>
    <x v="505"/>
    <d v="2015-08-21T00:00:00"/>
    <n v="5"/>
    <x v="0"/>
    <s v="CY-12745"/>
    <s v="Craig Yedwab"/>
    <s v="California"/>
    <x v="2"/>
    <s v="Phones"/>
    <s v="Nokia Lumia 521 (T-Mobile)"/>
    <n v="71.975999999999999"/>
    <n v="3"/>
  </r>
  <r>
    <x v="505"/>
    <d v="2015-08-21T00:00:00"/>
    <n v="5"/>
    <x v="0"/>
    <s v="CY-12745"/>
    <s v="Craig Yedwab"/>
    <s v="California"/>
    <x v="0"/>
    <s v="Labels"/>
    <s v="Avery 488"/>
    <n v="3.15"/>
    <n v="1"/>
  </r>
  <r>
    <x v="505"/>
    <d v="2015-08-23T00:00:00"/>
    <n v="7"/>
    <x v="1"/>
    <s v="BD-11320"/>
    <s v="Bill Donatelli"/>
    <s v="California"/>
    <x v="1"/>
    <s v="Furnishings"/>
    <s v="Luxo Professional Magnifying Clamp-On Fluorescent Lamps"/>
    <n v="312.03000000000003"/>
    <n v="3"/>
  </r>
  <r>
    <x v="505"/>
    <d v="2015-08-23T00:00:00"/>
    <n v="7"/>
    <x v="1"/>
    <s v="BD-11320"/>
    <s v="Bill Donatelli"/>
    <s v="California"/>
    <x v="0"/>
    <s v="Storage"/>
    <s v="Perma STOR-ALL Hanging File Box, 13 1/8&quot;W x 12 1/4&quot;D x 10 1/2&quot;H"/>
    <n v="17.940000000000001"/>
    <n v="3"/>
  </r>
  <r>
    <x v="505"/>
    <d v="2015-08-23T00:00:00"/>
    <n v="7"/>
    <x v="1"/>
    <s v="BD-11320"/>
    <s v="Bill Donatelli"/>
    <s v="California"/>
    <x v="2"/>
    <s v="Phones"/>
    <s v="AT&amp;T 841000 Phone"/>
    <n v="165.60000000000002"/>
    <n v="3"/>
  </r>
  <r>
    <x v="505"/>
    <d v="2015-08-23T00:00:00"/>
    <n v="7"/>
    <x v="1"/>
    <s v="BD-11320"/>
    <s v="Bill Donatelli"/>
    <s v="California"/>
    <x v="0"/>
    <s v="Paper"/>
    <s v="Rediform S.O.S. 1-Up Phone Message Bk, 4-1/4x3-1/16 Bk, 1 Form/Pg, 40 Messages/Bk, 3/Pk"/>
    <n v="37.520000000000003"/>
    <n v="4"/>
  </r>
  <r>
    <x v="506"/>
    <d v="2015-08-21T00:00:00"/>
    <n v="4"/>
    <x v="1"/>
    <s v="PK-19075"/>
    <s v="Pete Kriz"/>
    <s v="California"/>
    <x v="0"/>
    <s v="Envelopes"/>
    <s v="Convenience Packs of Business Envelopes"/>
    <n v="10.86"/>
    <n v="3"/>
  </r>
  <r>
    <x v="506"/>
    <d v="2015-08-20T00:00:00"/>
    <n v="3"/>
    <x v="2"/>
    <s v="AO-10810"/>
    <s v="Anthony O'Donnell"/>
    <s v="California"/>
    <x v="1"/>
    <s v="Tables"/>
    <s v="Barricks 18&quot; x 48&quot; Non-Folding Utility Table with Bottom Storage Shelf"/>
    <n v="161.28"/>
    <n v="2"/>
  </r>
  <r>
    <x v="506"/>
    <d v="2015-08-23T00:00:00"/>
    <n v="6"/>
    <x v="1"/>
    <s v="JP-15520"/>
    <s v="Jeremy Pistek"/>
    <s v="California"/>
    <x v="0"/>
    <s v="Paper"/>
    <s v="Xerox 1931"/>
    <n v="32.400000000000006"/>
    <n v="5"/>
  </r>
  <r>
    <x v="507"/>
    <d v="2015-08-22T00:00:00"/>
    <n v="4"/>
    <x v="1"/>
    <s v="NM-18520"/>
    <s v="Neoma Murray"/>
    <s v="Washington"/>
    <x v="0"/>
    <s v="Binders"/>
    <s v="Acco Pressboard Covers with Storage Hooks, 14 7/8&quot; x 11&quot;, Light Blue"/>
    <n v="15.712000000000002"/>
    <n v="4"/>
  </r>
  <r>
    <x v="508"/>
    <d v="2015-08-29T00:00:00"/>
    <n v="7"/>
    <x v="1"/>
    <s v="SC-20230"/>
    <s v="Scot Coram"/>
    <s v="California"/>
    <x v="0"/>
    <s v="Binders"/>
    <s v="Avery Durable Slant Ring Binders"/>
    <n v="12.672000000000001"/>
    <n v="2"/>
  </r>
  <r>
    <x v="508"/>
    <d v="2015-08-29T00:00:00"/>
    <n v="7"/>
    <x v="1"/>
    <s v="SC-20230"/>
    <s v="Scot Coram"/>
    <s v="California"/>
    <x v="2"/>
    <s v="Phones"/>
    <s v="Motorola HK250 Universal Bluetooth Headset"/>
    <n v="91.96"/>
    <n v="5"/>
  </r>
  <r>
    <x v="508"/>
    <d v="2015-08-29T00:00:00"/>
    <n v="7"/>
    <x v="1"/>
    <s v="SC-20230"/>
    <s v="Scot Coram"/>
    <s v="California"/>
    <x v="2"/>
    <s v="Accessories"/>
    <s v="Logitech Gaming G510s - Keyboard"/>
    <n v="254.96999999999997"/>
    <n v="3"/>
  </r>
  <r>
    <x v="508"/>
    <d v="2015-08-29T00:00:00"/>
    <n v="7"/>
    <x v="1"/>
    <s v="SC-20230"/>
    <s v="Scot Coram"/>
    <s v="California"/>
    <x v="2"/>
    <s v="Phones"/>
    <s v="Anker Astro Mini 3000mAh Ultra-Compact Portable Charger"/>
    <n v="31.983999999999998"/>
    <n v="2"/>
  </r>
  <r>
    <x v="508"/>
    <d v="2015-08-29T00:00:00"/>
    <n v="7"/>
    <x v="1"/>
    <s v="SC-20230"/>
    <s v="Scot Coram"/>
    <s v="California"/>
    <x v="1"/>
    <s v="Tables"/>
    <s v="Bretford CR8500 Series Meeting Room Furniture"/>
    <n v="2887.0560000000005"/>
    <n v="9"/>
  </r>
  <r>
    <x v="508"/>
    <d v="2015-08-29T00:00:00"/>
    <n v="7"/>
    <x v="1"/>
    <s v="SC-20230"/>
    <s v="Scot Coram"/>
    <s v="California"/>
    <x v="0"/>
    <s v="Paper"/>
    <s v="Xerox 1997"/>
    <n v="12.96"/>
    <n v="2"/>
  </r>
  <r>
    <x v="508"/>
    <d v="2015-08-29T00:00:00"/>
    <n v="7"/>
    <x v="1"/>
    <s v="SC-20230"/>
    <s v="Scot Coram"/>
    <s v="California"/>
    <x v="0"/>
    <s v="Paper"/>
    <s v="Xerox 1928"/>
    <n v="47.52"/>
    <n v="9"/>
  </r>
  <r>
    <x v="508"/>
    <d v="2015-08-25T00:00:00"/>
    <n v="3"/>
    <x v="0"/>
    <s v="RP-19270"/>
    <s v="Rachel Payne"/>
    <s v="Washington"/>
    <x v="0"/>
    <s v="Binders"/>
    <s v="Avery Durable Slant Ring Binders With Label Holder"/>
    <n v="33.44"/>
    <n v="10"/>
  </r>
  <r>
    <x v="509"/>
    <d v="2015-08-28T00:00:00"/>
    <n v="5"/>
    <x v="1"/>
    <s v="SG-20470"/>
    <s v="Sheri Gordon"/>
    <s v="Oregon"/>
    <x v="0"/>
    <s v="Binders"/>
    <s v="GBC Imprintable Covers"/>
    <n v="26.352000000000004"/>
    <n v="8"/>
  </r>
  <r>
    <x v="509"/>
    <d v="2015-08-27T00:00:00"/>
    <n v="4"/>
    <x v="1"/>
    <s v="DG-13300"/>
    <s v="Deirdre Greer"/>
    <s v="Washington"/>
    <x v="0"/>
    <s v="Paper"/>
    <s v="Xerox 202"/>
    <n v="19.440000000000001"/>
    <n v="3"/>
  </r>
  <r>
    <x v="509"/>
    <d v="2015-08-24T00:00:00"/>
    <n v="1"/>
    <x v="2"/>
    <s v="TC-21475"/>
    <s v="Tony Chapman"/>
    <s v="Colorado"/>
    <x v="1"/>
    <s v="Furnishings"/>
    <s v="Dana Halogen Swing-Arm Architect Lamp"/>
    <n v="98.328000000000003"/>
    <n v="3"/>
  </r>
  <r>
    <x v="509"/>
    <d v="2015-08-30T00:00:00"/>
    <n v="7"/>
    <x v="1"/>
    <s v="PW-19030"/>
    <s v="Pauline Webber"/>
    <s v="California"/>
    <x v="0"/>
    <s v="Art"/>
    <s v="Newell 346"/>
    <n v="5.76"/>
    <n v="2"/>
  </r>
  <r>
    <x v="510"/>
    <d v="2015-08-31T00:00:00"/>
    <n v="7"/>
    <x v="1"/>
    <s v="MS-17770"/>
    <s v="Maxwell Schwartz"/>
    <s v="Washington"/>
    <x v="2"/>
    <s v="Machines"/>
    <s v="Okidata C331dn Printer"/>
    <n v="837.59999999999991"/>
    <n v="3"/>
  </r>
  <r>
    <x v="510"/>
    <d v="2015-08-31T00:00:00"/>
    <n v="7"/>
    <x v="1"/>
    <s v="MS-17770"/>
    <s v="Maxwell Schwartz"/>
    <s v="Washington"/>
    <x v="0"/>
    <s v="Envelopes"/>
    <s v="Tyvek  Top-Opening Peel &amp; Seel Envelopes, Plain White"/>
    <n v="135.9"/>
    <n v="5"/>
  </r>
  <r>
    <x v="510"/>
    <d v="2015-08-31T00:00:00"/>
    <n v="7"/>
    <x v="1"/>
    <s v="MS-17770"/>
    <s v="Maxwell Schwartz"/>
    <s v="Washington"/>
    <x v="0"/>
    <s v="Paper"/>
    <s v="Xerox 1978"/>
    <n v="34.68"/>
    <n v="6"/>
  </r>
  <r>
    <x v="510"/>
    <d v="2015-08-31T00:00:00"/>
    <n v="7"/>
    <x v="1"/>
    <s v="MS-17770"/>
    <s v="Maxwell Schwartz"/>
    <s v="Washington"/>
    <x v="1"/>
    <s v="Chairs"/>
    <s v="Office Star Flex Back Scooter Chair with White Frame"/>
    <n v="532.70400000000006"/>
    <n v="6"/>
  </r>
  <r>
    <x v="510"/>
    <d v="2015-08-31T00:00:00"/>
    <n v="7"/>
    <x v="1"/>
    <s v="MS-17770"/>
    <s v="Maxwell Schwartz"/>
    <s v="Washington"/>
    <x v="0"/>
    <s v="Appliances"/>
    <s v="Acco Six-Outlet Power Strip, 4' Cord Length"/>
    <n v="43.099999999999994"/>
    <n v="5"/>
  </r>
  <r>
    <x v="510"/>
    <d v="2015-08-31T00:00:00"/>
    <n v="7"/>
    <x v="1"/>
    <s v="MS-17770"/>
    <s v="Maxwell Schwartz"/>
    <s v="Washington"/>
    <x v="0"/>
    <s v="Supplies"/>
    <s v="Acme Rosewood Handle Letter Opener"/>
    <n v="15.88"/>
    <n v="4"/>
  </r>
  <r>
    <x v="511"/>
    <d v="2015-08-28T00:00:00"/>
    <n v="1"/>
    <x v="2"/>
    <s v="RF-19735"/>
    <s v="Roland Fjeld"/>
    <s v="California"/>
    <x v="0"/>
    <s v="Fasteners"/>
    <s v="Advantus SlideClip Paper Clips"/>
    <n v="10.23"/>
    <n v="3"/>
  </r>
  <r>
    <x v="511"/>
    <d v="2015-08-28T00:00:00"/>
    <n v="1"/>
    <x v="2"/>
    <s v="RF-19735"/>
    <s v="Roland Fjeld"/>
    <s v="California"/>
    <x v="0"/>
    <s v="Paper"/>
    <s v="Xerox 1979"/>
    <n v="154.9"/>
    <n v="5"/>
  </r>
  <r>
    <x v="511"/>
    <d v="2015-08-30T00:00:00"/>
    <n v="3"/>
    <x v="0"/>
    <s v="CC-12145"/>
    <s v="Charles Crestani"/>
    <s v="Washington"/>
    <x v="0"/>
    <s v="Paper"/>
    <s v="Xerox 1931"/>
    <n v="6.48"/>
    <n v="1"/>
  </r>
  <r>
    <x v="511"/>
    <d v="2015-08-30T00:00:00"/>
    <n v="3"/>
    <x v="2"/>
    <s v="DJ-13510"/>
    <s v="Don Jones"/>
    <s v="California"/>
    <x v="1"/>
    <s v="Chairs"/>
    <s v="Global Troy Executive Leather Low-Back Tilter"/>
    <n v="1603.1360000000002"/>
    <n v="4"/>
  </r>
  <r>
    <x v="511"/>
    <d v="2015-08-29T00:00:00"/>
    <n v="2"/>
    <x v="0"/>
    <s v="TS-21430"/>
    <s v="Tom Stivers"/>
    <s v="California"/>
    <x v="0"/>
    <s v="Art"/>
    <s v="Newell Chalk Holder"/>
    <n v="8.26"/>
    <n v="2"/>
  </r>
  <r>
    <x v="512"/>
    <d v="2015-09-03T00:00:00"/>
    <n v="5"/>
    <x v="1"/>
    <s v="CS-12130"/>
    <s v="Chad Sievert"/>
    <s v="Colorado"/>
    <x v="0"/>
    <s v="Paper"/>
    <s v="Wirebound Four 2-3/4 x 5 Forms per Page, 400 Sets per Book"/>
    <n v="15.48"/>
    <n v="3"/>
  </r>
  <r>
    <x v="512"/>
    <d v="2015-09-03T00:00:00"/>
    <n v="5"/>
    <x v="1"/>
    <s v="CS-12130"/>
    <s v="Chad Sievert"/>
    <s v="Colorado"/>
    <x v="2"/>
    <s v="Phones"/>
    <s v="AT&amp;T 17929 Lendline Telephone"/>
    <n v="108.57599999999999"/>
    <n v="3"/>
  </r>
  <r>
    <x v="513"/>
    <d v="2015-09-07T00:00:00"/>
    <n v="7"/>
    <x v="1"/>
    <s v="BG-11740"/>
    <s v="Bruce Geld"/>
    <s v="California"/>
    <x v="1"/>
    <s v="Furnishings"/>
    <s v="Executive Impressions 10&quot; Spectator Wall Clock"/>
    <n v="47.04"/>
    <n v="4"/>
  </r>
  <r>
    <x v="513"/>
    <d v="2015-09-07T00:00:00"/>
    <n v="7"/>
    <x v="1"/>
    <s v="BG-11740"/>
    <s v="Bruce Geld"/>
    <s v="California"/>
    <x v="2"/>
    <s v="Phones"/>
    <s v="Panasonic KX TS3282W Corded phone"/>
    <n v="339.96000000000004"/>
    <n v="5"/>
  </r>
  <r>
    <x v="514"/>
    <d v="2015-09-05T00:00:00"/>
    <n v="3"/>
    <x v="2"/>
    <s v="CV-12805"/>
    <s v="Cynthia Voltz"/>
    <s v="California"/>
    <x v="0"/>
    <s v="Envelopes"/>
    <s v="White Business Envelopes with Contemporary Seam, Recycled White Business Envelopes"/>
    <n v="21.88"/>
    <n v="2"/>
  </r>
  <r>
    <x v="514"/>
    <d v="2015-09-04T00:00:00"/>
    <n v="2"/>
    <x v="0"/>
    <s v="LB-16795"/>
    <s v="Laurel Beltran"/>
    <s v="California"/>
    <x v="0"/>
    <s v="Envelopes"/>
    <s v="Globe Weis Peel &amp; Seel First Class Envelopes"/>
    <n v="12.78"/>
    <n v="1"/>
  </r>
  <r>
    <x v="515"/>
    <d v="2015-09-05T00:00:00"/>
    <n v="2"/>
    <x v="2"/>
    <s v="SZ-20035"/>
    <s v="Sam Zeldin"/>
    <s v="California"/>
    <x v="0"/>
    <s v="Storage"/>
    <s v="Tenex File Box, Personal Filing Tote with Lid, Black"/>
    <n v="46.53"/>
    <n v="3"/>
  </r>
  <r>
    <x v="515"/>
    <d v="2015-09-09T00:00:00"/>
    <n v="6"/>
    <x v="1"/>
    <s v="TG-21310"/>
    <s v="Toby Gnade"/>
    <s v="Washington"/>
    <x v="2"/>
    <s v="Copiers"/>
    <s v="Hewlett Packard 610 Color Digital Copier / Printer"/>
    <n v="999.98"/>
    <n v="2"/>
  </r>
  <r>
    <x v="515"/>
    <d v="2015-09-06T00:00:00"/>
    <n v="3"/>
    <x v="0"/>
    <s v="BM-11140"/>
    <s v="Becky Martin"/>
    <s v="Washington"/>
    <x v="1"/>
    <s v="Chairs"/>
    <s v="Global Leather Task Chair, Black"/>
    <n v="215.976"/>
    <n v="3"/>
  </r>
  <r>
    <x v="515"/>
    <d v="2015-09-06T00:00:00"/>
    <n v="3"/>
    <x v="0"/>
    <s v="BM-11140"/>
    <s v="Becky Martin"/>
    <s v="Washington"/>
    <x v="0"/>
    <s v="Envelopes"/>
    <s v="Inter-Office Recycled Envelopes, Brown Kraft, Button-String,10&quot; x 13&quot; , 100/Box"/>
    <n v="65.94"/>
    <n v="3"/>
  </r>
  <r>
    <x v="515"/>
    <d v="2015-09-07T00:00:00"/>
    <n v="4"/>
    <x v="1"/>
    <s v="LR-16915"/>
    <s v="Lena Radford"/>
    <s v="California"/>
    <x v="1"/>
    <s v="Furnishings"/>
    <s v="Ultra Door Pull Handle"/>
    <n v="94.679999999999993"/>
    <n v="9"/>
  </r>
  <r>
    <x v="515"/>
    <d v="2015-09-07T00:00:00"/>
    <n v="4"/>
    <x v="1"/>
    <s v="LR-16915"/>
    <s v="Lena Radford"/>
    <s v="California"/>
    <x v="0"/>
    <s v="Storage"/>
    <s v="Akro Stacking Bins"/>
    <n v="23.669999999999998"/>
    <n v="3"/>
  </r>
  <r>
    <x v="515"/>
    <d v="2015-09-07T00:00:00"/>
    <n v="4"/>
    <x v="1"/>
    <s v="LR-16915"/>
    <s v="Lena Radford"/>
    <s v="California"/>
    <x v="2"/>
    <s v="Phones"/>
    <s v="Cisco Unified IP Phone 7945G VoIP phone"/>
    <n v="1091.1680000000001"/>
    <n v="4"/>
  </r>
  <r>
    <x v="515"/>
    <d v="2015-09-07T00:00:00"/>
    <n v="4"/>
    <x v="1"/>
    <s v="LR-16915"/>
    <s v="Lena Radford"/>
    <s v="California"/>
    <x v="0"/>
    <s v="Art"/>
    <s v="Blackstonian Pencils"/>
    <n v="18.689999999999998"/>
    <n v="7"/>
  </r>
  <r>
    <x v="515"/>
    <d v="2015-09-07T00:00:00"/>
    <n v="4"/>
    <x v="1"/>
    <s v="LR-16915"/>
    <s v="Lena Radford"/>
    <s v="California"/>
    <x v="1"/>
    <s v="Tables"/>
    <s v="Chromcraft Rectangular Conference Tables"/>
    <n v="568.72800000000007"/>
    <n v="3"/>
  </r>
  <r>
    <x v="515"/>
    <d v="2015-09-07T00:00:00"/>
    <n v="4"/>
    <x v="1"/>
    <s v="LR-16915"/>
    <s v="Lena Radford"/>
    <s v="California"/>
    <x v="0"/>
    <s v="Binders"/>
    <s v="SpineVue Locking Slant-D Ring Binders by Cardinal"/>
    <n v="7.3120000000000012"/>
    <n v="1"/>
  </r>
  <r>
    <x v="516"/>
    <d v="2015-09-05T00:00:00"/>
    <n v="0"/>
    <x v="3"/>
    <s v="IM-15055"/>
    <s v="Ionia McGrath"/>
    <s v="California"/>
    <x v="1"/>
    <s v="Furnishings"/>
    <s v="6&quot; Cubicle Wall Clock, Black"/>
    <n v="24.27"/>
    <n v="3"/>
  </r>
  <r>
    <x v="516"/>
    <d v="2015-09-05T00:00:00"/>
    <n v="0"/>
    <x v="3"/>
    <s v="IM-15055"/>
    <s v="Ionia McGrath"/>
    <s v="California"/>
    <x v="2"/>
    <s v="Copiers"/>
    <s v="Canon PC1060 Personal Laser Copier"/>
    <n v="2799.9600000000005"/>
    <n v="5"/>
  </r>
  <r>
    <x v="517"/>
    <d v="2015-09-11T00:00:00"/>
    <n v="5"/>
    <x v="1"/>
    <s v="ML-17395"/>
    <s v="Marina Lichtenstein"/>
    <s v="California"/>
    <x v="2"/>
    <s v="Accessories"/>
    <s v="HP Standard 104 key PS/2 Keyboard"/>
    <n v="116"/>
    <n v="8"/>
  </r>
  <r>
    <x v="517"/>
    <d v="2015-09-07T00:00:00"/>
    <n v="1"/>
    <x v="2"/>
    <s v="JH-15985"/>
    <s v="Joseph Holt"/>
    <s v="California"/>
    <x v="0"/>
    <s v="Paper"/>
    <s v="14-7/8 x 11 Blue Bar Computer Printout Paper"/>
    <n v="96.08"/>
    <n v="2"/>
  </r>
  <r>
    <x v="517"/>
    <d v="2015-09-07T00:00:00"/>
    <n v="1"/>
    <x v="2"/>
    <s v="JH-15985"/>
    <s v="Joseph Holt"/>
    <s v="California"/>
    <x v="0"/>
    <s v="Binders"/>
    <s v="Angle-D Binders with Locking Rings, Label Holders"/>
    <n v="11.68"/>
    <n v="2"/>
  </r>
  <r>
    <x v="517"/>
    <d v="2015-09-07T00:00:00"/>
    <n v="1"/>
    <x v="2"/>
    <s v="JH-15985"/>
    <s v="Joseph Holt"/>
    <s v="California"/>
    <x v="0"/>
    <s v="Fasteners"/>
    <s v="Advantus Push Pins"/>
    <n v="4.3600000000000003"/>
    <n v="2"/>
  </r>
  <r>
    <x v="518"/>
    <d v="2015-09-11T00:00:00"/>
    <n v="2"/>
    <x v="0"/>
    <s v="VM-21685"/>
    <s v="Valerie Mitchum"/>
    <s v="California"/>
    <x v="0"/>
    <s v="Binders"/>
    <s v="Square Ring Data Binders, Rigid 75 Pt. Covers, 11&quot; x 14-7/8&quot;"/>
    <n v="33.024000000000001"/>
    <n v="2"/>
  </r>
  <r>
    <x v="518"/>
    <d v="2015-09-11T00:00:00"/>
    <n v="2"/>
    <x v="0"/>
    <s v="VM-21685"/>
    <s v="Valerie Mitchum"/>
    <s v="California"/>
    <x v="0"/>
    <s v="Binders"/>
    <s v="Premium Transparent Presentation Covers by GBC"/>
    <n v="67.13600000000001"/>
    <n v="4"/>
  </r>
  <r>
    <x v="518"/>
    <d v="2015-09-09T00:00:00"/>
    <n v="0"/>
    <x v="3"/>
    <s v="PJ-19015"/>
    <s v="Pauline Johnson"/>
    <s v="California"/>
    <x v="1"/>
    <s v="Tables"/>
    <s v="Lesro Round Back Collection Coffee Table, End Table"/>
    <n v="146.04000000000002"/>
    <n v="1"/>
  </r>
  <r>
    <x v="518"/>
    <d v="2015-09-14T00:00:00"/>
    <n v="5"/>
    <x v="1"/>
    <s v="TR-21325"/>
    <s v="Toby Ritter"/>
    <s v="Washington"/>
    <x v="1"/>
    <s v="Furnishings"/>
    <s v="Howard Miller 11-1/2&quot; Diameter Grantwood Wall Clock"/>
    <n v="43.13"/>
    <n v="1"/>
  </r>
  <r>
    <x v="518"/>
    <d v="2015-09-14T00:00:00"/>
    <n v="5"/>
    <x v="1"/>
    <s v="TR-21325"/>
    <s v="Toby Ritter"/>
    <s v="Washington"/>
    <x v="0"/>
    <s v="Paper"/>
    <s v="Ampad Gold Fibre Wirebound Steno Books, 6&quot; x 9&quot;, Gregg Ruled"/>
    <n v="30.87"/>
    <n v="7"/>
  </r>
  <r>
    <x v="518"/>
    <d v="2015-09-16T00:00:00"/>
    <n v="7"/>
    <x v="1"/>
    <s v="LP-17095"/>
    <s v="Liz Preis"/>
    <s v="California"/>
    <x v="0"/>
    <s v="Art"/>
    <s v="Eberhard Faber 3 1/2&quot; Golf Pencils"/>
    <n v="14.88"/>
    <n v="2"/>
  </r>
  <r>
    <x v="518"/>
    <d v="2015-09-16T00:00:00"/>
    <n v="7"/>
    <x v="1"/>
    <s v="LP-17095"/>
    <s v="Liz Preis"/>
    <s v="California"/>
    <x v="0"/>
    <s v="Paper"/>
    <s v="Xerox 1900"/>
    <n v="34.24"/>
    <n v="8"/>
  </r>
  <r>
    <x v="518"/>
    <d v="2015-09-16T00:00:00"/>
    <n v="7"/>
    <x v="1"/>
    <s v="LP-17095"/>
    <s v="Liz Preis"/>
    <s v="California"/>
    <x v="0"/>
    <s v="Storage"/>
    <s v="Mini 13-1/2 Capacity Data Binder Rack, Pearl"/>
    <n v="261.74"/>
    <n v="2"/>
  </r>
  <r>
    <x v="519"/>
    <d v="2015-09-14T00:00:00"/>
    <n v="4"/>
    <x v="0"/>
    <s v="AT-10735"/>
    <s v="Annie Thurman"/>
    <s v="California"/>
    <x v="0"/>
    <s v="Binders"/>
    <s v="VariCap6 Expandable Binder"/>
    <n v="55.360000000000007"/>
    <n v="4"/>
  </r>
  <r>
    <x v="520"/>
    <d v="2015-09-15T00:00:00"/>
    <n v="4"/>
    <x v="1"/>
    <s v="BD-11770"/>
    <s v="Bryan Davis"/>
    <s v="Washington"/>
    <x v="0"/>
    <s v="Labels"/>
    <s v="Avery 487"/>
    <n v="7.38"/>
    <n v="2"/>
  </r>
  <r>
    <x v="520"/>
    <d v="2015-09-15T00:00:00"/>
    <n v="4"/>
    <x v="1"/>
    <s v="BD-11770"/>
    <s v="Bryan Davis"/>
    <s v="Washington"/>
    <x v="0"/>
    <s v="Binders"/>
    <s v="Storex Dura Pro Binders"/>
    <n v="14.256000000000002"/>
    <n v="3"/>
  </r>
  <r>
    <x v="520"/>
    <d v="2015-09-15T00:00:00"/>
    <n v="4"/>
    <x v="1"/>
    <s v="BD-11770"/>
    <s v="Bryan Davis"/>
    <s v="Washington"/>
    <x v="0"/>
    <s v="Paper"/>
    <s v="Xerox 1945"/>
    <n v="81.98"/>
    <n v="2"/>
  </r>
  <r>
    <x v="520"/>
    <d v="2015-09-15T00:00:00"/>
    <n v="4"/>
    <x v="1"/>
    <s v="BD-11770"/>
    <s v="Bryan Davis"/>
    <s v="Washington"/>
    <x v="0"/>
    <s v="Binders"/>
    <s v="JM Magazine Binder"/>
    <n v="39.624000000000009"/>
    <n v="3"/>
  </r>
  <r>
    <x v="520"/>
    <d v="2015-09-13T00:00:00"/>
    <n v="2"/>
    <x v="0"/>
    <s v="DV-13465"/>
    <s v="Dianna Vittorini"/>
    <s v="California"/>
    <x v="0"/>
    <s v="Binders"/>
    <s v="Ibico EB-19 Dual Function Manual Binding System"/>
    <n v="276.78400000000005"/>
    <n v="2"/>
  </r>
  <r>
    <x v="521"/>
    <d v="2015-09-18T00:00:00"/>
    <n v="6"/>
    <x v="1"/>
    <s v="KC-16540"/>
    <s v="Kelly Collister"/>
    <s v="California"/>
    <x v="0"/>
    <s v="Paper"/>
    <s v="Wirebound Message Books, Two 4 1/4&quot; x 5&quot; Forms per Page"/>
    <n v="7.61"/>
    <n v="1"/>
  </r>
  <r>
    <x v="521"/>
    <d v="2015-09-18T00:00:00"/>
    <n v="6"/>
    <x v="1"/>
    <s v="KC-16540"/>
    <s v="Kelly Collister"/>
    <s v="California"/>
    <x v="2"/>
    <s v="Accessories"/>
    <s v="Logitech P710e Mobile Speakerphone"/>
    <n v="3347.37"/>
    <n v="13"/>
  </r>
  <r>
    <x v="521"/>
    <d v="2015-09-18T00:00:00"/>
    <n v="6"/>
    <x v="1"/>
    <s v="EB-14110"/>
    <s v="Eugene Barchas"/>
    <s v="California"/>
    <x v="0"/>
    <s v="Storage"/>
    <s v="Stur-D-Stor Shelving, Vertical 5-Shelf: 72&quot;H x 36&quot;W x 18 1/2&quot;D"/>
    <n v="332.94"/>
    <n v="3"/>
  </r>
  <r>
    <x v="521"/>
    <d v="2015-09-18T00:00:00"/>
    <n v="6"/>
    <x v="1"/>
    <s v="EB-14110"/>
    <s v="Eugene Barchas"/>
    <s v="California"/>
    <x v="0"/>
    <s v="Binders"/>
    <s v="GBC Standard Therm-A-Bind Covers"/>
    <n v="39.872000000000007"/>
    <n v="2"/>
  </r>
  <r>
    <x v="521"/>
    <d v="2015-09-14T00:00:00"/>
    <n v="2"/>
    <x v="2"/>
    <s v="LC-16930"/>
    <s v="Linda Cazamias"/>
    <s v="Arizona"/>
    <x v="0"/>
    <s v="Art"/>
    <s v="Crayola Anti Dust Chalk, 12/Pack"/>
    <n v="2.9120000000000004"/>
    <n v="2"/>
  </r>
  <r>
    <x v="521"/>
    <d v="2015-09-14T00:00:00"/>
    <n v="2"/>
    <x v="2"/>
    <s v="LC-16930"/>
    <s v="Linda Cazamias"/>
    <s v="Arizona"/>
    <x v="0"/>
    <s v="Paper"/>
    <s v="Xerox 1976"/>
    <n v="20.736000000000004"/>
    <n v="4"/>
  </r>
  <r>
    <x v="521"/>
    <d v="2015-09-14T00:00:00"/>
    <n v="2"/>
    <x v="2"/>
    <s v="LC-16930"/>
    <s v="Linda Cazamias"/>
    <s v="Arizona"/>
    <x v="0"/>
    <s v="Paper"/>
    <s v="Great White Multi-Use Recycled Paper (20Lb. and 84 Bright)"/>
    <n v="9.5680000000000014"/>
    <n v="2"/>
  </r>
  <r>
    <x v="522"/>
    <d v="2015-09-15T00:00:00"/>
    <n v="2"/>
    <x v="0"/>
    <s v="BP-11185"/>
    <s v="Ben Peterman"/>
    <s v="Colorado"/>
    <x v="1"/>
    <s v="Furnishings"/>
    <s v="C-Line Cubicle Keepers Polyproplyene Holder With Velcro Backings"/>
    <n v="15.136000000000003"/>
    <n v="4"/>
  </r>
  <r>
    <x v="522"/>
    <d v="2015-09-15T00:00:00"/>
    <n v="2"/>
    <x v="0"/>
    <s v="BP-11185"/>
    <s v="Ben Peterman"/>
    <s v="Colorado"/>
    <x v="1"/>
    <s v="Chairs"/>
    <s v="Hon 4070 Series Pagoda Armless Upholstered Stacking Chairs"/>
    <n v="466.76800000000003"/>
    <n v="2"/>
  </r>
  <r>
    <x v="522"/>
    <d v="2015-09-15T00:00:00"/>
    <n v="2"/>
    <x v="0"/>
    <s v="BP-11185"/>
    <s v="Ben Peterman"/>
    <s v="Colorado"/>
    <x v="1"/>
    <s v="Furnishings"/>
    <s v="Eldon Expressions Desk Accessory, Wood Photo Frame, Mahogany"/>
    <n v="15.231999999999999"/>
    <n v="1"/>
  </r>
  <r>
    <x v="522"/>
    <d v="2015-09-15T00:00:00"/>
    <n v="2"/>
    <x v="0"/>
    <s v="BP-11185"/>
    <s v="Ben Peterman"/>
    <s v="Colorado"/>
    <x v="0"/>
    <s v="Labels"/>
    <s v="Avery 509"/>
    <n v="6.2640000000000002"/>
    <n v="3"/>
  </r>
  <r>
    <x v="522"/>
    <d v="2015-09-17T00:00:00"/>
    <n v="4"/>
    <x v="1"/>
    <s v="SF-20200"/>
    <s v="Sarah Foster"/>
    <s v="Washington"/>
    <x v="0"/>
    <s v="Fasteners"/>
    <s v="OIC Bulk Pack Metal Binder Clips"/>
    <n v="10.47"/>
    <n v="3"/>
  </r>
  <r>
    <x v="522"/>
    <d v="2015-09-17T00:00:00"/>
    <n v="4"/>
    <x v="1"/>
    <s v="SF-20200"/>
    <s v="Sarah Foster"/>
    <s v="Washington"/>
    <x v="0"/>
    <s v="Labels"/>
    <s v="Avery 487"/>
    <n v="11.07"/>
    <n v="3"/>
  </r>
  <r>
    <x v="522"/>
    <d v="2015-09-17T00:00:00"/>
    <n v="4"/>
    <x v="1"/>
    <s v="SF-20200"/>
    <s v="Sarah Foster"/>
    <s v="Washington"/>
    <x v="0"/>
    <s v="Binders"/>
    <s v="GBC Instant Report Kit"/>
    <n v="20.704000000000001"/>
    <n v="4"/>
  </r>
  <r>
    <x v="522"/>
    <d v="2015-09-14T00:00:00"/>
    <n v="1"/>
    <x v="3"/>
    <s v="PO-19180"/>
    <s v="Philisse Overcash"/>
    <s v="Colorado"/>
    <x v="2"/>
    <s v="Phones"/>
    <s v="Lunatik TT5L-002 Taktik Strike Impact Protection System for iPhone 5"/>
    <n v="146.952"/>
    <n v="3"/>
  </r>
  <r>
    <x v="522"/>
    <d v="2015-09-14T00:00:00"/>
    <n v="1"/>
    <x v="3"/>
    <s v="PO-19180"/>
    <s v="Philisse Overcash"/>
    <s v="Colorado"/>
    <x v="1"/>
    <s v="Chairs"/>
    <s v="Global Stack Chair without Arms, Black"/>
    <n v="83.13600000000001"/>
    <n v="4"/>
  </r>
  <r>
    <x v="523"/>
    <d v="2015-09-21T00:00:00"/>
    <n v="5"/>
    <x v="1"/>
    <s v="RB-19570"/>
    <s v="Rob Beeghly"/>
    <s v="Washington"/>
    <x v="0"/>
    <s v="Paper"/>
    <s v="TOPS &quot;Important Message&quot; Pads, Canary, 4-1/4 x 5-1/2, 50 Sheets per Pad"/>
    <n v="21.400000000000002"/>
    <n v="5"/>
  </r>
  <r>
    <x v="523"/>
    <d v="2015-09-21T00:00:00"/>
    <n v="5"/>
    <x v="1"/>
    <s v="RB-19570"/>
    <s v="Rob Beeghly"/>
    <s v="Washington"/>
    <x v="0"/>
    <s v="Binders"/>
    <s v="Cardinal Slant-D Ring Binder, Heavy Gauge Vinyl"/>
    <n v="48.664000000000001"/>
    <n v="7"/>
  </r>
  <r>
    <x v="523"/>
    <d v="2015-09-21T00:00:00"/>
    <n v="5"/>
    <x v="1"/>
    <s v="JD-16150"/>
    <s v="Justin Deggeller"/>
    <s v="Idaho"/>
    <x v="0"/>
    <s v="Binders"/>
    <s v="Avery Heavy-Duty EZD View Binder with Locking Rings"/>
    <n v="20.416"/>
    <n v="4"/>
  </r>
  <r>
    <x v="523"/>
    <d v="2015-09-21T00:00:00"/>
    <n v="5"/>
    <x v="1"/>
    <s v="JD-16150"/>
    <s v="Justin Deggeller"/>
    <s v="Idaho"/>
    <x v="1"/>
    <s v="Tables"/>
    <s v="Bretford Rectangular Conference Table Tops"/>
    <n v="1128.3899999999999"/>
    <n v="3"/>
  </r>
  <r>
    <x v="523"/>
    <d v="2015-09-21T00:00:00"/>
    <n v="5"/>
    <x v="1"/>
    <s v="AH-10585"/>
    <s v="Angele Hood"/>
    <s v="Washington"/>
    <x v="0"/>
    <s v="Art"/>
    <s v="SANFORD Major Accent Highlighters"/>
    <n v="35.4"/>
    <n v="5"/>
  </r>
  <r>
    <x v="524"/>
    <d v="2015-09-23T00:00:00"/>
    <n v="6"/>
    <x v="1"/>
    <s v="BC-11125"/>
    <s v="Becky Castell"/>
    <s v="California"/>
    <x v="0"/>
    <s v="Paper"/>
    <s v="Xerox 1966"/>
    <n v="12.96"/>
    <n v="2"/>
  </r>
  <r>
    <x v="524"/>
    <d v="2015-09-23T00:00:00"/>
    <n v="6"/>
    <x v="1"/>
    <s v="KD-16495"/>
    <s v="Keith Dawkins"/>
    <s v="California"/>
    <x v="1"/>
    <s v="Bookcases"/>
    <s v="Sauder Forest Hills Library with Doors, Woodland Oak Finish"/>
    <n v="273.666"/>
    <n v="2"/>
  </r>
  <r>
    <x v="524"/>
    <d v="2015-09-23T00:00:00"/>
    <n v="6"/>
    <x v="1"/>
    <s v="KD-16495"/>
    <s v="Keith Dawkins"/>
    <s v="California"/>
    <x v="0"/>
    <s v="Appliances"/>
    <s v="Eureka Sanitaire  Multi-Pro Heavy-Duty Upright, Disposable Bags"/>
    <n v="17.48"/>
    <n v="4"/>
  </r>
  <r>
    <x v="525"/>
    <d v="2015-09-23T00:00:00"/>
    <n v="5"/>
    <x v="1"/>
    <s v="JS-15685"/>
    <s v="Jim Sink"/>
    <s v="California"/>
    <x v="0"/>
    <s v="Art"/>
    <s v="Turquoise Lead Holder with Pocket Clip"/>
    <n v="20.100000000000001"/>
    <n v="3"/>
  </r>
  <r>
    <x v="525"/>
    <d v="2015-09-23T00:00:00"/>
    <n v="5"/>
    <x v="1"/>
    <s v="JS-15685"/>
    <s v="Jim Sink"/>
    <s v="California"/>
    <x v="2"/>
    <s v="Phones"/>
    <s v="Panasonic Kx-TS550"/>
    <n v="73.584000000000003"/>
    <n v="2"/>
  </r>
  <r>
    <x v="525"/>
    <d v="2015-09-23T00:00:00"/>
    <n v="5"/>
    <x v="1"/>
    <s v="JS-15685"/>
    <s v="Jim Sink"/>
    <s v="California"/>
    <x v="0"/>
    <s v="Paper"/>
    <s v="Xerox 1995"/>
    <n v="6.48"/>
    <n v="1"/>
  </r>
  <r>
    <x v="525"/>
    <d v="2015-09-22T00:00:00"/>
    <n v="4"/>
    <x v="1"/>
    <s v="SJ-20125"/>
    <s v="Sanjit Jacobs"/>
    <s v="Washington"/>
    <x v="1"/>
    <s v="Chairs"/>
    <s v="Harbour Creations 67200 Series Stacking Chairs"/>
    <n v="113.88800000000002"/>
    <n v="2"/>
  </r>
  <r>
    <x v="525"/>
    <d v="2015-09-22T00:00:00"/>
    <n v="4"/>
    <x v="1"/>
    <s v="SJ-20125"/>
    <s v="Sanjit Jacobs"/>
    <s v="Washington"/>
    <x v="2"/>
    <s v="Phones"/>
    <s v="Clarity 53712"/>
    <n v="105.584"/>
    <n v="2"/>
  </r>
  <r>
    <x v="525"/>
    <d v="2015-09-24T00:00:00"/>
    <n v="6"/>
    <x v="1"/>
    <s v="CC-12430"/>
    <s v="Chuck Clark"/>
    <s v="Washington"/>
    <x v="0"/>
    <s v="Labels"/>
    <s v="Avery 481"/>
    <n v="12.32"/>
    <n v="4"/>
  </r>
  <r>
    <x v="526"/>
    <d v="2015-09-23T00:00:00"/>
    <n v="4"/>
    <x v="1"/>
    <s v="JW-15220"/>
    <s v="Jane Waco"/>
    <s v="California"/>
    <x v="1"/>
    <s v="Chairs"/>
    <s v="Global Troy Executive Leather Low-Back Tilter"/>
    <n v="801.5680000000001"/>
    <n v="2"/>
  </r>
  <r>
    <x v="526"/>
    <d v="2015-09-23T00:00:00"/>
    <n v="4"/>
    <x v="1"/>
    <s v="JW-15220"/>
    <s v="Jane Waco"/>
    <s v="California"/>
    <x v="0"/>
    <s v="Paper"/>
    <s v="Xerox 1945"/>
    <n v="368.91"/>
    <n v="9"/>
  </r>
  <r>
    <x v="526"/>
    <d v="2015-09-23T00:00:00"/>
    <n v="4"/>
    <x v="1"/>
    <s v="JW-15220"/>
    <s v="Jane Waco"/>
    <s v="California"/>
    <x v="1"/>
    <s v="Chairs"/>
    <s v="Global High-Back Leather Tilter, Burgundy"/>
    <n v="885.52800000000002"/>
    <n v="9"/>
  </r>
  <r>
    <x v="526"/>
    <d v="2015-09-23T00:00:00"/>
    <n v="4"/>
    <x v="1"/>
    <s v="BD-11320"/>
    <s v="Bill Donatelli"/>
    <s v="California"/>
    <x v="2"/>
    <s v="Phones"/>
    <s v="Polycom CX300 Desktop Phone USB VoIP phone"/>
    <n v="239.98400000000004"/>
    <n v="2"/>
  </r>
  <r>
    <x v="527"/>
    <d v="2015-09-24T00:00:00"/>
    <n v="4"/>
    <x v="1"/>
    <s v="SW-20245"/>
    <s v="Scot Wooten"/>
    <s v="California"/>
    <x v="0"/>
    <s v="Paper"/>
    <s v="Xerox Color Copier Paper, 11&quot; x 17&quot;, Ream"/>
    <n v="159.88"/>
    <n v="7"/>
  </r>
  <r>
    <x v="527"/>
    <d v="2015-09-25T00:00:00"/>
    <n v="5"/>
    <x v="0"/>
    <s v="CC-12430"/>
    <s v="Chuck Clark"/>
    <s v="California"/>
    <x v="0"/>
    <s v="Binders"/>
    <s v="Cardinal Holdit Business Card Pockets"/>
    <n v="11.952000000000002"/>
    <n v="3"/>
  </r>
  <r>
    <x v="527"/>
    <d v="2015-09-25T00:00:00"/>
    <n v="5"/>
    <x v="0"/>
    <s v="CC-12430"/>
    <s v="Chuck Clark"/>
    <s v="California"/>
    <x v="0"/>
    <s v="Supplies"/>
    <s v="Kleencut Forged Office Shears by Acme United Corporation"/>
    <n v="6.24"/>
    <n v="3"/>
  </r>
  <r>
    <x v="527"/>
    <d v="2015-09-24T00:00:00"/>
    <n v="4"/>
    <x v="1"/>
    <s v="FH-14275"/>
    <s v="Frank Hawley"/>
    <s v="California"/>
    <x v="0"/>
    <s v="Binders"/>
    <s v="Avery Heavy-Duty EZD  Binder With Locking Rings"/>
    <n v="8.9280000000000008"/>
    <n v="2"/>
  </r>
  <r>
    <x v="528"/>
    <d v="2015-09-25T00:00:00"/>
    <n v="4"/>
    <x v="1"/>
    <s v="GM-14695"/>
    <s v="Greg Maxwell"/>
    <s v="California"/>
    <x v="0"/>
    <s v="Paper"/>
    <s v="Strathmore Photo Frame Cards"/>
    <n v="65.789999999999992"/>
    <n v="9"/>
  </r>
  <r>
    <x v="528"/>
    <d v="2015-09-25T00:00:00"/>
    <n v="4"/>
    <x v="1"/>
    <s v="GM-14695"/>
    <s v="Greg Maxwell"/>
    <s v="California"/>
    <x v="0"/>
    <s v="Binders"/>
    <s v="Fellowes PB200 Plastic Comb Binding Machine"/>
    <n v="271.98400000000004"/>
    <n v="2"/>
  </r>
  <r>
    <x v="528"/>
    <d v="2015-09-25T00:00:00"/>
    <n v="4"/>
    <x v="1"/>
    <s v="GM-14695"/>
    <s v="Greg Maxwell"/>
    <s v="California"/>
    <x v="0"/>
    <s v="Art"/>
    <s v="Newell 343"/>
    <n v="11.76"/>
    <n v="4"/>
  </r>
  <r>
    <x v="528"/>
    <d v="2015-09-25T00:00:00"/>
    <n v="4"/>
    <x v="1"/>
    <s v="GM-14695"/>
    <s v="Greg Maxwell"/>
    <s v="California"/>
    <x v="0"/>
    <s v="Paper"/>
    <s v="Xerox 1944"/>
    <n v="77.52"/>
    <n v="2"/>
  </r>
  <r>
    <x v="528"/>
    <d v="2015-09-25T00:00:00"/>
    <n v="4"/>
    <x v="1"/>
    <s v="GM-14695"/>
    <s v="Greg Maxwell"/>
    <s v="California"/>
    <x v="0"/>
    <s v="Binders"/>
    <s v="Ibico Plastic Spiral Binding Combs"/>
    <n v="48.64"/>
    <n v="2"/>
  </r>
  <r>
    <x v="528"/>
    <d v="2015-09-25T00:00:00"/>
    <n v="4"/>
    <x v="1"/>
    <s v="HJ-14875"/>
    <s v="Heather Jas"/>
    <s v="Washington"/>
    <x v="1"/>
    <s v="Bookcases"/>
    <s v="O'Sullivan 5-Shelf Heavy-Duty Bookcases"/>
    <n v="163.88"/>
    <n v="2"/>
  </r>
  <r>
    <x v="529"/>
    <d v="2015-09-28T00:00:00"/>
    <n v="5"/>
    <x v="1"/>
    <s v="SM-20950"/>
    <s v="Suzanne McNair"/>
    <s v="Colorado"/>
    <x v="1"/>
    <s v="Furnishings"/>
    <s v="Aluminum Document Frame"/>
    <n v="68.432000000000016"/>
    <n v="7"/>
  </r>
  <r>
    <x v="530"/>
    <d v="2015-09-27T00:00:00"/>
    <n v="3"/>
    <x v="0"/>
    <s v="CM-11815"/>
    <s v="Candace McMahon"/>
    <s v="Washington"/>
    <x v="0"/>
    <s v="Supplies"/>
    <s v="Acme Design Stainless Steel Bent Scissors"/>
    <n v="13.68"/>
    <n v="2"/>
  </r>
  <r>
    <x v="530"/>
    <d v="2015-09-27T00:00:00"/>
    <n v="3"/>
    <x v="2"/>
    <s v="DV-13045"/>
    <s v="Darrin Van Huff"/>
    <s v="California"/>
    <x v="0"/>
    <s v="Envelopes"/>
    <s v="Poly String Tie Envelopes"/>
    <n v="4.08"/>
    <n v="2"/>
  </r>
  <r>
    <x v="530"/>
    <d v="2015-09-27T00:00:00"/>
    <n v="3"/>
    <x v="2"/>
    <s v="DV-13045"/>
    <s v="Darrin Van Huff"/>
    <s v="California"/>
    <x v="0"/>
    <s v="Labels"/>
    <s v="Avery 51"/>
    <n v="18.899999999999999"/>
    <n v="3"/>
  </r>
  <r>
    <x v="530"/>
    <d v="2015-09-28T00:00:00"/>
    <n v="4"/>
    <x v="1"/>
    <s v="DP-13105"/>
    <s v="Dave Poirier"/>
    <s v="Washington"/>
    <x v="0"/>
    <s v="Binders"/>
    <s v="ACCOHIDE 3-Ring Binder, Blue, 1&quot;"/>
    <n v="13.216000000000001"/>
    <n v="4"/>
  </r>
  <r>
    <x v="530"/>
    <d v="2015-09-28T00:00:00"/>
    <n v="4"/>
    <x v="1"/>
    <s v="DP-13105"/>
    <s v="Dave Poirier"/>
    <s v="Washington"/>
    <x v="1"/>
    <s v="Chairs"/>
    <s v="Global Deluxe Steno Chair"/>
    <n v="184.75200000000001"/>
    <n v="3"/>
  </r>
  <r>
    <x v="531"/>
    <d v="2015-09-27T00:00:00"/>
    <n v="2"/>
    <x v="0"/>
    <s v="LA-16780"/>
    <s v="Laura Armstrong"/>
    <s v="California"/>
    <x v="0"/>
    <s v="Storage"/>
    <s v="Tennsco Lockers, Gray"/>
    <n v="41.96"/>
    <n v="2"/>
  </r>
  <r>
    <x v="531"/>
    <d v="2015-09-27T00:00:00"/>
    <n v="2"/>
    <x v="0"/>
    <s v="LA-16780"/>
    <s v="Laura Armstrong"/>
    <s v="California"/>
    <x v="0"/>
    <s v="Paper"/>
    <s v="REDIFORM Incoming/Outgoing Call Register, 11&quot; X 8 1/2&quot;, 100 Messages"/>
    <n v="41.7"/>
    <n v="5"/>
  </r>
  <r>
    <x v="531"/>
    <d v="2015-09-25T00:00:00"/>
    <n v="0"/>
    <x v="3"/>
    <s v="EB-13750"/>
    <s v="Edward Becker"/>
    <s v="California"/>
    <x v="1"/>
    <s v="Furnishings"/>
    <s v="Nu-Dell Executive Frame"/>
    <n v="63.2"/>
    <n v="5"/>
  </r>
  <r>
    <x v="531"/>
    <d v="2015-10-02T00:00:00"/>
    <n v="7"/>
    <x v="1"/>
    <s v="CL-12700"/>
    <s v="Craig Leslie"/>
    <s v="Colorado"/>
    <x v="1"/>
    <s v="Furnishings"/>
    <s v="Electrix 20W Halogen Replacement Bulb for Zoom-In Desk Lamp"/>
    <n v="21.44"/>
    <n v="2"/>
  </r>
  <r>
    <x v="531"/>
    <d v="2015-10-02T00:00:00"/>
    <n v="7"/>
    <x v="1"/>
    <s v="CL-12700"/>
    <s v="Craig Leslie"/>
    <s v="Colorado"/>
    <x v="0"/>
    <s v="Storage"/>
    <s v="Sensible Storage WireTech Storage Systems"/>
    <n v="511.05600000000004"/>
    <n v="9"/>
  </r>
  <r>
    <x v="531"/>
    <d v="2015-09-29T00:00:00"/>
    <n v="4"/>
    <x v="1"/>
    <s v="EH-13765"/>
    <s v="Edward Hooks"/>
    <s v="California"/>
    <x v="0"/>
    <s v="Envelopes"/>
    <s v="Tyvek Interoffice Envelopes, 9 1/2&quot; x 12 1/2&quot;, 100/Box"/>
    <n v="304.89999999999998"/>
    <n v="5"/>
  </r>
  <r>
    <x v="531"/>
    <d v="2015-09-29T00:00:00"/>
    <n v="4"/>
    <x v="1"/>
    <s v="EH-13765"/>
    <s v="Edward Hooks"/>
    <s v="California"/>
    <x v="1"/>
    <s v="Chairs"/>
    <s v="Hon Olson Stacker Stools"/>
    <n v="563.24"/>
    <n v="5"/>
  </r>
  <r>
    <x v="532"/>
    <d v="2015-10-01T00:00:00"/>
    <n v="5"/>
    <x v="1"/>
    <s v="AB-10105"/>
    <s v="Adrian Barton"/>
    <s v="Arizona"/>
    <x v="1"/>
    <s v="Tables"/>
    <s v="Bevis Boat-Shaped Conference Table"/>
    <n v="393.16500000000002"/>
    <n v="3"/>
  </r>
  <r>
    <x v="532"/>
    <d v="2015-09-30T00:00:00"/>
    <n v="4"/>
    <x v="1"/>
    <s v="KE-16420"/>
    <s v="Katrina Edelman"/>
    <s v="Oregon"/>
    <x v="0"/>
    <s v="Paper"/>
    <s v="REDIFORM Incoming/Outgoing Call Register, 11&quot; X 8 1/2&quot;, 100 Messages"/>
    <n v="60.048000000000002"/>
    <n v="9"/>
  </r>
  <r>
    <x v="532"/>
    <d v="2015-09-30T00:00:00"/>
    <n v="4"/>
    <x v="1"/>
    <s v="KE-16420"/>
    <s v="Katrina Edelman"/>
    <s v="Oregon"/>
    <x v="0"/>
    <s v="Binders"/>
    <s v="GBC Poly Designer Binding Covers"/>
    <n v="5.0220000000000002"/>
    <n v="1"/>
  </r>
  <r>
    <x v="532"/>
    <d v="2015-10-02T00:00:00"/>
    <n v="6"/>
    <x v="1"/>
    <s v="JW-16075"/>
    <s v="Julia West"/>
    <s v="California"/>
    <x v="0"/>
    <s v="Art"/>
    <s v="BIC Brite Liner Highlighters"/>
    <n v="16.559999999999999"/>
    <n v="4"/>
  </r>
  <r>
    <x v="532"/>
    <d v="2015-09-28T00:00:00"/>
    <n v="2"/>
    <x v="2"/>
    <s v="AS-10045"/>
    <s v="Aaron Smayling"/>
    <s v="California"/>
    <x v="1"/>
    <s v="Bookcases"/>
    <s v="Atlantic Metals Mobile 4-Shelf Bookcases, Custom Colors"/>
    <n v="477.666"/>
    <n v="2"/>
  </r>
  <r>
    <x v="532"/>
    <d v="2015-10-02T00:00:00"/>
    <n v="6"/>
    <x v="1"/>
    <s v="DL-12865"/>
    <s v="Dan Lawera"/>
    <s v="California"/>
    <x v="0"/>
    <s v="Paper"/>
    <s v="Ampad Evidence Wirebond Steno Books, 6&quot; x 9&quot;"/>
    <n v="10.9"/>
    <n v="5"/>
  </r>
  <r>
    <x v="532"/>
    <d v="2015-10-02T00:00:00"/>
    <n v="6"/>
    <x v="1"/>
    <s v="DL-12865"/>
    <s v="Dan Lawera"/>
    <s v="California"/>
    <x v="0"/>
    <s v="Labels"/>
    <s v="Alphabetical Labels for Top Tab Filing"/>
    <n v="29.6"/>
    <n v="2"/>
  </r>
  <r>
    <x v="532"/>
    <d v="2015-10-02T00:00:00"/>
    <n v="6"/>
    <x v="1"/>
    <s v="DL-12865"/>
    <s v="Dan Lawera"/>
    <s v="California"/>
    <x v="0"/>
    <s v="Labels"/>
    <s v="Avery 513"/>
    <n v="4.9800000000000004"/>
    <n v="1"/>
  </r>
  <r>
    <x v="532"/>
    <d v="2015-10-02T00:00:00"/>
    <n v="6"/>
    <x v="1"/>
    <s v="DL-12865"/>
    <s v="Dan Lawera"/>
    <s v="California"/>
    <x v="2"/>
    <s v="Copiers"/>
    <s v="Canon PC-428 Personal Copier"/>
    <n v="479.97600000000006"/>
    <n v="3"/>
  </r>
  <r>
    <x v="532"/>
    <d v="2015-10-02T00:00:00"/>
    <n v="6"/>
    <x v="1"/>
    <s v="DL-12865"/>
    <s v="Dan Lawera"/>
    <s v="California"/>
    <x v="2"/>
    <s v="Phones"/>
    <s v="SmartStand Mobile Device Holder, Assorted Colors"/>
    <n v="44.736000000000004"/>
    <n v="8"/>
  </r>
  <r>
    <x v="532"/>
    <d v="2015-10-02T00:00:00"/>
    <n v="6"/>
    <x v="1"/>
    <s v="DL-12865"/>
    <s v="Dan Lawera"/>
    <s v="California"/>
    <x v="0"/>
    <s v="Art"/>
    <s v="Newell 346"/>
    <n v="5.76"/>
    <n v="2"/>
  </r>
  <r>
    <x v="532"/>
    <d v="2015-10-02T00:00:00"/>
    <n v="6"/>
    <x v="1"/>
    <s v="DL-12865"/>
    <s v="Dan Lawera"/>
    <s v="California"/>
    <x v="1"/>
    <s v="Chairs"/>
    <s v="Global Airflow Leather Mesh Back Chair, Black"/>
    <n v="483.13599999999997"/>
    <n v="4"/>
  </r>
  <r>
    <x v="533"/>
    <d v="2015-10-02T00:00:00"/>
    <n v="5"/>
    <x v="1"/>
    <s v="SH-19975"/>
    <s v="Sally Hughsby"/>
    <s v="California"/>
    <x v="1"/>
    <s v="Bookcases"/>
    <s v="Bestar Classic Bookcase"/>
    <n v="424.95749999999992"/>
    <n v="5"/>
  </r>
  <r>
    <x v="533"/>
    <d v="2015-10-01T00:00:00"/>
    <n v="4"/>
    <x v="1"/>
    <s v="SN-20710"/>
    <s v="Steve Nguyen"/>
    <s v="Washington"/>
    <x v="0"/>
    <s v="Appliances"/>
    <s v="Belkin 7 Outlet SurgeMaster II"/>
    <n v="236.88"/>
    <n v="6"/>
  </r>
  <r>
    <x v="533"/>
    <d v="2015-10-01T00:00:00"/>
    <n v="4"/>
    <x v="1"/>
    <s v="SN-20710"/>
    <s v="Steve Nguyen"/>
    <s v="Washington"/>
    <x v="0"/>
    <s v="Paper"/>
    <s v="Universal Premium White Copier/Laser Paper (20Lb. and 87 Bright)"/>
    <n v="29.900000000000002"/>
    <n v="5"/>
  </r>
  <r>
    <x v="533"/>
    <d v="2015-10-01T00:00:00"/>
    <n v="4"/>
    <x v="1"/>
    <s v="SN-20710"/>
    <s v="Steve Nguyen"/>
    <s v="Washington"/>
    <x v="2"/>
    <s v="Accessories"/>
    <s v="Micro Innovations USB RF Wireless Keyboard with Mouse"/>
    <n v="100"/>
    <n v="4"/>
  </r>
  <r>
    <x v="533"/>
    <d v="2015-09-27T00:00:00"/>
    <n v="0"/>
    <x v="3"/>
    <s v="CM-12445"/>
    <s v="Chuck Magee"/>
    <s v="California"/>
    <x v="0"/>
    <s v="Storage"/>
    <s v="Advantus Rolling Storage Box"/>
    <n v="51.449999999999996"/>
    <n v="3"/>
  </r>
  <r>
    <x v="533"/>
    <d v="2015-09-27T00:00:00"/>
    <n v="0"/>
    <x v="3"/>
    <s v="CM-12445"/>
    <s v="Chuck Magee"/>
    <s v="California"/>
    <x v="0"/>
    <s v="Labels"/>
    <s v="Avery 494"/>
    <n v="7.83"/>
    <n v="3"/>
  </r>
  <r>
    <x v="533"/>
    <d v="2015-09-27T00:00:00"/>
    <n v="0"/>
    <x v="3"/>
    <s v="CM-12445"/>
    <s v="Chuck Magee"/>
    <s v="California"/>
    <x v="0"/>
    <s v="Art"/>
    <s v="SANFORD Major Accent Highlighters"/>
    <n v="35.4"/>
    <n v="5"/>
  </r>
  <r>
    <x v="533"/>
    <d v="2015-09-27T00:00:00"/>
    <n v="0"/>
    <x v="3"/>
    <s v="CM-12445"/>
    <s v="Chuck Magee"/>
    <s v="California"/>
    <x v="0"/>
    <s v="Paper"/>
    <s v="Great White Multi-Use Recycled Paper (20Lb. and 84 Bright)"/>
    <n v="29.900000000000002"/>
    <n v="5"/>
  </r>
  <r>
    <x v="533"/>
    <d v="2015-10-01T00:00:00"/>
    <n v="4"/>
    <x v="1"/>
    <s v="DW-13585"/>
    <s v="Dorothy Wardle"/>
    <s v="California"/>
    <x v="0"/>
    <s v="Paper"/>
    <s v="Xerox 1905"/>
    <n v="12.96"/>
    <n v="2"/>
  </r>
  <r>
    <x v="534"/>
    <d v="2015-10-04T00:00:00"/>
    <n v="6"/>
    <x v="1"/>
    <s v="SW-20455"/>
    <s v="Shaun Weien"/>
    <s v="Washington"/>
    <x v="2"/>
    <s v="Phones"/>
    <s v="Samsung Galaxy S4"/>
    <n v="1001.5840000000001"/>
    <n v="2"/>
  </r>
  <r>
    <x v="535"/>
    <d v="2015-10-02T00:00:00"/>
    <n v="2"/>
    <x v="0"/>
    <s v="PS-18760"/>
    <s v="Pamela Stobb"/>
    <s v="California"/>
    <x v="0"/>
    <s v="Paper"/>
    <s v="Xerox 1887"/>
    <n v="18.97"/>
    <n v="1"/>
  </r>
  <r>
    <x v="535"/>
    <d v="2015-10-04T00:00:00"/>
    <n v="4"/>
    <x v="1"/>
    <s v="AR-10540"/>
    <s v="Andy Reiter"/>
    <s v="California"/>
    <x v="0"/>
    <s v="Binders"/>
    <s v="Avery Self-Adhesive Photo Pockets for Polaroid Photos"/>
    <n v="27.240000000000002"/>
    <n v="5"/>
  </r>
  <r>
    <x v="535"/>
    <d v="2015-10-02T00:00:00"/>
    <n v="2"/>
    <x v="0"/>
    <s v="DM-12955"/>
    <s v="Dario Medina"/>
    <s v="Arizona"/>
    <x v="0"/>
    <s v="Art"/>
    <s v="Newell 351"/>
    <n v="10.496"/>
    <n v="4"/>
  </r>
  <r>
    <x v="535"/>
    <d v="2015-10-04T00:00:00"/>
    <n v="4"/>
    <x v="1"/>
    <s v="ES-14080"/>
    <s v="Erin Smith"/>
    <s v="Oregon"/>
    <x v="2"/>
    <s v="Phones"/>
    <s v="Wilson Electronics DB Pro Signal Booster"/>
    <n v="859.2"/>
    <n v="3"/>
  </r>
  <r>
    <x v="535"/>
    <d v="2015-10-04T00:00:00"/>
    <n v="4"/>
    <x v="1"/>
    <s v="ML-17410"/>
    <s v="Maris LaWare"/>
    <s v="California"/>
    <x v="2"/>
    <s v="Accessories"/>
    <s v="Memorex Mini Travel Drive 64 GB USB 2.0 Flash Drive"/>
    <n v="36.24"/>
    <n v="1"/>
  </r>
  <r>
    <x v="536"/>
    <d v="2015-10-03T00:00:00"/>
    <n v="1"/>
    <x v="2"/>
    <s v="BD-11620"/>
    <s v="Brian DeCherney"/>
    <s v="California"/>
    <x v="1"/>
    <s v="Chairs"/>
    <s v="Global Value Mid-Back Manager's Chair, Gray"/>
    <n v="194.84800000000001"/>
    <n v="4"/>
  </r>
  <r>
    <x v="537"/>
    <d v="2015-10-04T00:00:00"/>
    <n v="1"/>
    <x v="2"/>
    <s v="LP-17095"/>
    <s v="Liz Preis"/>
    <s v="Arizona"/>
    <x v="0"/>
    <s v="Binders"/>
    <s v="Premier Elliptical Ring Binder, Black"/>
    <n v="54.792000000000009"/>
    <n v="6"/>
  </r>
  <r>
    <x v="538"/>
    <d v="2015-10-08T00:00:00"/>
    <n v="4"/>
    <x v="1"/>
    <s v="DB-12910"/>
    <s v="Daniel Byrd"/>
    <s v="California"/>
    <x v="0"/>
    <s v="Labels"/>
    <s v="Smead Alpha-Z Color-Coded Second Alphabetical Labels and Starter Set"/>
    <n v="6.16"/>
    <n v="2"/>
  </r>
  <r>
    <x v="538"/>
    <d v="2015-10-08T00:00:00"/>
    <n v="4"/>
    <x v="1"/>
    <s v="DB-12910"/>
    <s v="Daniel Byrd"/>
    <s v="California"/>
    <x v="1"/>
    <s v="Chairs"/>
    <s v="Global Deluxe High-Back Manager's Chair"/>
    <n v="915.13600000000008"/>
    <n v="4"/>
  </r>
  <r>
    <x v="538"/>
    <d v="2015-10-08T00:00:00"/>
    <n v="4"/>
    <x v="1"/>
    <s v="DB-12910"/>
    <s v="Daniel Byrd"/>
    <s v="California"/>
    <x v="0"/>
    <s v="Paper"/>
    <s v="Xerox 1900"/>
    <n v="8.56"/>
    <n v="2"/>
  </r>
  <r>
    <x v="538"/>
    <d v="2015-10-08T00:00:00"/>
    <n v="4"/>
    <x v="1"/>
    <s v="DB-12910"/>
    <s v="Daniel Byrd"/>
    <s v="California"/>
    <x v="0"/>
    <s v="Paper"/>
    <s v="Xerox 1891"/>
    <n v="97.82"/>
    <n v="2"/>
  </r>
  <r>
    <x v="539"/>
    <d v="2015-10-08T00:00:00"/>
    <n v="1"/>
    <x v="2"/>
    <s v="LB-16795"/>
    <s v="Laurel Beltran"/>
    <s v="Colorado"/>
    <x v="2"/>
    <s v="Machines"/>
    <s v="Zebra GK420t Direct Thermal/Thermal Transfer Printer"/>
    <n v="703.71"/>
    <n v="6"/>
  </r>
  <r>
    <x v="539"/>
    <d v="2015-10-08T00:00:00"/>
    <n v="1"/>
    <x v="2"/>
    <s v="LB-16795"/>
    <s v="Laurel Beltran"/>
    <s v="Colorado"/>
    <x v="0"/>
    <s v="Binders"/>
    <s v="Recycled Easel Ring Binders"/>
    <n v="17.904000000000003"/>
    <n v="4"/>
  </r>
  <r>
    <x v="539"/>
    <d v="2015-10-08T00:00:00"/>
    <n v="1"/>
    <x v="2"/>
    <s v="LB-16795"/>
    <s v="Laurel Beltran"/>
    <s v="Colorado"/>
    <x v="0"/>
    <s v="Binders"/>
    <s v="Avery Framed View Binder, EZD Ring (Locking), Navy, 1 1/2&quot;"/>
    <n v="11.976000000000003"/>
    <n v="4"/>
  </r>
  <r>
    <x v="539"/>
    <d v="2015-10-08T00:00:00"/>
    <n v="1"/>
    <x v="2"/>
    <s v="LB-16795"/>
    <s v="Laurel Beltran"/>
    <s v="Colorado"/>
    <x v="2"/>
    <s v="Accessories"/>
    <s v="Memorex 25GB 6X Branded Blu-Ray Recordable Disc, 15/Pack"/>
    <n v="67.959999999999994"/>
    <n v="5"/>
  </r>
  <r>
    <x v="540"/>
    <d v="2015-10-14T00:00:00"/>
    <n v="6"/>
    <x v="1"/>
    <s v="TB-21250"/>
    <s v="Tim Brockman"/>
    <s v="California"/>
    <x v="0"/>
    <s v="Binders"/>
    <s v="GBC Recycled VeloBinder Covers"/>
    <n v="27.263999999999999"/>
    <n v="2"/>
  </r>
  <r>
    <x v="540"/>
    <d v="2015-10-10T00:00:00"/>
    <n v="2"/>
    <x v="2"/>
    <s v="DL-13495"/>
    <s v="Dionis Lloyd"/>
    <s v="Washington"/>
    <x v="2"/>
    <s v="Machines"/>
    <s v="Okidata C331dn Printer"/>
    <n v="837.59999999999991"/>
    <n v="3"/>
  </r>
  <r>
    <x v="540"/>
    <d v="2015-10-13T00:00:00"/>
    <n v="5"/>
    <x v="1"/>
    <s v="CC-12475"/>
    <s v="Cindy Chapman"/>
    <s v="California"/>
    <x v="0"/>
    <s v="Paper"/>
    <s v="Astroparche Fine Business Paper"/>
    <n v="10.56"/>
    <n v="2"/>
  </r>
  <r>
    <x v="540"/>
    <d v="2015-10-12T00:00:00"/>
    <n v="4"/>
    <x v="1"/>
    <s v="MC-18100"/>
    <s v="Mick Crebagga"/>
    <s v="Washington"/>
    <x v="0"/>
    <s v="Fasteners"/>
    <s v="Alliance Super-Size Bands, Assorted Sizes"/>
    <n v="93.36"/>
    <n v="12"/>
  </r>
  <r>
    <x v="541"/>
    <d v="2015-10-09T00:00:00"/>
    <n v="0"/>
    <x v="3"/>
    <s v="JE-15745"/>
    <s v="Joel Eaton"/>
    <s v="California"/>
    <x v="0"/>
    <s v="Paper"/>
    <s v="Xerox 1925"/>
    <n v="61.96"/>
    <n v="2"/>
  </r>
  <r>
    <x v="542"/>
    <d v="2015-10-15T00:00:00"/>
    <n v="5"/>
    <x v="1"/>
    <s v="MZ-17335"/>
    <s v="Maria Zettner"/>
    <s v="Arizona"/>
    <x v="0"/>
    <s v="Art"/>
    <s v="Newell 310"/>
    <n v="1.4080000000000001"/>
    <n v="1"/>
  </r>
  <r>
    <x v="542"/>
    <d v="2015-10-15T00:00:00"/>
    <n v="5"/>
    <x v="1"/>
    <s v="MZ-17335"/>
    <s v="Maria Zettner"/>
    <s v="Arizona"/>
    <x v="1"/>
    <s v="Furnishings"/>
    <s v="Tenex 46&quot; x 60&quot; Computer Anti-Static Chairmat, Rectangular Shaped"/>
    <n v="169.56800000000001"/>
    <n v="2"/>
  </r>
  <r>
    <x v="543"/>
    <d v="2015-10-13T00:00:00"/>
    <n v="2"/>
    <x v="2"/>
    <s v="CC-12610"/>
    <s v="Corey Catlett"/>
    <s v="Colorado"/>
    <x v="1"/>
    <s v="Bookcases"/>
    <s v="Bush Westfield Collection Bookcases, Dark Cherry Finish, Fully Assembled"/>
    <n v="90.882000000000005"/>
    <n v="3"/>
  </r>
  <r>
    <x v="543"/>
    <d v="2015-10-13T00:00:00"/>
    <n v="2"/>
    <x v="2"/>
    <s v="CC-12610"/>
    <s v="Corey Catlett"/>
    <s v="Colorado"/>
    <x v="2"/>
    <s v="Phones"/>
    <s v="iOttie HLCRIO102 Car Mount"/>
    <n v="15.991999999999999"/>
    <n v="1"/>
  </r>
  <r>
    <x v="543"/>
    <d v="2015-10-13T00:00:00"/>
    <n v="2"/>
    <x v="2"/>
    <s v="CC-12610"/>
    <s v="Corey Catlett"/>
    <s v="Colorado"/>
    <x v="1"/>
    <s v="Chairs"/>
    <s v="Global Manager's Adjustable Task Chair, Storm"/>
    <n v="120.78399999999999"/>
    <n v="1"/>
  </r>
  <r>
    <x v="544"/>
    <d v="2015-10-20T00:00:00"/>
    <n v="6"/>
    <x v="1"/>
    <s v="LC-16885"/>
    <s v="Lena Creighton"/>
    <s v="California"/>
    <x v="0"/>
    <s v="Paper"/>
    <s v="Xerox 195"/>
    <n v="20.04"/>
    <n v="3"/>
  </r>
  <r>
    <x v="544"/>
    <d v="2015-10-20T00:00:00"/>
    <n v="6"/>
    <x v="1"/>
    <s v="LC-16885"/>
    <s v="Lena Creighton"/>
    <s v="California"/>
    <x v="0"/>
    <s v="Paper"/>
    <s v="Xerox 1880"/>
    <n v="35.44"/>
    <n v="1"/>
  </r>
  <r>
    <x v="544"/>
    <d v="2015-10-20T00:00:00"/>
    <n v="6"/>
    <x v="1"/>
    <s v="LC-16885"/>
    <s v="Lena Creighton"/>
    <s v="California"/>
    <x v="0"/>
    <s v="Art"/>
    <s v="Sanford Colorific Colored Pencils, 12/Box"/>
    <n v="11.52"/>
    <n v="4"/>
  </r>
  <r>
    <x v="544"/>
    <d v="2015-10-20T00:00:00"/>
    <n v="6"/>
    <x v="1"/>
    <s v="LC-16885"/>
    <s v="Lena Creighton"/>
    <s v="California"/>
    <x v="0"/>
    <s v="Fasteners"/>
    <s v="Ideal Clamps"/>
    <n v="4.0199999999999996"/>
    <n v="2"/>
  </r>
  <r>
    <x v="544"/>
    <d v="2015-10-20T00:00:00"/>
    <n v="6"/>
    <x v="1"/>
    <s v="LC-16885"/>
    <s v="Lena Creighton"/>
    <s v="California"/>
    <x v="0"/>
    <s v="Binders"/>
    <s v="GBC Wire Binding Strips"/>
    <n v="76.176000000000002"/>
    <n v="3"/>
  </r>
  <r>
    <x v="544"/>
    <d v="2015-10-20T00:00:00"/>
    <n v="6"/>
    <x v="1"/>
    <s v="LC-16885"/>
    <s v="Lena Creighton"/>
    <s v="California"/>
    <x v="0"/>
    <s v="Supplies"/>
    <s v="Fiskars Softgrip Scissors"/>
    <n v="65.88"/>
    <n v="6"/>
  </r>
  <r>
    <x v="544"/>
    <d v="2015-10-20T00:00:00"/>
    <n v="6"/>
    <x v="1"/>
    <s v="LC-16885"/>
    <s v="Lena Creighton"/>
    <s v="California"/>
    <x v="1"/>
    <s v="Furnishings"/>
    <s v="Longer-Life Soft White Bulbs"/>
    <n v="43.120000000000005"/>
    <n v="14"/>
  </r>
  <r>
    <x v="544"/>
    <d v="2015-10-18T00:00:00"/>
    <n v="4"/>
    <x v="1"/>
    <s v="NC-18625"/>
    <s v="Noah Childs"/>
    <s v="Colorado"/>
    <x v="1"/>
    <s v="Tables"/>
    <s v="Hon 5100 Series Wood Tables"/>
    <n v="727.45"/>
    <n v="5"/>
  </r>
  <r>
    <x v="544"/>
    <d v="2015-10-18T00:00:00"/>
    <n v="4"/>
    <x v="1"/>
    <s v="NC-18625"/>
    <s v="Noah Childs"/>
    <s v="Colorado"/>
    <x v="1"/>
    <s v="Furnishings"/>
    <s v="Executive Impressions 8-1/2&quot; Career Panel/Partition Cubicle Clock"/>
    <n v="24.96"/>
    <n v="3"/>
  </r>
  <r>
    <x v="545"/>
    <d v="2015-10-19T00:00:00"/>
    <n v="4"/>
    <x v="1"/>
    <s v="CP-12340"/>
    <s v="Christine Phan"/>
    <s v="Washington"/>
    <x v="2"/>
    <s v="Accessories"/>
    <s v="WD My Passport Ultra 500GB Portable External Hard Drive"/>
    <n v="177"/>
    <n v="3"/>
  </r>
  <r>
    <x v="546"/>
    <d v="2015-10-22T00:00:00"/>
    <n v="6"/>
    <x v="1"/>
    <s v="PB-18805"/>
    <s v="Patrick Bzostek"/>
    <s v="Utah"/>
    <x v="0"/>
    <s v="Paper"/>
    <s v="Xerox 1982"/>
    <n v="45.68"/>
    <n v="2"/>
  </r>
  <r>
    <x v="546"/>
    <d v="2015-10-22T00:00:00"/>
    <n v="6"/>
    <x v="1"/>
    <s v="PB-18805"/>
    <s v="Patrick Bzostek"/>
    <s v="Utah"/>
    <x v="0"/>
    <s v="Paper"/>
    <s v="Xerox 1986"/>
    <n v="60.12"/>
    <n v="9"/>
  </r>
  <r>
    <x v="546"/>
    <d v="2015-10-22T00:00:00"/>
    <n v="6"/>
    <x v="1"/>
    <s v="PB-18805"/>
    <s v="Patrick Bzostek"/>
    <s v="Utah"/>
    <x v="0"/>
    <s v="Binders"/>
    <s v="Acco Data Flex Cable Posts For Top &amp; Bottom Load Binders, 6&quot; Capacity"/>
    <n v="41.72"/>
    <n v="5"/>
  </r>
  <r>
    <x v="546"/>
    <d v="2015-10-22T00:00:00"/>
    <n v="6"/>
    <x v="1"/>
    <s v="PB-18805"/>
    <s v="Patrick Bzostek"/>
    <s v="Utah"/>
    <x v="0"/>
    <s v="Paper"/>
    <s v="Recycled Desk Saver Line &quot;While You Were Out&quot; Book, 5 1/2&quot; X 4&quot;"/>
    <n v="71.599999999999994"/>
    <n v="8"/>
  </r>
  <r>
    <x v="547"/>
    <d v="2015-10-21T00:00:00"/>
    <n v="3"/>
    <x v="2"/>
    <s v="NK-18490"/>
    <s v="Neil Knudson"/>
    <s v="California"/>
    <x v="0"/>
    <s v="Binders"/>
    <s v="Avery Durable Plastic 1&quot; Binders"/>
    <n v="18.16"/>
    <n v="5"/>
  </r>
  <r>
    <x v="547"/>
    <d v="2015-10-22T00:00:00"/>
    <n v="4"/>
    <x v="1"/>
    <s v="MG-17890"/>
    <s v="Michael Granlund"/>
    <s v="California"/>
    <x v="1"/>
    <s v="Bookcases"/>
    <s v="Safco Value Mate Steel Bookcase, Baked Enamel Finish on Steel, Black"/>
    <n v="120.666"/>
    <n v="2"/>
  </r>
  <r>
    <x v="548"/>
    <d v="2015-10-23T00:00:00"/>
    <n v="4"/>
    <x v="1"/>
    <s v="EP-13915"/>
    <s v="Emily Phan"/>
    <s v="Arizona"/>
    <x v="1"/>
    <s v="Chairs"/>
    <s v="Global Deluxe Steno Chair"/>
    <n v="307.92"/>
    <n v="5"/>
  </r>
  <r>
    <x v="549"/>
    <d v="2015-10-23T00:00:00"/>
    <n v="2"/>
    <x v="2"/>
    <s v="AG-10495"/>
    <s v="Andrew Gjertsen"/>
    <s v="California"/>
    <x v="0"/>
    <s v="Binders"/>
    <s v="Fellowes Twister Kit, Gray/Clear, 3/pkg"/>
    <n v="19.295999999999999"/>
    <n v="3"/>
  </r>
  <r>
    <x v="549"/>
    <d v="2015-10-26T00:00:00"/>
    <n v="5"/>
    <x v="1"/>
    <s v="MY-18295"/>
    <s v="Muhammed Yedwab"/>
    <s v="California"/>
    <x v="1"/>
    <s v="Chairs"/>
    <s v="Hon Every-Day Chair Series Swivel Task Chairs"/>
    <n v="387.13600000000002"/>
    <n v="4"/>
  </r>
  <r>
    <x v="550"/>
    <d v="2015-10-28T00:00:00"/>
    <n v="6"/>
    <x v="1"/>
    <s v="NM-18520"/>
    <s v="Neoma Murray"/>
    <s v="California"/>
    <x v="0"/>
    <s v="Paper"/>
    <s v="Rediform Wirebound &quot;Phone Memo&quot; Message Book, 11 x 5-3/4"/>
    <n v="22.919999999999998"/>
    <n v="3"/>
  </r>
  <r>
    <x v="550"/>
    <d v="2015-10-26T00:00:00"/>
    <n v="4"/>
    <x v="1"/>
    <s v="JE-15745"/>
    <s v="Joel Eaton"/>
    <s v="California"/>
    <x v="0"/>
    <s v="Storage"/>
    <s v="Belkin 19&quot; Vented Equipment Shelf, Black"/>
    <n v="154.44"/>
    <n v="3"/>
  </r>
  <r>
    <x v="550"/>
    <d v="2015-10-27T00:00:00"/>
    <n v="5"/>
    <x v="0"/>
    <s v="DP-13390"/>
    <s v="Dennis Pardue"/>
    <s v="Nevada"/>
    <x v="0"/>
    <s v="Art"/>
    <s v="Panasonic KP-150 Electric Pencil Sharpener"/>
    <n v="113.22"/>
    <n v="3"/>
  </r>
  <r>
    <x v="550"/>
    <d v="2015-10-27T00:00:00"/>
    <n v="5"/>
    <x v="0"/>
    <s v="DP-13390"/>
    <s v="Dennis Pardue"/>
    <s v="Nevada"/>
    <x v="0"/>
    <s v="Paper"/>
    <s v="Xerox 193"/>
    <n v="35.880000000000003"/>
    <n v="6"/>
  </r>
  <r>
    <x v="550"/>
    <d v="2015-10-27T00:00:00"/>
    <n v="5"/>
    <x v="0"/>
    <s v="DP-13390"/>
    <s v="Dennis Pardue"/>
    <s v="Nevada"/>
    <x v="0"/>
    <s v="Binders"/>
    <s v="Ibico EPK-21 Electric Binding System"/>
    <n v="4535.9760000000006"/>
    <n v="3"/>
  </r>
  <r>
    <x v="550"/>
    <d v="2015-10-28T00:00:00"/>
    <n v="6"/>
    <x v="1"/>
    <s v="CS-11950"/>
    <s v="Carlos Soltero"/>
    <s v="California"/>
    <x v="1"/>
    <s v="Chairs"/>
    <s v="Office Star Flex Back Scooter Chair with Aluminum Finish Frame"/>
    <n v="242.13600000000002"/>
    <n v="3"/>
  </r>
  <r>
    <x v="550"/>
    <d v="2015-10-28T00:00:00"/>
    <n v="6"/>
    <x v="1"/>
    <s v="CS-11950"/>
    <s v="Carlos Soltero"/>
    <s v="California"/>
    <x v="0"/>
    <s v="Art"/>
    <s v="Newell Chalk Holder"/>
    <n v="12.39"/>
    <n v="3"/>
  </r>
  <r>
    <x v="550"/>
    <d v="2015-10-28T00:00:00"/>
    <n v="6"/>
    <x v="1"/>
    <s v="CS-11950"/>
    <s v="Carlos Soltero"/>
    <s v="California"/>
    <x v="1"/>
    <s v="Furnishings"/>
    <s v="Eldon Expressions Wood and Plastic Desk Accessories, Oak"/>
    <n v="19.96"/>
    <n v="2"/>
  </r>
  <r>
    <x v="550"/>
    <d v="2015-10-28T00:00:00"/>
    <n v="6"/>
    <x v="1"/>
    <s v="CS-11950"/>
    <s v="Carlos Soltero"/>
    <s v="California"/>
    <x v="0"/>
    <s v="Storage"/>
    <s v="SAFCO Boltless Steel Shelving"/>
    <n v="340.92"/>
    <n v="3"/>
  </r>
  <r>
    <x v="551"/>
    <d v="2015-10-23T00:00:00"/>
    <n v="0"/>
    <x v="3"/>
    <s v="MS-17530"/>
    <s v="MaryBeth Skach"/>
    <s v="Washington"/>
    <x v="0"/>
    <s v="Paper"/>
    <s v="Xerox 1986"/>
    <n v="6.68"/>
    <n v="1"/>
  </r>
  <r>
    <x v="551"/>
    <d v="2015-10-23T00:00:00"/>
    <n v="0"/>
    <x v="3"/>
    <s v="MS-17530"/>
    <s v="MaryBeth Skach"/>
    <s v="Washington"/>
    <x v="0"/>
    <s v="Art"/>
    <s v="Prang Drawing Pencil Set"/>
    <n v="8.34"/>
    <n v="3"/>
  </r>
  <r>
    <x v="551"/>
    <d v="2015-10-23T00:00:00"/>
    <n v="0"/>
    <x v="3"/>
    <s v="MS-17530"/>
    <s v="MaryBeth Skach"/>
    <s v="Washington"/>
    <x v="1"/>
    <s v="Furnishings"/>
    <s v="Linden 12&quot; Wall Clock With Oak Frame"/>
    <n v="101.94"/>
    <n v="3"/>
  </r>
  <r>
    <x v="552"/>
    <d v="2015-10-29T00:00:00"/>
    <n v="5"/>
    <x v="1"/>
    <s v="AB-10255"/>
    <s v="Alejandro Ballentine"/>
    <s v="Washington"/>
    <x v="0"/>
    <s v="Fasteners"/>
    <s v="Advantus SlideClip Paper Clips"/>
    <n v="17.05"/>
    <n v="5"/>
  </r>
  <r>
    <x v="553"/>
    <d v="2015-10-29T00:00:00"/>
    <n v="4"/>
    <x v="0"/>
    <s v="VW-21775"/>
    <s v="Victoria Wilson"/>
    <s v="California"/>
    <x v="2"/>
    <s v="Accessories"/>
    <s v="Micro Innovations USB RF Wireless Keyboard with Mouse"/>
    <n v="100"/>
    <n v="4"/>
  </r>
  <r>
    <x v="553"/>
    <d v="2015-10-29T00:00:00"/>
    <n v="4"/>
    <x v="0"/>
    <s v="VW-21775"/>
    <s v="Victoria Wilson"/>
    <s v="California"/>
    <x v="2"/>
    <s v="Accessories"/>
    <s v="Logitech VX Revolution Cordless Laser Mouse for Notebooks (Black)"/>
    <n v="359.98"/>
    <n v="2"/>
  </r>
  <r>
    <x v="553"/>
    <d v="2015-10-25T00:00:00"/>
    <n v="0"/>
    <x v="3"/>
    <s v="SS-20590"/>
    <s v="Sonia Sunley"/>
    <s v="California"/>
    <x v="2"/>
    <s v="Accessories"/>
    <s v="Razer Tiamat Over Ear 7.1 Surround Sound PC Gaming Headset"/>
    <n v="199.99"/>
    <n v="1"/>
  </r>
  <r>
    <x v="553"/>
    <d v="2015-10-29T00:00:00"/>
    <n v="4"/>
    <x v="1"/>
    <s v="ED-13885"/>
    <s v="Emily Ducich"/>
    <s v="California"/>
    <x v="2"/>
    <s v="Accessories"/>
    <s v="NETGEAR N750 Dual Band Wi-Fi Gigabit Router"/>
    <n v="450"/>
    <n v="5"/>
  </r>
  <r>
    <x v="554"/>
    <d v="2015-11-03T00:00:00"/>
    <n v="6"/>
    <x v="1"/>
    <s v="BP-11095"/>
    <s v="Bart Pistole"/>
    <s v="California"/>
    <x v="0"/>
    <s v="Appliances"/>
    <s v="Staple holder"/>
    <n v="43.92"/>
    <n v="4"/>
  </r>
  <r>
    <x v="554"/>
    <d v="2015-11-03T00:00:00"/>
    <n v="6"/>
    <x v="1"/>
    <s v="BP-11095"/>
    <s v="Bart Pistole"/>
    <s v="California"/>
    <x v="0"/>
    <s v="Binders"/>
    <s v="Acco Data Flex Cable Posts For Top &amp; Bottom Load Binders, 6&quot; Capacity"/>
    <n v="25.031999999999996"/>
    <n v="3"/>
  </r>
  <r>
    <x v="554"/>
    <d v="2015-11-01T00:00:00"/>
    <n v="4"/>
    <x v="1"/>
    <s v="PA-19060"/>
    <s v="Pete Armstrong"/>
    <s v="California"/>
    <x v="0"/>
    <s v="Binders"/>
    <s v="Avery Legal 4-Ring Binder"/>
    <n v="67.13600000000001"/>
    <n v="4"/>
  </r>
  <r>
    <x v="555"/>
    <d v="2015-11-02T00:00:00"/>
    <n v="4"/>
    <x v="1"/>
    <s v="JH-15910"/>
    <s v="Jonathan Howell"/>
    <s v="California"/>
    <x v="0"/>
    <s v="Storage"/>
    <s v="Personal Filing Tote with Lid, Black/Gray"/>
    <n v="93.06"/>
    <n v="6"/>
  </r>
  <r>
    <x v="555"/>
    <d v="2015-11-02T00:00:00"/>
    <n v="4"/>
    <x v="1"/>
    <s v="JH-15910"/>
    <s v="Jonathan Howell"/>
    <s v="California"/>
    <x v="2"/>
    <s v="Phones"/>
    <s v="Adtran 1202752G1"/>
    <n v="302.37599999999998"/>
    <n v="3"/>
  </r>
  <r>
    <x v="555"/>
    <d v="2015-10-30T00:00:00"/>
    <n v="1"/>
    <x v="2"/>
    <s v="AS-10285"/>
    <s v="Alejandro Savely"/>
    <s v="California"/>
    <x v="0"/>
    <s v="Paper"/>
    <s v="Southworth Structures Collection"/>
    <n v="50.96"/>
    <n v="7"/>
  </r>
  <r>
    <x v="555"/>
    <d v="2015-10-30T00:00:00"/>
    <n v="1"/>
    <x v="2"/>
    <s v="AS-10285"/>
    <s v="Alejandro Savely"/>
    <s v="California"/>
    <x v="0"/>
    <s v="Binders"/>
    <s v="Square Ring Data Binders, Rigid 75 Pt. Covers, 11&quot; x 14-7/8&quot;"/>
    <n v="49.536000000000001"/>
    <n v="3"/>
  </r>
  <r>
    <x v="556"/>
    <d v="2015-11-02T00:00:00"/>
    <n v="3"/>
    <x v="0"/>
    <s v="LH-17155"/>
    <s v="Logan Haushalter"/>
    <s v="California"/>
    <x v="0"/>
    <s v="Binders"/>
    <s v="XtraLife ClearVue Slant-D Ring Binder, White, 3&quot;"/>
    <n v="11.744"/>
    <n v="1"/>
  </r>
  <r>
    <x v="557"/>
    <d v="2015-11-05T00:00:00"/>
    <n v="5"/>
    <x v="1"/>
    <s v="SP-20920"/>
    <s v="Susan Pistek"/>
    <s v="California"/>
    <x v="0"/>
    <s v="Fasteners"/>
    <s v="Assorted Color Push Pins"/>
    <n v="3.62"/>
    <n v="2"/>
  </r>
  <r>
    <x v="558"/>
    <d v="2015-11-05T00:00:00"/>
    <n v="4"/>
    <x v="1"/>
    <s v="JD-15895"/>
    <s v="Jonathan Doherty"/>
    <s v="California"/>
    <x v="0"/>
    <s v="Storage"/>
    <s v="Dual Level, Single-Width Filing Carts"/>
    <n v="1085.42"/>
    <n v="7"/>
  </r>
  <r>
    <x v="558"/>
    <d v="2015-11-06T00:00:00"/>
    <n v="5"/>
    <x v="1"/>
    <s v="SF-20965"/>
    <s v="Sylvia Foulston"/>
    <s v="California"/>
    <x v="1"/>
    <s v="Chairs"/>
    <s v="Office Star - Professional Matrix Back Chair with 2-to-1 Synchro Tilt and Mesh Fabric Seat"/>
    <n v="1403.9200000000003"/>
    <n v="5"/>
  </r>
  <r>
    <x v="559"/>
    <d v="2015-11-08T00:00:00"/>
    <n v="4"/>
    <x v="1"/>
    <s v="SF-20200"/>
    <s v="Sarah Foster"/>
    <s v="Washington"/>
    <x v="0"/>
    <s v="Art"/>
    <s v="Newell 332"/>
    <n v="8.82"/>
    <n v="3"/>
  </r>
  <r>
    <x v="559"/>
    <d v="2015-11-07T00:00:00"/>
    <n v="3"/>
    <x v="2"/>
    <s v="PF-19225"/>
    <s v="Phillip Flathmann"/>
    <s v="California"/>
    <x v="1"/>
    <s v="Chairs"/>
    <s v="Global Deluxe High-Back Office Chair in Storm"/>
    <n v="217.58400000000003"/>
    <n v="2"/>
  </r>
  <r>
    <x v="559"/>
    <d v="2015-11-07T00:00:00"/>
    <n v="3"/>
    <x v="2"/>
    <s v="PF-19225"/>
    <s v="Phillip Flathmann"/>
    <s v="California"/>
    <x v="2"/>
    <s v="Accessories"/>
    <s v="Kensington K72356US Mouse-in-a-Box USB Desktop Mouse"/>
    <n v="82.95"/>
    <n v="5"/>
  </r>
  <r>
    <x v="559"/>
    <d v="2015-11-07T00:00:00"/>
    <n v="3"/>
    <x v="2"/>
    <s v="PF-19225"/>
    <s v="Phillip Flathmann"/>
    <s v="California"/>
    <x v="0"/>
    <s v="Labels"/>
    <s v="Avery 50"/>
    <n v="87.71"/>
    <n v="7"/>
  </r>
  <r>
    <x v="559"/>
    <d v="2015-11-07T00:00:00"/>
    <n v="3"/>
    <x v="2"/>
    <s v="PF-19225"/>
    <s v="Phillip Flathmann"/>
    <s v="California"/>
    <x v="0"/>
    <s v="Appliances"/>
    <s v="Honeywell Enviracaire Portable HEPA Air Cleaner for 16' x 20' Room"/>
    <n v="1101.48"/>
    <n v="4"/>
  </r>
  <r>
    <x v="559"/>
    <d v="2015-11-09T00:00:00"/>
    <n v="5"/>
    <x v="1"/>
    <s v="XP-21865"/>
    <s v="Xylona Preis"/>
    <s v="California"/>
    <x v="0"/>
    <s v="Fasteners"/>
    <s v="Stockwell Push Pins"/>
    <n v="15.260000000000002"/>
    <n v="7"/>
  </r>
  <r>
    <x v="559"/>
    <d v="2015-11-09T00:00:00"/>
    <n v="5"/>
    <x v="1"/>
    <s v="XP-21865"/>
    <s v="Xylona Preis"/>
    <s v="California"/>
    <x v="0"/>
    <s v="Appliances"/>
    <s v="Holmes 99% HEPA Air Purifier"/>
    <n v="43.32"/>
    <n v="2"/>
  </r>
  <r>
    <x v="559"/>
    <d v="2015-11-09T00:00:00"/>
    <n v="5"/>
    <x v="1"/>
    <s v="XP-21865"/>
    <s v="Xylona Preis"/>
    <s v="California"/>
    <x v="0"/>
    <s v="Binders"/>
    <s v="Avery Durable Plastic 1&quot; Binders"/>
    <n v="43.584000000000003"/>
    <n v="12"/>
  </r>
  <r>
    <x v="559"/>
    <d v="2015-11-09T00:00:00"/>
    <n v="5"/>
    <x v="1"/>
    <s v="XP-21865"/>
    <s v="Xylona Preis"/>
    <s v="California"/>
    <x v="0"/>
    <s v="Paper"/>
    <s v="Xerox 1892"/>
    <n v="116.28"/>
    <n v="3"/>
  </r>
  <r>
    <x v="559"/>
    <d v="2015-11-09T00:00:00"/>
    <n v="5"/>
    <x v="1"/>
    <s v="XP-21865"/>
    <s v="Xylona Preis"/>
    <s v="California"/>
    <x v="0"/>
    <s v="Binders"/>
    <s v="Fellowes Black Plastic Comb Bindings"/>
    <n v="9.2959999999999994"/>
    <n v="2"/>
  </r>
  <r>
    <x v="559"/>
    <d v="2015-11-09T00:00:00"/>
    <n v="5"/>
    <x v="1"/>
    <s v="XP-21865"/>
    <s v="Xylona Preis"/>
    <s v="California"/>
    <x v="0"/>
    <s v="Paper"/>
    <s v="Xerox 22"/>
    <n v="19.440000000000001"/>
    <n v="3"/>
  </r>
  <r>
    <x v="559"/>
    <d v="2015-11-09T00:00:00"/>
    <n v="5"/>
    <x v="1"/>
    <s v="XP-21865"/>
    <s v="Xylona Preis"/>
    <s v="California"/>
    <x v="0"/>
    <s v="Paper"/>
    <s v="Multicolor Computer Printout Paper"/>
    <n v="314.54999999999995"/>
    <n v="3"/>
  </r>
  <r>
    <x v="559"/>
    <d v="2015-11-06T00:00:00"/>
    <n v="2"/>
    <x v="2"/>
    <s v="NW-18400"/>
    <s v="Natalie Webber"/>
    <s v="Oregon"/>
    <x v="0"/>
    <s v="Binders"/>
    <s v="Avery Reinforcements for Hole-Punch Pages"/>
    <n v="4.1580000000000004"/>
    <n v="7"/>
  </r>
  <r>
    <x v="559"/>
    <d v="2015-11-06T00:00:00"/>
    <n v="2"/>
    <x v="2"/>
    <s v="NW-18400"/>
    <s v="Natalie Webber"/>
    <s v="Oregon"/>
    <x v="2"/>
    <s v="Machines"/>
    <s v="Okidata B401 Printer"/>
    <n v="179.99100000000004"/>
    <n v="3"/>
  </r>
  <r>
    <x v="560"/>
    <d v="2015-11-09T00:00:00"/>
    <n v="4"/>
    <x v="0"/>
    <s v="AS-10285"/>
    <s v="Alejandro Savely"/>
    <s v="Washington"/>
    <x v="1"/>
    <s v="Furnishings"/>
    <s v="Tenex &quot;The Solids&quot; Textured Chair Mats"/>
    <n v="209.88"/>
    <n v="3"/>
  </r>
  <r>
    <x v="560"/>
    <d v="2015-11-06T00:00:00"/>
    <n v="1"/>
    <x v="2"/>
    <s v="LH-17020"/>
    <s v="Lisa Hazard"/>
    <s v="California"/>
    <x v="1"/>
    <s v="Furnishings"/>
    <s v="Advantus Panel Wall Acrylic Frame"/>
    <n v="38.29"/>
    <n v="7"/>
  </r>
  <r>
    <x v="560"/>
    <d v="2015-11-05T00:00:00"/>
    <n v="0"/>
    <x v="3"/>
    <s v="TT-21220"/>
    <s v="Thomas Thornton"/>
    <s v="California"/>
    <x v="0"/>
    <s v="Art"/>
    <s v="Boston Heavy-Duty Trimline Electric Pencil Sharpeners"/>
    <n v="192.8"/>
    <n v="4"/>
  </r>
  <r>
    <x v="560"/>
    <d v="2015-11-07T00:00:00"/>
    <n v="2"/>
    <x v="0"/>
    <s v="TP-21565"/>
    <s v="Tracy Poddar"/>
    <s v="Oregon"/>
    <x v="0"/>
    <s v="Supplies"/>
    <s v="Serrated Blade or Curved Handle Hand Letter Openers"/>
    <n v="17.584000000000003"/>
    <n v="7"/>
  </r>
  <r>
    <x v="560"/>
    <d v="2015-11-07T00:00:00"/>
    <n v="2"/>
    <x v="0"/>
    <s v="TP-21565"/>
    <s v="Tracy Poddar"/>
    <s v="Oregon"/>
    <x v="1"/>
    <s v="Chairs"/>
    <s v="Office Star - Contemporary Task Swivel chair with Loop Arms, Charcoal"/>
    <n v="104.78399999999999"/>
    <n v="1"/>
  </r>
  <r>
    <x v="560"/>
    <d v="2015-11-07T00:00:00"/>
    <n v="2"/>
    <x v="0"/>
    <s v="TP-21565"/>
    <s v="Tracy Poddar"/>
    <s v="Oregon"/>
    <x v="0"/>
    <s v="Paper"/>
    <s v="Southworth 25% Cotton Premium Laser Paper and Envelopes"/>
    <n v="47.952000000000005"/>
    <n v="3"/>
  </r>
  <r>
    <x v="560"/>
    <d v="2015-11-07T00:00:00"/>
    <n v="2"/>
    <x v="0"/>
    <s v="TP-21565"/>
    <s v="Tracy Poddar"/>
    <s v="Oregon"/>
    <x v="1"/>
    <s v="Chairs"/>
    <s v="Global Enterprise Series Seating High-Back Swivel/Tilt Chairs"/>
    <n v="650.35200000000009"/>
    <n v="3"/>
  </r>
  <r>
    <x v="560"/>
    <d v="2015-11-07T00:00:00"/>
    <n v="2"/>
    <x v="0"/>
    <s v="TP-21565"/>
    <s v="Tracy Poddar"/>
    <s v="Oregon"/>
    <x v="0"/>
    <s v="Labels"/>
    <s v="Dot Matrix Printer Tape Reel Labels, White, 5000/Box"/>
    <n v="629.18400000000008"/>
    <n v="8"/>
  </r>
  <r>
    <x v="560"/>
    <d v="2015-11-07T00:00:00"/>
    <n v="2"/>
    <x v="0"/>
    <s v="TP-21565"/>
    <s v="Tracy Poddar"/>
    <s v="Oregon"/>
    <x v="0"/>
    <s v="Paper"/>
    <s v="Xerox 1887"/>
    <n v="15.176"/>
    <n v="1"/>
  </r>
  <r>
    <x v="560"/>
    <d v="2015-11-09T00:00:00"/>
    <n v="4"/>
    <x v="1"/>
    <s v="CW-11905"/>
    <s v="Carl Weiss"/>
    <s v="California"/>
    <x v="0"/>
    <s v="Binders"/>
    <s v="Tuff Stuff Recycled Round Ring Binders"/>
    <n v="7.7120000000000006"/>
    <n v="2"/>
  </r>
  <r>
    <x v="560"/>
    <d v="2015-11-09T00:00:00"/>
    <n v="4"/>
    <x v="1"/>
    <s v="CW-11905"/>
    <s v="Carl Weiss"/>
    <s v="California"/>
    <x v="0"/>
    <s v="Binders"/>
    <s v="Acco Economy Flexible Poly Round Ring Binder"/>
    <n v="4.1760000000000002"/>
    <n v="1"/>
  </r>
  <r>
    <x v="560"/>
    <d v="2015-11-09T00:00:00"/>
    <n v="4"/>
    <x v="1"/>
    <s v="CW-11905"/>
    <s v="Carl Weiss"/>
    <s v="California"/>
    <x v="0"/>
    <s v="Paper"/>
    <s v="Xerox 229"/>
    <n v="38.880000000000003"/>
    <n v="6"/>
  </r>
  <r>
    <x v="560"/>
    <d v="2015-11-09T00:00:00"/>
    <n v="4"/>
    <x v="1"/>
    <s v="CC-12475"/>
    <s v="Cindy Chapman"/>
    <s v="California"/>
    <x v="2"/>
    <s v="Machines"/>
    <s v="Okidata B400 Printer"/>
    <n v="686.40000000000009"/>
    <n v="2"/>
  </r>
  <r>
    <x v="561"/>
    <d v="2015-11-11T00:00:00"/>
    <n v="5"/>
    <x v="1"/>
    <s v="CS-12400"/>
    <s v="Christopher Schild"/>
    <s v="California"/>
    <x v="0"/>
    <s v="Binders"/>
    <s v="Cardinal Holdit Data Disk Pockets"/>
    <n v="29.120000000000005"/>
    <n v="5"/>
  </r>
  <r>
    <x v="561"/>
    <d v="2015-11-09T00:00:00"/>
    <n v="3"/>
    <x v="2"/>
    <s v="JH-15985"/>
    <s v="Joseph Holt"/>
    <s v="California"/>
    <x v="0"/>
    <s v="Binders"/>
    <s v="GBC Twin Loop Wire Binding Elements"/>
    <n v="53.248000000000005"/>
    <n v="2"/>
  </r>
  <r>
    <x v="561"/>
    <d v="2015-11-10T00:00:00"/>
    <n v="4"/>
    <x v="1"/>
    <s v="NP-18700"/>
    <s v="Nora Preis"/>
    <s v="Washington"/>
    <x v="2"/>
    <s v="Accessories"/>
    <s v="Cherry 142-key Programmable Keyboard"/>
    <n v="479.72"/>
    <n v="4"/>
  </r>
  <r>
    <x v="561"/>
    <d v="2015-11-08T00:00:00"/>
    <n v="2"/>
    <x v="0"/>
    <s v="LH-17155"/>
    <s v="Logan Haushalter"/>
    <s v="California"/>
    <x v="2"/>
    <s v="Accessories"/>
    <s v="KeyTronic E03601U1 - Keyboard - Beige"/>
    <n v="72"/>
    <n v="4"/>
  </r>
  <r>
    <x v="561"/>
    <d v="2015-11-08T00:00:00"/>
    <n v="2"/>
    <x v="0"/>
    <s v="LH-17155"/>
    <s v="Logan Haushalter"/>
    <s v="California"/>
    <x v="1"/>
    <s v="Chairs"/>
    <s v="Harbour Creations 67200 Series Stacking Chairs"/>
    <n v="113.88800000000002"/>
    <n v="2"/>
  </r>
  <r>
    <x v="561"/>
    <d v="2015-11-08T00:00:00"/>
    <n v="2"/>
    <x v="0"/>
    <s v="LH-17155"/>
    <s v="Logan Haushalter"/>
    <s v="California"/>
    <x v="0"/>
    <s v="Envelopes"/>
    <s v="Strathmore #10 Envelopes, Ultimate White"/>
    <n v="158.13"/>
    <n v="3"/>
  </r>
  <r>
    <x v="562"/>
    <d v="2015-11-11T00:00:00"/>
    <n v="4"/>
    <x v="0"/>
    <s v="LS-16975"/>
    <s v="Lindsay Shagiari"/>
    <s v="California"/>
    <x v="1"/>
    <s v="Chairs"/>
    <s v="Global Task Chair, Black"/>
    <n v="81.424000000000007"/>
    <n v="2"/>
  </r>
  <r>
    <x v="562"/>
    <d v="2015-11-11T00:00:00"/>
    <n v="4"/>
    <x v="0"/>
    <s v="LS-16975"/>
    <s v="Lindsay Shagiari"/>
    <s v="California"/>
    <x v="1"/>
    <s v="Furnishings"/>
    <s v="Eldon Cleatmat Plus Chair Mats for High Pile Carpets"/>
    <n v="238.56"/>
    <n v="3"/>
  </r>
  <r>
    <x v="562"/>
    <d v="2015-11-11T00:00:00"/>
    <n v="4"/>
    <x v="0"/>
    <s v="IM-15070"/>
    <s v="Irene Maddox"/>
    <s v="California"/>
    <x v="0"/>
    <s v="Storage"/>
    <s v="Eldon Portable Mobile Manager"/>
    <n v="84.84"/>
    <n v="3"/>
  </r>
  <r>
    <x v="563"/>
    <d v="2015-11-12T00:00:00"/>
    <n v="4"/>
    <x v="1"/>
    <s v="MJ-17740"/>
    <s v="Max Jones"/>
    <s v="Washington"/>
    <x v="0"/>
    <s v="Binders"/>
    <s v="Wilson Jones International Size A4 Ring Binders"/>
    <n v="27.680000000000003"/>
    <n v="2"/>
  </r>
  <r>
    <x v="563"/>
    <d v="2015-11-10T00:00:00"/>
    <n v="2"/>
    <x v="2"/>
    <s v="EM-14095"/>
    <s v="Eudokia Martin"/>
    <s v="California"/>
    <x v="0"/>
    <s v="Binders"/>
    <s v="Fellowes Binding Cases"/>
    <n v="37.44"/>
    <n v="4"/>
  </r>
  <r>
    <x v="563"/>
    <d v="2015-11-10T00:00:00"/>
    <n v="2"/>
    <x v="2"/>
    <s v="EM-14095"/>
    <s v="Eudokia Martin"/>
    <s v="California"/>
    <x v="0"/>
    <s v="Binders"/>
    <s v="Ibico Plastic and Wire Spiral Binding Combs"/>
    <n v="26.975999999999999"/>
    <n v="4"/>
  </r>
  <r>
    <x v="563"/>
    <d v="2015-11-10T00:00:00"/>
    <n v="2"/>
    <x v="2"/>
    <s v="EM-14095"/>
    <s v="Eudokia Martin"/>
    <s v="California"/>
    <x v="0"/>
    <s v="Supplies"/>
    <s v="Acme Preferred Stainless Steel Scissors"/>
    <n v="11.36"/>
    <n v="2"/>
  </r>
  <r>
    <x v="563"/>
    <d v="2015-11-10T00:00:00"/>
    <n v="2"/>
    <x v="2"/>
    <s v="EM-14095"/>
    <s v="Eudokia Martin"/>
    <s v="California"/>
    <x v="0"/>
    <s v="Labels"/>
    <s v="Avery 486"/>
    <n v="14.62"/>
    <n v="2"/>
  </r>
  <r>
    <x v="563"/>
    <d v="2015-11-13T00:00:00"/>
    <n v="5"/>
    <x v="1"/>
    <s v="CB-12535"/>
    <s v="Claudia Bergmann"/>
    <s v="California"/>
    <x v="1"/>
    <s v="Furnishings"/>
    <s v="C-Line Magnetic Cubicle Keepers, Clear Polypropylene"/>
    <n v="14.82"/>
    <n v="3"/>
  </r>
  <r>
    <x v="563"/>
    <d v="2015-11-13T00:00:00"/>
    <n v="5"/>
    <x v="1"/>
    <s v="PS-19045"/>
    <s v="Penelope Sewall"/>
    <s v="California"/>
    <x v="0"/>
    <s v="Paper"/>
    <s v="Wirebound Four 2-3/4 x 5 Forms per Page, 400 Sets per Book"/>
    <n v="12.9"/>
    <n v="2"/>
  </r>
  <r>
    <x v="563"/>
    <d v="2015-11-13T00:00:00"/>
    <n v="5"/>
    <x v="1"/>
    <s v="MA-17995"/>
    <s v="Michelle Arnett"/>
    <s v="Wyoming"/>
    <x v="1"/>
    <s v="Chairs"/>
    <s v="Global Troy Executive Leather Low-Back Tilter"/>
    <n v="1603.1360000000002"/>
    <n v="4"/>
  </r>
  <r>
    <x v="563"/>
    <d v="2015-11-14T00:00:00"/>
    <n v="6"/>
    <x v="1"/>
    <s v="ML-17395"/>
    <s v="Marina Lichtenstein"/>
    <s v="California"/>
    <x v="2"/>
    <s v="Accessories"/>
    <s v="NETGEAR AC1750 Dual Band Gigabit Smart WiFi Router"/>
    <n v="479.97"/>
    <n v="3"/>
  </r>
  <r>
    <x v="563"/>
    <d v="2015-11-13T00:00:00"/>
    <n v="5"/>
    <x v="1"/>
    <s v="LD-17005"/>
    <s v="Lisa DeCherney"/>
    <s v="California"/>
    <x v="0"/>
    <s v="Binders"/>
    <s v="GBC VeloBinder Manual Binding System"/>
    <n v="57.584000000000003"/>
    <n v="2"/>
  </r>
  <r>
    <x v="564"/>
    <d v="2015-11-15T00:00:00"/>
    <n v="5"/>
    <x v="1"/>
    <s v="PF-19165"/>
    <s v="Philip Fox"/>
    <s v="California"/>
    <x v="2"/>
    <s v="Accessories"/>
    <s v="Logitech Wireless Gaming Headset G930"/>
    <n v="479.97"/>
    <n v="3"/>
  </r>
  <r>
    <x v="565"/>
    <d v="2015-11-13T00:00:00"/>
    <n v="2"/>
    <x v="2"/>
    <s v="PC-18745"/>
    <s v="Pamela Coakley"/>
    <s v="California"/>
    <x v="0"/>
    <s v="Storage"/>
    <s v="File Shuttle I and Handi-File"/>
    <n v="155.82000000000002"/>
    <n v="7"/>
  </r>
  <r>
    <x v="565"/>
    <d v="2015-11-13T00:00:00"/>
    <n v="2"/>
    <x v="2"/>
    <s v="PC-18745"/>
    <s v="Pamela Coakley"/>
    <s v="California"/>
    <x v="0"/>
    <s v="Binders"/>
    <s v="Binding Machine Supplies"/>
    <n v="70.00800000000001"/>
    <n v="3"/>
  </r>
  <r>
    <x v="565"/>
    <d v="2015-11-13T00:00:00"/>
    <n v="2"/>
    <x v="2"/>
    <s v="CC-12430"/>
    <s v="Chuck Clark"/>
    <s v="California"/>
    <x v="0"/>
    <s v="Binders"/>
    <s v="ACCOHIDE 3-Ring Binder, Blue, 1&quot;"/>
    <n v="13.216000000000001"/>
    <n v="4"/>
  </r>
  <r>
    <x v="565"/>
    <d v="2015-11-13T00:00:00"/>
    <n v="2"/>
    <x v="2"/>
    <s v="CC-12430"/>
    <s v="Chuck Clark"/>
    <s v="California"/>
    <x v="0"/>
    <s v="Paper"/>
    <s v="Xerox 1996"/>
    <n v="32.400000000000006"/>
    <n v="5"/>
  </r>
  <r>
    <x v="565"/>
    <d v="2015-11-14T00:00:00"/>
    <n v="3"/>
    <x v="0"/>
    <s v="AI-10855"/>
    <s v="Arianne Irving"/>
    <s v="California"/>
    <x v="0"/>
    <s v="Paper"/>
    <s v="Embossed Ink Jet Note Cards"/>
    <n v="67.710000000000008"/>
    <n v="3"/>
  </r>
  <r>
    <x v="565"/>
    <d v="2015-11-14T00:00:00"/>
    <n v="3"/>
    <x v="0"/>
    <s v="AI-10855"/>
    <s v="Arianne Irving"/>
    <s v="California"/>
    <x v="0"/>
    <s v="Appliances"/>
    <s v="Belkin F9S820V06 8 Outlet Surge"/>
    <n v="129.91999999999999"/>
    <n v="4"/>
  </r>
  <r>
    <x v="565"/>
    <d v="2015-11-14T00:00:00"/>
    <n v="3"/>
    <x v="0"/>
    <s v="AI-10855"/>
    <s v="Arianne Irving"/>
    <s v="California"/>
    <x v="1"/>
    <s v="Furnishings"/>
    <s v="Howard Miller 11-1/2&quot; Diameter Ridgewood Wall Clock"/>
    <n v="467.46"/>
    <n v="9"/>
  </r>
  <r>
    <x v="565"/>
    <d v="2015-11-14T00:00:00"/>
    <n v="3"/>
    <x v="0"/>
    <s v="AI-10855"/>
    <s v="Arianne Irving"/>
    <s v="California"/>
    <x v="0"/>
    <s v="Paper"/>
    <s v="Xerox 1933"/>
    <n v="61.4"/>
    <n v="5"/>
  </r>
  <r>
    <x v="565"/>
    <d v="2015-11-14T00:00:00"/>
    <n v="3"/>
    <x v="0"/>
    <s v="AI-10855"/>
    <s v="Arianne Irving"/>
    <s v="California"/>
    <x v="0"/>
    <s v="Storage"/>
    <s v="Standard Rollaway File with Lock"/>
    <n v="720.76"/>
    <n v="4"/>
  </r>
  <r>
    <x v="565"/>
    <d v="2015-11-14T00:00:00"/>
    <n v="3"/>
    <x v="0"/>
    <s v="AI-10855"/>
    <s v="Arianne Irving"/>
    <s v="California"/>
    <x v="0"/>
    <s v="Binders"/>
    <s v="Peel &amp; Stick Add-On Corner Pockets"/>
    <n v="5.1840000000000011"/>
    <n v="3"/>
  </r>
  <r>
    <x v="565"/>
    <d v="2015-11-14T00:00:00"/>
    <n v="3"/>
    <x v="0"/>
    <s v="AI-10855"/>
    <s v="Arianne Irving"/>
    <s v="California"/>
    <x v="0"/>
    <s v="Art"/>
    <s v="Newell 338"/>
    <n v="14.7"/>
    <n v="5"/>
  </r>
  <r>
    <x v="565"/>
    <d v="2015-11-16T00:00:00"/>
    <n v="5"/>
    <x v="1"/>
    <s v="BF-11170"/>
    <s v="Ben Ferrer"/>
    <s v="California"/>
    <x v="1"/>
    <s v="Furnishings"/>
    <s v="Eldon Expressions Wood and Plastic Desk Accessories, Oak"/>
    <n v="9.98"/>
    <n v="1"/>
  </r>
  <r>
    <x v="565"/>
    <d v="2015-11-14T00:00:00"/>
    <n v="3"/>
    <x v="2"/>
    <s v="RO-19780"/>
    <s v="Rose O'Brian"/>
    <s v="California"/>
    <x v="0"/>
    <s v="Storage"/>
    <s v="Acco Perma 2700 Stacking Storage Drawers"/>
    <n v="29.74"/>
    <n v="1"/>
  </r>
  <r>
    <x v="566"/>
    <d v="2015-11-17T00:00:00"/>
    <n v="5"/>
    <x v="0"/>
    <s v="BK-11260"/>
    <s v="Berenike Kampe"/>
    <s v="California"/>
    <x v="1"/>
    <s v="Furnishings"/>
    <s v="Eldon Regeneration Recycled Desk Accessories, Smoke"/>
    <n v="6.96"/>
    <n v="4"/>
  </r>
  <r>
    <x v="566"/>
    <d v="2015-11-17T00:00:00"/>
    <n v="5"/>
    <x v="1"/>
    <s v="LP-17080"/>
    <s v="Liz Pelletier"/>
    <s v="California"/>
    <x v="1"/>
    <s v="Furnishings"/>
    <s v="Magnifier Swing Arm Lamp"/>
    <n v="41.96"/>
    <n v="2"/>
  </r>
  <r>
    <x v="566"/>
    <d v="2015-11-17T00:00:00"/>
    <n v="5"/>
    <x v="1"/>
    <s v="LP-17080"/>
    <s v="Liz Pelletier"/>
    <s v="California"/>
    <x v="1"/>
    <s v="Chairs"/>
    <s v="Hon Every-Day Series Multi-Task Chairs"/>
    <n v="451.15199999999993"/>
    <n v="3"/>
  </r>
  <r>
    <x v="566"/>
    <d v="2015-11-17T00:00:00"/>
    <n v="5"/>
    <x v="1"/>
    <s v="LP-17080"/>
    <s v="Liz Pelletier"/>
    <s v="California"/>
    <x v="0"/>
    <s v="Binders"/>
    <s v="Avery Poly Binder Pockets"/>
    <n v="31.504000000000005"/>
    <n v="11"/>
  </r>
  <r>
    <x v="567"/>
    <d v="2015-11-20T00:00:00"/>
    <n v="7"/>
    <x v="1"/>
    <s v="MS-17710"/>
    <s v="Maurice Satty"/>
    <s v="Arizona"/>
    <x v="0"/>
    <s v="Binders"/>
    <s v="Avery Durable Slant Ring Binders With Label Holder"/>
    <n v="6.27"/>
    <n v="5"/>
  </r>
  <r>
    <x v="567"/>
    <d v="2015-11-20T00:00:00"/>
    <n v="7"/>
    <x v="1"/>
    <s v="MS-17710"/>
    <s v="Maurice Satty"/>
    <s v="Arizona"/>
    <x v="0"/>
    <s v="Binders"/>
    <s v="Round Ring Binders"/>
    <n v="4.3680000000000003"/>
    <n v="7"/>
  </r>
  <r>
    <x v="567"/>
    <d v="2015-11-20T00:00:00"/>
    <n v="7"/>
    <x v="1"/>
    <s v="MS-17710"/>
    <s v="Maurice Satty"/>
    <s v="Arizona"/>
    <x v="2"/>
    <s v="Accessories"/>
    <s v="Micropad Numeric Keypads"/>
    <n v="31.983999999999998"/>
    <n v="2"/>
  </r>
  <r>
    <x v="567"/>
    <d v="2015-11-16T00:00:00"/>
    <n v="3"/>
    <x v="2"/>
    <s v="DW-13480"/>
    <s v="Dianna Wilson"/>
    <s v="California"/>
    <x v="2"/>
    <s v="Phones"/>
    <s v="Panasonic KX TS3282W Corded phone"/>
    <n v="203.976"/>
    <n v="3"/>
  </r>
  <r>
    <x v="567"/>
    <d v="2015-11-16T00:00:00"/>
    <n v="3"/>
    <x v="2"/>
    <s v="DW-13480"/>
    <s v="Dianna Wilson"/>
    <s v="California"/>
    <x v="1"/>
    <s v="Tables"/>
    <s v="Global Adaptabilities Conference Tables"/>
    <n v="674.35200000000009"/>
    <n v="3"/>
  </r>
  <r>
    <x v="568"/>
    <d v="2015-11-18T00:00:00"/>
    <n v="4"/>
    <x v="1"/>
    <s v="FM-14290"/>
    <s v="Frank Merwin"/>
    <s v="Washington"/>
    <x v="0"/>
    <s v="Art"/>
    <s v="Boston 16801 Nautilus Battery Pencil Sharpener"/>
    <n v="44.02"/>
    <n v="2"/>
  </r>
  <r>
    <x v="568"/>
    <d v="2015-11-20T00:00:00"/>
    <n v="6"/>
    <x v="1"/>
    <s v="AS-10135"/>
    <s v="Adrian Shami"/>
    <s v="Washington"/>
    <x v="1"/>
    <s v="Furnishings"/>
    <s v="Eldon Image Series Desk Accessories, Burgundy"/>
    <n v="4.18"/>
    <n v="1"/>
  </r>
  <r>
    <x v="568"/>
    <d v="2015-11-18T00:00:00"/>
    <n v="4"/>
    <x v="1"/>
    <s v="PO-19180"/>
    <s v="Philisse Overcash"/>
    <s v="Washington"/>
    <x v="1"/>
    <s v="Furnishings"/>
    <s v="DAX Solid Wood Frames"/>
    <n v="19.54"/>
    <n v="2"/>
  </r>
  <r>
    <x v="569"/>
    <d v="2015-11-20T00:00:00"/>
    <n v="5"/>
    <x v="1"/>
    <s v="RR-19315"/>
    <s v="Ralph Ritter"/>
    <s v="California"/>
    <x v="0"/>
    <s v="Labels"/>
    <s v="Avery 52"/>
    <n v="7.38"/>
    <n v="2"/>
  </r>
  <r>
    <x v="569"/>
    <d v="2015-11-16T00:00:00"/>
    <n v="1"/>
    <x v="2"/>
    <s v="TB-21250"/>
    <s v="Tim Brockman"/>
    <s v="California"/>
    <x v="0"/>
    <s v="Art"/>
    <s v="Newell 35"/>
    <n v="9.84"/>
    <n v="3"/>
  </r>
  <r>
    <x v="570"/>
    <d v="2015-11-23T00:00:00"/>
    <n v="7"/>
    <x v="1"/>
    <s v="SC-20770"/>
    <s v="Stewart Carmichael"/>
    <s v="California"/>
    <x v="2"/>
    <s v="Accessories"/>
    <s v="Imation 16GB Mini TravelDrive USB 2.0 Flash Drive"/>
    <n v="99.390000000000015"/>
    <n v="3"/>
  </r>
  <r>
    <x v="570"/>
    <d v="2015-11-18T00:00:00"/>
    <n v="2"/>
    <x v="0"/>
    <s v="TG-21310"/>
    <s v="Toby Gnade"/>
    <s v="California"/>
    <x v="0"/>
    <s v="Binders"/>
    <s v="Fellowes PB500 Electric Punch Plastic Comb Binding Machine with Manual Bind"/>
    <n v="1016.792"/>
    <n v="1"/>
  </r>
  <r>
    <x v="570"/>
    <d v="2015-11-18T00:00:00"/>
    <n v="2"/>
    <x v="0"/>
    <s v="TG-21310"/>
    <s v="Toby Gnade"/>
    <s v="California"/>
    <x v="0"/>
    <s v="Binders"/>
    <s v="Avery Self-Adhesive Photo Pockets for Polaroid Photos"/>
    <n v="38.136000000000003"/>
    <n v="7"/>
  </r>
  <r>
    <x v="570"/>
    <d v="2015-11-20T00:00:00"/>
    <n v="4"/>
    <x v="1"/>
    <s v="AH-10690"/>
    <s v="Anna Häberlin"/>
    <s v="California"/>
    <x v="2"/>
    <s v="Phones"/>
    <s v="Polycom SoundPoint IP 450 VoIP phone"/>
    <n v="361.37600000000003"/>
    <n v="2"/>
  </r>
  <r>
    <x v="571"/>
    <d v="2015-11-21T00:00:00"/>
    <n v="4"/>
    <x v="1"/>
    <s v="RD-19900"/>
    <s v="Ruben Dartt"/>
    <s v="New Mexico"/>
    <x v="0"/>
    <s v="Envelopes"/>
    <s v="Staple envelope"/>
    <n v="28.4"/>
    <n v="5"/>
  </r>
  <r>
    <x v="571"/>
    <d v="2015-11-18T00:00:00"/>
    <n v="1"/>
    <x v="2"/>
    <s v="IM-15055"/>
    <s v="Ionia McGrath"/>
    <s v="California"/>
    <x v="0"/>
    <s v="Binders"/>
    <s v="Round Ring Binders"/>
    <n v="8.32"/>
    <n v="5"/>
  </r>
  <r>
    <x v="572"/>
    <d v="2015-11-23T00:00:00"/>
    <n v="5"/>
    <x v="1"/>
    <s v="MS-17365"/>
    <s v="Maribeth Schnelling"/>
    <s v="New Mexico"/>
    <x v="0"/>
    <s v="Binders"/>
    <s v="Avery Non-Stick Binders"/>
    <n v="10.776000000000002"/>
    <n v="3"/>
  </r>
  <r>
    <x v="572"/>
    <d v="2015-11-19T00:00:00"/>
    <n v="1"/>
    <x v="2"/>
    <s v="HJ-14875"/>
    <s v="Heather Jas"/>
    <s v="California"/>
    <x v="0"/>
    <s v="Supplies"/>
    <s v="Acme Tagit Stainless Steel Antibacterial Scissors"/>
    <n v="49.5"/>
    <n v="5"/>
  </r>
  <r>
    <x v="573"/>
    <d v="2015-11-23T00:00:00"/>
    <n v="4"/>
    <x v="1"/>
    <s v="TC-21535"/>
    <s v="Tracy Collins"/>
    <s v="California"/>
    <x v="2"/>
    <s v="Phones"/>
    <s v="Grandstream GXP2100 Mainstream Business Phone"/>
    <n v="61.192"/>
    <n v="1"/>
  </r>
  <r>
    <x v="573"/>
    <d v="2015-11-23T00:00:00"/>
    <n v="4"/>
    <x v="1"/>
    <s v="TC-21535"/>
    <s v="Tracy Collins"/>
    <s v="California"/>
    <x v="0"/>
    <s v="Appliances"/>
    <s v="Fellowes Command Center 5-outlet power strip"/>
    <n v="67.84"/>
    <n v="1"/>
  </r>
  <r>
    <x v="573"/>
    <d v="2015-11-23T00:00:00"/>
    <n v="4"/>
    <x v="1"/>
    <s v="PG-18820"/>
    <s v="Patrick Gardner"/>
    <s v="California"/>
    <x v="2"/>
    <s v="Accessories"/>
    <s v="WD My Passport Ultra 2TB Portable External Hard Drive"/>
    <n v="595"/>
    <n v="5"/>
  </r>
  <r>
    <x v="573"/>
    <d v="2015-11-19T00:00:00"/>
    <n v="0"/>
    <x v="3"/>
    <s v="BE-11410"/>
    <s v="Bobby Elias"/>
    <s v="California"/>
    <x v="0"/>
    <s v="Binders"/>
    <s v="Recycled Premium Regency Composition Covers"/>
    <n v="61.120000000000005"/>
    <n v="5"/>
  </r>
  <r>
    <x v="574"/>
    <d v="2015-11-24T00:00:00"/>
    <n v="4"/>
    <x v="1"/>
    <s v="JM-15265"/>
    <s v="Janet Molinari"/>
    <s v="Washington"/>
    <x v="1"/>
    <s v="Furnishings"/>
    <s v="Tenex Chairmats For Use With Carpeted Floors"/>
    <n v="31.96"/>
    <n v="2"/>
  </r>
  <r>
    <x v="575"/>
    <d v="2015-11-28T00:00:00"/>
    <n v="7"/>
    <x v="1"/>
    <s v="MC-17605"/>
    <s v="Matt Connell"/>
    <s v="California"/>
    <x v="0"/>
    <s v="Appliances"/>
    <s v="Bravo II Megaboss 12-Amp Hard Body Upright, Replacement Belts, 2 Belts per Pack"/>
    <n v="39"/>
    <n v="12"/>
  </r>
  <r>
    <x v="575"/>
    <d v="2015-11-25T00:00:00"/>
    <n v="4"/>
    <x v="1"/>
    <s v="BM-11575"/>
    <s v="Brendan Murry"/>
    <s v="California"/>
    <x v="2"/>
    <s v="Accessories"/>
    <s v="Sony Micro Vault Click 4 GB USB 2.0 Flash Drive"/>
    <n v="27.88"/>
    <n v="2"/>
  </r>
  <r>
    <x v="576"/>
    <d v="2015-11-27T00:00:00"/>
    <n v="5"/>
    <x v="1"/>
    <s v="JH-16180"/>
    <s v="Justin Hirsh"/>
    <s v="Oregon"/>
    <x v="1"/>
    <s v="Chairs"/>
    <s v="Novimex Fabric Task Chair"/>
    <n v="195.136"/>
    <n v="4"/>
  </r>
  <r>
    <x v="576"/>
    <d v="2015-11-27T00:00:00"/>
    <n v="5"/>
    <x v="1"/>
    <s v="TH-21235"/>
    <s v="Tiffany House"/>
    <s v="California"/>
    <x v="0"/>
    <s v="Paper"/>
    <s v="Xerox 222"/>
    <n v="32.400000000000006"/>
    <n v="5"/>
  </r>
  <r>
    <x v="577"/>
    <d v="2015-12-02T00:00:00"/>
    <n v="7"/>
    <x v="1"/>
    <s v="AT-10435"/>
    <s v="Alyssa Tate"/>
    <s v="California"/>
    <x v="2"/>
    <s v="Phones"/>
    <s v="iKross Bluetooth Portable Keyboard + Cell Phone Stand Holder + Brush for Apple iPhone 5S 5C 5, 4S 4"/>
    <n v="33.520000000000003"/>
    <n v="2"/>
  </r>
  <r>
    <x v="577"/>
    <d v="2015-12-02T00:00:00"/>
    <n v="7"/>
    <x v="1"/>
    <s v="AT-10435"/>
    <s v="Alyssa Tate"/>
    <s v="California"/>
    <x v="1"/>
    <s v="Furnishings"/>
    <s v="DAX Value U-Channel Document Frames, Easel Back"/>
    <n v="9.94"/>
    <n v="2"/>
  </r>
  <r>
    <x v="577"/>
    <d v="2015-11-30T00:00:00"/>
    <n v="5"/>
    <x v="1"/>
    <s v="CD-11980"/>
    <s v="Carol Darley"/>
    <s v="Oregon"/>
    <x v="0"/>
    <s v="Paper"/>
    <s v="IBM Multi-Purpose Copy Paper, 8 1/2 x 11&quot;, Case"/>
    <n v="24.784000000000002"/>
    <n v="1"/>
  </r>
  <r>
    <x v="577"/>
    <d v="2015-12-01T00:00:00"/>
    <n v="6"/>
    <x v="1"/>
    <s v="SP-20860"/>
    <s v="Sung Pak"/>
    <s v="California"/>
    <x v="2"/>
    <s v="Accessories"/>
    <s v="Plantronics CS510 - Over-the-Head monaural Wireless Headset System"/>
    <n v="659.9"/>
    <n v="2"/>
  </r>
  <r>
    <x v="577"/>
    <d v="2015-12-01T00:00:00"/>
    <n v="6"/>
    <x v="1"/>
    <s v="SP-20860"/>
    <s v="Sung Pak"/>
    <s v="California"/>
    <x v="1"/>
    <s v="Chairs"/>
    <s v="Global Leather Executive Chair"/>
    <n v="1684.7520000000002"/>
    <n v="6"/>
  </r>
  <r>
    <x v="577"/>
    <d v="2015-12-01T00:00:00"/>
    <n v="6"/>
    <x v="1"/>
    <s v="SP-20860"/>
    <s v="Sung Pak"/>
    <s v="California"/>
    <x v="2"/>
    <s v="Accessories"/>
    <s v="Logitech G500s Laser Gaming Mouse with Adjustable Weight Tuning"/>
    <n v="559.91999999999996"/>
    <n v="8"/>
  </r>
  <r>
    <x v="577"/>
    <d v="2015-11-28T00:00:00"/>
    <n v="3"/>
    <x v="2"/>
    <s v="AC-10450"/>
    <s v="Amy Cox"/>
    <s v="Washington"/>
    <x v="0"/>
    <s v="Binders"/>
    <s v="Ibico Hi-Tech Manual Binding System"/>
    <n v="1219.96"/>
    <n v="5"/>
  </r>
  <r>
    <x v="577"/>
    <d v="2015-11-29T00:00:00"/>
    <n v="4"/>
    <x v="1"/>
    <s v="CR-12580"/>
    <s v="Clay Rozendal"/>
    <s v="Washington"/>
    <x v="0"/>
    <s v="Supplies"/>
    <s v="Elite 5&quot; Scissors"/>
    <n v="25.349999999999998"/>
    <n v="3"/>
  </r>
  <r>
    <x v="577"/>
    <d v="2015-12-02T00:00:00"/>
    <n v="7"/>
    <x v="1"/>
    <s v="SC-20680"/>
    <s v="Steve Carroll"/>
    <s v="Washington"/>
    <x v="1"/>
    <s v="Furnishings"/>
    <s v="Howard Miller Distant Time Traveler Alarm Clock"/>
    <n v="82.26"/>
    <n v="3"/>
  </r>
  <r>
    <x v="578"/>
    <d v="2015-11-30T00:00:00"/>
    <n v="4"/>
    <x v="1"/>
    <s v="MH-17455"/>
    <s v="Mark Hamilton"/>
    <s v="California"/>
    <x v="1"/>
    <s v="Chairs"/>
    <s v="Padded Folding Chairs, Black, 4/Carton"/>
    <n v="194.35200000000003"/>
    <n v="3"/>
  </r>
  <r>
    <x v="579"/>
    <d v="2015-12-03T00:00:00"/>
    <n v="6"/>
    <x v="1"/>
    <s v="TC-20980"/>
    <s v="Tamara Chand"/>
    <s v="Washington"/>
    <x v="0"/>
    <s v="Binders"/>
    <s v="Newell 3-Hole Punched Plastic Slotted Magazine Holders for Binders"/>
    <n v="7.3120000000000012"/>
    <n v="2"/>
  </r>
  <r>
    <x v="579"/>
    <d v="2015-12-01T00:00:00"/>
    <n v="4"/>
    <x v="1"/>
    <s v="MS-17365"/>
    <s v="Maribeth Schnelling"/>
    <s v="California"/>
    <x v="1"/>
    <s v="Bookcases"/>
    <s v="DMI Eclipse Executive Suite Bookcases"/>
    <n v="3406.6640000000002"/>
    <n v="8"/>
  </r>
  <r>
    <x v="579"/>
    <d v="2015-12-01T00:00:00"/>
    <n v="4"/>
    <x v="1"/>
    <s v="MS-17365"/>
    <s v="Maribeth Schnelling"/>
    <s v="California"/>
    <x v="0"/>
    <s v="Art"/>
    <s v="Newell 31"/>
    <n v="37.17"/>
    <n v="9"/>
  </r>
  <r>
    <x v="579"/>
    <d v="2015-12-01T00:00:00"/>
    <n v="4"/>
    <x v="1"/>
    <s v="MS-17365"/>
    <s v="Maribeth Schnelling"/>
    <s v="California"/>
    <x v="0"/>
    <s v="Appliances"/>
    <s v="Belkin F9S820V06 8 Outlet Surge"/>
    <n v="64.959999999999994"/>
    <n v="2"/>
  </r>
  <r>
    <x v="579"/>
    <d v="2015-12-01T00:00:00"/>
    <n v="4"/>
    <x v="1"/>
    <s v="MS-17365"/>
    <s v="Maribeth Schnelling"/>
    <s v="California"/>
    <x v="1"/>
    <s v="Furnishings"/>
    <s v="GE 48&quot; Fluorescent Tube, Cool White Energy Saver, 34 Watts, 30/Box"/>
    <n v="595.38"/>
    <n v="6"/>
  </r>
  <r>
    <x v="580"/>
    <d v="2015-11-30T00:00:00"/>
    <n v="2"/>
    <x v="0"/>
    <s v="CC-12670"/>
    <s v="Craig Carreira"/>
    <s v="Arizona"/>
    <x v="2"/>
    <s v="Phones"/>
    <s v="Motorola Moto X"/>
    <n v="271.99200000000002"/>
    <n v="1"/>
  </r>
  <r>
    <x v="580"/>
    <d v="2015-12-02T00:00:00"/>
    <n v="4"/>
    <x v="1"/>
    <s v="CM-12235"/>
    <s v="Chris McAfee"/>
    <s v="Arizona"/>
    <x v="0"/>
    <s v="Storage"/>
    <s v="Eldon Simplefile Box Office"/>
    <n v="39.808"/>
    <n v="4"/>
  </r>
  <r>
    <x v="581"/>
    <d v="2015-12-06T00:00:00"/>
    <n v="4"/>
    <x v="1"/>
    <s v="CL-11890"/>
    <s v="Carl Ludwig"/>
    <s v="California"/>
    <x v="1"/>
    <s v="Furnishings"/>
    <s v="Westinghouse Clip-On Gooseneck Lamps"/>
    <n v="16.739999999999998"/>
    <n v="2"/>
  </r>
  <r>
    <x v="581"/>
    <d v="2015-12-02T00:00:00"/>
    <n v="0"/>
    <x v="3"/>
    <s v="LB-16795"/>
    <s v="Laurel Beltran"/>
    <s v="California"/>
    <x v="1"/>
    <s v="Furnishings"/>
    <s v="Tenex Chairmats For Use With Carpeted Floors"/>
    <n v="31.96"/>
    <n v="2"/>
  </r>
  <r>
    <x v="581"/>
    <d v="2015-12-02T00:00:00"/>
    <n v="0"/>
    <x v="3"/>
    <s v="LB-16795"/>
    <s v="Laurel Beltran"/>
    <s v="California"/>
    <x v="0"/>
    <s v="Paper"/>
    <s v="Xerox 1886"/>
    <n v="47.9"/>
    <n v="1"/>
  </r>
  <r>
    <x v="581"/>
    <d v="2015-12-02T00:00:00"/>
    <n v="0"/>
    <x v="3"/>
    <s v="LB-16795"/>
    <s v="Laurel Beltran"/>
    <s v="California"/>
    <x v="0"/>
    <s v="Storage"/>
    <s v="Sauder Facets Collection Locker/File Cabinet, Sky Alder Finish"/>
    <n v="1112.94"/>
    <n v="3"/>
  </r>
  <r>
    <x v="581"/>
    <d v="2015-12-02T00:00:00"/>
    <n v="0"/>
    <x v="3"/>
    <s v="LB-16795"/>
    <s v="Laurel Beltran"/>
    <s v="California"/>
    <x v="0"/>
    <s v="Envelopes"/>
    <s v="#10- 4 1/8&quot; x 9 1/2&quot; Security-Tint Envelopes"/>
    <n v="22.919999999999998"/>
    <n v="3"/>
  </r>
  <r>
    <x v="581"/>
    <d v="2015-12-06T00:00:00"/>
    <n v="4"/>
    <x v="1"/>
    <s v="FH-14365"/>
    <s v="Fred Hopkins"/>
    <s v="California"/>
    <x v="0"/>
    <s v="Art"/>
    <s v="Sanford Colorific Colored Pencils, 12/Box"/>
    <n v="23.04"/>
    <n v="8"/>
  </r>
  <r>
    <x v="582"/>
    <d v="2015-12-09T00:00:00"/>
    <n v="6"/>
    <x v="1"/>
    <s v="MK-18160"/>
    <s v="Mike Kennedy"/>
    <s v="California"/>
    <x v="0"/>
    <s v="Paper"/>
    <s v="Xerox 192"/>
    <n v="25.92"/>
    <n v="4"/>
  </r>
  <r>
    <x v="582"/>
    <d v="2015-12-09T00:00:00"/>
    <n v="6"/>
    <x v="1"/>
    <s v="MK-18160"/>
    <s v="Mike Kennedy"/>
    <s v="California"/>
    <x v="0"/>
    <s v="Paper"/>
    <s v="HP Office Recycled Paper (20Lb. and 87 Bright)"/>
    <n v="40.46"/>
    <n v="7"/>
  </r>
  <r>
    <x v="582"/>
    <d v="2015-12-09T00:00:00"/>
    <n v="6"/>
    <x v="1"/>
    <s v="MK-18160"/>
    <s v="Mike Kennedy"/>
    <s v="California"/>
    <x v="0"/>
    <s v="Storage"/>
    <s v="X-Rack File for Hanging Folders"/>
    <n v="33.869999999999997"/>
    <n v="3"/>
  </r>
  <r>
    <x v="582"/>
    <d v="2015-12-08T00:00:00"/>
    <n v="5"/>
    <x v="1"/>
    <s v="KD-16495"/>
    <s v="Keith Dawkins"/>
    <s v="California"/>
    <x v="0"/>
    <s v="Binders"/>
    <s v="GBC VeloBind Cover Sets"/>
    <n v="24.704000000000001"/>
    <n v="2"/>
  </r>
  <r>
    <x v="582"/>
    <d v="2015-12-08T00:00:00"/>
    <n v="5"/>
    <x v="1"/>
    <s v="KD-16495"/>
    <s v="Keith Dawkins"/>
    <s v="California"/>
    <x v="0"/>
    <s v="Appliances"/>
    <s v="Holmes Cool Mist Humidifier for the Whole House with 8-Gallon Output per Day, Extended Life Filter"/>
    <n v="59.699999999999996"/>
    <n v="3"/>
  </r>
  <r>
    <x v="582"/>
    <d v="2015-12-08T00:00:00"/>
    <n v="5"/>
    <x v="1"/>
    <s v="KD-16495"/>
    <s v="Keith Dawkins"/>
    <s v="California"/>
    <x v="1"/>
    <s v="Furnishings"/>
    <s v="Eldon Regeneration Recycled Desk Accessories, Black"/>
    <n v="14.52"/>
    <n v="3"/>
  </r>
  <r>
    <x v="582"/>
    <d v="2015-12-08T00:00:00"/>
    <n v="5"/>
    <x v="1"/>
    <s v="KD-16495"/>
    <s v="Keith Dawkins"/>
    <s v="California"/>
    <x v="0"/>
    <s v="Binders"/>
    <s v="Satellite Sectional Post Binders"/>
    <n v="104.184"/>
    <n v="3"/>
  </r>
  <r>
    <x v="582"/>
    <d v="2015-12-09T00:00:00"/>
    <n v="6"/>
    <x v="1"/>
    <s v="AS-10225"/>
    <s v="Alan Schoenberger"/>
    <s v="Colorado"/>
    <x v="2"/>
    <s v="Accessories"/>
    <s v="WD My Passport Ultra 1TB Portable External Hard Drive"/>
    <n v="165.60000000000002"/>
    <n v="3"/>
  </r>
  <r>
    <x v="583"/>
    <d v="2015-12-07T00:00:00"/>
    <n v="3"/>
    <x v="2"/>
    <s v="NM-18520"/>
    <s v="Neoma Murray"/>
    <s v="California"/>
    <x v="2"/>
    <s v="Accessories"/>
    <s v="Logitech Z-906 Speaker sys - home theater - 5.1-CH"/>
    <n v="1649.95"/>
    <n v="5"/>
  </r>
  <r>
    <x v="583"/>
    <d v="2015-12-07T00:00:00"/>
    <n v="3"/>
    <x v="2"/>
    <s v="NM-18520"/>
    <s v="Neoma Murray"/>
    <s v="California"/>
    <x v="1"/>
    <s v="Furnishings"/>
    <s v="3M Polarizing Light Filter Sleeves"/>
    <n v="111.89999999999999"/>
    <n v="6"/>
  </r>
  <r>
    <x v="583"/>
    <d v="2015-12-10T00:00:00"/>
    <n v="6"/>
    <x v="1"/>
    <s v="GM-14440"/>
    <s v="Gary McGarr"/>
    <s v="California"/>
    <x v="0"/>
    <s v="Storage"/>
    <s v="Fellowes Staxonsteel Drawer Files"/>
    <n v="772.68"/>
    <n v="4"/>
  </r>
  <r>
    <x v="583"/>
    <d v="2015-12-08T00:00:00"/>
    <n v="4"/>
    <x v="1"/>
    <s v="RD-19720"/>
    <s v="Roger Demir"/>
    <s v="California"/>
    <x v="1"/>
    <s v="Tables"/>
    <s v="Hon 4060 Series Tables"/>
    <n v="268.70400000000001"/>
    <n v="3"/>
  </r>
  <r>
    <x v="583"/>
    <d v="2015-12-08T00:00:00"/>
    <n v="4"/>
    <x v="1"/>
    <s v="RD-19720"/>
    <s v="Roger Demir"/>
    <s v="California"/>
    <x v="0"/>
    <s v="Art"/>
    <s v="Rogers Handheld Barrel Pencil Sharpener"/>
    <n v="21.92"/>
    <n v="8"/>
  </r>
  <r>
    <x v="583"/>
    <d v="2015-12-08T00:00:00"/>
    <n v="4"/>
    <x v="1"/>
    <s v="RD-19720"/>
    <s v="Roger Demir"/>
    <s v="California"/>
    <x v="0"/>
    <s v="Storage"/>
    <s v="Acco Perma 4000 Stacking Storage Drawers"/>
    <n v="48.72"/>
    <n v="3"/>
  </r>
  <r>
    <x v="583"/>
    <d v="2015-12-08T00:00:00"/>
    <n v="4"/>
    <x v="1"/>
    <s v="RD-19720"/>
    <s v="Roger Demir"/>
    <s v="California"/>
    <x v="1"/>
    <s v="Bookcases"/>
    <s v="O'Sullivan Living Dimensions 2-Shelf Bookcases"/>
    <n v="205.666"/>
    <n v="2"/>
  </r>
  <r>
    <x v="584"/>
    <d v="2015-12-10T00:00:00"/>
    <n v="5"/>
    <x v="1"/>
    <s v="KT-16465"/>
    <s v="Kean Takahito"/>
    <s v="California"/>
    <x v="0"/>
    <s v="Paper"/>
    <s v="Xerox 1915"/>
    <n v="104.85"/>
    <n v="1"/>
  </r>
  <r>
    <x v="585"/>
    <d v="2015-12-11T00:00:00"/>
    <n v="5"/>
    <x v="1"/>
    <s v="IM-15070"/>
    <s v="Irene Maddox"/>
    <s v="Washington"/>
    <x v="0"/>
    <s v="Binders"/>
    <s v="Fellowes PB200 Plastic Comb Binding Machine"/>
    <n v="407.97600000000006"/>
    <n v="3"/>
  </r>
  <r>
    <x v="586"/>
    <d v="2015-12-08T00:00:00"/>
    <n v="1"/>
    <x v="2"/>
    <s v="GG-14650"/>
    <s v="Greg Guthrie"/>
    <s v="California"/>
    <x v="0"/>
    <s v="Paper"/>
    <s v="Xerox 216"/>
    <n v="19.440000000000001"/>
    <n v="3"/>
  </r>
  <r>
    <x v="586"/>
    <d v="2015-12-13T00:00:00"/>
    <n v="6"/>
    <x v="1"/>
    <s v="GT-14710"/>
    <s v="Greg Tran"/>
    <s v="Washington"/>
    <x v="2"/>
    <s v="Phones"/>
    <s v="Plantronics Calisto P620-M USB Wireless Speakerphone System"/>
    <n v="156.79200000000003"/>
    <n v="1"/>
  </r>
  <r>
    <x v="586"/>
    <d v="2015-12-13T00:00:00"/>
    <n v="6"/>
    <x v="1"/>
    <s v="GT-14710"/>
    <s v="Greg Tran"/>
    <s v="Washington"/>
    <x v="2"/>
    <s v="Phones"/>
    <s v="Google Nexus 5"/>
    <n v="431.97600000000006"/>
    <n v="3"/>
  </r>
  <r>
    <x v="586"/>
    <d v="2015-12-13T00:00:00"/>
    <n v="6"/>
    <x v="1"/>
    <s v="GT-14710"/>
    <s v="Greg Tran"/>
    <s v="Washington"/>
    <x v="0"/>
    <s v="Envelopes"/>
    <s v="Jet-Pak Recycled Peel 'N' Seal Padded Mailers"/>
    <n v="35.89"/>
    <n v="1"/>
  </r>
  <r>
    <x v="586"/>
    <d v="2015-12-13T00:00:00"/>
    <n v="6"/>
    <x v="1"/>
    <s v="GT-14710"/>
    <s v="Greg Tran"/>
    <s v="Washington"/>
    <x v="0"/>
    <s v="Binders"/>
    <s v="Ibico Plastic and Wire Spiral Binding Combs"/>
    <n v="47.207999999999998"/>
    <n v="7"/>
  </r>
  <r>
    <x v="586"/>
    <d v="2015-12-13T00:00:00"/>
    <n v="6"/>
    <x v="1"/>
    <s v="GT-14710"/>
    <s v="Greg Tran"/>
    <s v="Washington"/>
    <x v="0"/>
    <s v="Paper"/>
    <s v="Xerox 1880"/>
    <n v="248.07999999999998"/>
    <n v="7"/>
  </r>
  <r>
    <x v="586"/>
    <d v="2015-12-13T00:00:00"/>
    <n v="6"/>
    <x v="1"/>
    <s v="GT-14710"/>
    <s v="Greg Tran"/>
    <s v="Washington"/>
    <x v="0"/>
    <s v="Paper"/>
    <s v="Snap-A-Way Black Print Carbonless Ruled Speed Letter, Triplicate"/>
    <n v="189.7"/>
    <n v="5"/>
  </r>
  <r>
    <x v="586"/>
    <d v="2015-12-13T00:00:00"/>
    <n v="6"/>
    <x v="1"/>
    <s v="GT-14710"/>
    <s v="Greg Tran"/>
    <s v="Washington"/>
    <x v="0"/>
    <s v="Binders"/>
    <s v="GBC Standard Therm-A-Bind Covers"/>
    <n v="59.808000000000007"/>
    <n v="3"/>
  </r>
  <r>
    <x v="586"/>
    <d v="2015-12-11T00:00:00"/>
    <n v="4"/>
    <x v="1"/>
    <s v="AP-10720"/>
    <s v="Anne Pryor"/>
    <s v="California"/>
    <x v="2"/>
    <s v="Phones"/>
    <s v="Avaya 5410 Digital phone"/>
    <n v="271.95999999999998"/>
    <n v="5"/>
  </r>
  <r>
    <x v="586"/>
    <d v="2015-12-11T00:00:00"/>
    <n v="4"/>
    <x v="1"/>
    <s v="AP-10720"/>
    <s v="Anne Pryor"/>
    <s v="California"/>
    <x v="0"/>
    <s v="Art"/>
    <s v="Blackstonian Pencils"/>
    <n v="18.689999999999998"/>
    <n v="7"/>
  </r>
  <r>
    <x v="586"/>
    <d v="2015-12-11T00:00:00"/>
    <n v="4"/>
    <x v="1"/>
    <s v="AP-10720"/>
    <s v="Anne Pryor"/>
    <s v="California"/>
    <x v="0"/>
    <s v="Paper"/>
    <s v="Xerox 1977"/>
    <n v="13.36"/>
    <n v="2"/>
  </r>
  <r>
    <x v="586"/>
    <d v="2015-12-11T00:00:00"/>
    <n v="4"/>
    <x v="1"/>
    <s v="AP-10720"/>
    <s v="Anne Pryor"/>
    <s v="California"/>
    <x v="2"/>
    <s v="Phones"/>
    <s v="Cisco SPA301"/>
    <n v="249.58400000000003"/>
    <n v="2"/>
  </r>
  <r>
    <x v="586"/>
    <d v="2015-12-11T00:00:00"/>
    <n v="4"/>
    <x v="1"/>
    <s v="AP-10720"/>
    <s v="Anne Pryor"/>
    <s v="California"/>
    <x v="0"/>
    <s v="Fasteners"/>
    <s v="Alliance Big Bands Rubber Bands, 12/Pack"/>
    <n v="13.86"/>
    <n v="7"/>
  </r>
  <r>
    <x v="586"/>
    <d v="2015-12-11T00:00:00"/>
    <n v="4"/>
    <x v="1"/>
    <s v="AP-10720"/>
    <s v="Anne Pryor"/>
    <s v="California"/>
    <x v="0"/>
    <s v="Binders"/>
    <s v="Avery Durable Slant Ring Binders With Label Holder"/>
    <n v="13.375999999999999"/>
    <n v="4"/>
  </r>
  <r>
    <x v="586"/>
    <d v="2015-12-11T00:00:00"/>
    <n v="4"/>
    <x v="1"/>
    <s v="AP-10720"/>
    <s v="Anne Pryor"/>
    <s v="California"/>
    <x v="0"/>
    <s v="Binders"/>
    <s v="Ibico Recycled Linen-Style Covers"/>
    <n v="437.47200000000009"/>
    <n v="14"/>
  </r>
  <r>
    <x v="587"/>
    <d v="2015-12-15T00:00:00"/>
    <n v="6"/>
    <x v="1"/>
    <s v="SP-20620"/>
    <s v="Stefania Perrino"/>
    <s v="California"/>
    <x v="0"/>
    <s v="Art"/>
    <s v="Newell 341"/>
    <n v="8.56"/>
    <n v="2"/>
  </r>
  <r>
    <x v="587"/>
    <d v="2015-12-15T00:00:00"/>
    <n v="6"/>
    <x v="1"/>
    <s v="SP-20620"/>
    <s v="Stefania Perrino"/>
    <s v="California"/>
    <x v="0"/>
    <s v="Paper"/>
    <s v="Xerox 204"/>
    <n v="45.36"/>
    <n v="7"/>
  </r>
  <r>
    <x v="587"/>
    <d v="2015-12-15T00:00:00"/>
    <n v="6"/>
    <x v="1"/>
    <s v="SP-20620"/>
    <s v="Stefania Perrino"/>
    <s v="California"/>
    <x v="1"/>
    <s v="Tables"/>
    <s v="Hon 94000 Series Round Tables"/>
    <n v="1421.6640000000002"/>
    <n v="6"/>
  </r>
  <r>
    <x v="587"/>
    <d v="2015-12-12T00:00:00"/>
    <n v="3"/>
    <x v="0"/>
    <s v="DB-13615"/>
    <s v="Doug Bickford"/>
    <s v="California"/>
    <x v="0"/>
    <s v="Storage"/>
    <s v="SimpliFile Personal File, Black Granite, 15w x 6-15/16d x 11-1/4h"/>
    <n v="34.049999999999997"/>
    <n v="3"/>
  </r>
  <r>
    <x v="587"/>
    <d v="2015-12-12T00:00:00"/>
    <n v="3"/>
    <x v="0"/>
    <s v="DB-13615"/>
    <s v="Doug Bickford"/>
    <s v="California"/>
    <x v="0"/>
    <s v="Storage"/>
    <s v="Fellowes High-Stak Drawer Files"/>
    <n v="352.38"/>
    <n v="2"/>
  </r>
  <r>
    <x v="588"/>
    <d v="2015-12-13T00:00:00"/>
    <n v="3"/>
    <x v="2"/>
    <s v="SP-20650"/>
    <s v="Stephanie Phelps"/>
    <s v="California"/>
    <x v="0"/>
    <s v="Binders"/>
    <s v="Wilson Jones Elliptical Ring 3 1/2&quot; Capacity Binders, 800 sheets"/>
    <n v="273.92"/>
    <n v="8"/>
  </r>
  <r>
    <x v="589"/>
    <d v="2015-12-16T00:00:00"/>
    <n v="5"/>
    <x v="0"/>
    <s v="LH-17155"/>
    <s v="Logan Haushalter"/>
    <s v="California"/>
    <x v="1"/>
    <s v="Chairs"/>
    <s v="Global Leather Highback Executive Chair with Pneumatic Height Adjustment, Black"/>
    <n v="321.56799999999998"/>
    <n v="2"/>
  </r>
  <r>
    <x v="589"/>
    <d v="2015-12-18T00:00:00"/>
    <n v="7"/>
    <x v="1"/>
    <s v="AP-10915"/>
    <s v="Arthur Prichep"/>
    <s v="Washington"/>
    <x v="0"/>
    <s v="Binders"/>
    <s v="GBC DocuBind P50 Personal Binding Machine"/>
    <n v="153.55199999999999"/>
    <n v="3"/>
  </r>
  <r>
    <x v="589"/>
    <d v="2015-12-18T00:00:00"/>
    <n v="7"/>
    <x v="1"/>
    <s v="AP-10915"/>
    <s v="Arthur Prichep"/>
    <s v="Washington"/>
    <x v="0"/>
    <s v="Appliances"/>
    <s v="Holmes HEPA Air Purifier"/>
    <n v="65.34"/>
    <n v="3"/>
  </r>
  <r>
    <x v="589"/>
    <d v="2015-12-18T00:00:00"/>
    <n v="7"/>
    <x v="1"/>
    <s v="AP-10915"/>
    <s v="Arthur Prichep"/>
    <s v="Washington"/>
    <x v="0"/>
    <s v="Paper"/>
    <s v="Xerox 1988"/>
    <n v="123.92"/>
    <n v="4"/>
  </r>
  <r>
    <x v="589"/>
    <d v="2015-12-18T00:00:00"/>
    <n v="7"/>
    <x v="1"/>
    <s v="AP-10915"/>
    <s v="Arthur Prichep"/>
    <s v="Washington"/>
    <x v="0"/>
    <s v="Appliances"/>
    <s v="Harmony HEPA Quiet Air Purifiers"/>
    <n v="35.099999999999994"/>
    <n v="3"/>
  </r>
  <r>
    <x v="589"/>
    <d v="2015-12-18T00:00:00"/>
    <n v="7"/>
    <x v="1"/>
    <s v="AP-10915"/>
    <s v="Arthur Prichep"/>
    <s v="Washington"/>
    <x v="2"/>
    <s v="Accessories"/>
    <s v="Kingston Digital DataTraveler 16GB USB 2.0"/>
    <n v="44.75"/>
    <n v="5"/>
  </r>
  <r>
    <x v="589"/>
    <d v="2015-12-13T00:00:00"/>
    <n v="2"/>
    <x v="2"/>
    <s v="SJ-20125"/>
    <s v="Sanjit Jacobs"/>
    <s v="California"/>
    <x v="0"/>
    <s v="Paper"/>
    <s v="Wirebound Message Books, Four 2 3/4 x 5 White Forms per Page"/>
    <n v="80.28"/>
    <n v="12"/>
  </r>
  <r>
    <x v="590"/>
    <d v="2015-12-14T00:00:00"/>
    <n v="2"/>
    <x v="0"/>
    <s v="FM-14380"/>
    <s v="Fred McMath"/>
    <s v="Colorado"/>
    <x v="0"/>
    <s v="Storage"/>
    <s v="Tennsco Regal Shelving Units"/>
    <n v="243.38400000000001"/>
    <n v="3"/>
  </r>
  <r>
    <x v="590"/>
    <d v="2015-12-14T00:00:00"/>
    <n v="2"/>
    <x v="0"/>
    <s v="FM-14380"/>
    <s v="Fred McMath"/>
    <s v="Colorado"/>
    <x v="2"/>
    <s v="Accessories"/>
    <s v="Imation 32GB Pocket Pro USB 3.0 Flash Drive - 32 GB - Black - 1 P ..."/>
    <n v="119.80000000000001"/>
    <n v="5"/>
  </r>
  <r>
    <x v="590"/>
    <d v="2015-12-14T00:00:00"/>
    <n v="2"/>
    <x v="0"/>
    <s v="FM-14380"/>
    <s v="Fred McMath"/>
    <s v="Colorado"/>
    <x v="2"/>
    <s v="Phones"/>
    <s v="Jabra SPEAK 410"/>
    <n v="300.76799999999997"/>
    <n v="4"/>
  </r>
  <r>
    <x v="590"/>
    <d v="2015-12-17T00:00:00"/>
    <n v="5"/>
    <x v="0"/>
    <s v="AR-10825"/>
    <s v="Anthony Rawles"/>
    <s v="Washington"/>
    <x v="1"/>
    <s v="Furnishings"/>
    <s v="3M Hangers With Command Adhesive"/>
    <n v="14.8"/>
    <n v="4"/>
  </r>
  <r>
    <x v="590"/>
    <d v="2015-12-17T00:00:00"/>
    <n v="5"/>
    <x v="0"/>
    <s v="AR-10825"/>
    <s v="Anthony Rawles"/>
    <s v="Washington"/>
    <x v="2"/>
    <s v="Phones"/>
    <s v="AT&amp;T TR1909W"/>
    <n v="302.37599999999998"/>
    <n v="3"/>
  </r>
  <r>
    <x v="590"/>
    <d v="2015-12-17T00:00:00"/>
    <n v="5"/>
    <x v="0"/>
    <s v="AR-10825"/>
    <s v="Anthony Rawles"/>
    <s v="Washington"/>
    <x v="2"/>
    <s v="Accessories"/>
    <s v="First Data FD10 PIN Pad"/>
    <n v="316"/>
    <n v="4"/>
  </r>
  <r>
    <x v="590"/>
    <d v="2015-12-14T00:00:00"/>
    <n v="2"/>
    <x v="2"/>
    <s v="DB-13270"/>
    <s v="Deborah Brumfield"/>
    <s v="Oregon"/>
    <x v="1"/>
    <s v="Chairs"/>
    <s v="Global Fabric Manager's Chair, Dark Gray"/>
    <n v="403.92"/>
    <n v="5"/>
  </r>
  <r>
    <x v="590"/>
    <d v="2015-12-12T00:00:00"/>
    <n v="0"/>
    <x v="3"/>
    <s v="WB-21850"/>
    <s v="William Brown"/>
    <s v="California"/>
    <x v="0"/>
    <s v="Binders"/>
    <s v="Ibico Laser Imprintable Binding System Covers"/>
    <n v="209.60000000000002"/>
    <n v="5"/>
  </r>
  <r>
    <x v="590"/>
    <d v="2015-12-12T00:00:00"/>
    <n v="0"/>
    <x v="3"/>
    <s v="WB-21850"/>
    <s v="William Brown"/>
    <s v="California"/>
    <x v="0"/>
    <s v="Art"/>
    <s v="Boston 16765 Mini Stand Up Battery Pencil Sharpener"/>
    <n v="23.32"/>
    <n v="2"/>
  </r>
  <r>
    <x v="590"/>
    <d v="2015-12-12T00:00:00"/>
    <n v="0"/>
    <x v="3"/>
    <s v="WB-21850"/>
    <s v="William Brown"/>
    <s v="California"/>
    <x v="0"/>
    <s v="Paper"/>
    <s v="IBM Multi-Purpose Copy Paper, 8 1/2 x 11&quot;, Case"/>
    <n v="30.98"/>
    <n v="1"/>
  </r>
  <r>
    <x v="590"/>
    <d v="2015-12-12T00:00:00"/>
    <n v="0"/>
    <x v="3"/>
    <s v="WB-21850"/>
    <s v="William Brown"/>
    <s v="California"/>
    <x v="2"/>
    <s v="Accessories"/>
    <s v="Microsoft Natural Ergonomic Keyboard 4000"/>
    <n v="119.96"/>
    <n v="4"/>
  </r>
  <r>
    <x v="590"/>
    <d v="2015-12-12T00:00:00"/>
    <n v="0"/>
    <x v="3"/>
    <s v="WB-21850"/>
    <s v="William Brown"/>
    <s v="California"/>
    <x v="1"/>
    <s v="Chairs"/>
    <s v="Global Wood Trimmed Manager's Task Chair, Khaki"/>
    <n v="363.92"/>
    <n v="5"/>
  </r>
  <r>
    <x v="590"/>
    <d v="2015-12-12T00:00:00"/>
    <n v="0"/>
    <x v="3"/>
    <s v="WB-21850"/>
    <s v="William Brown"/>
    <s v="California"/>
    <x v="0"/>
    <s v="Binders"/>
    <s v="Recycled Easel Ring Binders"/>
    <n v="35.808"/>
    <n v="3"/>
  </r>
  <r>
    <x v="590"/>
    <d v="2015-12-12T00:00:00"/>
    <n v="0"/>
    <x v="3"/>
    <s v="WB-21850"/>
    <s v="William Brown"/>
    <s v="California"/>
    <x v="0"/>
    <s v="Binders"/>
    <s v="GBC Recycled VeloBinder Covers"/>
    <n v="122.688"/>
    <n v="9"/>
  </r>
  <r>
    <x v="590"/>
    <d v="2015-12-12T00:00:00"/>
    <n v="0"/>
    <x v="3"/>
    <s v="WB-21850"/>
    <s v="William Brown"/>
    <s v="California"/>
    <x v="1"/>
    <s v="Tables"/>
    <s v="Hon Non-Folding Utility Tables"/>
    <n v="892.13600000000008"/>
    <n v="7"/>
  </r>
  <r>
    <x v="590"/>
    <d v="2015-12-12T00:00:00"/>
    <n v="0"/>
    <x v="3"/>
    <s v="WB-21850"/>
    <s v="William Brown"/>
    <s v="California"/>
    <x v="0"/>
    <s v="Storage"/>
    <s v="Rogers Profile Extra Capacity Storage Tub"/>
    <n v="50.22"/>
    <n v="3"/>
  </r>
  <r>
    <x v="590"/>
    <d v="2015-12-12T00:00:00"/>
    <n v="0"/>
    <x v="3"/>
    <s v="WB-21850"/>
    <s v="William Brown"/>
    <s v="California"/>
    <x v="0"/>
    <s v="Appliances"/>
    <s v="Fellowes 8 Outlet Superior Workstation Surge Protector"/>
    <n v="83.42"/>
    <n v="2"/>
  </r>
  <r>
    <x v="590"/>
    <d v="2015-12-12T00:00:00"/>
    <n v="0"/>
    <x v="3"/>
    <s v="WB-21850"/>
    <s v="William Brown"/>
    <s v="California"/>
    <x v="0"/>
    <s v="Binders"/>
    <s v="Black Avery Memo-Size 3-Ring Binder, 5 1/2&quot; x 8 1/2&quot;"/>
    <n v="5.8719999999999999"/>
    <n v="2"/>
  </r>
  <r>
    <x v="591"/>
    <d v="2015-12-17T00:00:00"/>
    <n v="4"/>
    <x v="1"/>
    <s v="RF-19840"/>
    <s v="Roy Französisch"/>
    <s v="California"/>
    <x v="1"/>
    <s v="Furnishings"/>
    <s v="Howard Miller 14-1/2&quot; Diameter Chrome Round Wall Clock"/>
    <n v="383.64"/>
    <n v="6"/>
  </r>
  <r>
    <x v="591"/>
    <d v="2015-12-17T00:00:00"/>
    <n v="4"/>
    <x v="1"/>
    <s v="RF-19840"/>
    <s v="Roy Französisch"/>
    <s v="California"/>
    <x v="0"/>
    <s v="Appliances"/>
    <s v="Belkin F9H710-06 7 Outlet SurgeMaster Surge Protector"/>
    <n v="56.519999999999996"/>
    <n v="3"/>
  </r>
  <r>
    <x v="592"/>
    <d v="2015-12-21T00:00:00"/>
    <n v="7"/>
    <x v="1"/>
    <s v="RW-19630"/>
    <s v="Rob Williams"/>
    <s v="California"/>
    <x v="0"/>
    <s v="Binders"/>
    <s v="Acco Pressboard Covers with Storage Hooks, 14 7/8&quot; x 11&quot;, Dark Blue"/>
    <n v="6.0960000000000001"/>
    <n v="2"/>
  </r>
  <r>
    <x v="592"/>
    <d v="2015-12-21T00:00:00"/>
    <n v="7"/>
    <x v="1"/>
    <s v="RW-19630"/>
    <s v="Rob Williams"/>
    <s v="California"/>
    <x v="1"/>
    <s v="Tables"/>
    <s v="Bretford CR4500 Series Slim Rectangular Table"/>
    <n v="1114.2719999999999"/>
    <n v="4"/>
  </r>
  <r>
    <x v="592"/>
    <d v="2015-12-20T00:00:00"/>
    <n v="6"/>
    <x v="1"/>
    <s v="JC-15340"/>
    <s v="Jasper Cacioppo"/>
    <s v="California"/>
    <x v="0"/>
    <s v="Art"/>
    <s v="Crayola Colored Pencils"/>
    <n v="9.84"/>
    <n v="3"/>
  </r>
  <r>
    <x v="593"/>
    <d v="2015-12-18T00:00:00"/>
    <n v="3"/>
    <x v="2"/>
    <s v="DS-13180"/>
    <s v="David Smith"/>
    <s v="California"/>
    <x v="1"/>
    <s v="Chairs"/>
    <s v="Global Task Chair, Black"/>
    <n v="81.424000000000007"/>
    <n v="2"/>
  </r>
  <r>
    <x v="593"/>
    <d v="2015-12-18T00:00:00"/>
    <n v="3"/>
    <x v="2"/>
    <s v="DS-13180"/>
    <s v="David Smith"/>
    <s v="California"/>
    <x v="0"/>
    <s v="Storage"/>
    <s v="Tenex Personal Project File with Scoop Front Design, Black"/>
    <n v="134.80000000000001"/>
    <n v="10"/>
  </r>
  <r>
    <x v="594"/>
    <d v="2015-12-23T00:00:00"/>
    <n v="7"/>
    <x v="1"/>
    <s v="BP-11230"/>
    <s v="Benjamin Patterson"/>
    <s v="California"/>
    <x v="1"/>
    <s v="Furnishings"/>
    <s v="Eldon Expressions Wood Desk Accessories, Oak"/>
    <n v="14.76"/>
    <n v="2"/>
  </r>
  <r>
    <x v="594"/>
    <d v="2015-12-22T00:00:00"/>
    <n v="6"/>
    <x v="1"/>
    <s v="MP-18175"/>
    <s v="Mike Pelletier"/>
    <s v="Oregon"/>
    <x v="1"/>
    <s v="Tables"/>
    <s v="Bretford Rectangular Conference Table Tops"/>
    <n v="564.19499999999994"/>
    <n v="3"/>
  </r>
  <r>
    <x v="594"/>
    <d v="2015-12-22T00:00:00"/>
    <n v="6"/>
    <x v="1"/>
    <s v="MP-18175"/>
    <s v="Mike Pelletier"/>
    <s v="Oregon"/>
    <x v="0"/>
    <s v="Appliances"/>
    <s v="Belkin 5 Outlet SurgeMaster Power Centers"/>
    <n v="87.168000000000006"/>
    <n v="2"/>
  </r>
  <r>
    <x v="595"/>
    <d v="2015-12-24T00:00:00"/>
    <n v="7"/>
    <x v="1"/>
    <s v="PK-19075"/>
    <s v="Pete Kriz"/>
    <s v="California"/>
    <x v="1"/>
    <s v="Chairs"/>
    <s v="Office Star - Contemporary Swivel Chair with Padded Adjustable Arms and Flex Back"/>
    <n v="563.91999999999996"/>
    <n v="5"/>
  </r>
  <r>
    <x v="595"/>
    <d v="2015-12-24T00:00:00"/>
    <n v="7"/>
    <x v="1"/>
    <s v="TN-21040"/>
    <s v="Tanja Norvell"/>
    <s v="California"/>
    <x v="2"/>
    <s v="Accessories"/>
    <s v="Imation USB 2.0 Swivel Flash Drive USB flash drive - 4 GB - Pink"/>
    <n v="21.209999999999997"/>
    <n v="7"/>
  </r>
  <r>
    <x v="596"/>
    <d v="2015-12-22T00:00:00"/>
    <n v="4"/>
    <x v="1"/>
    <s v="CM-12160"/>
    <s v="Charles McCrossin"/>
    <s v="California"/>
    <x v="1"/>
    <s v="Tables"/>
    <s v="Bretford “Just In Time” Height-Adjustable Multi-Task Work Tables"/>
    <n v="2003.52"/>
    <n v="6"/>
  </r>
  <r>
    <x v="596"/>
    <d v="2015-12-23T00:00:00"/>
    <n v="5"/>
    <x v="1"/>
    <s v="SC-20680"/>
    <s v="Steve Carroll"/>
    <s v="Washington"/>
    <x v="0"/>
    <s v="Storage"/>
    <s v="Personal Filing Tote with Lid, Black/Gray"/>
    <n v="46.53"/>
    <n v="3"/>
  </r>
  <r>
    <x v="596"/>
    <d v="2015-12-24T00:00:00"/>
    <n v="6"/>
    <x v="1"/>
    <s v="NS-18640"/>
    <s v="Noel Staavos"/>
    <s v="New Mexico"/>
    <x v="0"/>
    <s v="Binders"/>
    <s v="Ibico Plastic and Wire Spiral Binding Combs"/>
    <n v="13.488"/>
    <n v="2"/>
  </r>
  <r>
    <x v="596"/>
    <d v="2015-12-24T00:00:00"/>
    <n v="6"/>
    <x v="1"/>
    <s v="NS-18640"/>
    <s v="Noel Staavos"/>
    <s v="New Mexico"/>
    <x v="0"/>
    <s v="Binders"/>
    <s v="GBC Laser Imprintable Binding System Covers, Desert Sand"/>
    <n v="11.416"/>
    <n v="1"/>
  </r>
  <r>
    <x v="597"/>
    <d v="2015-12-24T00:00:00"/>
    <n v="5"/>
    <x v="1"/>
    <s v="HG-14965"/>
    <s v="Henry Goldwyn"/>
    <s v="California"/>
    <x v="0"/>
    <s v="Paper"/>
    <s v="Eureka Recycled Copy Paper 8 1/2&quot; x 11&quot;, Ream"/>
    <n v="38.880000000000003"/>
    <n v="6"/>
  </r>
  <r>
    <x v="597"/>
    <d v="2015-12-24T00:00:00"/>
    <n v="5"/>
    <x v="1"/>
    <s v="HG-14965"/>
    <s v="Henry Goldwyn"/>
    <s v="California"/>
    <x v="1"/>
    <s v="Furnishings"/>
    <s v="Seth Thomas 12&quot; Clock w/ Goldtone Case"/>
    <n v="183.84"/>
    <n v="8"/>
  </r>
  <r>
    <x v="597"/>
    <d v="2015-12-24T00:00:00"/>
    <n v="5"/>
    <x v="1"/>
    <s v="HG-14965"/>
    <s v="Henry Goldwyn"/>
    <s v="California"/>
    <x v="0"/>
    <s v="Supplies"/>
    <s v="Premier Electric Letter Opener"/>
    <n v="579.29999999999995"/>
    <n v="5"/>
  </r>
  <r>
    <x v="597"/>
    <d v="2015-12-25T00:00:00"/>
    <n v="6"/>
    <x v="1"/>
    <s v="JE-15475"/>
    <s v="Jeremy Ellison"/>
    <s v="California"/>
    <x v="2"/>
    <s v="Accessories"/>
    <s v="SanDisk Cruzer 64 GB USB Flash Drive"/>
    <n v="72.64"/>
    <n v="2"/>
  </r>
  <r>
    <x v="597"/>
    <d v="2015-12-25T00:00:00"/>
    <n v="6"/>
    <x v="1"/>
    <s v="JE-15475"/>
    <s v="Jeremy Ellison"/>
    <s v="California"/>
    <x v="2"/>
    <s v="Accessories"/>
    <s v="Logitech P710e Mobile Speakerphone"/>
    <n v="772.47"/>
    <n v="3"/>
  </r>
  <r>
    <x v="597"/>
    <d v="2015-12-25T00:00:00"/>
    <n v="6"/>
    <x v="1"/>
    <s v="JE-15475"/>
    <s v="Jeremy Ellison"/>
    <s v="California"/>
    <x v="1"/>
    <s v="Furnishings"/>
    <s v="Eldon Expressions Wood and Plastic Desk Accessories, Oak"/>
    <n v="39.92"/>
    <n v="4"/>
  </r>
  <r>
    <x v="597"/>
    <d v="2015-12-22T00:00:00"/>
    <n v="3"/>
    <x v="2"/>
    <s v="AH-10120"/>
    <s v="Adrian Hane"/>
    <s v="Oregon"/>
    <x v="0"/>
    <s v="Binders"/>
    <s v="Vinyl Sectional Post Binders"/>
    <n v="45.240000000000009"/>
    <n v="4"/>
  </r>
  <r>
    <x v="597"/>
    <d v="2015-12-22T00:00:00"/>
    <n v="3"/>
    <x v="2"/>
    <s v="AH-10120"/>
    <s v="Adrian Hane"/>
    <s v="Oregon"/>
    <x v="0"/>
    <s v="Art"/>
    <s v="Newell 312"/>
    <n v="18.687999999999999"/>
    <n v="4"/>
  </r>
  <r>
    <x v="597"/>
    <d v="2015-12-22T00:00:00"/>
    <n v="3"/>
    <x v="2"/>
    <s v="AH-10120"/>
    <s v="Adrian Hane"/>
    <s v="Oregon"/>
    <x v="0"/>
    <s v="Paper"/>
    <s v="Black Print Carbonless 8 1/2&quot; x 8 1/4&quot; Rapid Memo Book"/>
    <n v="11.648000000000001"/>
    <n v="2"/>
  </r>
  <r>
    <x v="597"/>
    <d v="2015-12-22T00:00:00"/>
    <n v="3"/>
    <x v="2"/>
    <s v="AH-10120"/>
    <s v="Adrian Hane"/>
    <s v="Oregon"/>
    <x v="2"/>
    <s v="Accessories"/>
    <s v="Sony Micro Vault Click 8 GB USB 2.0 Flash Drive"/>
    <n v="112.77600000000001"/>
    <n v="3"/>
  </r>
  <r>
    <x v="597"/>
    <d v="2015-12-22T00:00:00"/>
    <n v="3"/>
    <x v="2"/>
    <s v="AH-10120"/>
    <s v="Adrian Hane"/>
    <s v="Oregon"/>
    <x v="1"/>
    <s v="Tables"/>
    <s v="Iceberg OfficeWorks 42&quot; Round Tables"/>
    <n v="377.45"/>
    <n v="5"/>
  </r>
  <r>
    <x v="597"/>
    <d v="2015-12-22T00:00:00"/>
    <n v="3"/>
    <x v="2"/>
    <s v="AH-10120"/>
    <s v="Adrian Hane"/>
    <s v="Oregon"/>
    <x v="0"/>
    <s v="Labels"/>
    <s v="Avery White Multi-Purpose Labels"/>
    <n v="15.936000000000002"/>
    <n v="4"/>
  </r>
  <r>
    <x v="597"/>
    <d v="2015-12-22T00:00:00"/>
    <n v="3"/>
    <x v="2"/>
    <s v="AH-10120"/>
    <s v="Adrian Hane"/>
    <s v="Oregon"/>
    <x v="2"/>
    <s v="Phones"/>
    <s v="Macally Suction Cup Mount"/>
    <n v="28.68"/>
    <n v="3"/>
  </r>
  <r>
    <x v="597"/>
    <d v="2015-12-21T00:00:00"/>
    <n v="2"/>
    <x v="2"/>
    <s v="AY-10555"/>
    <s v="Andy Yotov"/>
    <s v="California"/>
    <x v="2"/>
    <s v="Phones"/>
    <s v="I Need's 3d Hello Kitty Hybrid Silicone Case Cover for HTC One X 4g with 3d Hello Kitty Stylus Pen Green/pink"/>
    <n v="66.976000000000013"/>
    <n v="7"/>
  </r>
  <r>
    <x v="598"/>
    <d v="2015-12-26T00:00:00"/>
    <n v="6"/>
    <x v="1"/>
    <s v="ES-14080"/>
    <s v="Erin Smith"/>
    <s v="Arizona"/>
    <x v="1"/>
    <s v="Tables"/>
    <s v="SAFCO PlanMaster Boards, 60w x 37-1/2d, White Melamine"/>
    <n v="455.97"/>
    <n v="6"/>
  </r>
  <r>
    <x v="598"/>
    <d v="2015-12-26T00:00:00"/>
    <n v="6"/>
    <x v="1"/>
    <s v="ES-14080"/>
    <s v="Erin Smith"/>
    <s v="Arizona"/>
    <x v="0"/>
    <s v="Binders"/>
    <s v="Wilson Jones Clip &amp; Carry Folder Binder Tool for Ring Binders, Clear"/>
    <n v="10.440000000000001"/>
    <n v="6"/>
  </r>
  <r>
    <x v="598"/>
    <d v="2015-12-26T00:00:00"/>
    <n v="6"/>
    <x v="1"/>
    <s v="ES-14080"/>
    <s v="Erin Smith"/>
    <s v="Arizona"/>
    <x v="0"/>
    <s v="Binders"/>
    <s v="Cardinal Slant-D Ring Binder, Heavy Gauge Vinyl"/>
    <n v="5.2140000000000004"/>
    <n v="2"/>
  </r>
  <r>
    <x v="599"/>
    <d v="2015-12-29T00:00:00"/>
    <n v="6"/>
    <x v="1"/>
    <s v="SA-20830"/>
    <s v="Sue Ann Reed"/>
    <s v="Oregon"/>
    <x v="0"/>
    <s v="Binders"/>
    <s v="Avery 3 1/2&quot; Diskette Storage Pages, 10/Pack"/>
    <n v="31.32"/>
    <n v="10"/>
  </r>
  <r>
    <x v="599"/>
    <d v="2015-12-29T00:00:00"/>
    <n v="6"/>
    <x v="1"/>
    <s v="SA-20830"/>
    <s v="Sue Ann Reed"/>
    <s v="Oregon"/>
    <x v="1"/>
    <s v="Furnishings"/>
    <s v="3M Hangers With Command Adhesive"/>
    <n v="11.840000000000002"/>
    <n v="4"/>
  </r>
  <r>
    <x v="599"/>
    <d v="2015-12-29T00:00:00"/>
    <n v="6"/>
    <x v="1"/>
    <s v="SA-20830"/>
    <s v="Sue Ann Reed"/>
    <s v="Oregon"/>
    <x v="1"/>
    <s v="Furnishings"/>
    <s v="Seth Thomas 14&quot; Day/Date Wall Clock"/>
    <n v="22.784000000000002"/>
    <n v="1"/>
  </r>
  <r>
    <x v="599"/>
    <d v="2015-12-25T00:00:00"/>
    <n v="2"/>
    <x v="0"/>
    <s v="ED-13885"/>
    <s v="Emily Ducich"/>
    <s v="Washington"/>
    <x v="0"/>
    <s v="Binders"/>
    <s v="Wilson Jones International Size A4 Ring Binders"/>
    <n v="55.360000000000007"/>
    <n v="4"/>
  </r>
  <r>
    <x v="599"/>
    <d v="2015-12-25T00:00:00"/>
    <n v="2"/>
    <x v="0"/>
    <s v="ED-13885"/>
    <s v="Emily Ducich"/>
    <s v="Washington"/>
    <x v="2"/>
    <s v="Machines"/>
    <s v="Texas Instrument TI-15 Fraction Calculator"/>
    <n v="11.56"/>
    <n v="1"/>
  </r>
  <r>
    <x v="599"/>
    <d v="2015-12-29T00:00:00"/>
    <n v="6"/>
    <x v="1"/>
    <s v="DN-13690"/>
    <s v="Duane Noonan"/>
    <s v="California"/>
    <x v="1"/>
    <s v="Furnishings"/>
    <s v="Deflect-o DuraMat Antistatic Studded Beveled Mat for Medium Pile Carpeting"/>
    <n v="842.72"/>
    <n v="8"/>
  </r>
  <r>
    <x v="599"/>
    <d v="2015-12-29T00:00:00"/>
    <n v="6"/>
    <x v="1"/>
    <s v="DN-13690"/>
    <s v="Duane Noonan"/>
    <s v="California"/>
    <x v="1"/>
    <s v="Furnishings"/>
    <s v="Magnifier Swing Arm Lamp"/>
    <n v="41.96"/>
    <n v="2"/>
  </r>
  <r>
    <x v="600"/>
    <d v="2015-12-31T00:00:00"/>
    <n v="7"/>
    <x v="1"/>
    <s v="EH-13765"/>
    <s v="Edward Hooks"/>
    <s v="Washington"/>
    <x v="0"/>
    <s v="Art"/>
    <s v="Newell 317"/>
    <n v="8.82"/>
    <n v="3"/>
  </r>
  <r>
    <x v="600"/>
    <d v="2015-12-31T00:00:00"/>
    <n v="7"/>
    <x v="1"/>
    <s v="EH-13765"/>
    <s v="Edward Hooks"/>
    <s v="Washington"/>
    <x v="0"/>
    <s v="Paper"/>
    <s v="Computer Printout Paper with Letter-Trim Perforations"/>
    <n v="37.94"/>
    <n v="2"/>
  </r>
  <r>
    <x v="600"/>
    <d v="2015-12-31T00:00:00"/>
    <n v="7"/>
    <x v="1"/>
    <s v="EH-13765"/>
    <s v="Edward Hooks"/>
    <s v="Washington"/>
    <x v="0"/>
    <s v="Art"/>
    <s v="Sanford EarthWrite Recycled Pencils, Medium Soft, #2"/>
    <n v="4.2"/>
    <n v="2"/>
  </r>
  <r>
    <x v="600"/>
    <d v="2015-12-31T00:00:00"/>
    <n v="7"/>
    <x v="1"/>
    <s v="EH-13765"/>
    <s v="Edward Hooks"/>
    <s v="Washington"/>
    <x v="0"/>
    <s v="Storage"/>
    <s v="SAFCO Boltless Steel Shelving"/>
    <n v="227.28"/>
    <n v="2"/>
  </r>
  <r>
    <x v="600"/>
    <d v="2015-12-31T00:00:00"/>
    <n v="7"/>
    <x v="1"/>
    <s v="EH-13765"/>
    <s v="Edward Hooks"/>
    <s v="Washington"/>
    <x v="0"/>
    <s v="Paper"/>
    <s v="Xerox 1911"/>
    <n v="47.9"/>
    <n v="1"/>
  </r>
  <r>
    <x v="600"/>
    <d v="2015-12-31T00:00:00"/>
    <n v="7"/>
    <x v="1"/>
    <s v="EH-13765"/>
    <s v="Edward Hooks"/>
    <s v="Washington"/>
    <x v="0"/>
    <s v="Envelopes"/>
    <s v="Staple envelope"/>
    <n v="61.96"/>
    <n v="2"/>
  </r>
  <r>
    <x v="600"/>
    <d v="2015-12-31T00:00:00"/>
    <n v="7"/>
    <x v="1"/>
    <s v="EH-13765"/>
    <s v="Edward Hooks"/>
    <s v="Washington"/>
    <x v="0"/>
    <s v="Storage"/>
    <s v="Tennsco Snap-Together Open Shelving Units, Starter Sets and Add-On Units"/>
    <n v="1117.92"/>
    <n v="4"/>
  </r>
  <r>
    <x v="601"/>
    <d v="2015-12-26T00:00:00"/>
    <n v="1"/>
    <x v="2"/>
    <s v="BV-11245"/>
    <s v="Benjamin Venier"/>
    <s v="Washington"/>
    <x v="0"/>
    <s v="Paper"/>
    <s v="Xerox 1898"/>
    <n v="33.4"/>
    <n v="5"/>
  </r>
  <r>
    <x v="601"/>
    <d v="2015-12-31T00:00:00"/>
    <n v="6"/>
    <x v="1"/>
    <s v="SC-20305"/>
    <s v="Sean Christensen"/>
    <s v="California"/>
    <x v="1"/>
    <s v="Furnishings"/>
    <s v="Eldon 200 Class Desk Accessories, Smoke"/>
    <n v="43.96"/>
    <n v="7"/>
  </r>
  <r>
    <x v="601"/>
    <d v="2015-12-31T00:00:00"/>
    <n v="6"/>
    <x v="1"/>
    <s v="SC-20305"/>
    <s v="Sean Christensen"/>
    <s v="California"/>
    <x v="0"/>
    <s v="Envelopes"/>
    <s v="Staple envelope"/>
    <n v="39.76"/>
    <n v="7"/>
  </r>
  <r>
    <x v="602"/>
    <d v="2015-12-29T00:00:00"/>
    <n v="3"/>
    <x v="2"/>
    <s v="GK-14620"/>
    <s v="Grace Kelly"/>
    <s v="California"/>
    <x v="2"/>
    <s v="Phones"/>
    <s v="Samsung Galaxy Note 2"/>
    <n v="2575.944"/>
    <n v="7"/>
  </r>
  <r>
    <x v="602"/>
    <d v="2015-12-29T00:00:00"/>
    <n v="3"/>
    <x v="2"/>
    <s v="GK-14620"/>
    <s v="Grace Kelly"/>
    <s v="California"/>
    <x v="0"/>
    <s v="Paper"/>
    <s v="Xerox 225"/>
    <n v="45.36"/>
    <n v="7"/>
  </r>
  <r>
    <x v="602"/>
    <d v="2015-12-29T00:00:00"/>
    <n v="3"/>
    <x v="2"/>
    <s v="GK-14620"/>
    <s v="Grace Kelly"/>
    <s v="California"/>
    <x v="2"/>
    <s v="Accessories"/>
    <s v="SanDisk Cruzer 64 GB USB Flash Drive"/>
    <n v="254.24"/>
    <n v="7"/>
  </r>
  <r>
    <x v="602"/>
    <d v="2015-12-31T00:00:00"/>
    <n v="5"/>
    <x v="1"/>
    <s v="JE-15715"/>
    <s v="Joe Elijah"/>
    <s v="Washington"/>
    <x v="1"/>
    <s v="Chairs"/>
    <s v="Global Executive Mid-Back Manager's Chair"/>
    <n v="698.35200000000009"/>
    <n v="3"/>
  </r>
  <r>
    <x v="602"/>
    <d v="2015-12-31T00:00:00"/>
    <n v="5"/>
    <x v="1"/>
    <s v="JE-15715"/>
    <s v="Joe Elijah"/>
    <s v="Washington"/>
    <x v="1"/>
    <s v="Tables"/>
    <s v="SAFCO PlanMaster Heigh-Adjustable Drafting Table Base, 43w x 30d x 30-37h, Black"/>
    <n v="1747.25"/>
    <n v="5"/>
  </r>
  <r>
    <x v="602"/>
    <d v="2016-01-02T00:00:00"/>
    <n v="7"/>
    <x v="1"/>
    <s v="LW-16825"/>
    <s v="Laurel Workman"/>
    <s v="Arizona"/>
    <x v="1"/>
    <s v="Tables"/>
    <s v="KI Conference Tables"/>
    <n v="35.445"/>
    <n v="1"/>
  </r>
  <r>
    <x v="602"/>
    <d v="2016-01-02T00:00:00"/>
    <n v="7"/>
    <x v="1"/>
    <s v="LW-16825"/>
    <s v="Laurel Workman"/>
    <s v="Arizona"/>
    <x v="2"/>
    <s v="Machines"/>
    <s v="Panasonic KX MC6040 Color Laser Multifunction Printer"/>
    <n v="269.97000000000003"/>
    <n v="2"/>
  </r>
  <r>
    <x v="602"/>
    <d v="2016-01-02T00:00:00"/>
    <n v="7"/>
    <x v="1"/>
    <s v="LW-16825"/>
    <s v="Laurel Workman"/>
    <s v="Arizona"/>
    <x v="2"/>
    <s v="Accessories"/>
    <s v="Imation Clip USB flash drive - 8 GB"/>
    <n v="45.120000000000005"/>
    <n v="3"/>
  </r>
  <r>
    <x v="602"/>
    <d v="2016-01-02T00:00:00"/>
    <n v="7"/>
    <x v="1"/>
    <s v="LW-16825"/>
    <s v="Laurel Workman"/>
    <s v="Arizona"/>
    <x v="2"/>
    <s v="Accessories"/>
    <s v="Hypercom P1300 Pinpad"/>
    <n v="100.80000000000001"/>
    <n v="2"/>
  </r>
  <r>
    <x v="602"/>
    <d v="2016-01-02T00:00:00"/>
    <n v="7"/>
    <x v="1"/>
    <s v="LW-16825"/>
    <s v="Laurel Workman"/>
    <s v="Arizona"/>
    <x v="1"/>
    <s v="Chairs"/>
    <s v="Global Stack Chair with Arms, Black"/>
    <n v="47.968000000000004"/>
    <n v="2"/>
  </r>
  <r>
    <x v="603"/>
    <d v="2015-12-31T00:00:00"/>
    <n v="4"/>
    <x v="1"/>
    <s v="FP-14320"/>
    <s v="Frank Preis"/>
    <s v="Washington"/>
    <x v="0"/>
    <s v="Paper"/>
    <s v="Strathmore Photo Mount Cards"/>
    <n v="33.9"/>
    <n v="5"/>
  </r>
  <r>
    <x v="603"/>
    <d v="2016-01-03T00:00:00"/>
    <n v="7"/>
    <x v="1"/>
    <s v="SH-19975"/>
    <s v="Sally Hughsby"/>
    <s v="Colorado"/>
    <x v="0"/>
    <s v="Appliances"/>
    <s v="Harmony HEPA Quiet Air Purifiers"/>
    <n v="18.72"/>
    <n v="2"/>
  </r>
  <r>
    <x v="603"/>
    <d v="2015-12-28T00:00:00"/>
    <n v="1"/>
    <x v="2"/>
    <s v="RC-19825"/>
    <s v="Roy Collins"/>
    <s v="Colorado"/>
    <x v="0"/>
    <s v="Art"/>
    <s v="SANFORD Major Accent Highlighters"/>
    <n v="11.328000000000001"/>
    <n v="2"/>
  </r>
  <r>
    <x v="603"/>
    <d v="2016-01-01T00:00:00"/>
    <n v="5"/>
    <x v="1"/>
    <s v="MC-18130"/>
    <s v="Mike Caudle"/>
    <s v="California"/>
    <x v="0"/>
    <s v="Supplies"/>
    <s v="Fiskars Home &amp; Office Scissors"/>
    <n v="17.760000000000002"/>
    <n v="2"/>
  </r>
  <r>
    <x v="603"/>
    <d v="2016-01-01T00:00:00"/>
    <n v="5"/>
    <x v="1"/>
    <s v="MC-18130"/>
    <s v="Mike Caudle"/>
    <s v="California"/>
    <x v="2"/>
    <s v="Phones"/>
    <s v="Mitel 5320 IP Phone VoIP phone"/>
    <n v="302.38400000000001"/>
    <n v="2"/>
  </r>
  <r>
    <x v="603"/>
    <d v="2016-01-01T00:00:00"/>
    <n v="5"/>
    <x v="1"/>
    <s v="MC-18130"/>
    <s v="Mike Caudle"/>
    <s v="California"/>
    <x v="1"/>
    <s v="Chairs"/>
    <s v="Global Armless Task Chair, Royal Blue"/>
    <n v="146.352"/>
    <n v="3"/>
  </r>
  <r>
    <x v="603"/>
    <d v="2016-01-01T00:00:00"/>
    <n v="5"/>
    <x v="1"/>
    <s v="MC-18130"/>
    <s v="Mike Caudle"/>
    <s v="California"/>
    <x v="0"/>
    <s v="Appliances"/>
    <s v="Hoover Replacement Belts For Soft Guard &amp; Commercial Ltweight Upright Vacs, 2/Pk"/>
    <n v="7.9"/>
    <n v="2"/>
  </r>
  <r>
    <x v="603"/>
    <d v="2016-01-01T00:00:00"/>
    <n v="5"/>
    <x v="1"/>
    <s v="MC-18130"/>
    <s v="Mike Caudle"/>
    <s v="California"/>
    <x v="1"/>
    <s v="Tables"/>
    <s v="Bretford Rectangular Conference Table Tops"/>
    <n v="902.71199999999999"/>
    <n v="3"/>
  </r>
  <r>
    <x v="603"/>
    <d v="2016-01-01T00:00:00"/>
    <n v="5"/>
    <x v="1"/>
    <s v="MC-18130"/>
    <s v="Mike Caudle"/>
    <s v="California"/>
    <x v="0"/>
    <s v="Art"/>
    <s v="Model L Table or Wall-Mount Pencil Sharpener"/>
    <n v="53.97"/>
    <n v="3"/>
  </r>
  <r>
    <x v="604"/>
    <d v="2016-01-01T00:00:00"/>
    <n v="4"/>
    <x v="1"/>
    <s v="EM-14140"/>
    <s v="Eugene Moren"/>
    <s v="California"/>
    <x v="0"/>
    <s v="Labels"/>
    <s v="Avery File Folder Labels"/>
    <n v="20.16"/>
    <n v="7"/>
  </r>
  <r>
    <x v="605"/>
    <d v="2016-01-03T00:00:00"/>
    <n v="4"/>
    <x v="1"/>
    <s v="PF-19225"/>
    <s v="Phillip Flathmann"/>
    <s v="California"/>
    <x v="0"/>
    <s v="Binders"/>
    <s v="Acco Translucent Poly Ring Binders"/>
    <n v="11.231999999999999"/>
    <n v="3"/>
  </r>
  <r>
    <x v="605"/>
    <d v="2016-01-01T00:00:00"/>
    <n v="2"/>
    <x v="0"/>
    <s v="KL-16645"/>
    <s v="Ken Lonsdale"/>
    <s v="Oregon"/>
    <x v="0"/>
    <s v="Envelopes"/>
    <s v="Peel &amp; Seel Recycled Catalog Envelopes, Brown"/>
    <n v="27.792000000000002"/>
    <n v="3"/>
  </r>
  <r>
    <x v="605"/>
    <d v="2016-01-03T00:00:00"/>
    <n v="4"/>
    <x v="1"/>
    <s v="FO-14305"/>
    <s v="Frank Olsen"/>
    <s v="California"/>
    <x v="0"/>
    <s v="Storage"/>
    <s v="Project Tote Personal File"/>
    <n v="14.03"/>
    <n v="1"/>
  </r>
  <r>
    <x v="605"/>
    <d v="2016-01-03T00:00:00"/>
    <n v="4"/>
    <x v="1"/>
    <s v="FO-14305"/>
    <s v="Frank Olsen"/>
    <s v="California"/>
    <x v="0"/>
    <s v="Supplies"/>
    <s v="Fiskars Spring-Action Scissors"/>
    <n v="27.96"/>
    <n v="2"/>
  </r>
  <r>
    <x v="606"/>
    <d v="2015-12-31T00:00:00"/>
    <n v="0"/>
    <x v="3"/>
    <s v="JP-16135"/>
    <s v="Julie Prescott"/>
    <s v="California"/>
    <x v="0"/>
    <s v="Storage"/>
    <s v="Iceberg Mobile Mega Data/Printer Cart "/>
    <n v="481.32"/>
    <n v="4"/>
  </r>
  <r>
    <x v="606"/>
    <d v="2015-12-31T00:00:00"/>
    <n v="0"/>
    <x v="3"/>
    <s v="JP-16135"/>
    <s v="Julie Prescott"/>
    <s v="California"/>
    <x v="0"/>
    <s v="Binders"/>
    <s v="Cardinal Hold-It CD Pocket"/>
    <n v="6.3840000000000003"/>
    <n v="1"/>
  </r>
  <r>
    <x v="607"/>
    <d v="2016-01-07T00:00:00"/>
    <n v="6"/>
    <x v="1"/>
    <s v="KL-16555"/>
    <s v="Kelly Lampkin"/>
    <s v="Nevada"/>
    <x v="0"/>
    <s v="Art"/>
    <s v="Crayola Anti Dust Chalk, 12/Pack"/>
    <n v="3.64"/>
    <n v="2"/>
  </r>
  <r>
    <x v="607"/>
    <d v="2016-01-07T00:00:00"/>
    <n v="6"/>
    <x v="1"/>
    <s v="KL-16555"/>
    <s v="Kelly Lampkin"/>
    <s v="Nevada"/>
    <x v="0"/>
    <s v="Binders"/>
    <s v="Lock-Up Easel 'Spel-Binder'"/>
    <n v="159.768"/>
    <n v="7"/>
  </r>
  <r>
    <x v="607"/>
    <d v="2016-01-06T00:00:00"/>
    <n v="5"/>
    <x v="1"/>
    <s v="BD-11620"/>
    <s v="Brian DeCherney"/>
    <s v="California"/>
    <x v="2"/>
    <s v="Phones"/>
    <s v="Adtran 1202752G1"/>
    <n v="302.37599999999998"/>
    <n v="3"/>
  </r>
  <r>
    <x v="607"/>
    <d v="2016-01-07T00:00:00"/>
    <n v="6"/>
    <x v="1"/>
    <s v="BP-11155"/>
    <s v="Becky Pak"/>
    <s v="California"/>
    <x v="0"/>
    <s v="Binders"/>
    <s v="GBC Pre-Punched Binding Paper, Plastic, White, 8-1/2&quot; x 11&quot;"/>
    <n v="38.376000000000005"/>
    <n v="3"/>
  </r>
  <r>
    <x v="608"/>
    <d v="2016-01-06T00:00:00"/>
    <n v="4"/>
    <x v="1"/>
    <s v="SC-20725"/>
    <s v="Steven Cartwright"/>
    <s v="California"/>
    <x v="1"/>
    <s v="Furnishings"/>
    <s v="Howard Miller 11-1/2&quot; Diameter Brentwood Wall Clock"/>
    <n v="474.43"/>
    <n v="11"/>
  </r>
  <r>
    <x v="609"/>
    <d v="2016-01-05T00:00:00"/>
    <n v="2"/>
    <x v="0"/>
    <s v="FW-14395"/>
    <s v="Fred Wasserman"/>
    <s v="California"/>
    <x v="2"/>
    <s v="Accessories"/>
    <s v="Kensington K72356US Mouse-in-a-Box USB Desktop Mouse"/>
    <n v="16.59"/>
    <n v="1"/>
  </r>
  <r>
    <x v="610"/>
    <d v="2016-01-09T00:00:00"/>
    <n v="5"/>
    <x v="1"/>
    <s v="DL-13315"/>
    <s v="Delfina Latchford"/>
    <s v="California"/>
    <x v="0"/>
    <s v="Paper"/>
    <s v="Xerox 1905"/>
    <n v="38.880000000000003"/>
    <n v="6"/>
  </r>
  <r>
    <x v="610"/>
    <d v="2016-01-08T00:00:00"/>
    <n v="4"/>
    <x v="1"/>
    <s v="CM-12385"/>
    <s v="Christopher Martinez"/>
    <s v="California"/>
    <x v="0"/>
    <s v="Binders"/>
    <s v="GBC ProClick 150 Presentation Binding System"/>
    <n v="2022.2720000000002"/>
    <n v="8"/>
  </r>
  <r>
    <x v="610"/>
    <d v="2016-01-08T00:00:00"/>
    <n v="4"/>
    <x v="1"/>
    <s v="CM-12385"/>
    <s v="Christopher Martinez"/>
    <s v="California"/>
    <x v="0"/>
    <s v="Art"/>
    <s v="Manco Dry-Lighter Erasable Highlighter"/>
    <n v="9.120000000000001"/>
    <n v="3"/>
  </r>
  <r>
    <x v="611"/>
    <d v="2016-01-10T00:00:00"/>
    <n v="2"/>
    <x v="0"/>
    <s v="JF-15190"/>
    <s v="Jamie Frazer"/>
    <s v="California"/>
    <x v="0"/>
    <s v="Storage"/>
    <s v="Eldon Fold 'N Roll Cart System"/>
    <n v="153.78"/>
    <n v="11"/>
  </r>
  <r>
    <x v="611"/>
    <d v="2016-01-10T00:00:00"/>
    <n v="2"/>
    <x v="0"/>
    <s v="JF-15190"/>
    <s v="Jamie Frazer"/>
    <s v="California"/>
    <x v="0"/>
    <s v="Storage"/>
    <s v="Tennsco Commercial Shelving"/>
    <n v="61.019999999999996"/>
    <n v="3"/>
  </r>
  <r>
    <x v="611"/>
    <d v="2016-01-10T00:00:00"/>
    <n v="2"/>
    <x v="0"/>
    <s v="JF-15190"/>
    <s v="Jamie Frazer"/>
    <s v="California"/>
    <x v="0"/>
    <s v="Supplies"/>
    <s v="Acme Galleria Hot Forged Steel Scissors with Colored Handles"/>
    <n v="110.11"/>
    <n v="7"/>
  </r>
  <r>
    <x v="611"/>
    <d v="2016-01-10T00:00:00"/>
    <n v="2"/>
    <x v="0"/>
    <s v="JF-15190"/>
    <s v="Jamie Frazer"/>
    <s v="California"/>
    <x v="0"/>
    <s v="Fasteners"/>
    <s v="Staples"/>
    <n v="7.89"/>
    <n v="1"/>
  </r>
  <r>
    <x v="612"/>
    <d v="2016-01-12T00:00:00"/>
    <n v="3"/>
    <x v="2"/>
    <s v="RS-19420"/>
    <s v="Ricardo Sperren"/>
    <s v="Washington"/>
    <x v="1"/>
    <s v="Tables"/>
    <s v="Balt Solid Wood Round Tables"/>
    <n v="892.98"/>
    <n v="2"/>
  </r>
  <r>
    <x v="613"/>
    <d v="2016-01-17T00:00:00"/>
    <n v="4"/>
    <x v="1"/>
    <s v="LS-16945"/>
    <s v="Linda Southworth"/>
    <s v="California"/>
    <x v="0"/>
    <s v="Envelopes"/>
    <s v="Staple envelope"/>
    <n v="9.7799999999999994"/>
    <n v="1"/>
  </r>
  <r>
    <x v="614"/>
    <d v="2016-01-17T00:00:00"/>
    <n v="2"/>
    <x v="2"/>
    <s v="TP-21565"/>
    <s v="Tracy Poddar"/>
    <s v="Colorado"/>
    <x v="2"/>
    <s v="Accessories"/>
    <s v="Imation 8GB Mini TravelDrive USB 2.0 Flash Drive"/>
    <n v="169.06400000000002"/>
    <n v="7"/>
  </r>
  <r>
    <x v="614"/>
    <d v="2016-01-17T00:00:00"/>
    <n v="2"/>
    <x v="2"/>
    <s v="TP-21565"/>
    <s v="Tracy Poddar"/>
    <s v="Colorado"/>
    <x v="0"/>
    <s v="Storage"/>
    <s v="Mobile Personal File Cube"/>
    <n v="168.624"/>
    <n v="9"/>
  </r>
  <r>
    <x v="614"/>
    <d v="2016-01-20T00:00:00"/>
    <n v="5"/>
    <x v="1"/>
    <s v="SO-20335"/>
    <s v="Sean O'Donnell"/>
    <s v="California"/>
    <x v="0"/>
    <s v="Paper"/>
    <s v="Xerox 19"/>
    <n v="154.9"/>
    <n v="5"/>
  </r>
  <r>
    <x v="615"/>
    <d v="2016-01-20T00:00:00"/>
    <n v="4"/>
    <x v="1"/>
    <s v="TT-21460"/>
    <s v="Tonja Turnell"/>
    <s v="California"/>
    <x v="0"/>
    <s v="Art"/>
    <s v="Newell 347"/>
    <n v="21.400000000000002"/>
    <n v="5"/>
  </r>
  <r>
    <x v="616"/>
    <d v="2016-01-17T00:00:00"/>
    <n v="0"/>
    <x v="3"/>
    <s v="JO-15145"/>
    <s v="Jack O'Briant"/>
    <s v="California"/>
    <x v="1"/>
    <s v="Furnishings"/>
    <s v="Eldon Expressions Wood and Plastic Desk Accessories, Cherry Wood"/>
    <n v="27.92"/>
    <n v="4"/>
  </r>
  <r>
    <x v="616"/>
    <d v="2016-01-17T00:00:00"/>
    <n v="0"/>
    <x v="3"/>
    <s v="JO-15145"/>
    <s v="Jack O'Briant"/>
    <s v="California"/>
    <x v="1"/>
    <s v="Tables"/>
    <s v="Lesro Sheffield Collection Coffee Table, End Table, Center Table, Corner Table"/>
    <n v="399.67200000000003"/>
    <n v="7"/>
  </r>
  <r>
    <x v="617"/>
    <d v="2016-01-27T00:00:00"/>
    <n v="6"/>
    <x v="1"/>
    <s v="TH-21100"/>
    <s v="Thea Hendricks"/>
    <s v="California"/>
    <x v="2"/>
    <s v="Phones"/>
    <s v="RCA Visys Integrated PBX 8-Line Router"/>
    <n v="160.77600000000001"/>
    <n v="3"/>
  </r>
  <r>
    <x v="617"/>
    <d v="2016-01-26T00:00:00"/>
    <n v="5"/>
    <x v="1"/>
    <s v="TM-21010"/>
    <s v="Tamara Manning"/>
    <s v="California"/>
    <x v="0"/>
    <s v="Art"/>
    <s v="Staples in misc. colors"/>
    <n v="24.2"/>
    <n v="5"/>
  </r>
  <r>
    <x v="617"/>
    <d v="2016-01-26T00:00:00"/>
    <n v="5"/>
    <x v="1"/>
    <s v="TM-21010"/>
    <s v="Tamara Manning"/>
    <s v="California"/>
    <x v="2"/>
    <s v="Phones"/>
    <s v="Panasonic KX-TG9541B DECT 6.0 Digital 2-Line Expandable Cordless Phone With Digital Answering System"/>
    <n v="359.97600000000006"/>
    <n v="3"/>
  </r>
  <r>
    <x v="618"/>
    <d v="2016-01-26T00:00:00"/>
    <n v="4"/>
    <x v="1"/>
    <s v="DS-13030"/>
    <s v="Darrin Sayre"/>
    <s v="Washington"/>
    <x v="0"/>
    <s v="Storage"/>
    <s v="Carina Double Wide Media Storage Towers in Natural &amp; Black"/>
    <n v="242.94"/>
    <n v="3"/>
  </r>
  <r>
    <x v="618"/>
    <d v="2016-01-26T00:00:00"/>
    <n v="4"/>
    <x v="1"/>
    <s v="DS-13030"/>
    <s v="Darrin Sayre"/>
    <s v="Washington"/>
    <x v="2"/>
    <s v="Accessories"/>
    <s v="Logitech Illuminated - Keyboard"/>
    <n v="179.97"/>
    <n v="3"/>
  </r>
  <r>
    <x v="618"/>
    <d v="2016-01-26T00:00:00"/>
    <n v="4"/>
    <x v="1"/>
    <s v="DS-13030"/>
    <s v="Darrin Sayre"/>
    <s v="Washington"/>
    <x v="0"/>
    <s v="Binders"/>
    <s v="Wilson Jones Century Plastic Molded Ring Binders"/>
    <n v="99.695999999999998"/>
    <n v="6"/>
  </r>
  <r>
    <x v="618"/>
    <d v="2016-01-26T00:00:00"/>
    <n v="4"/>
    <x v="1"/>
    <s v="DS-13030"/>
    <s v="Darrin Sayre"/>
    <s v="Washington"/>
    <x v="0"/>
    <s v="Binders"/>
    <s v="Wilson Jones Leather-Like Binders with DublLock Round Rings"/>
    <n v="27.936000000000003"/>
    <n v="4"/>
  </r>
  <r>
    <x v="618"/>
    <d v="2016-01-26T00:00:00"/>
    <n v="4"/>
    <x v="1"/>
    <s v="DS-13030"/>
    <s v="Darrin Sayre"/>
    <s v="Washington"/>
    <x v="1"/>
    <s v="Bookcases"/>
    <s v="O'Sullivan Cherrywood Estates Traditional Bookcase"/>
    <n v="84.98"/>
    <n v="1"/>
  </r>
  <r>
    <x v="618"/>
    <d v="2016-01-26T00:00:00"/>
    <n v="4"/>
    <x v="1"/>
    <s v="DS-13030"/>
    <s v="Darrin Sayre"/>
    <s v="Washington"/>
    <x v="0"/>
    <s v="Binders"/>
    <s v="Acco Translucent Poly Ring Binders"/>
    <n v="18.72"/>
    <n v="5"/>
  </r>
  <r>
    <x v="619"/>
    <d v="2016-01-28T00:00:00"/>
    <n v="5"/>
    <x v="1"/>
    <s v="AD-10180"/>
    <s v="Alan Dominguez"/>
    <s v="Montana"/>
    <x v="2"/>
    <s v="Copiers"/>
    <s v="Canon Image Class D660 Copier"/>
    <n v="2999.95"/>
    <n v="5"/>
  </r>
  <r>
    <x v="619"/>
    <d v="2016-01-28T00:00:00"/>
    <n v="5"/>
    <x v="1"/>
    <s v="AD-10180"/>
    <s v="Alan Dominguez"/>
    <s v="Montana"/>
    <x v="0"/>
    <s v="Storage"/>
    <s v="Advantus Rolling Storage Box"/>
    <n v="51.449999999999996"/>
    <n v="3"/>
  </r>
  <r>
    <x v="619"/>
    <d v="2016-01-28T00:00:00"/>
    <n v="5"/>
    <x v="1"/>
    <s v="AD-10180"/>
    <s v="Alan Dominguez"/>
    <s v="Montana"/>
    <x v="0"/>
    <s v="Paper"/>
    <s v="Great White Multi-Use Recycled Paper (20Lb. and 84 Bright)"/>
    <n v="11.96"/>
    <n v="2"/>
  </r>
  <r>
    <x v="619"/>
    <d v="2016-01-28T00:00:00"/>
    <n v="5"/>
    <x v="1"/>
    <s v="AD-10180"/>
    <s v="Alan Dominguez"/>
    <s v="Montana"/>
    <x v="0"/>
    <s v="Storage"/>
    <s v="Tennsco Single-Tier Lockers"/>
    <n v="1126.02"/>
    <n v="3"/>
  </r>
  <r>
    <x v="620"/>
    <d v="2016-01-29T00:00:00"/>
    <n v="5"/>
    <x v="1"/>
    <s v="CS-12250"/>
    <s v="Chris Selesnick"/>
    <s v="Washington"/>
    <x v="0"/>
    <s v="Binders"/>
    <s v="Pressboard Hanging Data Binders for Unburst Sheets"/>
    <n v="19.68"/>
    <n v="5"/>
  </r>
  <r>
    <x v="620"/>
    <d v="2016-01-29T00:00:00"/>
    <n v="5"/>
    <x v="1"/>
    <s v="CS-12250"/>
    <s v="Chris Selesnick"/>
    <s v="Washington"/>
    <x v="0"/>
    <s v="Paper"/>
    <s v="Xerox 212"/>
    <n v="25.92"/>
    <n v="4"/>
  </r>
  <r>
    <x v="620"/>
    <d v="2016-01-29T00:00:00"/>
    <n v="5"/>
    <x v="1"/>
    <s v="CS-12250"/>
    <s v="Chris Selesnick"/>
    <s v="Washington"/>
    <x v="0"/>
    <s v="Paper"/>
    <s v="Xerox 192"/>
    <n v="6.48"/>
    <n v="1"/>
  </r>
  <r>
    <x v="620"/>
    <d v="2016-01-29T00:00:00"/>
    <n v="5"/>
    <x v="1"/>
    <s v="CS-12250"/>
    <s v="Chris Selesnick"/>
    <s v="Washington"/>
    <x v="2"/>
    <s v="Phones"/>
    <s v="Griffin GC17055 Auxiliary Audio Cable"/>
    <n v="86.352000000000004"/>
    <n v="6"/>
  </r>
  <r>
    <x v="620"/>
    <d v="2016-01-28T00:00:00"/>
    <n v="4"/>
    <x v="1"/>
    <s v="HP-14815"/>
    <s v="Harold Pawlan"/>
    <s v="Arizona"/>
    <x v="2"/>
    <s v="Accessories"/>
    <s v="Logitech Wireless Anywhere Mouse MX for PC and Mac"/>
    <n v="95.984000000000009"/>
    <n v="2"/>
  </r>
  <r>
    <x v="620"/>
    <d v="2016-01-28T00:00:00"/>
    <n v="4"/>
    <x v="1"/>
    <s v="HP-14815"/>
    <s v="Harold Pawlan"/>
    <s v="Arizona"/>
    <x v="0"/>
    <s v="Binders"/>
    <s v="Wilson Jones data.warehouse D-Ring Binders with DublLock"/>
    <n v="4.9380000000000006"/>
    <n v="2"/>
  </r>
  <r>
    <x v="621"/>
    <d v="2016-01-30T00:00:00"/>
    <n v="5"/>
    <x v="1"/>
    <s v="KD-16495"/>
    <s v="Keith Dawkins"/>
    <s v="California"/>
    <x v="0"/>
    <s v="Appliances"/>
    <s v="Acco Six-Outlet Power Strip, 4' Cord Length"/>
    <n v="25.86"/>
    <n v="3"/>
  </r>
  <r>
    <x v="621"/>
    <d v="2016-01-30T00:00:00"/>
    <n v="5"/>
    <x v="1"/>
    <s v="KD-16495"/>
    <s v="Keith Dawkins"/>
    <s v="California"/>
    <x v="0"/>
    <s v="Binders"/>
    <s v="Ibico EB-19 Dual Function Manual Binding System"/>
    <n v="276.78400000000005"/>
    <n v="2"/>
  </r>
  <r>
    <x v="621"/>
    <d v="2016-01-30T00:00:00"/>
    <n v="5"/>
    <x v="1"/>
    <s v="KD-16495"/>
    <s v="Keith Dawkins"/>
    <s v="California"/>
    <x v="2"/>
    <s v="Phones"/>
    <s v="Jensen SMPS-640 - speaker phone"/>
    <n v="110.352"/>
    <n v="3"/>
  </r>
  <r>
    <x v="622"/>
    <d v="2016-01-31T00:00:00"/>
    <n v="4"/>
    <x v="1"/>
    <s v="CJ-12010"/>
    <s v="Caroline Jumper"/>
    <s v="California"/>
    <x v="0"/>
    <s v="Fasteners"/>
    <s v="Binder Clips by OIC"/>
    <n v="11.84"/>
    <n v="8"/>
  </r>
  <r>
    <x v="623"/>
    <d v="2016-02-01T00:00:00"/>
    <n v="3"/>
    <x v="0"/>
    <s v="BT-11305"/>
    <s v="Beth Thompson"/>
    <s v="California"/>
    <x v="2"/>
    <s v="Accessories"/>
    <s v="Logitech G13 Programmable Gameboard with LCD Display"/>
    <n v="239.96999999999997"/>
    <n v="3"/>
  </r>
  <r>
    <x v="623"/>
    <d v="2016-02-01T00:00:00"/>
    <n v="3"/>
    <x v="0"/>
    <s v="BT-11305"/>
    <s v="Beth Thompson"/>
    <s v="California"/>
    <x v="1"/>
    <s v="Furnishings"/>
    <s v="DAX Executive Solid Wood Document Frame, Desktop or Hang, Mahogany, 5 x 7"/>
    <n v="37.74"/>
    <n v="3"/>
  </r>
  <r>
    <x v="624"/>
    <d v="2016-02-03T00:00:00"/>
    <n v="4"/>
    <x v="1"/>
    <s v="VG-21790"/>
    <s v="Vivek Gonzalez"/>
    <s v="California"/>
    <x v="0"/>
    <s v="Art"/>
    <s v="Newell 339"/>
    <n v="8.34"/>
    <n v="3"/>
  </r>
  <r>
    <x v="624"/>
    <d v="2016-02-03T00:00:00"/>
    <n v="4"/>
    <x v="1"/>
    <s v="VG-21790"/>
    <s v="Vivek Gonzalez"/>
    <s v="California"/>
    <x v="0"/>
    <s v="Supplies"/>
    <s v="Acme Office Executive Series Stainless Steel Trimmers"/>
    <n v="8.57"/>
    <n v="1"/>
  </r>
  <r>
    <x v="624"/>
    <d v="2016-02-03T00:00:00"/>
    <n v="4"/>
    <x v="1"/>
    <s v="VG-21790"/>
    <s v="Vivek Gonzalez"/>
    <s v="California"/>
    <x v="0"/>
    <s v="Binders"/>
    <s v="Clear Mylar Reinforcing Strips"/>
    <n v="119.61600000000001"/>
    <n v="8"/>
  </r>
  <r>
    <x v="625"/>
    <d v="2016-01-31T00:00:00"/>
    <n v="0"/>
    <x v="3"/>
    <s v="MM-17920"/>
    <s v="Michael Moore"/>
    <s v="California"/>
    <x v="0"/>
    <s v="Storage"/>
    <s v="Space Solutions Commercial Steel Shelving"/>
    <n v="129.30000000000001"/>
    <n v="2"/>
  </r>
  <r>
    <x v="625"/>
    <d v="2016-02-07T00:00:00"/>
    <n v="7"/>
    <x v="1"/>
    <s v="EH-14125"/>
    <s v="Eugene Hildebrand"/>
    <s v="California"/>
    <x v="0"/>
    <s v="Art"/>
    <s v="Crayola Anti Dust Chalk, 12/Pack"/>
    <n v="12.74"/>
    <n v="7"/>
  </r>
  <r>
    <x v="625"/>
    <d v="2016-02-07T00:00:00"/>
    <n v="7"/>
    <x v="1"/>
    <s v="EH-14125"/>
    <s v="Eugene Hildebrand"/>
    <s v="California"/>
    <x v="0"/>
    <s v="Art"/>
    <s v="Newell 338"/>
    <n v="8.82"/>
    <n v="3"/>
  </r>
  <r>
    <x v="625"/>
    <d v="2016-02-07T00:00:00"/>
    <n v="7"/>
    <x v="1"/>
    <s v="EH-14125"/>
    <s v="Eugene Hildebrand"/>
    <s v="California"/>
    <x v="1"/>
    <s v="Chairs"/>
    <s v="Novimex Swivel Fabric Task Chair"/>
    <n v="120.78399999999999"/>
    <n v="1"/>
  </r>
  <r>
    <x v="625"/>
    <d v="2016-02-03T00:00:00"/>
    <n v="3"/>
    <x v="2"/>
    <s v="SZ-20035"/>
    <s v="Sam Zeldin"/>
    <s v="Washington"/>
    <x v="2"/>
    <s v="Phones"/>
    <s v="Mitel 5320 IP Phone VoIP phone"/>
    <n v="604.76800000000003"/>
    <n v="4"/>
  </r>
  <r>
    <x v="626"/>
    <d v="2016-02-08T00:00:00"/>
    <n v="5"/>
    <x v="1"/>
    <s v="JL-15835"/>
    <s v="John Lee"/>
    <s v="California"/>
    <x v="1"/>
    <s v="Furnishings"/>
    <s v="Howard Miller 11-1/2&quot; Diameter Grantwood Wall Clock"/>
    <n v="86.26"/>
    <n v="2"/>
  </r>
  <r>
    <x v="626"/>
    <d v="2016-02-08T00:00:00"/>
    <n v="5"/>
    <x v="1"/>
    <s v="JL-15835"/>
    <s v="John Lee"/>
    <s v="California"/>
    <x v="0"/>
    <s v="Storage"/>
    <s v="Multi-Use Personal File Cart and Caster Set, Three Stacking Bins"/>
    <n v="139.04"/>
    <n v="4"/>
  </r>
  <r>
    <x v="626"/>
    <d v="2016-02-08T00:00:00"/>
    <n v="5"/>
    <x v="1"/>
    <s v="JL-15835"/>
    <s v="John Lee"/>
    <s v="California"/>
    <x v="0"/>
    <s v="Appliances"/>
    <s v="Harmony HEPA Quiet Air Purifiers"/>
    <n v="46.8"/>
    <n v="4"/>
  </r>
  <r>
    <x v="626"/>
    <d v="2016-02-08T00:00:00"/>
    <n v="5"/>
    <x v="1"/>
    <s v="BO-11350"/>
    <s v="Bill Overfelt"/>
    <s v="California"/>
    <x v="1"/>
    <s v="Furnishings"/>
    <s v="Eldon Antistatic Chair Mats for Low to Medium Pile Carpets"/>
    <n v="210.58"/>
    <n v="2"/>
  </r>
  <r>
    <x v="626"/>
    <d v="2016-02-08T00:00:00"/>
    <n v="5"/>
    <x v="1"/>
    <s v="BO-11350"/>
    <s v="Bill Overfelt"/>
    <s v="California"/>
    <x v="0"/>
    <s v="Binders"/>
    <s v="GBC Durable Plastic Covers"/>
    <n v="30.960000000000004"/>
    <n v="2"/>
  </r>
  <r>
    <x v="626"/>
    <d v="2016-02-08T00:00:00"/>
    <n v="5"/>
    <x v="1"/>
    <s v="BO-11350"/>
    <s v="Bill Overfelt"/>
    <s v="California"/>
    <x v="2"/>
    <s v="Machines"/>
    <s v="HP Officejet Pro 8600 e-All-In-One Printer, Copier, Scanner, Fax"/>
    <n v="239.98400000000004"/>
    <n v="2"/>
  </r>
  <r>
    <x v="627"/>
    <d v="2016-02-10T00:00:00"/>
    <n v="4"/>
    <x v="1"/>
    <s v="FC-14335"/>
    <s v="Fred Chung"/>
    <s v="California"/>
    <x v="0"/>
    <s v="Appliances"/>
    <s v="Sanyo Counter Height Refrigerator with Crisper, 3.6 Cubic Foot, Stainless Steel/Black"/>
    <n v="1640.6999999999998"/>
    <n v="5"/>
  </r>
  <r>
    <x v="627"/>
    <d v="2016-02-10T00:00:00"/>
    <n v="4"/>
    <x v="1"/>
    <s v="FC-14335"/>
    <s v="Fred Chung"/>
    <s v="California"/>
    <x v="2"/>
    <s v="Phones"/>
    <s v="Geemarc AmpliPOWER60"/>
    <n v="371.2"/>
    <n v="5"/>
  </r>
  <r>
    <x v="628"/>
    <d v="2016-02-14T00:00:00"/>
    <n v="7"/>
    <x v="1"/>
    <s v="SN-20560"/>
    <s v="Skye Norling"/>
    <s v="California"/>
    <x v="0"/>
    <s v="Paper"/>
    <s v="Xerox 1947"/>
    <n v="29.900000000000002"/>
    <n v="5"/>
  </r>
  <r>
    <x v="629"/>
    <d v="2016-02-15T00:00:00"/>
    <n v="5"/>
    <x v="0"/>
    <s v="ML-17395"/>
    <s v="Marina Lichtenstein"/>
    <s v="California"/>
    <x v="1"/>
    <s v="Furnishings"/>
    <s v="Master Big Foot Doorstop, Beige"/>
    <n v="21.12"/>
    <n v="4"/>
  </r>
  <r>
    <x v="629"/>
    <d v="2016-02-14T00:00:00"/>
    <n v="4"/>
    <x v="1"/>
    <s v="SB-20170"/>
    <s v="Sarah Bern"/>
    <s v="California"/>
    <x v="0"/>
    <s v="Storage"/>
    <s v="Sensible Storage WireTech Storage Systems"/>
    <n v="354.90000000000003"/>
    <n v="5"/>
  </r>
  <r>
    <x v="630"/>
    <d v="2016-02-15T00:00:00"/>
    <n v="4"/>
    <x v="1"/>
    <s v="MP-18175"/>
    <s v="Mike Pelletier"/>
    <s v="California"/>
    <x v="1"/>
    <s v="Bookcases"/>
    <s v="Bush Andora Bookcase, Maple/Graphite Gray Finish"/>
    <n v="203.98299999999998"/>
    <n v="2"/>
  </r>
  <r>
    <x v="631"/>
    <d v="2016-02-15T00:00:00"/>
    <n v="3"/>
    <x v="0"/>
    <s v="VW-21775"/>
    <s v="Victoria Wilson"/>
    <s v="California"/>
    <x v="0"/>
    <s v="Binders"/>
    <s v="Acco Pressboard Covers with Storage Hooks, 14 7/8&quot; x 11&quot;, Dark Blue"/>
    <n v="21.335999999999999"/>
    <n v="7"/>
  </r>
  <r>
    <x v="631"/>
    <d v="2016-02-14T00:00:00"/>
    <n v="2"/>
    <x v="0"/>
    <s v="CS-11845"/>
    <s v="Cari Sayre"/>
    <s v="Washington"/>
    <x v="1"/>
    <s v="Chairs"/>
    <s v="Global Leather and Oak Executive Chair, Black"/>
    <n v="963.13600000000008"/>
    <n v="4"/>
  </r>
  <r>
    <x v="631"/>
    <d v="2016-02-14T00:00:00"/>
    <n v="2"/>
    <x v="0"/>
    <s v="CS-11845"/>
    <s v="Cari Sayre"/>
    <s v="Washington"/>
    <x v="2"/>
    <s v="Phones"/>
    <s v="Logitech B530 USB Headset - headset - Full size, Binaural"/>
    <n v="88.77600000000001"/>
    <n v="3"/>
  </r>
  <r>
    <x v="632"/>
    <d v="2016-02-20T00:00:00"/>
    <n v="6"/>
    <x v="1"/>
    <s v="FH-14350"/>
    <s v="Fred Harton"/>
    <s v="Washington"/>
    <x v="0"/>
    <s v="Art"/>
    <s v="Newell 311"/>
    <n v="6.63"/>
    <n v="3"/>
  </r>
  <r>
    <x v="632"/>
    <d v="2016-02-20T00:00:00"/>
    <n v="6"/>
    <x v="1"/>
    <s v="FH-14350"/>
    <s v="Fred Harton"/>
    <s v="Washington"/>
    <x v="2"/>
    <s v="Accessories"/>
    <s v="Razer Tiamat Over Ear 7.1 Surround Sound PC Gaming Headset"/>
    <n v="799.96"/>
    <n v="4"/>
  </r>
  <r>
    <x v="632"/>
    <d v="2016-02-20T00:00:00"/>
    <n v="6"/>
    <x v="1"/>
    <s v="FH-14350"/>
    <s v="Fred Harton"/>
    <s v="Washington"/>
    <x v="1"/>
    <s v="Furnishings"/>
    <s v="Tenex Contemporary Contur Chairmats for Low and Medium Pile Carpet, Computer, 39&quot; x 49&quot;"/>
    <n v="107.53"/>
    <n v="1"/>
  </r>
  <r>
    <x v="633"/>
    <d v="2016-02-22T00:00:00"/>
    <n v="3"/>
    <x v="0"/>
    <s v="CV-12805"/>
    <s v="Cynthia Voltz"/>
    <s v="California"/>
    <x v="2"/>
    <s v="Phones"/>
    <s v="iHome FM Clock Radio with Lightning Dock"/>
    <n v="167.976"/>
    <n v="3"/>
  </r>
  <r>
    <x v="633"/>
    <d v="2016-02-22T00:00:00"/>
    <n v="3"/>
    <x v="0"/>
    <s v="CV-12805"/>
    <s v="Cynthia Voltz"/>
    <s v="California"/>
    <x v="2"/>
    <s v="Accessories"/>
    <s v="Memorex Micro Travel Drive 32 GB"/>
    <n v="109.53"/>
    <n v="3"/>
  </r>
  <r>
    <x v="633"/>
    <d v="2016-02-22T00:00:00"/>
    <n v="3"/>
    <x v="0"/>
    <s v="CV-12805"/>
    <s v="Cynthia Voltz"/>
    <s v="California"/>
    <x v="0"/>
    <s v="Labels"/>
    <s v="Avery 493"/>
    <n v="9.82"/>
    <n v="2"/>
  </r>
  <r>
    <x v="634"/>
    <d v="2016-02-24T00:00:00"/>
    <n v="4"/>
    <x v="1"/>
    <s v="ME-17725"/>
    <s v="Max Engle"/>
    <s v="Washington"/>
    <x v="0"/>
    <s v="Fasteners"/>
    <s v="Rubber Band Ball"/>
    <n v="11.22"/>
    <n v="3"/>
  </r>
  <r>
    <x v="634"/>
    <d v="2016-02-21T00:00:00"/>
    <n v="1"/>
    <x v="2"/>
    <s v="ED-13885"/>
    <s v="Emily Ducich"/>
    <s v="California"/>
    <x v="0"/>
    <s v="Art"/>
    <s v="Newell 320"/>
    <n v="12.84"/>
    <n v="3"/>
  </r>
  <r>
    <x v="634"/>
    <d v="2016-02-21T00:00:00"/>
    <n v="1"/>
    <x v="2"/>
    <s v="ED-13885"/>
    <s v="Emily Ducich"/>
    <s v="California"/>
    <x v="1"/>
    <s v="Furnishings"/>
    <s v="Tensor Computer Mounted Lamp"/>
    <n v="44.67"/>
    <n v="3"/>
  </r>
  <r>
    <x v="635"/>
    <d v="2016-02-24T00:00:00"/>
    <n v="3"/>
    <x v="2"/>
    <s v="HW-14935"/>
    <s v="Helen Wasserman"/>
    <s v="California"/>
    <x v="1"/>
    <s v="Furnishings"/>
    <s v="Executive Impressions 14&quot; Contract Wall Clock"/>
    <n v="22.23"/>
    <n v="1"/>
  </r>
  <r>
    <x v="635"/>
    <d v="2016-02-24T00:00:00"/>
    <n v="3"/>
    <x v="2"/>
    <s v="HW-14935"/>
    <s v="Helen Wasserman"/>
    <s v="California"/>
    <x v="2"/>
    <s v="Phones"/>
    <s v="Logitech Mobile Speakerphone P710e - speaker phone"/>
    <n v="215.96799999999999"/>
    <n v="2"/>
  </r>
  <r>
    <x v="635"/>
    <d v="2016-02-26T00:00:00"/>
    <n v="5"/>
    <x v="0"/>
    <s v="BP-11095"/>
    <s v="Bart Pistole"/>
    <s v="Colorado"/>
    <x v="0"/>
    <s v="Fasteners"/>
    <s v="Staples"/>
    <n v="9.4320000000000004"/>
    <n v="3"/>
  </r>
  <r>
    <x v="635"/>
    <d v="2016-02-28T00:00:00"/>
    <n v="7"/>
    <x v="1"/>
    <s v="KM-16375"/>
    <s v="Katherine Murray"/>
    <s v="Arizona"/>
    <x v="2"/>
    <s v="Phones"/>
    <s v="Toshiba IPT2010-SD IP Telephone"/>
    <n v="333.57600000000002"/>
    <n v="3"/>
  </r>
  <r>
    <x v="635"/>
    <d v="2016-02-28T00:00:00"/>
    <n v="7"/>
    <x v="1"/>
    <s v="KM-16375"/>
    <s v="Katherine Murray"/>
    <s v="Arizona"/>
    <x v="2"/>
    <s v="Accessories"/>
    <s v="Microsoft Wireless Mobile Mouse 4000"/>
    <n v="31.992000000000004"/>
    <n v="1"/>
  </r>
  <r>
    <x v="635"/>
    <d v="2016-02-28T00:00:00"/>
    <n v="7"/>
    <x v="1"/>
    <s v="KM-16375"/>
    <s v="Katherine Murray"/>
    <s v="Arizona"/>
    <x v="0"/>
    <s v="Storage"/>
    <s v="Fellowes Bankers Box Stor/Drawer Steel Plus"/>
    <n v="51.168000000000006"/>
    <n v="2"/>
  </r>
  <r>
    <x v="635"/>
    <d v="2016-02-28T00:00:00"/>
    <n v="7"/>
    <x v="1"/>
    <s v="KM-16375"/>
    <s v="Katherine Murray"/>
    <s v="Arizona"/>
    <x v="0"/>
    <s v="Envelopes"/>
    <s v="Letter or Legal Size Expandable Poly String Tie Envelopes"/>
    <n v="10.64"/>
    <n v="5"/>
  </r>
  <r>
    <x v="635"/>
    <d v="2016-02-28T00:00:00"/>
    <n v="7"/>
    <x v="1"/>
    <s v="KM-16375"/>
    <s v="Katherine Murray"/>
    <s v="Arizona"/>
    <x v="1"/>
    <s v="Furnishings"/>
    <s v="Howard Miller 13&quot; Diameter Pewter Finish Round Wall Clock"/>
    <n v="68.703999999999994"/>
    <n v="2"/>
  </r>
  <r>
    <x v="635"/>
    <d v="2016-02-28T00:00:00"/>
    <n v="7"/>
    <x v="1"/>
    <s v="KM-16375"/>
    <s v="Katherine Murray"/>
    <s v="Arizona"/>
    <x v="1"/>
    <s v="Tables"/>
    <s v="KI Adjustable-Height Table"/>
    <n v="386.91"/>
    <n v="9"/>
  </r>
  <r>
    <x v="636"/>
    <d v="2016-03-01T00:00:00"/>
    <n v="6"/>
    <x v="1"/>
    <s v="CK-12595"/>
    <s v="Clytie Kelty"/>
    <s v="California"/>
    <x v="0"/>
    <s v="Paper"/>
    <s v="Ampad Phone Message Book, Recycled, 400 Message Capacity, 5 ¾” x 11”"/>
    <n v="37.44"/>
    <n v="6"/>
  </r>
  <r>
    <x v="636"/>
    <d v="2016-03-02T00:00:00"/>
    <n v="7"/>
    <x v="1"/>
    <s v="AC-10615"/>
    <s v="Ann Chong"/>
    <s v="Washington"/>
    <x v="0"/>
    <s v="Fasteners"/>
    <s v="Alliance Rubber Bands"/>
    <n v="8.4"/>
    <n v="5"/>
  </r>
  <r>
    <x v="636"/>
    <d v="2016-03-02T00:00:00"/>
    <n v="7"/>
    <x v="1"/>
    <s v="AC-10615"/>
    <s v="Ann Chong"/>
    <s v="Washington"/>
    <x v="2"/>
    <s v="Phones"/>
    <s v="invisibleSHIELD by ZAGG Smudge-Free Screen Protector"/>
    <n v="71.959999999999994"/>
    <n v="5"/>
  </r>
  <r>
    <x v="637"/>
    <d v="2016-02-29T00:00:00"/>
    <n v="2"/>
    <x v="0"/>
    <s v="BT-11530"/>
    <s v="Bradley Talbott"/>
    <s v="California"/>
    <x v="0"/>
    <s v="Appliances"/>
    <s v="Kensington 6 Outlet Guardian Standard Surge Protector"/>
    <n v="81.92"/>
    <n v="4"/>
  </r>
  <r>
    <x v="637"/>
    <d v="2016-02-29T00:00:00"/>
    <n v="2"/>
    <x v="0"/>
    <s v="BT-11530"/>
    <s v="Bradley Talbott"/>
    <s v="California"/>
    <x v="2"/>
    <s v="Phones"/>
    <s v="Toshiba IPT2010-SD IP Telephone"/>
    <n v="889.53600000000006"/>
    <n v="8"/>
  </r>
  <r>
    <x v="637"/>
    <d v="2016-02-29T00:00:00"/>
    <n v="2"/>
    <x v="0"/>
    <s v="BT-11530"/>
    <s v="Bradley Talbott"/>
    <s v="California"/>
    <x v="1"/>
    <s v="Chairs"/>
    <s v="GuestStacker Chair with Chrome Finish Legs"/>
    <n v="892.22400000000005"/>
    <n v="3"/>
  </r>
  <r>
    <x v="637"/>
    <d v="2016-02-29T00:00:00"/>
    <n v="2"/>
    <x v="0"/>
    <s v="BT-11530"/>
    <s v="Bradley Talbott"/>
    <s v="California"/>
    <x v="0"/>
    <s v="Paper"/>
    <s v="Xerox 1908"/>
    <n v="223.92"/>
    <n v="4"/>
  </r>
  <r>
    <x v="637"/>
    <d v="2016-02-29T00:00:00"/>
    <n v="2"/>
    <x v="0"/>
    <s v="BT-11530"/>
    <s v="Bradley Talbott"/>
    <s v="California"/>
    <x v="0"/>
    <s v="Paper"/>
    <s v="Xerox 1924"/>
    <n v="23.12"/>
    <n v="4"/>
  </r>
  <r>
    <x v="637"/>
    <d v="2016-03-02T00:00:00"/>
    <n v="4"/>
    <x v="1"/>
    <s v="BM-11140"/>
    <s v="Becky Martin"/>
    <s v="California"/>
    <x v="0"/>
    <s v="Appliances"/>
    <s v="Tripp Lite TLP810NET Broadband Surge for Modem/Fax"/>
    <n v="356.78999999999996"/>
    <n v="7"/>
  </r>
  <r>
    <x v="637"/>
    <d v="2016-03-03T00:00:00"/>
    <n v="5"/>
    <x v="1"/>
    <s v="DB-13060"/>
    <s v="Dave Brooks"/>
    <s v="California"/>
    <x v="1"/>
    <s v="Furnishings"/>
    <s v="Tenex B1-RE Series Chair Mats for Low Pile Carpets"/>
    <n v="91.96"/>
    <n v="2"/>
  </r>
  <r>
    <x v="637"/>
    <d v="2016-03-03T00:00:00"/>
    <n v="5"/>
    <x v="1"/>
    <s v="DB-13060"/>
    <s v="Dave Brooks"/>
    <s v="California"/>
    <x v="2"/>
    <s v="Phones"/>
    <s v="Aastra 57i VoIP phone"/>
    <n v="258.57600000000002"/>
    <n v="2"/>
  </r>
  <r>
    <x v="637"/>
    <d v="2016-03-03T00:00:00"/>
    <n v="5"/>
    <x v="1"/>
    <s v="DB-13060"/>
    <s v="Dave Brooks"/>
    <s v="California"/>
    <x v="0"/>
    <s v="Paper"/>
    <s v="It's Hot Message Books with Stickers, 2 3/4&quot; x 5&quot;"/>
    <n v="29.6"/>
    <n v="4"/>
  </r>
  <r>
    <x v="638"/>
    <d v="2016-03-08T00:00:00"/>
    <n v="6"/>
    <x v="1"/>
    <s v="MY-17380"/>
    <s v="Maribeth Yedwab"/>
    <s v="California"/>
    <x v="2"/>
    <s v="Phones"/>
    <s v="Panasonic KX TS3282B Corded phone"/>
    <n v="196.77600000000001"/>
    <n v="3"/>
  </r>
  <r>
    <x v="638"/>
    <d v="2016-03-08T00:00:00"/>
    <n v="6"/>
    <x v="1"/>
    <s v="MY-17380"/>
    <s v="Maribeth Yedwab"/>
    <s v="California"/>
    <x v="2"/>
    <s v="Accessories"/>
    <s v="Logitech G13 Programmable Gameboard with LCD Display"/>
    <n v="479.93999999999994"/>
    <n v="6"/>
  </r>
  <r>
    <x v="638"/>
    <d v="2016-03-08T00:00:00"/>
    <n v="6"/>
    <x v="1"/>
    <s v="KD-16615"/>
    <s v="Ken Dana"/>
    <s v="California"/>
    <x v="0"/>
    <s v="Binders"/>
    <s v="Catalog Binders with Expanding Posts"/>
    <n v="107.64800000000001"/>
    <n v="2"/>
  </r>
  <r>
    <x v="639"/>
    <d v="2016-03-08T00:00:00"/>
    <n v="5"/>
    <x v="1"/>
    <s v="EJ-13720"/>
    <s v="Ed Jacobs"/>
    <s v="California"/>
    <x v="2"/>
    <s v="Accessories"/>
    <s v="Imation Bio 2GB USB Flash Drive Imation Corp"/>
    <n v="1049.44"/>
    <n v="8"/>
  </r>
  <r>
    <x v="639"/>
    <d v="2016-03-08T00:00:00"/>
    <n v="5"/>
    <x v="1"/>
    <s v="EJ-13720"/>
    <s v="Ed Jacobs"/>
    <s v="California"/>
    <x v="1"/>
    <s v="Chairs"/>
    <s v="Novimex Turbo Task Chair"/>
    <n v="170.35200000000003"/>
    <n v="3"/>
  </r>
  <r>
    <x v="639"/>
    <d v="2016-03-08T00:00:00"/>
    <n v="5"/>
    <x v="1"/>
    <s v="BT-11395"/>
    <s v="Bill Tyler"/>
    <s v="California"/>
    <x v="1"/>
    <s v="Tables"/>
    <s v="Lesro Sheffield Collection Coffee Table, End Table, Center Table, Corner Table"/>
    <n v="399.67200000000003"/>
    <n v="7"/>
  </r>
  <r>
    <x v="640"/>
    <d v="2016-03-09T00:00:00"/>
    <n v="5"/>
    <x v="1"/>
    <s v="SP-20860"/>
    <s v="Sung Pak"/>
    <s v="California"/>
    <x v="0"/>
    <s v="Art"/>
    <s v="American Pencil"/>
    <n v="9.32"/>
    <n v="4"/>
  </r>
  <r>
    <x v="640"/>
    <d v="2016-03-09T00:00:00"/>
    <n v="5"/>
    <x v="1"/>
    <s v="SP-20860"/>
    <s v="Sung Pak"/>
    <s v="California"/>
    <x v="0"/>
    <s v="Envelopes"/>
    <s v="White Envelopes, White Envelopes with Clear Poly Window"/>
    <n v="15.25"/>
    <n v="1"/>
  </r>
  <r>
    <x v="641"/>
    <d v="2016-03-10T00:00:00"/>
    <n v="4"/>
    <x v="1"/>
    <s v="BF-11170"/>
    <s v="Ben Ferrer"/>
    <s v="California"/>
    <x v="0"/>
    <s v="Binders"/>
    <s v="Economy Binders"/>
    <n v="14.976000000000001"/>
    <n v="9"/>
  </r>
  <r>
    <x v="641"/>
    <d v="2016-03-10T00:00:00"/>
    <n v="4"/>
    <x v="0"/>
    <s v="SH-19975"/>
    <s v="Sally Hughsby"/>
    <s v="California"/>
    <x v="0"/>
    <s v="Storage"/>
    <s v="File Shuttle II and Handi-File, Black"/>
    <n v="67.78"/>
    <n v="2"/>
  </r>
  <r>
    <x v="641"/>
    <d v="2016-03-10T00:00:00"/>
    <n v="4"/>
    <x v="1"/>
    <s v="FC-14245"/>
    <s v="Frank Carlisle"/>
    <s v="California"/>
    <x v="0"/>
    <s v="Art"/>
    <s v="Fluorescent Highlighters by Dixon"/>
    <n v="23.88"/>
    <n v="6"/>
  </r>
  <r>
    <x v="641"/>
    <d v="2016-03-10T00:00:00"/>
    <n v="4"/>
    <x v="1"/>
    <s v="FC-14245"/>
    <s v="Frank Carlisle"/>
    <s v="California"/>
    <x v="0"/>
    <s v="Labels"/>
    <s v="Avery 49"/>
    <n v="11.52"/>
    <n v="4"/>
  </r>
  <r>
    <x v="641"/>
    <d v="2016-03-10T00:00:00"/>
    <n v="4"/>
    <x v="1"/>
    <s v="FC-14245"/>
    <s v="Frank Carlisle"/>
    <s v="California"/>
    <x v="0"/>
    <s v="Paper"/>
    <s v="Xerox 1893"/>
    <n v="286.93"/>
    <n v="7"/>
  </r>
  <r>
    <x v="641"/>
    <d v="2016-03-10T00:00:00"/>
    <n v="4"/>
    <x v="1"/>
    <s v="FC-14245"/>
    <s v="Frank Carlisle"/>
    <s v="California"/>
    <x v="2"/>
    <s v="Phones"/>
    <s v="Digium D40 VoIP phone"/>
    <n v="206.38400000000001"/>
    <n v="2"/>
  </r>
  <r>
    <x v="642"/>
    <d v="2016-03-15T00:00:00"/>
    <n v="7"/>
    <x v="1"/>
    <s v="AH-10210"/>
    <s v="Alan Hwang"/>
    <s v="California"/>
    <x v="0"/>
    <s v="Binders"/>
    <s v="Green Canvas Binder for 8-1/2&quot; x 14&quot; Sheets"/>
    <n v="171.20000000000002"/>
    <n v="5"/>
  </r>
  <r>
    <x v="642"/>
    <d v="2016-03-15T00:00:00"/>
    <n v="7"/>
    <x v="1"/>
    <s v="AH-10210"/>
    <s v="Alan Hwang"/>
    <s v="California"/>
    <x v="0"/>
    <s v="Art"/>
    <s v="Newell 323"/>
    <n v="3.36"/>
    <n v="2"/>
  </r>
  <r>
    <x v="643"/>
    <d v="2016-03-13T00:00:00"/>
    <n v="4"/>
    <x v="1"/>
    <s v="LW-16990"/>
    <s v="Lindsay Williams"/>
    <s v="California"/>
    <x v="2"/>
    <s v="Accessories"/>
    <s v="Logitech Wireless Headset h800"/>
    <n v="199.98"/>
    <n v="2"/>
  </r>
  <r>
    <x v="643"/>
    <d v="2016-03-13T00:00:00"/>
    <n v="4"/>
    <x v="1"/>
    <s v="KB-16315"/>
    <s v="Karl Braun"/>
    <s v="California"/>
    <x v="2"/>
    <s v="Copiers"/>
    <s v="Hewlett Packard 310 Color Digital Copier"/>
    <n v="479.98400000000004"/>
    <n v="2"/>
  </r>
  <r>
    <x v="643"/>
    <d v="2016-03-13T00:00:00"/>
    <n v="4"/>
    <x v="1"/>
    <s v="KB-16315"/>
    <s v="Karl Braun"/>
    <s v="California"/>
    <x v="0"/>
    <s v="Binders"/>
    <s v="DXL Angle-View Binders with Locking Rings by Samsill"/>
    <n v="30.84"/>
    <n v="5"/>
  </r>
  <r>
    <x v="644"/>
    <d v="2016-03-15T00:00:00"/>
    <n v="5"/>
    <x v="0"/>
    <s v="CM-11815"/>
    <s v="Candace McMahon"/>
    <s v="California"/>
    <x v="2"/>
    <s v="Accessories"/>
    <s v="Maxell LTO Ultrium - 800 GB"/>
    <n v="111.96"/>
    <n v="4"/>
  </r>
  <r>
    <x v="645"/>
    <d v="2016-03-17T00:00:00"/>
    <n v="5"/>
    <x v="1"/>
    <s v="BS-11380"/>
    <s v="Bill Stewart"/>
    <s v="California"/>
    <x v="0"/>
    <s v="Storage"/>
    <s v="Carina Double Wide Media Storage Towers in Natural &amp; Black"/>
    <n v="242.94"/>
    <n v="3"/>
  </r>
  <r>
    <x v="646"/>
    <d v="2016-03-19T00:00:00"/>
    <n v="6"/>
    <x v="1"/>
    <s v="KF-16285"/>
    <s v="Karen Ferguson"/>
    <s v="California"/>
    <x v="0"/>
    <s v="Paper"/>
    <s v="Multicolor Computer Printout Paper"/>
    <n v="314.54999999999995"/>
    <n v="3"/>
  </r>
  <r>
    <x v="646"/>
    <d v="2016-03-18T00:00:00"/>
    <n v="5"/>
    <x v="0"/>
    <s v="BF-11215"/>
    <s v="Benjamin Farhat"/>
    <s v="New Mexico"/>
    <x v="0"/>
    <s v="Storage"/>
    <s v="SimpliFile Personal File, Black Granite, 15w x 6-15/16d x 11-1/4h"/>
    <n v="90.8"/>
    <n v="8"/>
  </r>
  <r>
    <x v="646"/>
    <d v="2016-03-18T00:00:00"/>
    <n v="5"/>
    <x v="0"/>
    <s v="BF-11215"/>
    <s v="Benjamin Farhat"/>
    <s v="New Mexico"/>
    <x v="2"/>
    <s v="Phones"/>
    <s v="OtterBox Commuter Series Case - iPhone 5 &amp; 5s"/>
    <n v="140.73599999999999"/>
    <n v="8"/>
  </r>
  <r>
    <x v="646"/>
    <d v="2016-03-18T00:00:00"/>
    <n v="5"/>
    <x v="0"/>
    <s v="BF-11215"/>
    <s v="Benjamin Farhat"/>
    <s v="New Mexico"/>
    <x v="2"/>
    <s v="Accessories"/>
    <s v="Logitech Wireless Headset H600 Over-The-Head Design"/>
    <n v="214.95000000000002"/>
    <n v="5"/>
  </r>
  <r>
    <x v="646"/>
    <d v="2016-03-18T00:00:00"/>
    <n v="5"/>
    <x v="0"/>
    <s v="BF-11215"/>
    <s v="Benjamin Farhat"/>
    <s v="New Mexico"/>
    <x v="0"/>
    <s v="Paper"/>
    <s v="Xerox 230"/>
    <n v="45.36"/>
    <n v="7"/>
  </r>
  <r>
    <x v="646"/>
    <d v="2016-03-18T00:00:00"/>
    <n v="5"/>
    <x v="0"/>
    <s v="BF-11215"/>
    <s v="Benjamin Farhat"/>
    <s v="New Mexico"/>
    <x v="0"/>
    <s v="Paper"/>
    <s v="Xerox 1885"/>
    <n v="288.24"/>
    <n v="6"/>
  </r>
  <r>
    <x v="646"/>
    <d v="2016-03-20T00:00:00"/>
    <n v="7"/>
    <x v="1"/>
    <s v="SE-20110"/>
    <s v="Sanjit Engle"/>
    <s v="Colorado"/>
    <x v="0"/>
    <s v="Supplies"/>
    <s v="Martin Yale Chadless Opener Electric Letter Opener"/>
    <n v="1332.4960000000001"/>
    <n v="2"/>
  </r>
  <r>
    <x v="647"/>
    <d v="2016-03-18T00:00:00"/>
    <n v="2"/>
    <x v="0"/>
    <s v="VM-21685"/>
    <s v="Valerie Mitchum"/>
    <s v="Washington"/>
    <x v="0"/>
    <s v="Paper"/>
    <s v="Xerox 214"/>
    <n v="6.48"/>
    <n v="1"/>
  </r>
  <r>
    <x v="647"/>
    <d v="2016-03-18T00:00:00"/>
    <n v="2"/>
    <x v="0"/>
    <s v="VM-21685"/>
    <s v="Valerie Mitchum"/>
    <s v="Washington"/>
    <x v="0"/>
    <s v="Storage"/>
    <s v="Safco Commercial Shelving"/>
    <n v="46.51"/>
    <n v="1"/>
  </r>
  <r>
    <x v="647"/>
    <d v="2016-03-18T00:00:00"/>
    <n v="2"/>
    <x v="0"/>
    <s v="VM-21685"/>
    <s v="Valerie Mitchum"/>
    <s v="Washington"/>
    <x v="2"/>
    <s v="Phones"/>
    <s v="Mitel MiVoice 5330e IP Phone"/>
    <n v="659.97600000000011"/>
    <n v="3"/>
  </r>
  <r>
    <x v="647"/>
    <d v="2016-03-21T00:00:00"/>
    <n v="5"/>
    <x v="1"/>
    <s v="KD-16615"/>
    <s v="Ken Dana"/>
    <s v="California"/>
    <x v="0"/>
    <s v="Storage"/>
    <s v="Dual Level, Single-Width Filing Carts"/>
    <n v="310.12"/>
    <n v="2"/>
  </r>
  <r>
    <x v="647"/>
    <d v="2016-03-21T00:00:00"/>
    <n v="5"/>
    <x v="1"/>
    <s v="KD-16615"/>
    <s v="Ken Dana"/>
    <s v="California"/>
    <x v="0"/>
    <s v="Binders"/>
    <s v="XtraLife ClearVue Slant-D Ring Binder, White, 3&quot;"/>
    <n v="70.463999999999999"/>
    <n v="6"/>
  </r>
  <r>
    <x v="647"/>
    <d v="2016-03-21T00:00:00"/>
    <n v="5"/>
    <x v="1"/>
    <s v="KD-16615"/>
    <s v="Ken Dana"/>
    <s v="California"/>
    <x v="0"/>
    <s v="Binders"/>
    <s v="Pressboard Hanging Data Binders for Unburst Sheets"/>
    <n v="19.68"/>
    <n v="5"/>
  </r>
  <r>
    <x v="647"/>
    <d v="2016-03-21T00:00:00"/>
    <n v="5"/>
    <x v="1"/>
    <s v="KD-16615"/>
    <s v="Ken Dana"/>
    <s v="California"/>
    <x v="0"/>
    <s v="Appliances"/>
    <s v="Bionaire Personal Warm Mist Humidifier/Vaporizer"/>
    <n v="140.67000000000002"/>
    <n v="3"/>
  </r>
  <r>
    <x v="648"/>
    <d v="2016-03-21T00:00:00"/>
    <n v="4"/>
    <x v="0"/>
    <s v="CL-12565"/>
    <s v="Clay Ludtke"/>
    <s v="California"/>
    <x v="0"/>
    <s v="Binders"/>
    <s v="Heavy-Duty E-Z-D Binders"/>
    <n v="17.456"/>
    <n v="2"/>
  </r>
  <r>
    <x v="649"/>
    <d v="2016-03-23T00:00:00"/>
    <n v="5"/>
    <x v="1"/>
    <s v="SW-20275"/>
    <s v="Scott Williamson"/>
    <s v="Washington"/>
    <x v="0"/>
    <s v="Art"/>
    <s v="Deluxe Chalkboard Eraser Cleaner"/>
    <n v="46.2"/>
    <n v="4"/>
  </r>
  <r>
    <x v="649"/>
    <d v="2016-03-22T00:00:00"/>
    <n v="4"/>
    <x v="1"/>
    <s v="BP-11050"/>
    <s v="Barry Pond"/>
    <s v="California"/>
    <x v="0"/>
    <s v="Art"/>
    <s v="Prang Drawing Pencil Set"/>
    <n v="13.899999999999999"/>
    <n v="5"/>
  </r>
  <r>
    <x v="649"/>
    <d v="2016-03-22T00:00:00"/>
    <n v="4"/>
    <x v="1"/>
    <s v="BP-11050"/>
    <s v="Barry Pond"/>
    <s v="California"/>
    <x v="0"/>
    <s v="Envelopes"/>
    <s v="Peel &amp; Seel Envelopes"/>
    <n v="19.399999999999999"/>
    <n v="5"/>
  </r>
  <r>
    <x v="649"/>
    <d v="2016-03-20T00:00:00"/>
    <n v="2"/>
    <x v="0"/>
    <s v="JK-15325"/>
    <s v="Jason Klamczynski"/>
    <s v="California"/>
    <x v="0"/>
    <s v="Appliances"/>
    <s v="Fellowes Basic Home/Office Series Surge Protectors"/>
    <n v="90.86"/>
    <n v="7"/>
  </r>
  <r>
    <x v="650"/>
    <d v="2016-03-22T00:00:00"/>
    <n v="3"/>
    <x v="2"/>
    <s v="ND-18370"/>
    <s v="Natalie DeCherney"/>
    <s v="California"/>
    <x v="0"/>
    <s v="Binders"/>
    <s v="ACCOHIDE 3-Ring Binder, Blue, 1&quot;"/>
    <n v="19.824000000000002"/>
    <n v="6"/>
  </r>
  <r>
    <x v="650"/>
    <d v="2016-03-22T00:00:00"/>
    <n v="3"/>
    <x v="2"/>
    <s v="ND-18370"/>
    <s v="Natalie DeCherney"/>
    <s v="California"/>
    <x v="2"/>
    <s v="Phones"/>
    <s v="Jawbone MINI JAMBOX Wireless Bluetooth Speaker"/>
    <n v="657.50400000000002"/>
    <n v="6"/>
  </r>
  <r>
    <x v="650"/>
    <d v="2016-03-22T00:00:00"/>
    <n v="3"/>
    <x v="2"/>
    <s v="ND-18370"/>
    <s v="Natalie DeCherney"/>
    <s v="California"/>
    <x v="2"/>
    <s v="Accessories"/>
    <s v="Logitech K350 2.4Ghz Wireless Keyboard"/>
    <n v="99.54"/>
    <n v="2"/>
  </r>
  <r>
    <x v="650"/>
    <d v="2016-03-22T00:00:00"/>
    <n v="3"/>
    <x v="2"/>
    <s v="ND-18370"/>
    <s v="Natalie DeCherney"/>
    <s v="California"/>
    <x v="2"/>
    <s v="Accessories"/>
    <s v="Logitech Wireless Marathon Mouse M705"/>
    <n v="199.96"/>
    <n v="4"/>
  </r>
  <r>
    <x v="650"/>
    <d v="2016-03-22T00:00:00"/>
    <n v="3"/>
    <x v="0"/>
    <s v="SA-20830"/>
    <s v="Sue Ann Reed"/>
    <s v="California"/>
    <x v="0"/>
    <s v="Binders"/>
    <s v="SpineVue Locking Slant-D Ring Binders by Cardinal"/>
    <n v="14.624000000000002"/>
    <n v="2"/>
  </r>
  <r>
    <x v="650"/>
    <d v="2016-03-22T00:00:00"/>
    <n v="3"/>
    <x v="0"/>
    <s v="SA-20830"/>
    <s v="Sue Ann Reed"/>
    <s v="California"/>
    <x v="1"/>
    <s v="Tables"/>
    <s v="Chromcraft Round Conference Tables"/>
    <n v="697.16"/>
    <n v="5"/>
  </r>
  <r>
    <x v="650"/>
    <d v="2016-03-22T00:00:00"/>
    <n v="3"/>
    <x v="0"/>
    <s v="SA-20830"/>
    <s v="Sue Ann Reed"/>
    <s v="California"/>
    <x v="1"/>
    <s v="Furnishings"/>
    <s v="Advantus Employee of the Month Certificate Frame, 11 x 13-1/2"/>
    <n v="30.93"/>
    <n v="1"/>
  </r>
  <r>
    <x v="650"/>
    <d v="2016-03-22T00:00:00"/>
    <n v="3"/>
    <x v="0"/>
    <s v="SA-20830"/>
    <s v="Sue Ann Reed"/>
    <s v="California"/>
    <x v="0"/>
    <s v="Binders"/>
    <s v="Pressboard Covers with Storage Hooks, 9 1/2&quot; x 11&quot;, Light Blue"/>
    <n v="27.496000000000002"/>
    <n v="7"/>
  </r>
  <r>
    <x v="650"/>
    <d v="2016-03-24T00:00:00"/>
    <n v="5"/>
    <x v="1"/>
    <s v="GZ-14545"/>
    <s v="George Zrebassa"/>
    <s v="California"/>
    <x v="0"/>
    <s v="Appliances"/>
    <s v="Belkin 5 Outlet SurgeMaster Power Centers"/>
    <n v="381.35999999999996"/>
    <n v="7"/>
  </r>
  <r>
    <x v="651"/>
    <d v="2016-03-24T00:00:00"/>
    <n v="4"/>
    <x v="1"/>
    <s v="HW-14935"/>
    <s v="Helen Wasserman"/>
    <s v="Washington"/>
    <x v="2"/>
    <s v="Accessories"/>
    <s v="Imation Secure Drive + Hardware Encrypted USB flash drive - 16 GB"/>
    <n v="265.93"/>
    <n v="7"/>
  </r>
  <r>
    <x v="652"/>
    <d v="2016-03-23T00:00:00"/>
    <n v="2"/>
    <x v="0"/>
    <s v="SC-20725"/>
    <s v="Steven Cartwright"/>
    <s v="California"/>
    <x v="0"/>
    <s v="Storage"/>
    <s v="Adjustable Depth Letter/Legal Cart"/>
    <n v="725.84"/>
    <n v="4"/>
  </r>
  <r>
    <x v="652"/>
    <d v="2016-03-23T00:00:00"/>
    <n v="2"/>
    <x v="0"/>
    <s v="SC-20725"/>
    <s v="Steven Cartwright"/>
    <s v="California"/>
    <x v="0"/>
    <s v="Binders"/>
    <s v="Avery Durable Plastic 1&quot; Binders"/>
    <n v="10.896000000000001"/>
    <n v="3"/>
  </r>
  <r>
    <x v="652"/>
    <d v="2016-03-23T00:00:00"/>
    <n v="2"/>
    <x v="0"/>
    <s v="SC-20725"/>
    <s v="Steven Cartwright"/>
    <s v="California"/>
    <x v="0"/>
    <s v="Binders"/>
    <s v="Pressboard Data Binders by Wilson Jones"/>
    <n v="8.5440000000000005"/>
    <n v="2"/>
  </r>
  <r>
    <x v="652"/>
    <d v="2016-03-25T00:00:00"/>
    <n v="4"/>
    <x v="1"/>
    <s v="PS-18970"/>
    <s v="Paul Stevenson"/>
    <s v="Washington"/>
    <x v="0"/>
    <s v="Binders"/>
    <s v="C-Line Peel &amp; Stick Add-On Filing Pockets, 8-3/4 x 5-1/8, 10/Pack"/>
    <n v="30.576000000000001"/>
    <n v="6"/>
  </r>
  <r>
    <x v="652"/>
    <d v="2016-03-25T00:00:00"/>
    <n v="4"/>
    <x v="1"/>
    <s v="PS-18970"/>
    <s v="Paul Stevenson"/>
    <s v="Washington"/>
    <x v="0"/>
    <s v="Fasteners"/>
    <s v="Super Bands, 12/Pack"/>
    <n v="13.020000000000001"/>
    <n v="7"/>
  </r>
  <r>
    <x v="652"/>
    <d v="2016-03-25T00:00:00"/>
    <n v="4"/>
    <x v="1"/>
    <s v="PS-18970"/>
    <s v="Paul Stevenson"/>
    <s v="Washington"/>
    <x v="1"/>
    <s v="Furnishings"/>
    <s v="Eldon Expressions Wood Desk Accessories, Oak"/>
    <n v="22.14"/>
    <n v="3"/>
  </r>
  <r>
    <x v="652"/>
    <d v="2016-03-25T00:00:00"/>
    <n v="4"/>
    <x v="1"/>
    <s v="PS-18970"/>
    <s v="Paul Stevenson"/>
    <s v="Washington"/>
    <x v="0"/>
    <s v="Storage"/>
    <s v="Fellowes Officeware Wire Shelving"/>
    <n v="359.32"/>
    <n v="4"/>
  </r>
  <r>
    <x v="653"/>
    <d v="2016-03-25T00:00:00"/>
    <n v="2"/>
    <x v="2"/>
    <s v="BE-11335"/>
    <s v="Bill Eplett"/>
    <s v="California"/>
    <x v="1"/>
    <s v="Furnishings"/>
    <s v="DAX Natural Wood-Tone Poster Frame"/>
    <n v="211.84"/>
    <n v="8"/>
  </r>
  <r>
    <x v="653"/>
    <d v="2016-03-26T00:00:00"/>
    <n v="3"/>
    <x v="2"/>
    <s v="SJ-20125"/>
    <s v="Sanjit Jacobs"/>
    <s v="Washington"/>
    <x v="0"/>
    <s v="Binders"/>
    <s v="Cardinal Slant-D Ring Binder, Heavy Gauge Vinyl"/>
    <n v="34.76"/>
    <n v="5"/>
  </r>
  <r>
    <x v="653"/>
    <d v="2016-03-25T00:00:00"/>
    <n v="2"/>
    <x v="2"/>
    <s v="RB-19360"/>
    <s v="Raymond Buch"/>
    <s v="Washington"/>
    <x v="0"/>
    <s v="Storage"/>
    <s v="Acco Perma 4000 Stacking Storage Drawers"/>
    <n v="32.479999999999997"/>
    <n v="2"/>
  </r>
  <r>
    <x v="653"/>
    <d v="2016-03-25T00:00:00"/>
    <n v="2"/>
    <x v="2"/>
    <s v="RB-19360"/>
    <s v="Raymond Buch"/>
    <s v="Washington"/>
    <x v="0"/>
    <s v="Paper"/>
    <s v="Xerox 1898"/>
    <n v="20.04"/>
    <n v="3"/>
  </r>
  <r>
    <x v="653"/>
    <d v="2016-03-25T00:00:00"/>
    <n v="2"/>
    <x v="2"/>
    <s v="RB-19360"/>
    <s v="Raymond Buch"/>
    <s v="Washington"/>
    <x v="2"/>
    <s v="Copiers"/>
    <s v="Canon imageCLASS 2200 Advanced Copier"/>
    <n v="13999.96"/>
    <n v="4"/>
  </r>
  <r>
    <x v="654"/>
    <d v="2016-03-26T00:00:00"/>
    <n v="1"/>
    <x v="2"/>
    <s v="CV-12295"/>
    <s v="Christina VanderZanden"/>
    <s v="California"/>
    <x v="0"/>
    <s v="Appliances"/>
    <s v="Acco Smartsocket Color-Coded Six-Outlet AC Adapter Model Surge Protectors"/>
    <n v="176.04"/>
    <n v="4"/>
  </r>
  <r>
    <x v="654"/>
    <d v="2016-03-26T00:00:00"/>
    <n v="1"/>
    <x v="2"/>
    <s v="CV-12295"/>
    <s v="Christina VanderZanden"/>
    <s v="California"/>
    <x v="0"/>
    <s v="Art"/>
    <s v="Staples in misc. colors"/>
    <n v="16.02"/>
    <n v="9"/>
  </r>
  <r>
    <x v="654"/>
    <d v="2016-03-26T00:00:00"/>
    <n v="1"/>
    <x v="2"/>
    <s v="CV-12295"/>
    <s v="Christina VanderZanden"/>
    <s v="California"/>
    <x v="0"/>
    <s v="Binders"/>
    <s v="Avery Arch Ring Binders"/>
    <n v="185.92000000000002"/>
    <n v="4"/>
  </r>
  <r>
    <x v="654"/>
    <d v="2016-03-26T00:00:00"/>
    <n v="1"/>
    <x v="2"/>
    <s v="CV-12295"/>
    <s v="Christina VanderZanden"/>
    <s v="California"/>
    <x v="2"/>
    <s v="Phones"/>
    <s v="Clearsounds A400"/>
    <n v="211.16800000000001"/>
    <n v="4"/>
  </r>
  <r>
    <x v="654"/>
    <d v="2016-03-26T00:00:00"/>
    <n v="1"/>
    <x v="2"/>
    <s v="CV-12295"/>
    <s v="Christina VanderZanden"/>
    <s v="California"/>
    <x v="2"/>
    <s v="Copiers"/>
    <s v="Hewlett Packard 310 Color Digital Copier"/>
    <n v="479.98400000000004"/>
    <n v="2"/>
  </r>
  <r>
    <x v="654"/>
    <d v="2016-03-30T00:00:00"/>
    <n v="5"/>
    <x v="1"/>
    <s v="FM-14215"/>
    <s v="Filia McAdams"/>
    <s v="Washington"/>
    <x v="0"/>
    <s v="Art"/>
    <s v="Newell 309"/>
    <n v="23.1"/>
    <n v="2"/>
  </r>
  <r>
    <x v="655"/>
    <d v="2016-03-28T00:00:00"/>
    <n v="2"/>
    <x v="2"/>
    <s v="MZ-17335"/>
    <s v="Maria Zettner"/>
    <s v="Washington"/>
    <x v="0"/>
    <s v="Art"/>
    <s v="Boston 1827 Commercial Additional Cutter, Drive Gear &amp; Gear Rack for 1606"/>
    <n v="19.829999999999998"/>
    <n v="1"/>
  </r>
  <r>
    <x v="656"/>
    <d v="2016-03-31T00:00:00"/>
    <n v="4"/>
    <x v="1"/>
    <s v="BD-11560"/>
    <s v="Brendan Dodson"/>
    <s v="California"/>
    <x v="0"/>
    <s v="Paper"/>
    <s v="Xerox 1982"/>
    <n v="45.68"/>
    <n v="2"/>
  </r>
  <r>
    <x v="656"/>
    <d v="2016-03-31T00:00:00"/>
    <n v="4"/>
    <x v="1"/>
    <s v="BD-11560"/>
    <s v="Brendan Dodson"/>
    <s v="California"/>
    <x v="0"/>
    <s v="Paper"/>
    <s v="Xerox 1913"/>
    <n v="110.96"/>
    <n v="2"/>
  </r>
  <r>
    <x v="656"/>
    <d v="2016-03-31T00:00:00"/>
    <n v="4"/>
    <x v="1"/>
    <s v="BD-11560"/>
    <s v="Brendan Dodson"/>
    <s v="California"/>
    <x v="0"/>
    <s v="Paper"/>
    <s v="Unpadded Memo Slips"/>
    <n v="11.94"/>
    <n v="3"/>
  </r>
  <r>
    <x v="657"/>
    <d v="2016-03-31T00:00:00"/>
    <n v="3"/>
    <x v="2"/>
    <s v="DH-13075"/>
    <s v="Dave Hallsten"/>
    <s v="California"/>
    <x v="0"/>
    <s v="Paper"/>
    <s v="Xerox 1975"/>
    <n v="12.96"/>
    <n v="2"/>
  </r>
  <r>
    <x v="657"/>
    <d v="2016-03-31T00:00:00"/>
    <n v="3"/>
    <x v="2"/>
    <s v="DH-13075"/>
    <s v="Dave Hallsten"/>
    <s v="California"/>
    <x v="1"/>
    <s v="Furnishings"/>
    <s v="DAX Black Cherry Wood-Tone Poster Frame"/>
    <n v="26.48"/>
    <n v="1"/>
  </r>
  <r>
    <x v="657"/>
    <d v="2016-03-31T00:00:00"/>
    <n v="3"/>
    <x v="2"/>
    <s v="DH-13075"/>
    <s v="Dave Hallsten"/>
    <s v="California"/>
    <x v="2"/>
    <s v="Machines"/>
    <s v="StarTech.com 10/100 VDSL2 Ethernet Extender Kit"/>
    <n v="532.72"/>
    <n v="2"/>
  </r>
  <r>
    <x v="657"/>
    <d v="2016-03-31T00:00:00"/>
    <n v="3"/>
    <x v="2"/>
    <s v="DH-13075"/>
    <s v="Dave Hallsten"/>
    <s v="California"/>
    <x v="0"/>
    <s v="Paper"/>
    <s v="Xerox 1968"/>
    <n v="26.72"/>
    <n v="4"/>
  </r>
  <r>
    <x v="657"/>
    <d v="2016-03-31T00:00:00"/>
    <n v="3"/>
    <x v="2"/>
    <s v="DH-13075"/>
    <s v="Dave Hallsten"/>
    <s v="California"/>
    <x v="0"/>
    <s v="Paper"/>
    <s v="Xerox 1977"/>
    <n v="20.04"/>
    <n v="3"/>
  </r>
  <r>
    <x v="657"/>
    <d v="2016-03-31T00:00:00"/>
    <n v="3"/>
    <x v="2"/>
    <s v="DH-13075"/>
    <s v="Dave Hallsten"/>
    <s v="California"/>
    <x v="0"/>
    <s v="Storage"/>
    <s v="SAFCO Boltless Steel Shelving"/>
    <n v="795.48"/>
    <n v="7"/>
  </r>
  <r>
    <x v="657"/>
    <d v="2016-03-31T00:00:00"/>
    <n v="3"/>
    <x v="2"/>
    <s v="DH-13075"/>
    <s v="Dave Hallsten"/>
    <s v="California"/>
    <x v="1"/>
    <s v="Furnishings"/>
    <s v="Stackable Trays"/>
    <n v="21.560000000000002"/>
    <n v="7"/>
  </r>
  <r>
    <x v="658"/>
    <d v="2016-03-30T00:00:00"/>
    <n v="0"/>
    <x v="3"/>
    <s v="TB-21400"/>
    <s v="Tom Boeckenhauer"/>
    <s v="California"/>
    <x v="0"/>
    <s v="Art"/>
    <s v="Manco Dry-Lighter Erasable Highlighter"/>
    <n v="6.08"/>
    <n v="2"/>
  </r>
  <r>
    <x v="658"/>
    <d v="2016-03-30T00:00:00"/>
    <n v="0"/>
    <x v="3"/>
    <s v="TB-21400"/>
    <s v="Tom Boeckenhauer"/>
    <s v="California"/>
    <x v="2"/>
    <s v="Phones"/>
    <s v="AT&amp;T CL83451 4-Handset Telephone"/>
    <n v="164.79200000000003"/>
    <n v="1"/>
  </r>
  <r>
    <x v="658"/>
    <d v="2016-04-01T00:00:00"/>
    <n v="2"/>
    <x v="0"/>
    <s v="AB-10165"/>
    <s v="Alan Barnes"/>
    <s v="California"/>
    <x v="1"/>
    <s v="Furnishings"/>
    <s v="Flat Face Poster Frame"/>
    <n v="94.2"/>
    <n v="5"/>
  </r>
  <r>
    <x v="659"/>
    <d v="2016-04-07T00:00:00"/>
    <n v="7"/>
    <x v="1"/>
    <s v="HG-14965"/>
    <s v="Henry Goldwyn"/>
    <s v="California"/>
    <x v="0"/>
    <s v="Supplies"/>
    <s v="Acme Tagit Stainless Steel Antibacterial Scissors"/>
    <n v="29.700000000000003"/>
    <n v="3"/>
  </r>
  <r>
    <x v="660"/>
    <d v="2016-04-05T00:00:00"/>
    <n v="4"/>
    <x v="1"/>
    <s v="MS-17365"/>
    <s v="Maribeth Schnelling"/>
    <s v="California"/>
    <x v="0"/>
    <s v="Labels"/>
    <s v="Avery 498"/>
    <n v="5.78"/>
    <n v="2"/>
  </r>
  <r>
    <x v="660"/>
    <d v="2016-04-05T00:00:00"/>
    <n v="4"/>
    <x v="1"/>
    <s v="MS-17365"/>
    <s v="Maribeth Schnelling"/>
    <s v="California"/>
    <x v="0"/>
    <s v="Binders"/>
    <s v="Fellowes Binding Cases"/>
    <n v="121.67999999999999"/>
    <n v="13"/>
  </r>
  <r>
    <x v="660"/>
    <d v="2016-04-03T00:00:00"/>
    <n v="2"/>
    <x v="2"/>
    <s v="NC-18535"/>
    <s v="Nick Crebassa"/>
    <s v="California"/>
    <x v="1"/>
    <s v="Bookcases"/>
    <s v="Safco Value Mate Steel Bookcase, Baked Enamel Finish on Steel, Black"/>
    <n v="482.66399999999999"/>
    <n v="8"/>
  </r>
  <r>
    <x v="660"/>
    <d v="2016-04-03T00:00:00"/>
    <n v="2"/>
    <x v="2"/>
    <s v="NC-18535"/>
    <s v="Nick Crebassa"/>
    <s v="California"/>
    <x v="2"/>
    <s v="Machines"/>
    <s v="Cubify CubeX 3D Printer Double Head Print"/>
    <n v="4799.9839999999995"/>
    <n v="2"/>
  </r>
  <r>
    <x v="661"/>
    <d v="2016-04-07T00:00:00"/>
    <n v="5"/>
    <x v="1"/>
    <s v="JF-15190"/>
    <s v="Jamie Frazer"/>
    <s v="California"/>
    <x v="1"/>
    <s v="Furnishings"/>
    <s v="Westinghouse Clip-On Gooseneck Lamps"/>
    <n v="25.11"/>
    <n v="3"/>
  </r>
  <r>
    <x v="662"/>
    <d v="2016-04-12T00:00:00"/>
    <n v="4"/>
    <x v="1"/>
    <s v="AH-10120"/>
    <s v="Adrian Hane"/>
    <s v="California"/>
    <x v="0"/>
    <s v="Paper"/>
    <s v="Xerox 1891"/>
    <n v="244.54999999999998"/>
    <n v="5"/>
  </r>
  <r>
    <x v="662"/>
    <d v="2016-04-12T00:00:00"/>
    <n v="4"/>
    <x v="1"/>
    <s v="AH-10120"/>
    <s v="Adrian Hane"/>
    <s v="California"/>
    <x v="0"/>
    <s v="Paper"/>
    <s v="Xerox 1942"/>
    <n v="195.76"/>
    <n v="4"/>
  </r>
  <r>
    <x v="663"/>
    <d v="2016-04-18T00:00:00"/>
    <n v="7"/>
    <x v="1"/>
    <s v="LW-17215"/>
    <s v="Luke Weiss"/>
    <s v="California"/>
    <x v="2"/>
    <s v="Accessories"/>
    <s v="SanDisk Ultra 64 GB MicroSDHC Class 10 Memory Card"/>
    <n v="199.95000000000002"/>
    <n v="5"/>
  </r>
  <r>
    <x v="663"/>
    <d v="2016-04-18T00:00:00"/>
    <n v="7"/>
    <x v="1"/>
    <s v="LW-17215"/>
    <s v="Luke Weiss"/>
    <s v="California"/>
    <x v="0"/>
    <s v="Art"/>
    <s v="Dixon Ticonderoga Erasable Colored Pencil Set, 12-Color"/>
    <n v="41.86"/>
    <n v="7"/>
  </r>
  <r>
    <x v="664"/>
    <d v="2016-04-15T00:00:00"/>
    <n v="2"/>
    <x v="2"/>
    <s v="RW-19630"/>
    <s v="Rob Williams"/>
    <s v="Washington"/>
    <x v="0"/>
    <s v="Paper"/>
    <s v="Xerox 4200 Series MultiUse Premium Copy Paper (20Lb. and 84 Bright)"/>
    <n v="5.28"/>
    <n v="1"/>
  </r>
  <r>
    <x v="664"/>
    <d v="2016-04-15T00:00:00"/>
    <n v="2"/>
    <x v="2"/>
    <s v="RW-19630"/>
    <s v="Rob Williams"/>
    <s v="Washington"/>
    <x v="0"/>
    <s v="Binders"/>
    <s v="GBC DocuBind TL200 Manual Binding Machine"/>
    <n v="895.92"/>
    <n v="5"/>
  </r>
  <r>
    <x v="664"/>
    <d v="2016-04-17T00:00:00"/>
    <n v="4"/>
    <x v="1"/>
    <s v="YS-21880"/>
    <s v="Yana Sorensen"/>
    <s v="California"/>
    <x v="1"/>
    <s v="Chairs"/>
    <s v="Global Wood Trimmed Manager's Task Chair, Khaki"/>
    <n v="436.70400000000006"/>
    <n v="6"/>
  </r>
  <r>
    <x v="665"/>
    <d v="2016-04-18T00:00:00"/>
    <n v="3"/>
    <x v="2"/>
    <s v="AH-10075"/>
    <s v="Adam Hart"/>
    <s v="Nevada"/>
    <x v="1"/>
    <s v="Furnishings"/>
    <s v="Howard Miller 12&quot; Round Wall Clock"/>
    <n v="196.45"/>
    <n v="5"/>
  </r>
  <r>
    <x v="665"/>
    <d v="2016-04-17T00:00:00"/>
    <n v="2"/>
    <x v="0"/>
    <s v="NS-18640"/>
    <s v="Noel Staavos"/>
    <s v="California"/>
    <x v="0"/>
    <s v="Paper"/>
    <s v="Xerox 1883"/>
    <n v="79.14"/>
    <n v="3"/>
  </r>
  <r>
    <x v="666"/>
    <d v="2016-04-20T00:00:00"/>
    <n v="4"/>
    <x v="1"/>
    <s v="JE-15745"/>
    <s v="Joel Eaton"/>
    <s v="California"/>
    <x v="0"/>
    <s v="Storage"/>
    <s v="Belkin 19&quot; Vented Equipment Shelf, Black"/>
    <n v="205.92"/>
    <n v="4"/>
  </r>
  <r>
    <x v="666"/>
    <d v="2016-04-20T00:00:00"/>
    <n v="4"/>
    <x v="1"/>
    <s v="JE-15745"/>
    <s v="Joel Eaton"/>
    <s v="California"/>
    <x v="1"/>
    <s v="Bookcases"/>
    <s v="O'Sullivan Living Dimensions 2-Shelf Bookcases"/>
    <n v="102.833"/>
    <n v="1"/>
  </r>
  <r>
    <x v="666"/>
    <d v="2016-04-20T00:00:00"/>
    <n v="4"/>
    <x v="1"/>
    <s v="JO-15550"/>
    <s v="Jesus Ocampo"/>
    <s v="California"/>
    <x v="0"/>
    <s v="Appliances"/>
    <s v="Hoover Commercial SteamVac"/>
    <n v="40.74"/>
    <n v="3"/>
  </r>
  <r>
    <x v="667"/>
    <d v="2016-04-23T00:00:00"/>
    <n v="6"/>
    <x v="1"/>
    <s v="SR-20425"/>
    <s v="Sharelle Roach"/>
    <s v="Colorado"/>
    <x v="0"/>
    <s v="Binders"/>
    <s v="Insertable Tab Post Binder Dividers"/>
    <n v="12.030000000000001"/>
    <n v="5"/>
  </r>
  <r>
    <x v="667"/>
    <d v="2016-04-23T00:00:00"/>
    <n v="6"/>
    <x v="1"/>
    <s v="SR-20425"/>
    <s v="Sharelle Roach"/>
    <s v="Colorado"/>
    <x v="2"/>
    <s v="Machines"/>
    <s v="Lexmark MX611dhe Monochrome Laser Printer"/>
    <n v="2549.9850000000006"/>
    <n v="5"/>
  </r>
  <r>
    <x v="667"/>
    <d v="2016-04-23T00:00:00"/>
    <n v="6"/>
    <x v="1"/>
    <s v="SR-20425"/>
    <s v="Sharelle Roach"/>
    <s v="Colorado"/>
    <x v="0"/>
    <s v="Binders"/>
    <s v="GBC VeloBinder Manual Binding System"/>
    <n v="21.594000000000005"/>
    <n v="2"/>
  </r>
  <r>
    <x v="667"/>
    <d v="2016-04-23T00:00:00"/>
    <n v="6"/>
    <x v="1"/>
    <s v="SR-20425"/>
    <s v="Sharelle Roach"/>
    <s v="Colorado"/>
    <x v="0"/>
    <s v="Binders"/>
    <s v="Cardinal Holdit Business Card Pockets"/>
    <n v="8.9640000000000022"/>
    <n v="6"/>
  </r>
  <r>
    <x v="667"/>
    <d v="2016-04-23T00:00:00"/>
    <n v="6"/>
    <x v="1"/>
    <s v="SR-20425"/>
    <s v="Sharelle Roach"/>
    <s v="Colorado"/>
    <x v="0"/>
    <s v="Paper"/>
    <s v="Xerox 225"/>
    <n v="20.736000000000004"/>
    <n v="4"/>
  </r>
  <r>
    <x v="667"/>
    <d v="2016-04-22T00:00:00"/>
    <n v="5"/>
    <x v="1"/>
    <s v="PS-18760"/>
    <s v="Pamela Stobb"/>
    <s v="California"/>
    <x v="0"/>
    <s v="Paper"/>
    <s v="Rediform S.O.S. 1-Up Phone Message Bk, 4-1/4x3-1/16 Bk, 1 Form/Pg, 40 Messages/Bk, 3/Pk"/>
    <n v="28.14"/>
    <n v="3"/>
  </r>
  <r>
    <x v="667"/>
    <d v="2016-04-22T00:00:00"/>
    <n v="5"/>
    <x v="1"/>
    <s v="PS-18760"/>
    <s v="Pamela Stobb"/>
    <s v="California"/>
    <x v="0"/>
    <s v="Labels"/>
    <s v="Avery 517"/>
    <n v="7.38"/>
    <n v="2"/>
  </r>
  <r>
    <x v="667"/>
    <d v="2016-04-22T00:00:00"/>
    <n v="5"/>
    <x v="1"/>
    <s v="PS-18760"/>
    <s v="Pamela Stobb"/>
    <s v="California"/>
    <x v="0"/>
    <s v="Fasteners"/>
    <s v="Stockwell Push Pins"/>
    <n v="10.9"/>
    <n v="5"/>
  </r>
  <r>
    <x v="667"/>
    <d v="2016-04-22T00:00:00"/>
    <n v="5"/>
    <x v="1"/>
    <s v="PS-18760"/>
    <s v="Pamela Stobb"/>
    <s v="California"/>
    <x v="2"/>
    <s v="Accessories"/>
    <s v="Logitech Wireless Touch Keyboard K400"/>
    <n v="274.89"/>
    <n v="11"/>
  </r>
  <r>
    <x v="667"/>
    <d v="2016-04-22T00:00:00"/>
    <n v="5"/>
    <x v="1"/>
    <s v="PS-18760"/>
    <s v="Pamela Stobb"/>
    <s v="California"/>
    <x v="0"/>
    <s v="Labels"/>
    <s v="Avery 474"/>
    <n v="23.04"/>
    <n v="8"/>
  </r>
  <r>
    <x v="667"/>
    <d v="2016-04-22T00:00:00"/>
    <n v="5"/>
    <x v="1"/>
    <s v="PS-18760"/>
    <s v="Pamela Stobb"/>
    <s v="California"/>
    <x v="1"/>
    <s v="Chairs"/>
    <s v="Global Wood Trimmed Manager's Task Chair, Khaki"/>
    <n v="218.35200000000003"/>
    <n v="3"/>
  </r>
  <r>
    <x v="668"/>
    <d v="2016-04-24T00:00:00"/>
    <n v="3"/>
    <x v="2"/>
    <s v="JW-15955"/>
    <s v="Joni Wasserman"/>
    <s v="Washington"/>
    <x v="2"/>
    <s v="Accessories"/>
    <s v="Verbatim Slim CD and DVD Storage Cases, 50/Pack"/>
    <n v="11.54"/>
    <n v="1"/>
  </r>
  <r>
    <x v="668"/>
    <d v="2016-04-24T00:00:00"/>
    <n v="3"/>
    <x v="2"/>
    <s v="JW-15955"/>
    <s v="Joni Wasserman"/>
    <s v="Washington"/>
    <x v="1"/>
    <s v="Furnishings"/>
    <s v="Eldon Advantage Foldable Chair Mats for Low Pile Carpets"/>
    <n v="162.60000000000002"/>
    <n v="3"/>
  </r>
  <r>
    <x v="669"/>
    <d v="2016-04-24T00:00:00"/>
    <n v="2"/>
    <x v="2"/>
    <s v="GM-14440"/>
    <s v="Gary McGarr"/>
    <s v="California"/>
    <x v="1"/>
    <s v="Furnishings"/>
    <s v="Eldon Stackable Tray, Side-Load, Legal, Smoke"/>
    <n v="18.28"/>
    <n v="2"/>
  </r>
  <r>
    <x v="670"/>
    <d v="2016-04-25T00:00:00"/>
    <n v="2"/>
    <x v="0"/>
    <s v="JF-15355"/>
    <s v="Jay Fein"/>
    <s v="California"/>
    <x v="1"/>
    <s v="Furnishings"/>
    <s v="DAX Two-Tone Rosewood/Black Document Frame, Desktop, 5 x 7"/>
    <n v="66.36"/>
    <n v="7"/>
  </r>
  <r>
    <x v="670"/>
    <d v="2016-04-25T00:00:00"/>
    <n v="2"/>
    <x v="0"/>
    <s v="JF-15355"/>
    <s v="Jay Fein"/>
    <s v="California"/>
    <x v="0"/>
    <s v="Binders"/>
    <s v="GBC Durable Plastic Covers"/>
    <n v="92.88000000000001"/>
    <n v="6"/>
  </r>
  <r>
    <x v="670"/>
    <d v="2016-04-25T00:00:00"/>
    <n v="2"/>
    <x v="0"/>
    <s v="JF-15355"/>
    <s v="Jay Fein"/>
    <s v="California"/>
    <x v="1"/>
    <s v="Furnishings"/>
    <s v="Eldon 500 Class Desk Accessories"/>
    <n v="24.14"/>
    <n v="2"/>
  </r>
  <r>
    <x v="670"/>
    <d v="2016-04-26T00:00:00"/>
    <n v="3"/>
    <x v="2"/>
    <s v="SO-20335"/>
    <s v="Sean O'Donnell"/>
    <s v="Colorado"/>
    <x v="0"/>
    <s v="Envelopes"/>
    <s v="Staple envelope"/>
    <n v="18.687999999999999"/>
    <n v="2"/>
  </r>
  <r>
    <x v="670"/>
    <d v="2016-04-26T00:00:00"/>
    <n v="3"/>
    <x v="2"/>
    <s v="SO-20335"/>
    <s v="Sean O'Donnell"/>
    <s v="Colorado"/>
    <x v="1"/>
    <s v="Furnishings"/>
    <s v="Eldon Imàge Series Desk Accessories, Clear"/>
    <n v="11.664000000000001"/>
    <n v="3"/>
  </r>
  <r>
    <x v="671"/>
    <d v="2016-04-28T00:00:00"/>
    <n v="4"/>
    <x v="1"/>
    <s v="MG-17890"/>
    <s v="Michael Granlund"/>
    <s v="California"/>
    <x v="0"/>
    <s v="Fasteners"/>
    <s v="Colored Push Pins"/>
    <n v="1.81"/>
    <n v="1"/>
  </r>
  <r>
    <x v="671"/>
    <d v="2016-04-25T00:00:00"/>
    <n v="1"/>
    <x v="2"/>
    <s v="SV-20935"/>
    <s v="Susan Vittorini"/>
    <s v="Arizona"/>
    <x v="2"/>
    <s v="Phones"/>
    <s v="AT&amp;T 841000 Phone"/>
    <n v="552"/>
    <n v="10"/>
  </r>
  <r>
    <x v="672"/>
    <d v="2016-04-29T00:00:00"/>
    <n v="4"/>
    <x v="0"/>
    <s v="MB-18085"/>
    <s v="Mick Brown"/>
    <s v="California"/>
    <x v="0"/>
    <s v="Binders"/>
    <s v="Cardinal Slant-D Ring Binder, Heavy Gauge Vinyl"/>
    <n v="13.904"/>
    <n v="2"/>
  </r>
  <r>
    <x v="672"/>
    <d v="2016-04-29T00:00:00"/>
    <n v="4"/>
    <x v="1"/>
    <s v="LH-16750"/>
    <s v="Larry Hughes"/>
    <s v="Arizona"/>
    <x v="0"/>
    <s v="Art"/>
    <s v="Newell 318"/>
    <n v="8.895999999999999"/>
    <n v="4"/>
  </r>
  <r>
    <x v="672"/>
    <d v="2016-05-02T00:00:00"/>
    <n v="7"/>
    <x v="1"/>
    <s v="LL-16840"/>
    <s v="Lauren Leatherbury"/>
    <s v="California"/>
    <x v="0"/>
    <s v="Paper"/>
    <s v="Telephone Message Books with Fax/Mobile Section, 5 1/2&quot; x 3 3/16&quot;"/>
    <n v="19.049999999999997"/>
    <n v="3"/>
  </r>
  <r>
    <x v="672"/>
    <d v="2016-05-02T00:00:00"/>
    <n v="7"/>
    <x v="1"/>
    <s v="LL-16840"/>
    <s v="Lauren Leatherbury"/>
    <s v="California"/>
    <x v="0"/>
    <s v="Binders"/>
    <s v="Surelock Post Binders"/>
    <n v="73.343999999999994"/>
    <n v="3"/>
  </r>
  <r>
    <x v="672"/>
    <d v="2016-04-27T00:00:00"/>
    <n v="2"/>
    <x v="0"/>
    <s v="SG-20605"/>
    <s v="Speros Goranitis"/>
    <s v="California"/>
    <x v="2"/>
    <s v="Accessories"/>
    <s v="Sony 64GB Class 10 Micro SDHC R40 Memory Card"/>
    <n v="107.97"/>
    <n v="3"/>
  </r>
  <r>
    <x v="672"/>
    <d v="2016-04-27T00:00:00"/>
    <n v="2"/>
    <x v="0"/>
    <s v="RL-19615"/>
    <s v="Rob Lucas"/>
    <s v="California"/>
    <x v="1"/>
    <s v="Bookcases"/>
    <s v="Bush Westfield Collection Bookcases, Medium Cherry Finish"/>
    <n v="344.98099999999994"/>
    <n v="7"/>
  </r>
  <r>
    <x v="673"/>
    <d v="2016-05-01T00:00:00"/>
    <n v="5"/>
    <x v="1"/>
    <s v="PO-19180"/>
    <s v="Philisse Overcash"/>
    <s v="Washington"/>
    <x v="0"/>
    <s v="Paper"/>
    <s v="Strathmore Photo Mount Cards"/>
    <n v="20.34"/>
    <n v="3"/>
  </r>
  <r>
    <x v="673"/>
    <d v="2016-05-01T00:00:00"/>
    <n v="5"/>
    <x v="1"/>
    <s v="PO-19180"/>
    <s v="Philisse Overcash"/>
    <s v="Washington"/>
    <x v="0"/>
    <s v="Labels"/>
    <s v="Avery 478"/>
    <n v="39.28"/>
    <n v="8"/>
  </r>
  <r>
    <x v="674"/>
    <d v="2016-04-29T00:00:00"/>
    <n v="2"/>
    <x v="2"/>
    <s v="AP-10915"/>
    <s v="Arthur Prichep"/>
    <s v="California"/>
    <x v="0"/>
    <s v="Art"/>
    <s v="Boston School Pro Electric Pencil Sharpener, 1670"/>
    <n v="123.92"/>
    <n v="4"/>
  </r>
  <r>
    <x v="674"/>
    <d v="2016-04-29T00:00:00"/>
    <n v="2"/>
    <x v="2"/>
    <s v="AP-10915"/>
    <s v="Arthur Prichep"/>
    <s v="California"/>
    <x v="0"/>
    <s v="Art"/>
    <s v="Newell Chalk Holder"/>
    <n v="12.39"/>
    <n v="3"/>
  </r>
  <r>
    <x v="674"/>
    <d v="2016-04-29T00:00:00"/>
    <n v="2"/>
    <x v="2"/>
    <s v="AP-10915"/>
    <s v="Arthur Prichep"/>
    <s v="California"/>
    <x v="0"/>
    <s v="Art"/>
    <s v="Boston Home &amp; Office Model 2000 Electric Pencil Sharpeners"/>
    <n v="47.3"/>
    <n v="2"/>
  </r>
  <r>
    <x v="674"/>
    <d v="2016-05-02T00:00:00"/>
    <n v="5"/>
    <x v="1"/>
    <s v="HM-14980"/>
    <s v="Henry MacAllister"/>
    <s v="Washington"/>
    <x v="1"/>
    <s v="Furnishings"/>
    <s v="Luxo Economy Swing Arm Lamp"/>
    <n v="139.58000000000001"/>
    <n v="7"/>
  </r>
  <r>
    <x v="675"/>
    <d v="2016-05-05T00:00:00"/>
    <n v="5"/>
    <x v="1"/>
    <s v="AD-10180"/>
    <s v="Alan Dominguez"/>
    <s v="California"/>
    <x v="0"/>
    <s v="Paper"/>
    <s v="Xerox 1919"/>
    <n v="163.96"/>
    <n v="4"/>
  </r>
  <r>
    <x v="675"/>
    <d v="2016-05-05T00:00:00"/>
    <n v="5"/>
    <x v="1"/>
    <s v="DJ-13510"/>
    <s v="Don Jones"/>
    <s v="California"/>
    <x v="1"/>
    <s v="Furnishings"/>
    <s v="Seth Thomas 16&quot; Steel Case Clock"/>
    <n v="64.959999999999994"/>
    <n v="2"/>
  </r>
  <r>
    <x v="675"/>
    <d v="2016-05-05T00:00:00"/>
    <n v="5"/>
    <x v="1"/>
    <s v="DJ-13510"/>
    <s v="Don Jones"/>
    <s v="California"/>
    <x v="0"/>
    <s v="Envelopes"/>
    <s v="#10- 4 1/8&quot; x 9 1/2&quot; Security-Tint Envelopes"/>
    <n v="30.56"/>
    <n v="4"/>
  </r>
  <r>
    <x v="675"/>
    <d v="2016-05-05T00:00:00"/>
    <n v="5"/>
    <x v="1"/>
    <s v="EA-14035"/>
    <s v="Erin Ashbrook"/>
    <s v="California"/>
    <x v="0"/>
    <s v="Art"/>
    <s v="Faber Castell Col-Erase Pencils"/>
    <n v="9.7799999999999994"/>
    <n v="2"/>
  </r>
  <r>
    <x v="675"/>
    <d v="2016-05-04T00:00:00"/>
    <n v="4"/>
    <x v="1"/>
    <s v="NZ-18565"/>
    <s v="Nick Zandusky"/>
    <s v="California"/>
    <x v="0"/>
    <s v="Binders"/>
    <s v="Fellowes Black Plastic Comb Bindings"/>
    <n v="23.24"/>
    <n v="5"/>
  </r>
  <r>
    <x v="676"/>
    <d v="2016-05-05T00:00:00"/>
    <n v="3"/>
    <x v="0"/>
    <s v="EM-13825"/>
    <s v="Elizabeth Moffitt"/>
    <s v="California"/>
    <x v="2"/>
    <s v="Accessories"/>
    <s v="Logitech MX Performance Wireless Mouse"/>
    <n v="159.56"/>
    <n v="4"/>
  </r>
  <r>
    <x v="676"/>
    <d v="2016-05-06T00:00:00"/>
    <n v="4"/>
    <x v="1"/>
    <s v="DD-13570"/>
    <s v="Dorothy Dickinson"/>
    <s v="California"/>
    <x v="0"/>
    <s v="Paper"/>
    <s v="Adams &quot;While You Were Out&quot; Message Pads"/>
    <n v="15.700000000000001"/>
    <n v="5"/>
  </r>
  <r>
    <x v="676"/>
    <d v="2016-05-06T00:00:00"/>
    <n v="4"/>
    <x v="1"/>
    <s v="DD-13570"/>
    <s v="Dorothy Dickinson"/>
    <s v="California"/>
    <x v="0"/>
    <s v="Art"/>
    <s v="Newell 34"/>
    <n v="59.519999999999996"/>
    <n v="3"/>
  </r>
  <r>
    <x v="676"/>
    <d v="2016-05-06T00:00:00"/>
    <n v="4"/>
    <x v="1"/>
    <s v="DD-13570"/>
    <s v="Dorothy Dickinson"/>
    <s v="California"/>
    <x v="0"/>
    <s v="Paper"/>
    <s v="Adams Phone Message Book, 200 Message Capacity, 8 1/16” x 11”"/>
    <n v="34.4"/>
    <n v="5"/>
  </r>
  <r>
    <x v="677"/>
    <d v="2016-05-08T00:00:00"/>
    <n v="5"/>
    <x v="0"/>
    <s v="DB-12970"/>
    <s v="Darren Budd"/>
    <s v="California"/>
    <x v="0"/>
    <s v="Storage"/>
    <s v="Multi-Use Personal File Cart and Caster Set, Three Stacking Bins"/>
    <n v="69.52"/>
    <n v="2"/>
  </r>
  <r>
    <x v="677"/>
    <d v="2016-05-08T00:00:00"/>
    <n v="5"/>
    <x v="0"/>
    <s v="DB-12970"/>
    <s v="Darren Budd"/>
    <s v="California"/>
    <x v="0"/>
    <s v="Storage"/>
    <s v="Fellowes Stor/Drawer Steel Plus Storage Drawers"/>
    <n v="763.44"/>
    <n v="8"/>
  </r>
  <r>
    <x v="677"/>
    <d v="2016-05-07T00:00:00"/>
    <n v="4"/>
    <x v="1"/>
    <s v="MK-18160"/>
    <s v="Mike Kennedy"/>
    <s v="California"/>
    <x v="0"/>
    <s v="Paper"/>
    <s v="Xerox 2"/>
    <n v="25.92"/>
    <n v="4"/>
  </r>
  <r>
    <x v="677"/>
    <d v="2016-05-07T00:00:00"/>
    <n v="4"/>
    <x v="1"/>
    <s v="MK-18160"/>
    <s v="Mike Kennedy"/>
    <s v="California"/>
    <x v="0"/>
    <s v="Art"/>
    <s v="Newell 350"/>
    <n v="22.959999999999997"/>
    <n v="7"/>
  </r>
  <r>
    <x v="678"/>
    <d v="2016-05-09T00:00:00"/>
    <n v="5"/>
    <x v="1"/>
    <s v="LW-16990"/>
    <s v="Lindsay Williams"/>
    <s v="California"/>
    <x v="2"/>
    <s v="Phones"/>
    <s v="Motorola L804"/>
    <n v="183.96"/>
    <n v="5"/>
  </r>
  <r>
    <x v="678"/>
    <d v="2016-05-09T00:00:00"/>
    <n v="5"/>
    <x v="1"/>
    <s v="LW-16990"/>
    <s v="Lindsay Williams"/>
    <s v="California"/>
    <x v="0"/>
    <s v="Paper"/>
    <s v="Things To Do Today Pad"/>
    <n v="17.61"/>
    <n v="3"/>
  </r>
  <r>
    <x v="678"/>
    <d v="2016-05-09T00:00:00"/>
    <n v="5"/>
    <x v="1"/>
    <s v="LW-16990"/>
    <s v="Lindsay Williams"/>
    <s v="California"/>
    <x v="1"/>
    <s v="Tables"/>
    <s v="Bretford Rectangular Conference Table Tops"/>
    <n v="300.904"/>
    <n v="1"/>
  </r>
  <r>
    <x v="678"/>
    <d v="2016-05-09T00:00:00"/>
    <n v="5"/>
    <x v="0"/>
    <s v="CC-12220"/>
    <s v="Chris Cortes"/>
    <s v="California"/>
    <x v="0"/>
    <s v="Appliances"/>
    <s v="Acco 7-Outlet Masterpiece Power Center, Wihtout Fax/Phone Line Protection"/>
    <n v="243.16"/>
    <n v="2"/>
  </r>
  <r>
    <x v="679"/>
    <d v="2016-05-09T00:00:00"/>
    <n v="4"/>
    <x v="1"/>
    <s v="DK-12985"/>
    <s v="Darren Koutras"/>
    <s v="California"/>
    <x v="0"/>
    <s v="Envelopes"/>
    <s v="Peel &amp; Seel Recycled Catalog Envelopes, Brown"/>
    <n v="23.16"/>
    <n v="2"/>
  </r>
  <r>
    <x v="679"/>
    <d v="2016-05-06T00:00:00"/>
    <n v="1"/>
    <x v="2"/>
    <s v="LH-17020"/>
    <s v="Lisa Hazard"/>
    <s v="Colorado"/>
    <x v="0"/>
    <s v="Envelopes"/>
    <s v="Redi-Strip #10 Envelopes, 4 1/8 x 9 1/2"/>
    <n v="21.240000000000002"/>
    <n v="9"/>
  </r>
  <r>
    <x v="679"/>
    <d v="2016-05-06T00:00:00"/>
    <n v="1"/>
    <x v="2"/>
    <s v="LH-17020"/>
    <s v="Lisa Hazard"/>
    <s v="Colorado"/>
    <x v="0"/>
    <s v="Binders"/>
    <s v="Avery Durable Slant Ring Binders, No Labels"/>
    <n v="9.5520000000000014"/>
    <n v="8"/>
  </r>
  <r>
    <x v="679"/>
    <d v="2016-05-06T00:00:00"/>
    <n v="1"/>
    <x v="2"/>
    <s v="LH-17020"/>
    <s v="Lisa Hazard"/>
    <s v="Colorado"/>
    <x v="1"/>
    <s v="Bookcases"/>
    <s v="Bestar Classic Bookcase"/>
    <n v="89.991000000000014"/>
    <n v="3"/>
  </r>
  <r>
    <x v="680"/>
    <d v="2016-05-09T00:00:00"/>
    <n v="3"/>
    <x v="0"/>
    <s v="TS-21655"/>
    <s v="Trudy Schmidt"/>
    <s v="California"/>
    <x v="0"/>
    <s v="Appliances"/>
    <s v="Eureka The Boss Cordless Rechargeable Stick Vac"/>
    <n v="152.94"/>
    <n v="3"/>
  </r>
  <r>
    <x v="680"/>
    <d v="2016-05-10T00:00:00"/>
    <n v="4"/>
    <x v="1"/>
    <s v="DB-13615"/>
    <s v="Doug Bickford"/>
    <s v="Arizona"/>
    <x v="0"/>
    <s v="Paper"/>
    <s v="Xerox 1883"/>
    <n v="84.415999999999997"/>
    <n v="4"/>
  </r>
  <r>
    <x v="681"/>
    <d v="2016-05-12T00:00:00"/>
    <n v="5"/>
    <x v="1"/>
    <s v="AB-10060"/>
    <s v="Adam Bellavance"/>
    <s v="California"/>
    <x v="2"/>
    <s v="Accessories"/>
    <s v="Logitech G600 MMO Gaming Mouse"/>
    <n v="79.989999999999995"/>
    <n v="1"/>
  </r>
  <r>
    <x v="681"/>
    <d v="2016-05-11T00:00:00"/>
    <n v="4"/>
    <x v="1"/>
    <s v="CS-11950"/>
    <s v="Carlos Soltero"/>
    <s v="California"/>
    <x v="2"/>
    <s v="Phones"/>
    <s v="Blue Parrot B250XT Professional Grade Wireless Bluetooth Headset with"/>
    <n v="419.94399999999996"/>
    <n v="7"/>
  </r>
  <r>
    <x v="682"/>
    <d v="2016-05-12T00:00:00"/>
    <n v="4"/>
    <x v="1"/>
    <s v="PS-19045"/>
    <s v="Penelope Sewall"/>
    <s v="California"/>
    <x v="2"/>
    <s v="Copiers"/>
    <s v="Canon Imageclass D680 Copier / Fax"/>
    <n v="3359.9520000000002"/>
    <n v="6"/>
  </r>
  <r>
    <x v="682"/>
    <d v="2016-05-12T00:00:00"/>
    <n v="4"/>
    <x v="0"/>
    <s v="MM-18055"/>
    <s v="Michelle Moray"/>
    <s v="California"/>
    <x v="0"/>
    <s v="Appliances"/>
    <s v="Fellowes Mighty 8 Compact Surge Protector"/>
    <n v="81.08"/>
    <n v="4"/>
  </r>
  <r>
    <x v="683"/>
    <d v="2016-05-11T00:00:00"/>
    <n v="2"/>
    <x v="2"/>
    <s v="LB-16795"/>
    <s v="Laurel Beltran"/>
    <s v="Washington"/>
    <x v="0"/>
    <s v="Binders"/>
    <s v="GBC Velobind Prepunched Cover Sets, Regency Series"/>
    <n v="147.91999999999999"/>
    <n v="5"/>
  </r>
  <r>
    <x v="683"/>
    <d v="2016-05-11T00:00:00"/>
    <n v="2"/>
    <x v="2"/>
    <s v="LB-16795"/>
    <s v="Laurel Beltran"/>
    <s v="Washington"/>
    <x v="0"/>
    <s v="Storage"/>
    <s v="Home/Office Personal File Carts"/>
    <n v="104.28"/>
    <n v="3"/>
  </r>
  <r>
    <x v="683"/>
    <d v="2016-05-11T00:00:00"/>
    <n v="2"/>
    <x v="2"/>
    <s v="LB-16795"/>
    <s v="Laurel Beltran"/>
    <s v="Washington"/>
    <x v="1"/>
    <s v="Tables"/>
    <s v="Riverside Furniture Oval Coffee Table, Oval End Table, End Table with Drawer"/>
    <n v="286.85000000000002"/>
    <n v="1"/>
  </r>
  <r>
    <x v="683"/>
    <d v="2016-05-11T00:00:00"/>
    <n v="2"/>
    <x v="2"/>
    <s v="LB-16795"/>
    <s v="Laurel Beltran"/>
    <s v="Washington"/>
    <x v="0"/>
    <s v="Storage"/>
    <s v="Rogers Profile Extra Capacity Storage Tub"/>
    <n v="66.959999999999994"/>
    <n v="4"/>
  </r>
  <r>
    <x v="683"/>
    <d v="2016-05-11T00:00:00"/>
    <n v="2"/>
    <x v="2"/>
    <s v="LB-16795"/>
    <s v="Laurel Beltran"/>
    <s v="Washington"/>
    <x v="2"/>
    <s v="Accessories"/>
    <s v="Razer Kraken 7.1 Surround Sound Over Ear USB Gaming Headset"/>
    <n v="199.98"/>
    <n v="2"/>
  </r>
  <r>
    <x v="684"/>
    <d v="2016-05-12T00:00:00"/>
    <n v="1"/>
    <x v="3"/>
    <s v="LP-17080"/>
    <s v="Liz Pelletier"/>
    <s v="Washington"/>
    <x v="0"/>
    <s v="Paper"/>
    <s v="Ampad Phone Message Book, Recycled, 400 Message Capacity, 5 ¾” x 11”"/>
    <n v="37.44"/>
    <n v="6"/>
  </r>
  <r>
    <x v="684"/>
    <d v="2016-05-12T00:00:00"/>
    <n v="1"/>
    <x v="3"/>
    <s v="LP-17080"/>
    <s v="Liz Pelletier"/>
    <s v="Washington"/>
    <x v="0"/>
    <s v="Labels"/>
    <s v="Avery 50"/>
    <n v="37.589999999999996"/>
    <n v="3"/>
  </r>
  <r>
    <x v="684"/>
    <d v="2016-05-12T00:00:00"/>
    <n v="1"/>
    <x v="3"/>
    <s v="LP-17080"/>
    <s v="Liz Pelletier"/>
    <s v="Washington"/>
    <x v="0"/>
    <s v="Binders"/>
    <s v="Acco Flexible ACCOHIDE Square Ring Data Binder, Dark Blue, 11 1/2&quot; X 14&quot; 7/8&quot;"/>
    <n v="26.032"/>
    <n v="2"/>
  </r>
  <r>
    <x v="684"/>
    <d v="2016-05-13T00:00:00"/>
    <n v="2"/>
    <x v="2"/>
    <s v="TS-21370"/>
    <s v="Todd Sumrall"/>
    <s v="Arizona"/>
    <x v="1"/>
    <s v="Bookcases"/>
    <s v="Bestar Classic Bookcase"/>
    <n v="209.97900000000001"/>
    <n v="7"/>
  </r>
  <r>
    <x v="685"/>
    <d v="2016-05-18T00:00:00"/>
    <n v="6"/>
    <x v="1"/>
    <s v="CS-12175"/>
    <s v="Charles Sheldon"/>
    <s v="California"/>
    <x v="0"/>
    <s v="Supplies"/>
    <s v="Compact Automatic Electric Letter Opener"/>
    <n v="238.62"/>
    <n v="2"/>
  </r>
  <r>
    <x v="685"/>
    <d v="2016-05-18T00:00:00"/>
    <n v="6"/>
    <x v="1"/>
    <s v="CS-12175"/>
    <s v="Charles Sheldon"/>
    <s v="California"/>
    <x v="0"/>
    <s v="Appliances"/>
    <s v="Hoover Commercial Soft Guard Upright Vacuum And Disposable Filtration Bags"/>
    <n v="7.77"/>
    <n v="1"/>
  </r>
  <r>
    <x v="685"/>
    <d v="2016-05-18T00:00:00"/>
    <n v="6"/>
    <x v="1"/>
    <s v="CS-12175"/>
    <s v="Charles Sheldon"/>
    <s v="California"/>
    <x v="1"/>
    <s v="Tables"/>
    <s v="Lesro Sheffield Collection Coffee Table, End Table, Center Table, Corner Table"/>
    <n v="285.48"/>
    <n v="5"/>
  </r>
  <r>
    <x v="685"/>
    <d v="2016-05-18T00:00:00"/>
    <n v="6"/>
    <x v="1"/>
    <s v="CS-12175"/>
    <s v="Charles Sheldon"/>
    <s v="California"/>
    <x v="0"/>
    <s v="Binders"/>
    <s v="DXL Angle-View Binders with Locking Rings, Black"/>
    <n v="19.168000000000003"/>
    <n v="4"/>
  </r>
  <r>
    <x v="686"/>
    <d v="2016-05-20T00:00:00"/>
    <n v="7"/>
    <x v="1"/>
    <s v="RB-19795"/>
    <s v="Ross Baird"/>
    <s v="California"/>
    <x v="0"/>
    <s v="Labels"/>
    <s v="Self-Adhesive Address Labels for Typewriters by Universal"/>
    <n v="58.48"/>
    <n v="8"/>
  </r>
  <r>
    <x v="687"/>
    <d v="2016-05-14T00:00:00"/>
    <n v="0"/>
    <x v="3"/>
    <s v="PJ-19015"/>
    <s v="Pauline Johnson"/>
    <s v="California"/>
    <x v="1"/>
    <s v="Furnishings"/>
    <s v="Eldon Stackable Tray, Side-Load, Legal, Smoke"/>
    <n v="18.28"/>
    <n v="2"/>
  </r>
  <r>
    <x v="687"/>
    <d v="2016-05-14T00:00:00"/>
    <n v="0"/>
    <x v="3"/>
    <s v="PJ-19015"/>
    <s v="Pauline Johnson"/>
    <s v="California"/>
    <x v="2"/>
    <s v="Accessories"/>
    <s v="Razer Tiamat Over Ear 7.1 Surround Sound PC Gaming Headset"/>
    <n v="1399.93"/>
    <n v="7"/>
  </r>
  <r>
    <x v="687"/>
    <d v="2016-05-19T00:00:00"/>
    <n v="5"/>
    <x v="1"/>
    <s v="KB-16585"/>
    <s v="Ken Black"/>
    <s v="Washington"/>
    <x v="0"/>
    <s v="Paper"/>
    <s v="Xerox 1917"/>
    <n v="440.18999999999994"/>
    <n v="9"/>
  </r>
  <r>
    <x v="687"/>
    <d v="2016-05-19T00:00:00"/>
    <n v="5"/>
    <x v="1"/>
    <s v="KB-16585"/>
    <s v="Ken Black"/>
    <s v="Washington"/>
    <x v="0"/>
    <s v="Supplies"/>
    <s v="Martin-Yale Premier Letter Opener"/>
    <n v="64.400000000000006"/>
    <n v="5"/>
  </r>
  <r>
    <x v="688"/>
    <d v="2016-05-18T00:00:00"/>
    <n v="3"/>
    <x v="0"/>
    <s v="JA-15970"/>
    <s v="Joseph Airdo"/>
    <s v="Arizona"/>
    <x v="2"/>
    <s v="Phones"/>
    <s v="Logitech B530 USB Headset - headset - Full size, Binaural"/>
    <n v="29.592000000000002"/>
    <n v="1"/>
  </r>
  <r>
    <x v="688"/>
    <d v="2016-05-18T00:00:00"/>
    <n v="3"/>
    <x v="0"/>
    <s v="JA-15970"/>
    <s v="Joseph Airdo"/>
    <s v="Arizona"/>
    <x v="0"/>
    <s v="Binders"/>
    <s v="Avery Durable Slant Ring Binders"/>
    <n v="4.7520000000000007"/>
    <n v="2"/>
  </r>
  <r>
    <x v="688"/>
    <d v="2016-05-18T00:00:00"/>
    <n v="3"/>
    <x v="0"/>
    <s v="JA-15970"/>
    <s v="Joseph Airdo"/>
    <s v="Arizona"/>
    <x v="0"/>
    <s v="Paper"/>
    <s v="Universal Ultra Bright White Copier/Laser Paper, 8 1/2&quot; x 11&quot;, Ream"/>
    <n v="15.552000000000003"/>
    <n v="3"/>
  </r>
  <r>
    <x v="688"/>
    <d v="2016-05-20T00:00:00"/>
    <n v="5"/>
    <x v="1"/>
    <s v="JF-15295"/>
    <s v="Jason Fortune-"/>
    <s v="Washington"/>
    <x v="1"/>
    <s v="Furnishings"/>
    <s v="24-Hour Round Wall Clock"/>
    <n v="39.96"/>
    <n v="2"/>
  </r>
  <r>
    <x v="688"/>
    <d v="2016-05-20T00:00:00"/>
    <n v="5"/>
    <x v="1"/>
    <s v="JF-15295"/>
    <s v="Jason Fortune-"/>
    <s v="Washington"/>
    <x v="1"/>
    <s v="Chairs"/>
    <s v="SAFCO Optional Arm Kit for Workspace Cribbage Stacking Chair"/>
    <n v="42.624000000000002"/>
    <n v="2"/>
  </r>
  <r>
    <x v="688"/>
    <d v="2016-05-20T00:00:00"/>
    <n v="5"/>
    <x v="1"/>
    <s v="JF-15295"/>
    <s v="Jason Fortune-"/>
    <s v="Washington"/>
    <x v="1"/>
    <s v="Chairs"/>
    <s v="SAFCO Arco Folding Chair"/>
    <n v="220.96"/>
    <n v="1"/>
  </r>
  <r>
    <x v="689"/>
    <d v="2016-05-20T00:00:00"/>
    <n v="2"/>
    <x v="2"/>
    <s v="AB-10105"/>
    <s v="Adrian Barton"/>
    <s v="Oregon"/>
    <x v="2"/>
    <s v="Phones"/>
    <s v="Aastra 6757i CT Wireless VoIP phone"/>
    <n v="344.70400000000001"/>
    <n v="2"/>
  </r>
  <r>
    <x v="690"/>
    <d v="2016-05-23T00:00:00"/>
    <n v="4"/>
    <x v="1"/>
    <s v="AT-10735"/>
    <s v="Annie Thurman"/>
    <s v="Washington"/>
    <x v="0"/>
    <s v="Appliances"/>
    <s v="Belkin Premiere Surge Master II 8-outlet surge protector"/>
    <n v="97.16"/>
    <n v="2"/>
  </r>
  <r>
    <x v="690"/>
    <d v="2016-05-21T00:00:00"/>
    <n v="2"/>
    <x v="0"/>
    <s v="BC-11125"/>
    <s v="Becky Castell"/>
    <s v="California"/>
    <x v="1"/>
    <s v="Chairs"/>
    <s v="Situations Contoured Folding Chairs, 4/Set"/>
    <n v="681.40800000000013"/>
    <n v="12"/>
  </r>
  <r>
    <x v="690"/>
    <d v="2016-05-21T00:00:00"/>
    <n v="2"/>
    <x v="0"/>
    <s v="BC-11125"/>
    <s v="Becky Castell"/>
    <s v="California"/>
    <x v="0"/>
    <s v="Art"/>
    <s v="Newell 310"/>
    <n v="3.52"/>
    <n v="2"/>
  </r>
  <r>
    <x v="690"/>
    <d v="2016-05-21T00:00:00"/>
    <n v="2"/>
    <x v="0"/>
    <s v="BC-11125"/>
    <s v="Becky Castell"/>
    <s v="California"/>
    <x v="0"/>
    <s v="Art"/>
    <s v="Newell 314"/>
    <n v="5.58"/>
    <n v="1"/>
  </r>
  <r>
    <x v="690"/>
    <d v="2016-05-21T00:00:00"/>
    <n v="2"/>
    <x v="0"/>
    <s v="BC-11125"/>
    <s v="Becky Castell"/>
    <s v="California"/>
    <x v="2"/>
    <s v="Accessories"/>
    <s v="SanDisk Cruzer 64 GB USB Flash Drive"/>
    <n v="36.32"/>
    <n v="1"/>
  </r>
  <r>
    <x v="690"/>
    <d v="2016-05-24T00:00:00"/>
    <n v="5"/>
    <x v="1"/>
    <s v="SA-20830"/>
    <s v="Sue Ann Reed"/>
    <s v="California"/>
    <x v="0"/>
    <s v="Binders"/>
    <s v="GBC Twin Loop Wire Binding Elements"/>
    <n v="133.12"/>
    <n v="5"/>
  </r>
  <r>
    <x v="691"/>
    <d v="2016-05-24T00:00:00"/>
    <n v="4"/>
    <x v="1"/>
    <s v="CC-12430"/>
    <s v="Chuck Clark"/>
    <s v="California"/>
    <x v="1"/>
    <s v="Chairs"/>
    <s v="Global Geo Office Task Chair, Gray"/>
    <n v="518.27200000000005"/>
    <n v="8"/>
  </r>
  <r>
    <x v="691"/>
    <d v="2016-05-24T00:00:00"/>
    <n v="4"/>
    <x v="1"/>
    <s v="CC-12430"/>
    <s v="Chuck Clark"/>
    <s v="California"/>
    <x v="1"/>
    <s v="Furnishings"/>
    <s v="G.E. Halogen Desk Lamp Bulbs"/>
    <n v="6.98"/>
    <n v="1"/>
  </r>
  <r>
    <x v="691"/>
    <d v="2016-05-24T00:00:00"/>
    <n v="4"/>
    <x v="1"/>
    <s v="CC-12430"/>
    <s v="Chuck Clark"/>
    <s v="California"/>
    <x v="2"/>
    <s v="Machines"/>
    <s v="Okidata B400 Printer"/>
    <n v="343.20000000000005"/>
    <n v="1"/>
  </r>
  <r>
    <x v="691"/>
    <d v="2016-05-26T00:00:00"/>
    <n v="6"/>
    <x v="1"/>
    <s v="RD-19480"/>
    <s v="Rick Duston"/>
    <s v="Nevada"/>
    <x v="0"/>
    <s v="Binders"/>
    <s v="Wilson Jones Impact Binders"/>
    <n v="8.2880000000000003"/>
    <n v="2"/>
  </r>
  <r>
    <x v="691"/>
    <d v="2016-05-26T00:00:00"/>
    <n v="6"/>
    <x v="1"/>
    <s v="RD-19480"/>
    <s v="Rick Duston"/>
    <s v="Nevada"/>
    <x v="2"/>
    <s v="Phones"/>
    <s v="Motorola L703CM"/>
    <n v="1123.1280000000002"/>
    <n v="9"/>
  </r>
  <r>
    <x v="691"/>
    <d v="2016-05-26T00:00:00"/>
    <n v="6"/>
    <x v="1"/>
    <s v="RD-19480"/>
    <s v="Rick Duston"/>
    <s v="Nevada"/>
    <x v="0"/>
    <s v="Appliances"/>
    <s v="Fellowes Basic Home/Office Series Surge Protectors"/>
    <n v="64.900000000000006"/>
    <n v="5"/>
  </r>
  <r>
    <x v="692"/>
    <d v="2016-05-25T00:00:00"/>
    <n v="3"/>
    <x v="0"/>
    <s v="EH-13945"/>
    <s v="Eric Hoffmann"/>
    <s v="California"/>
    <x v="2"/>
    <s v="Accessories"/>
    <s v="Maxell 74 Minute CDR, 10/Pack"/>
    <n v="68.459999999999994"/>
    <n v="7"/>
  </r>
  <r>
    <x v="692"/>
    <d v="2016-05-25T00:00:00"/>
    <n v="3"/>
    <x v="2"/>
    <s v="RL-19615"/>
    <s v="Rob Lucas"/>
    <s v="California"/>
    <x v="0"/>
    <s v="Art"/>
    <s v="SANFORD Major Accent Highlighters"/>
    <n v="49.56"/>
    <n v="7"/>
  </r>
  <r>
    <x v="692"/>
    <d v="2016-05-26T00:00:00"/>
    <n v="4"/>
    <x v="1"/>
    <s v="VF-21715"/>
    <s v="Vicky Freymann"/>
    <s v="California"/>
    <x v="0"/>
    <s v="Art"/>
    <s v="Newell 350"/>
    <n v="9.84"/>
    <n v="3"/>
  </r>
  <r>
    <x v="692"/>
    <d v="2016-05-26T00:00:00"/>
    <n v="4"/>
    <x v="1"/>
    <s v="VF-21715"/>
    <s v="Vicky Freymann"/>
    <s v="California"/>
    <x v="0"/>
    <s v="Art"/>
    <s v="Newell 333"/>
    <n v="2.78"/>
    <n v="1"/>
  </r>
  <r>
    <x v="693"/>
    <d v="2016-05-29T00:00:00"/>
    <n v="6"/>
    <x v="1"/>
    <s v="VS-21820"/>
    <s v="Vivek Sundaresam"/>
    <s v="California"/>
    <x v="1"/>
    <s v="Tables"/>
    <s v="Lesro Sheffield Collection Coffee Table, End Table, Center Table, Corner Table"/>
    <n v="171.28800000000001"/>
    <n v="3"/>
  </r>
  <r>
    <x v="694"/>
    <d v="2016-05-31T00:00:00"/>
    <n v="5"/>
    <x v="1"/>
    <s v="CD-11920"/>
    <s v="Carlos Daly"/>
    <s v="California"/>
    <x v="0"/>
    <s v="Paper"/>
    <s v="Xerox 201"/>
    <n v="12.96"/>
    <n v="2"/>
  </r>
  <r>
    <x v="695"/>
    <d v="2016-05-31T00:00:00"/>
    <n v="4"/>
    <x v="1"/>
    <s v="RP-19855"/>
    <s v="Roy Phan"/>
    <s v="Washington"/>
    <x v="2"/>
    <s v="Accessories"/>
    <s v="Logitech Desktop MK120 Mouse and keyboard Combo"/>
    <n v="98.16"/>
    <n v="6"/>
  </r>
  <r>
    <x v="695"/>
    <d v="2016-05-31T00:00:00"/>
    <n v="4"/>
    <x v="1"/>
    <s v="RP-19855"/>
    <s v="Roy Phan"/>
    <s v="Washington"/>
    <x v="0"/>
    <s v="Art"/>
    <s v="Staples in misc. colors"/>
    <n v="31.44"/>
    <n v="3"/>
  </r>
  <r>
    <x v="695"/>
    <d v="2016-05-29T00:00:00"/>
    <n v="2"/>
    <x v="2"/>
    <s v="JG-15160"/>
    <s v="James Galang"/>
    <s v="Idaho"/>
    <x v="1"/>
    <s v="Furnishings"/>
    <s v="Eldon 400 Class Desk Accessories, Black Carbon"/>
    <n v="35"/>
    <n v="4"/>
  </r>
  <r>
    <x v="695"/>
    <d v="2016-05-29T00:00:00"/>
    <n v="2"/>
    <x v="2"/>
    <s v="JG-15160"/>
    <s v="James Galang"/>
    <s v="Idaho"/>
    <x v="0"/>
    <s v="Storage"/>
    <s v="Fellowes Stor/Drawer Steel Plus Storage Drawers"/>
    <n v="477.15000000000003"/>
    <n v="5"/>
  </r>
  <r>
    <x v="695"/>
    <d v="2016-05-29T00:00:00"/>
    <n v="2"/>
    <x v="2"/>
    <s v="JG-15160"/>
    <s v="James Galang"/>
    <s v="Idaho"/>
    <x v="2"/>
    <s v="Phones"/>
    <s v="Nokia Lumia 925"/>
    <n v="302.37599999999998"/>
    <n v="3"/>
  </r>
  <r>
    <x v="696"/>
    <d v="2016-06-02T00:00:00"/>
    <n v="5"/>
    <x v="1"/>
    <s v="CM-11815"/>
    <s v="Candace McMahon"/>
    <s v="Arizona"/>
    <x v="2"/>
    <s v="Phones"/>
    <s v="Panasonic KX TS208W Corded phone"/>
    <n v="195.96000000000004"/>
    <n v="5"/>
  </r>
  <r>
    <x v="696"/>
    <d v="2016-06-02T00:00:00"/>
    <n v="5"/>
    <x v="1"/>
    <s v="CM-11815"/>
    <s v="Candace McMahon"/>
    <s v="Arizona"/>
    <x v="0"/>
    <s v="Paper"/>
    <s v="Xerox 230"/>
    <n v="15.552000000000003"/>
    <n v="3"/>
  </r>
  <r>
    <x v="696"/>
    <d v="2016-06-02T00:00:00"/>
    <n v="5"/>
    <x v="1"/>
    <s v="CM-11815"/>
    <s v="Candace McMahon"/>
    <s v="Arizona"/>
    <x v="2"/>
    <s v="Accessories"/>
    <s v="Logitech Gaming G510s - Keyboard"/>
    <n v="271.96800000000002"/>
    <n v="4"/>
  </r>
  <r>
    <x v="697"/>
    <d v="2016-06-03T00:00:00"/>
    <n v="4"/>
    <x v="1"/>
    <s v="MG-17890"/>
    <s v="Michael Granlund"/>
    <s v="Oregon"/>
    <x v="2"/>
    <s v="Phones"/>
    <s v="LG G3"/>
    <n v="156.79200000000003"/>
    <n v="1"/>
  </r>
  <r>
    <x v="697"/>
    <d v="2016-06-03T00:00:00"/>
    <n v="4"/>
    <x v="1"/>
    <s v="MG-17890"/>
    <s v="Michael Granlund"/>
    <s v="Oregon"/>
    <x v="2"/>
    <s v="Accessories"/>
    <s v="SanDisk Ultra 32 GB MicroSDHC Class 10 Memory Card"/>
    <n v="35.360000000000007"/>
    <n v="2"/>
  </r>
  <r>
    <x v="697"/>
    <d v="2016-06-03T00:00:00"/>
    <n v="4"/>
    <x v="1"/>
    <s v="MG-17890"/>
    <s v="Michael Granlund"/>
    <s v="Oregon"/>
    <x v="1"/>
    <s v="Furnishings"/>
    <s v="Tensor Brushed Steel Torchiere Floor Lamp"/>
    <n v="13.591999999999999"/>
    <n v="1"/>
  </r>
  <r>
    <x v="697"/>
    <d v="2016-06-04T00:00:00"/>
    <n v="5"/>
    <x v="1"/>
    <s v="SM-20950"/>
    <s v="Suzanne McNair"/>
    <s v="California"/>
    <x v="0"/>
    <s v="Paper"/>
    <s v="Rediform S.O.S. 1-Up Phone Message Bk, 4-1/4x3-1/16 Bk, 1 Form/Pg, 40 Messages/Bk, 3/Pk"/>
    <n v="37.520000000000003"/>
    <n v="4"/>
  </r>
  <r>
    <x v="697"/>
    <d v="2016-06-03T00:00:00"/>
    <n v="4"/>
    <x v="1"/>
    <s v="KA-16525"/>
    <s v="Kelly Andreada"/>
    <s v="California"/>
    <x v="0"/>
    <s v="Art"/>
    <s v="Dixon My First Ticonderoga Pencil, #2"/>
    <n v="35.099999999999994"/>
    <n v="6"/>
  </r>
  <r>
    <x v="698"/>
    <d v="2016-06-05T00:00:00"/>
    <n v="3"/>
    <x v="0"/>
    <s v="DO-13435"/>
    <s v="Denny Ordway"/>
    <s v="Arizona"/>
    <x v="0"/>
    <s v="Paper"/>
    <s v="Xerox 4200 Series MultiUse Premium Copy Paper (20Lb. and 84 Bright)"/>
    <n v="25.344000000000001"/>
    <n v="6"/>
  </r>
  <r>
    <x v="698"/>
    <d v="2016-06-05T00:00:00"/>
    <n v="3"/>
    <x v="0"/>
    <s v="DO-13435"/>
    <s v="Denny Ordway"/>
    <s v="Arizona"/>
    <x v="0"/>
    <s v="Envelopes"/>
    <s v="Manila Recycled Extra-Heavyweight Clasp Envelopes, 6&quot; x 9&quot;"/>
    <n v="43.92"/>
    <n v="5"/>
  </r>
  <r>
    <x v="699"/>
    <d v="2016-06-08T00:00:00"/>
    <n v="5"/>
    <x v="1"/>
    <s v="GD-14590"/>
    <s v="Giulietta Dortch"/>
    <s v="Washington"/>
    <x v="2"/>
    <s v="Accessories"/>
    <s v="Plantronics Audio 995 Wireless Stereo Headset"/>
    <n v="1099.5"/>
    <n v="10"/>
  </r>
  <r>
    <x v="699"/>
    <d v="2016-06-07T00:00:00"/>
    <n v="4"/>
    <x v="1"/>
    <s v="SS-20140"/>
    <s v="Saphhira Shifley"/>
    <s v="California"/>
    <x v="2"/>
    <s v="Accessories"/>
    <s v="Kingston Digital DataTraveler 16GB USB 2.0"/>
    <n v="44.75"/>
    <n v="5"/>
  </r>
  <r>
    <x v="699"/>
    <d v="2016-06-07T00:00:00"/>
    <n v="4"/>
    <x v="1"/>
    <s v="SS-20140"/>
    <s v="Saphhira Shifley"/>
    <s v="California"/>
    <x v="0"/>
    <s v="Paper"/>
    <s v="Xerox 1947"/>
    <n v="11.96"/>
    <n v="2"/>
  </r>
  <r>
    <x v="699"/>
    <d v="2016-06-07T00:00:00"/>
    <n v="4"/>
    <x v="1"/>
    <s v="SS-20140"/>
    <s v="Saphhira Shifley"/>
    <s v="California"/>
    <x v="0"/>
    <s v="Binders"/>
    <s v="UniKeep View Case Binders"/>
    <n v="3.9119999999999999"/>
    <n v="1"/>
  </r>
  <r>
    <x v="699"/>
    <d v="2016-06-07T00:00:00"/>
    <n v="4"/>
    <x v="1"/>
    <s v="MO-17800"/>
    <s v="Meg O'Connel"/>
    <s v="Washington"/>
    <x v="0"/>
    <s v="Storage"/>
    <s v="Eldon Gobal File Keepers"/>
    <n v="136.26"/>
    <n v="9"/>
  </r>
  <r>
    <x v="700"/>
    <d v="2016-06-10T00:00:00"/>
    <n v="4"/>
    <x v="1"/>
    <s v="GH-14410"/>
    <s v="Gary Hansen"/>
    <s v="California"/>
    <x v="1"/>
    <s v="Furnishings"/>
    <s v="Eldon 300 Class Desk Accessories, Black"/>
    <n v="4.95"/>
    <n v="1"/>
  </r>
  <r>
    <x v="700"/>
    <d v="2016-06-10T00:00:00"/>
    <n v="4"/>
    <x v="1"/>
    <s v="GH-14410"/>
    <s v="Gary Hansen"/>
    <s v="California"/>
    <x v="0"/>
    <s v="Storage"/>
    <s v="Sterilite Show Offs Storage Containers"/>
    <n v="26.400000000000002"/>
    <n v="5"/>
  </r>
  <r>
    <x v="701"/>
    <d v="2016-06-10T00:00:00"/>
    <n v="2"/>
    <x v="2"/>
    <s v="MG-17680"/>
    <s v="Maureen Gastineau"/>
    <s v="California"/>
    <x v="1"/>
    <s v="Bookcases"/>
    <s v="Riverside Palais Royal Lawyers Bookcase, Royale Cherry Finish"/>
    <n v="1497.6659999999999"/>
    <n v="2"/>
  </r>
  <r>
    <x v="701"/>
    <d v="2016-06-10T00:00:00"/>
    <n v="2"/>
    <x v="2"/>
    <s v="MG-17680"/>
    <s v="Maureen Gastineau"/>
    <s v="California"/>
    <x v="2"/>
    <s v="Phones"/>
    <s v="Shocksock Galaxy S4 Armband"/>
    <n v="17.52"/>
    <n v="2"/>
  </r>
  <r>
    <x v="701"/>
    <d v="2016-06-13T00:00:00"/>
    <n v="5"/>
    <x v="1"/>
    <s v="FO-14305"/>
    <s v="Frank Olsen"/>
    <s v="Arizona"/>
    <x v="2"/>
    <s v="Accessories"/>
    <s v="Memorex Micro Travel Drive 16 GB"/>
    <n v="89.544000000000011"/>
    <n v="7"/>
  </r>
  <r>
    <x v="701"/>
    <d v="2016-06-13T00:00:00"/>
    <n v="5"/>
    <x v="1"/>
    <s v="FO-14305"/>
    <s v="Frank Olsen"/>
    <s v="Arizona"/>
    <x v="0"/>
    <s v="Storage"/>
    <s v="Rogers Deluxe File Chest"/>
    <n v="35.167999999999999"/>
    <n v="2"/>
  </r>
  <r>
    <x v="701"/>
    <d v="2016-06-13T00:00:00"/>
    <n v="5"/>
    <x v="1"/>
    <s v="FO-14305"/>
    <s v="Frank Olsen"/>
    <s v="Arizona"/>
    <x v="0"/>
    <s v="Binders"/>
    <s v="GBC VeloBinder Electric Binding Machine"/>
    <n v="72.588000000000008"/>
    <n v="2"/>
  </r>
  <r>
    <x v="702"/>
    <d v="2016-06-13T00:00:00"/>
    <n v="3"/>
    <x v="2"/>
    <s v="MT-18070"/>
    <s v="Michelle Tran"/>
    <s v="California"/>
    <x v="0"/>
    <s v="Labels"/>
    <s v="Alphabetical Labels for Top Tab Filing"/>
    <n v="29.6"/>
    <n v="2"/>
  </r>
  <r>
    <x v="702"/>
    <d v="2016-06-13T00:00:00"/>
    <n v="3"/>
    <x v="2"/>
    <s v="MT-18070"/>
    <s v="Michelle Tran"/>
    <s v="California"/>
    <x v="1"/>
    <s v="Bookcases"/>
    <s v="O'Sullivan Living Dimensions 2-Shelf Bookcases"/>
    <n v="514.16499999999996"/>
    <n v="5"/>
  </r>
  <r>
    <x v="702"/>
    <d v="2016-06-13T00:00:00"/>
    <n v="3"/>
    <x v="2"/>
    <s v="MT-18070"/>
    <s v="Michelle Tran"/>
    <s v="California"/>
    <x v="2"/>
    <s v="Phones"/>
    <s v="iHome FM Clock Radio with Lightning Dock"/>
    <n v="279.95999999999998"/>
    <n v="5"/>
  </r>
  <r>
    <x v="702"/>
    <d v="2016-06-13T00:00:00"/>
    <n v="3"/>
    <x v="2"/>
    <s v="BW-11200"/>
    <s v="Ben Wallace"/>
    <s v="California"/>
    <x v="0"/>
    <s v="Art"/>
    <s v="Newell 351"/>
    <n v="16.399999999999999"/>
    <n v="5"/>
  </r>
  <r>
    <x v="702"/>
    <d v="2016-06-15T00:00:00"/>
    <n v="5"/>
    <x v="1"/>
    <s v="BD-11320"/>
    <s v="Bill Donatelli"/>
    <s v="Washington"/>
    <x v="2"/>
    <s v="Phones"/>
    <s v="Logitech B530 USB Headset - headset - Full size, Binaural"/>
    <n v="88.77600000000001"/>
    <n v="3"/>
  </r>
  <r>
    <x v="702"/>
    <d v="2016-06-15T00:00:00"/>
    <n v="5"/>
    <x v="1"/>
    <s v="BD-11320"/>
    <s v="Bill Donatelli"/>
    <s v="Washington"/>
    <x v="0"/>
    <s v="Labels"/>
    <s v="Avery 512"/>
    <n v="11.56"/>
    <n v="4"/>
  </r>
  <r>
    <x v="702"/>
    <d v="2016-06-15T00:00:00"/>
    <n v="5"/>
    <x v="1"/>
    <s v="BD-11320"/>
    <s v="Bill Donatelli"/>
    <s v="Washington"/>
    <x v="0"/>
    <s v="Storage"/>
    <s v="Personal File Boxes with Fold-Down Carry Handle"/>
    <n v="15.58"/>
    <n v="1"/>
  </r>
  <r>
    <x v="702"/>
    <d v="2016-06-13T00:00:00"/>
    <n v="3"/>
    <x v="0"/>
    <s v="GZ-14545"/>
    <s v="George Zrebassa"/>
    <s v="California"/>
    <x v="0"/>
    <s v="Art"/>
    <s v="Sanford EarthWrite Recycled Pencils, Medium Soft, #2"/>
    <n v="14.700000000000001"/>
    <n v="7"/>
  </r>
  <r>
    <x v="703"/>
    <d v="2016-06-11T00:00:00"/>
    <n v="0"/>
    <x v="3"/>
    <s v="DV-13465"/>
    <s v="Dianna Vittorini"/>
    <s v="California"/>
    <x v="0"/>
    <s v="Paper"/>
    <s v="White Dual Perf Computer Printout Paper, 2700 Sheets, 1 Part, Heavyweight, 20 lbs., 14 7/8 x 11"/>
    <n v="122.97"/>
    <n v="3"/>
  </r>
  <r>
    <x v="703"/>
    <d v="2016-06-12T00:00:00"/>
    <n v="1"/>
    <x v="2"/>
    <s v="BC-11125"/>
    <s v="Becky Castell"/>
    <s v="Arizona"/>
    <x v="1"/>
    <s v="Chairs"/>
    <s v="Global Leather Executive Chair"/>
    <n v="280.79200000000003"/>
    <n v="1"/>
  </r>
  <r>
    <x v="703"/>
    <d v="2016-06-12T00:00:00"/>
    <n v="1"/>
    <x v="2"/>
    <s v="BC-11125"/>
    <s v="Becky Castell"/>
    <s v="Arizona"/>
    <x v="0"/>
    <s v="Storage"/>
    <s v="Sortfiler Multipurpose Personal File Organizer, Black"/>
    <n v="68.448000000000008"/>
    <n v="4"/>
  </r>
  <r>
    <x v="703"/>
    <d v="2016-06-12T00:00:00"/>
    <n v="1"/>
    <x v="2"/>
    <s v="BC-11125"/>
    <s v="Becky Castell"/>
    <s v="Arizona"/>
    <x v="0"/>
    <s v="Art"/>
    <s v="Boston 16801 Nautilus Battery Pencil Sharpener"/>
    <n v="88.04"/>
    <n v="5"/>
  </r>
  <r>
    <x v="703"/>
    <d v="2016-06-12T00:00:00"/>
    <n v="1"/>
    <x v="2"/>
    <s v="BC-11125"/>
    <s v="Becky Castell"/>
    <s v="Arizona"/>
    <x v="0"/>
    <s v="Art"/>
    <s v="Newell 319"/>
    <n v="15.872"/>
    <n v="1"/>
  </r>
  <r>
    <x v="703"/>
    <d v="2016-06-12T00:00:00"/>
    <n v="1"/>
    <x v="2"/>
    <s v="BC-11125"/>
    <s v="Becky Castell"/>
    <s v="Arizona"/>
    <x v="0"/>
    <s v="Storage"/>
    <s v="Fellowes Officeware Wire Shelving"/>
    <n v="215.59200000000001"/>
    <n v="3"/>
  </r>
  <r>
    <x v="703"/>
    <d v="2016-06-13T00:00:00"/>
    <n v="2"/>
    <x v="0"/>
    <s v="TB-21400"/>
    <s v="Tom Boeckenhauer"/>
    <s v="Washington"/>
    <x v="0"/>
    <s v="Paper"/>
    <s v="Xerox 1939"/>
    <n v="37.94"/>
    <n v="2"/>
  </r>
  <r>
    <x v="703"/>
    <d v="2016-06-13T00:00:00"/>
    <n v="2"/>
    <x v="0"/>
    <s v="TB-21400"/>
    <s v="Tom Boeckenhauer"/>
    <s v="Washington"/>
    <x v="0"/>
    <s v="Binders"/>
    <s v="Acco Pressboard Covers with Storage Hooks, 14 7/8&quot; x 11&quot;, Dark Blue"/>
    <n v="18.288"/>
    <n v="6"/>
  </r>
  <r>
    <x v="703"/>
    <d v="2016-06-13T00:00:00"/>
    <n v="2"/>
    <x v="0"/>
    <s v="TB-21400"/>
    <s v="Tom Boeckenhauer"/>
    <s v="Washington"/>
    <x v="2"/>
    <s v="Machines"/>
    <s v="Cisco Desktop Collaboration Experience DX650 IP Video Phone"/>
    <n v="385.80000000000007"/>
    <n v="5"/>
  </r>
  <r>
    <x v="703"/>
    <d v="2016-06-13T00:00:00"/>
    <n v="2"/>
    <x v="0"/>
    <s v="TB-21400"/>
    <s v="Tom Boeckenhauer"/>
    <s v="Washington"/>
    <x v="0"/>
    <s v="Storage"/>
    <s v="Belkin 19&quot; Vented Equipment Shelf, Black"/>
    <n v="102.96"/>
    <n v="2"/>
  </r>
  <r>
    <x v="703"/>
    <d v="2016-06-13T00:00:00"/>
    <n v="2"/>
    <x v="0"/>
    <s v="TB-21400"/>
    <s v="Tom Boeckenhauer"/>
    <s v="Washington"/>
    <x v="1"/>
    <s v="Bookcases"/>
    <s v="O'Sullivan 3-Shelf Heavy-Duty Bookcases"/>
    <n v="174.42000000000002"/>
    <n v="3"/>
  </r>
  <r>
    <x v="703"/>
    <d v="2016-06-14T00:00:00"/>
    <n v="3"/>
    <x v="2"/>
    <s v="ZD-21925"/>
    <s v="Zuschuss Donatelli"/>
    <s v="California"/>
    <x v="0"/>
    <s v="Appliances"/>
    <s v="Kensington 6 Outlet Guardian Standard Surge Protector"/>
    <n v="61.44"/>
    <n v="3"/>
  </r>
  <r>
    <x v="704"/>
    <d v="2016-06-14T00:00:00"/>
    <n v="2"/>
    <x v="0"/>
    <s v="SB-20185"/>
    <s v="Sarah Brown"/>
    <s v="Washington"/>
    <x v="2"/>
    <s v="Phones"/>
    <s v="OtterBox Defender Series Case - Samsung Galaxy S4"/>
    <n v="71.975999999999999"/>
    <n v="3"/>
  </r>
  <r>
    <x v="704"/>
    <d v="2016-06-14T00:00:00"/>
    <n v="2"/>
    <x v="0"/>
    <s v="SB-20185"/>
    <s v="Sarah Brown"/>
    <s v="Washington"/>
    <x v="0"/>
    <s v="Paper"/>
    <s v="Xerox 203"/>
    <n v="19.440000000000001"/>
    <n v="3"/>
  </r>
  <r>
    <x v="705"/>
    <d v="2016-06-19T00:00:00"/>
    <n v="6"/>
    <x v="1"/>
    <s v="TW-21025"/>
    <s v="Tamara Willingham"/>
    <s v="Washington"/>
    <x v="1"/>
    <s v="Chairs"/>
    <s v="Global Wood Trimmed Manager's Task Chair, Khaki"/>
    <n v="291.13600000000002"/>
    <n v="4"/>
  </r>
  <r>
    <x v="706"/>
    <d v="2016-06-19T00:00:00"/>
    <n v="4"/>
    <x v="1"/>
    <s v="CC-12550"/>
    <s v="Clay Cheatham"/>
    <s v="California"/>
    <x v="2"/>
    <s v="Phones"/>
    <s v="Anker 36W 4-Port USB Wall Charger Travel Power Adapter for iPhone 5s 5c 5"/>
    <n v="47.975999999999999"/>
    <n v="3"/>
  </r>
  <r>
    <x v="706"/>
    <d v="2016-06-20T00:00:00"/>
    <n v="5"/>
    <x v="1"/>
    <s v="SC-20800"/>
    <s v="Stuart Calhoun"/>
    <s v="California"/>
    <x v="0"/>
    <s v="Art"/>
    <s v="Dixon Prang Watercolor Pencils, 10-Color Set with Brush"/>
    <n v="4.26"/>
    <n v="1"/>
  </r>
  <r>
    <x v="706"/>
    <d v="2016-06-19T00:00:00"/>
    <n v="4"/>
    <x v="0"/>
    <s v="KH-16690"/>
    <s v="Kristen Hastings"/>
    <s v="California"/>
    <x v="2"/>
    <s v="Phones"/>
    <s v="Panasonic KX T7736-B Digital phone"/>
    <n v="119.96"/>
    <n v="1"/>
  </r>
  <r>
    <x v="707"/>
    <d v="2016-06-19T00:00:00"/>
    <n v="3"/>
    <x v="2"/>
    <s v="TS-21610"/>
    <s v="Troy Staebel"/>
    <s v="California"/>
    <x v="1"/>
    <s v="Chairs"/>
    <s v="Hon Multipurpose Stacking Arm Chairs"/>
    <n v="1212.96"/>
    <n v="7"/>
  </r>
  <r>
    <x v="707"/>
    <d v="2016-06-19T00:00:00"/>
    <n v="3"/>
    <x v="2"/>
    <s v="TS-21610"/>
    <s v="Troy Staebel"/>
    <s v="California"/>
    <x v="0"/>
    <s v="Paper"/>
    <s v="Wirebound Message Books, Four 2 3/4&quot; x 5&quot; Forms per Page, 600 Sets per Book"/>
    <n v="18.54"/>
    <n v="2"/>
  </r>
  <r>
    <x v="707"/>
    <d v="2016-06-21T00:00:00"/>
    <n v="5"/>
    <x v="1"/>
    <s v="AB-10255"/>
    <s v="Alejandro Ballentine"/>
    <s v="New Mexico"/>
    <x v="0"/>
    <s v="Supplies"/>
    <s v="Acme Elite Stainless Steel Scissors"/>
    <n v="16.68"/>
    <n v="2"/>
  </r>
  <r>
    <x v="707"/>
    <d v="2016-06-21T00:00:00"/>
    <n v="5"/>
    <x v="1"/>
    <s v="AB-10255"/>
    <s v="Alejandro Ballentine"/>
    <s v="New Mexico"/>
    <x v="0"/>
    <s v="Paper"/>
    <s v="Xerox 215"/>
    <n v="19.440000000000001"/>
    <n v="3"/>
  </r>
  <r>
    <x v="707"/>
    <d v="2016-06-21T00:00:00"/>
    <n v="5"/>
    <x v="1"/>
    <s v="AB-10255"/>
    <s v="Alejandro Ballentine"/>
    <s v="New Mexico"/>
    <x v="0"/>
    <s v="Paper"/>
    <s v="Xerox 1885"/>
    <n v="192.16"/>
    <n v="4"/>
  </r>
  <r>
    <x v="708"/>
    <d v="2016-06-20T00:00:00"/>
    <n v="3"/>
    <x v="2"/>
    <s v="KD-16345"/>
    <s v="Katherine Ducich"/>
    <s v="California"/>
    <x v="0"/>
    <s v="Binders"/>
    <s v="Trimflex Flexible Post Binders"/>
    <n v="51.311999999999998"/>
    <n v="3"/>
  </r>
  <r>
    <x v="708"/>
    <d v="2016-06-21T00:00:00"/>
    <n v="4"/>
    <x v="0"/>
    <s v="PF-19165"/>
    <s v="Philip Fox"/>
    <s v="Washington"/>
    <x v="1"/>
    <s v="Furnishings"/>
    <s v="Howard Miller 13-3/4&quot; Diameter Brushed Chrome Round Wall Clock"/>
    <n v="155.25"/>
    <n v="3"/>
  </r>
  <r>
    <x v="708"/>
    <d v="2016-06-21T00:00:00"/>
    <n v="4"/>
    <x v="0"/>
    <s v="PF-19165"/>
    <s v="Philip Fox"/>
    <s v="Washington"/>
    <x v="0"/>
    <s v="Storage"/>
    <s v="Project Tote Personal File"/>
    <n v="14.03"/>
    <n v="1"/>
  </r>
  <r>
    <x v="708"/>
    <d v="2016-06-20T00:00:00"/>
    <n v="3"/>
    <x v="2"/>
    <s v="RA-19945"/>
    <s v="Ryan Akin"/>
    <s v="Colorado"/>
    <x v="0"/>
    <s v="Storage"/>
    <s v="Carina Media Storage Towers in Natural &amp; Black"/>
    <n v="146.352"/>
    <n v="3"/>
  </r>
  <r>
    <x v="709"/>
    <d v="2016-06-23T00:00:00"/>
    <n v="5"/>
    <x v="1"/>
    <s v="CC-12670"/>
    <s v="Craig Carreira"/>
    <s v="California"/>
    <x v="1"/>
    <s v="Bookcases"/>
    <s v="Bush Andora Bookcase, Maple/Graphite Gray Finish"/>
    <n v="917.92349999999988"/>
    <n v="9"/>
  </r>
  <r>
    <x v="709"/>
    <d v="2016-06-23T00:00:00"/>
    <n v="5"/>
    <x v="1"/>
    <s v="CC-12670"/>
    <s v="Craig Carreira"/>
    <s v="California"/>
    <x v="0"/>
    <s v="Paper"/>
    <s v="Xerox 1930"/>
    <n v="38.880000000000003"/>
    <n v="6"/>
  </r>
  <r>
    <x v="710"/>
    <d v="2016-06-23T00:00:00"/>
    <n v="4"/>
    <x v="1"/>
    <s v="GA-14515"/>
    <s v="George Ashbrook"/>
    <s v="California"/>
    <x v="1"/>
    <s v="Furnishings"/>
    <s v="DAX Copper Panel Document Frame, 5 x 7 Size"/>
    <n v="50.32"/>
    <n v="4"/>
  </r>
  <r>
    <x v="710"/>
    <d v="2016-06-23T00:00:00"/>
    <n v="4"/>
    <x v="1"/>
    <s v="GA-14515"/>
    <s v="George Ashbrook"/>
    <s v="California"/>
    <x v="0"/>
    <s v="Paper"/>
    <s v="Xerox 1907"/>
    <n v="24.56"/>
    <n v="2"/>
  </r>
  <r>
    <x v="711"/>
    <d v="2016-06-28T00:00:00"/>
    <n v="4"/>
    <x v="1"/>
    <s v="CJ-12010"/>
    <s v="Caroline Jumper"/>
    <s v="California"/>
    <x v="0"/>
    <s v="Art"/>
    <s v="Bulldog Vacuum Base Pencil Sharpener"/>
    <n v="95.92"/>
    <n v="8"/>
  </r>
  <r>
    <x v="711"/>
    <d v="2016-07-01T00:00:00"/>
    <n v="7"/>
    <x v="1"/>
    <s v="NH-18610"/>
    <s v="Nicole Hansen"/>
    <s v="California"/>
    <x v="0"/>
    <s v="Art"/>
    <s v="Boston Heavy-Duty Trimline Electric Pencil Sharpeners"/>
    <n v="385.6"/>
    <n v="8"/>
  </r>
  <r>
    <x v="711"/>
    <d v="2016-07-01T00:00:00"/>
    <n v="7"/>
    <x v="1"/>
    <s v="NH-18610"/>
    <s v="Nicole Hansen"/>
    <s v="California"/>
    <x v="0"/>
    <s v="Art"/>
    <s v="4009 Highlighters by Sanford"/>
    <n v="35.82"/>
    <n v="9"/>
  </r>
  <r>
    <x v="711"/>
    <d v="2016-06-26T00:00:00"/>
    <n v="2"/>
    <x v="0"/>
    <s v="KT-16480"/>
    <s v="Kean Thornton"/>
    <s v="California"/>
    <x v="0"/>
    <s v="Fasteners"/>
    <s v="Acco Banker's Clasps, 5 3/4&quot;-Long"/>
    <n v="2.88"/>
    <n v="1"/>
  </r>
  <r>
    <x v="712"/>
    <d v="2016-07-02T00:00:00"/>
    <n v="7"/>
    <x v="1"/>
    <s v="ML-17755"/>
    <s v="Max Ludwig"/>
    <s v="Oregon"/>
    <x v="0"/>
    <s v="Labels"/>
    <s v="Alphabetical Labels for Top Tab Filing"/>
    <n v="71.040000000000006"/>
    <n v="6"/>
  </r>
  <r>
    <x v="712"/>
    <d v="2016-07-02T00:00:00"/>
    <n v="7"/>
    <x v="1"/>
    <s v="ML-17755"/>
    <s v="Max Ludwig"/>
    <s v="Oregon"/>
    <x v="0"/>
    <s v="Art"/>
    <s v="Eldon Spacemaker Box, Quick-Snap Lid, Clear"/>
    <n v="5.3440000000000003"/>
    <n v="2"/>
  </r>
  <r>
    <x v="712"/>
    <d v="2016-07-02T00:00:00"/>
    <n v="7"/>
    <x v="1"/>
    <s v="ML-17755"/>
    <s v="Max Ludwig"/>
    <s v="Oregon"/>
    <x v="0"/>
    <s v="Fasteners"/>
    <s v="Plymouth Boxed Rubber Bands by Plymouth"/>
    <n v="11.304"/>
    <n v="3"/>
  </r>
  <r>
    <x v="712"/>
    <d v="2016-06-29T00:00:00"/>
    <n v="4"/>
    <x v="0"/>
    <s v="AM-10705"/>
    <s v="Anne McFarland"/>
    <s v="Washington"/>
    <x v="1"/>
    <s v="Tables"/>
    <s v="Chromcraft Bull-Nose Wood Round Conference Table Top, Wood Base"/>
    <n v="871.4"/>
    <n v="4"/>
  </r>
  <r>
    <x v="713"/>
    <d v="2016-07-02T00:00:00"/>
    <n v="6"/>
    <x v="1"/>
    <s v="OT-18730"/>
    <s v="Olvera Toch"/>
    <s v="California"/>
    <x v="0"/>
    <s v="Storage"/>
    <s v="Eldon Shelf Savers Cubes and Bins"/>
    <n v="83.76"/>
    <n v="12"/>
  </r>
  <r>
    <x v="713"/>
    <d v="2016-06-30T00:00:00"/>
    <n v="4"/>
    <x v="1"/>
    <s v="NP-18700"/>
    <s v="Nora Preis"/>
    <s v="Colorado"/>
    <x v="2"/>
    <s v="Accessories"/>
    <s v="Kensington Orbit Wireless Mobile Trackball for PC and Mac"/>
    <n v="431.92800000000005"/>
    <n v="9"/>
  </r>
  <r>
    <x v="714"/>
    <d v="2016-06-29T00:00:00"/>
    <n v="2"/>
    <x v="0"/>
    <s v="PW-19030"/>
    <s v="Pauline Webber"/>
    <s v="Washington"/>
    <x v="0"/>
    <s v="Paper"/>
    <s v="Xerox 1997"/>
    <n v="19.440000000000001"/>
    <n v="3"/>
  </r>
  <r>
    <x v="714"/>
    <d v="2016-06-29T00:00:00"/>
    <n v="2"/>
    <x v="0"/>
    <s v="PW-19030"/>
    <s v="Pauline Webber"/>
    <s v="Washington"/>
    <x v="1"/>
    <s v="Furnishings"/>
    <s v="Executive Impressions Supervisor Wall Clock"/>
    <n v="126.30000000000001"/>
    <n v="3"/>
  </r>
  <r>
    <x v="714"/>
    <d v="2016-06-29T00:00:00"/>
    <n v="2"/>
    <x v="0"/>
    <s v="PW-19030"/>
    <s v="Pauline Webber"/>
    <s v="Washington"/>
    <x v="2"/>
    <s v="Accessories"/>
    <s v="Logitech P710e Mobile Speakerphone"/>
    <n v="1287.45"/>
    <n v="5"/>
  </r>
  <r>
    <x v="715"/>
    <d v="2016-07-03T00:00:00"/>
    <n v="4"/>
    <x v="0"/>
    <s v="DK-13225"/>
    <s v="Dean Katz"/>
    <s v="California"/>
    <x v="0"/>
    <s v="Storage"/>
    <s v="Tennsco 16-Compartment Lockers with Coat Rack"/>
    <n v="1295.78"/>
    <n v="2"/>
  </r>
  <r>
    <x v="715"/>
    <d v="2016-07-06T00:00:00"/>
    <n v="7"/>
    <x v="1"/>
    <s v="CT-11995"/>
    <s v="Carol Triggs"/>
    <s v="California"/>
    <x v="0"/>
    <s v="Binders"/>
    <s v="Satellite Sectional Post Binders"/>
    <n v="312.55200000000002"/>
    <n v="9"/>
  </r>
  <r>
    <x v="715"/>
    <d v="2016-06-30T00:00:00"/>
    <n v="1"/>
    <x v="2"/>
    <s v="WB-21850"/>
    <s v="William Brown"/>
    <s v="California"/>
    <x v="0"/>
    <s v="Binders"/>
    <s v="GBC DocuBind TL200 Manual Binding Machine"/>
    <n v="895.92"/>
    <n v="5"/>
  </r>
  <r>
    <x v="715"/>
    <d v="2016-06-30T00:00:00"/>
    <n v="1"/>
    <x v="2"/>
    <s v="WB-21850"/>
    <s v="William Brown"/>
    <s v="California"/>
    <x v="0"/>
    <s v="Storage"/>
    <s v="Trav-L-File Heavy-Duty Shuttle II, Black"/>
    <n v="130.71"/>
    <n v="3"/>
  </r>
  <r>
    <x v="715"/>
    <d v="2016-06-30T00:00:00"/>
    <n v="1"/>
    <x v="2"/>
    <s v="WB-21850"/>
    <s v="William Brown"/>
    <s v="California"/>
    <x v="0"/>
    <s v="Art"/>
    <s v="Newell 328"/>
    <n v="11.68"/>
    <n v="2"/>
  </r>
  <r>
    <x v="715"/>
    <d v="2016-06-30T00:00:00"/>
    <n v="1"/>
    <x v="2"/>
    <s v="WB-21850"/>
    <s v="William Brown"/>
    <s v="California"/>
    <x v="2"/>
    <s v="Accessories"/>
    <s v="Enermax Briskie RF Wireless Keyboard and Mouse Combo"/>
    <n v="62.31"/>
    <n v="3"/>
  </r>
  <r>
    <x v="716"/>
    <d v="2016-07-05T00:00:00"/>
    <n v="5"/>
    <x v="1"/>
    <s v="VP-21730"/>
    <s v="Victor Preis"/>
    <s v="Nevada"/>
    <x v="0"/>
    <s v="Binders"/>
    <s v="Tuf-Vin Binders"/>
    <n v="75.792000000000002"/>
    <n v="3"/>
  </r>
  <r>
    <x v="716"/>
    <d v="2016-07-02T00:00:00"/>
    <n v="2"/>
    <x v="0"/>
    <s v="JC-15775"/>
    <s v="John Castell"/>
    <s v="California"/>
    <x v="1"/>
    <s v="Bookcases"/>
    <s v="Sauder Facets Collection Library, Sky Alder Finish"/>
    <n v="435.99900000000002"/>
    <n v="3"/>
  </r>
  <r>
    <x v="716"/>
    <d v="2016-07-05T00:00:00"/>
    <n v="5"/>
    <x v="1"/>
    <s v="TT-21220"/>
    <s v="Thomas Thornton"/>
    <s v="California"/>
    <x v="0"/>
    <s v="Paper"/>
    <s v="Xerox 1919"/>
    <n v="204.95000000000002"/>
    <n v="5"/>
  </r>
  <r>
    <x v="717"/>
    <d v="2016-07-10T00:00:00"/>
    <n v="7"/>
    <x v="1"/>
    <s v="CA-12265"/>
    <s v="Christina Anderson"/>
    <s v="New Mexico"/>
    <x v="1"/>
    <s v="Furnishings"/>
    <s v="Tenex Traditional Chairmats for Medium Pile Carpet, Standard Lip, 36&quot; x 48&quot;"/>
    <n v="545.85"/>
    <n v="9"/>
  </r>
  <r>
    <x v="717"/>
    <d v="2016-07-03T00:00:00"/>
    <n v="0"/>
    <x v="3"/>
    <s v="JK-15640"/>
    <s v="Jim Kriz"/>
    <s v="Washington"/>
    <x v="2"/>
    <s v="Accessories"/>
    <s v="Logitech 910-002974 M325 Wireless Mouse for Web Scrolling"/>
    <n v="59.98"/>
    <n v="2"/>
  </r>
  <r>
    <x v="717"/>
    <d v="2016-07-03T00:00:00"/>
    <n v="0"/>
    <x v="3"/>
    <s v="JK-15640"/>
    <s v="Jim Kriz"/>
    <s v="Washington"/>
    <x v="2"/>
    <s v="Machines"/>
    <s v="Okidata MB491 Multifunction Printer"/>
    <n v="2395.2000000000003"/>
    <n v="6"/>
  </r>
  <r>
    <x v="717"/>
    <d v="2016-07-03T00:00:00"/>
    <n v="0"/>
    <x v="3"/>
    <s v="JK-15640"/>
    <s v="Jim Kriz"/>
    <s v="Washington"/>
    <x v="2"/>
    <s v="Accessories"/>
    <s v="Plantronics Savi W720 Multi-Device Wireless Headset System"/>
    <n v="1687.8"/>
    <n v="4"/>
  </r>
  <r>
    <x v="717"/>
    <d v="2016-07-03T00:00:00"/>
    <n v="0"/>
    <x v="3"/>
    <s v="JK-15640"/>
    <s v="Jim Kriz"/>
    <s v="Washington"/>
    <x v="2"/>
    <s v="Phones"/>
    <s v="Square Credit Card Reader, 4 1/2&quot; x 4 1/2&quot; x 1&quot;, White"/>
    <n v="7.9920000000000009"/>
    <n v="1"/>
  </r>
  <r>
    <x v="717"/>
    <d v="2016-07-10T00:00:00"/>
    <n v="7"/>
    <x v="1"/>
    <s v="MB-17305"/>
    <s v="Maria Bertelson"/>
    <s v="California"/>
    <x v="1"/>
    <s v="Furnishings"/>
    <s v="Howard Miller 11-1/2&quot; Diameter Brentwood Wall Clock"/>
    <n v="129.39000000000001"/>
    <n v="3"/>
  </r>
  <r>
    <x v="717"/>
    <d v="2016-07-08T00:00:00"/>
    <n v="5"/>
    <x v="1"/>
    <s v="RD-19585"/>
    <s v="Rob Dowd"/>
    <s v="California"/>
    <x v="0"/>
    <s v="Storage"/>
    <s v="Rogers Deluxe File Chest"/>
    <n v="87.92"/>
    <n v="4"/>
  </r>
  <r>
    <x v="718"/>
    <d v="2016-07-11T00:00:00"/>
    <n v="5"/>
    <x v="1"/>
    <s v="PO-18850"/>
    <s v="Patrick O'Brill"/>
    <s v="California"/>
    <x v="1"/>
    <s v="Chairs"/>
    <s v="Global Task Chair, Black"/>
    <n v="122.13600000000001"/>
    <n v="3"/>
  </r>
  <r>
    <x v="719"/>
    <d v="2016-07-11T00:00:00"/>
    <n v="4"/>
    <x v="1"/>
    <s v="AT-10735"/>
    <s v="Annie Thurman"/>
    <s v="California"/>
    <x v="0"/>
    <s v="Fasteners"/>
    <s v="Brites Rubber Bands, 1 1/2 oz. Box"/>
    <n v="5.9399999999999995"/>
    <n v="3"/>
  </r>
  <r>
    <x v="720"/>
    <d v="2016-07-11T00:00:00"/>
    <n v="3"/>
    <x v="2"/>
    <s v="SZ-20035"/>
    <s v="Sam Zeldin"/>
    <s v="California"/>
    <x v="1"/>
    <s v="Furnishings"/>
    <s v="Deflect-o SuperTray Unbreakable Stackable Tray, Letter, Black"/>
    <n v="145.9"/>
    <n v="5"/>
  </r>
  <r>
    <x v="720"/>
    <d v="2016-07-15T00:00:00"/>
    <n v="7"/>
    <x v="1"/>
    <s v="JC-15385"/>
    <s v="Jenna Caffey"/>
    <s v="Washington"/>
    <x v="1"/>
    <s v="Furnishings"/>
    <s v="GE 48&quot; Fluorescent Tube, Cool White Energy Saver, 34 Watts, 30/Box"/>
    <n v="198.46"/>
    <n v="2"/>
  </r>
  <r>
    <x v="720"/>
    <d v="2016-07-15T00:00:00"/>
    <n v="7"/>
    <x v="1"/>
    <s v="JC-15385"/>
    <s v="Jenna Caffey"/>
    <s v="Washington"/>
    <x v="0"/>
    <s v="Labels"/>
    <s v="Dot Matrix Printer Tape Reel Labels, White, 5000/Box"/>
    <n v="786.48"/>
    <n v="8"/>
  </r>
  <r>
    <x v="720"/>
    <d v="2016-07-15T00:00:00"/>
    <n v="7"/>
    <x v="1"/>
    <s v="JC-15385"/>
    <s v="Jenna Caffey"/>
    <s v="Washington"/>
    <x v="0"/>
    <s v="Binders"/>
    <s v="GBC White Gloss Covers, Plain Front"/>
    <n v="23.168000000000003"/>
    <n v="2"/>
  </r>
  <r>
    <x v="720"/>
    <d v="2016-07-15T00:00:00"/>
    <n v="7"/>
    <x v="1"/>
    <s v="JC-15385"/>
    <s v="Jenna Caffey"/>
    <s v="Washington"/>
    <x v="2"/>
    <s v="Accessories"/>
    <s v="Micro Innovations USB RF Wireless Keyboard with Mouse"/>
    <n v="50"/>
    <n v="2"/>
  </r>
  <r>
    <x v="720"/>
    <d v="2016-07-10T00:00:00"/>
    <n v="2"/>
    <x v="2"/>
    <s v="VG-21790"/>
    <s v="Vivek Gonzalez"/>
    <s v="California"/>
    <x v="0"/>
    <s v="Labels"/>
    <s v="Avery 485"/>
    <n v="75.179999999999993"/>
    <n v="6"/>
  </r>
  <r>
    <x v="720"/>
    <d v="2016-07-12T00:00:00"/>
    <n v="4"/>
    <x v="1"/>
    <s v="VF-21715"/>
    <s v="Vicky Freymann"/>
    <s v="Washington"/>
    <x v="1"/>
    <s v="Furnishings"/>
    <s v="Master Big Foot Doorstop, Beige"/>
    <n v="15.84"/>
    <n v="3"/>
  </r>
  <r>
    <x v="720"/>
    <d v="2016-07-12T00:00:00"/>
    <n v="4"/>
    <x v="1"/>
    <s v="VF-21715"/>
    <s v="Vicky Freymann"/>
    <s v="Washington"/>
    <x v="0"/>
    <s v="Binders"/>
    <s v="GBC VeloBinder Manual Binding System"/>
    <n v="86.376000000000005"/>
    <n v="3"/>
  </r>
  <r>
    <x v="720"/>
    <d v="2016-07-12T00:00:00"/>
    <n v="4"/>
    <x v="1"/>
    <s v="VF-21715"/>
    <s v="Vicky Freymann"/>
    <s v="Washington"/>
    <x v="0"/>
    <s v="Art"/>
    <s v="Zebra Zazzle Fluorescent Highlighters"/>
    <n v="18.240000000000002"/>
    <n v="3"/>
  </r>
  <r>
    <x v="720"/>
    <d v="2016-07-12T00:00:00"/>
    <n v="4"/>
    <x v="1"/>
    <s v="VF-21715"/>
    <s v="Vicky Freymann"/>
    <s v="Washington"/>
    <x v="0"/>
    <s v="Art"/>
    <s v="Crayola Colored Pencils"/>
    <n v="13.12"/>
    <n v="4"/>
  </r>
  <r>
    <x v="720"/>
    <d v="2016-07-12T00:00:00"/>
    <n v="4"/>
    <x v="1"/>
    <s v="MR-17545"/>
    <s v="Mathew Reese"/>
    <s v="Washington"/>
    <x v="0"/>
    <s v="Paper"/>
    <s v="Easy-staple paper"/>
    <n v="52.76"/>
    <n v="2"/>
  </r>
  <r>
    <x v="721"/>
    <d v="2016-07-15T00:00:00"/>
    <n v="6"/>
    <x v="1"/>
    <s v="TD-20995"/>
    <s v="Tamara Dahlen"/>
    <s v="Oregon"/>
    <x v="0"/>
    <s v="Binders"/>
    <s v="Wilson Jones Easy Flow II Sheet Lifters"/>
    <n v="1.0800000000000003"/>
    <n v="2"/>
  </r>
  <r>
    <x v="722"/>
    <d v="2016-07-15T00:00:00"/>
    <n v="4"/>
    <x v="1"/>
    <s v="KN-16390"/>
    <s v="Katherine Nockton"/>
    <s v="California"/>
    <x v="0"/>
    <s v="Labels"/>
    <s v="Avery 482"/>
    <n v="8.67"/>
    <n v="3"/>
  </r>
  <r>
    <x v="722"/>
    <d v="2016-07-18T00:00:00"/>
    <n v="7"/>
    <x v="1"/>
    <s v="KB-16240"/>
    <s v="Karen Bern"/>
    <s v="California"/>
    <x v="2"/>
    <s v="Accessories"/>
    <s v="Logitech P710e Mobile Speakerphone"/>
    <n v="1287.45"/>
    <n v="5"/>
  </r>
  <r>
    <x v="722"/>
    <d v="2016-07-18T00:00:00"/>
    <n v="7"/>
    <x v="1"/>
    <s v="KB-16240"/>
    <s v="Karen Bern"/>
    <s v="California"/>
    <x v="0"/>
    <s v="Appliances"/>
    <s v="Fellowes 8 Outlet Superior Workstation Surge Protector w/o Phone/Fax/Modem Protection"/>
    <n v="168.1"/>
    <n v="5"/>
  </r>
  <r>
    <x v="722"/>
    <d v="2016-07-16T00:00:00"/>
    <n v="5"/>
    <x v="1"/>
    <s v="TS-21430"/>
    <s v="Tom Stivers"/>
    <s v="California"/>
    <x v="2"/>
    <s v="Phones"/>
    <s v="Belkin iPhone and iPad Lightning Cable"/>
    <n v="71.951999999999998"/>
    <n v="6"/>
  </r>
  <r>
    <x v="722"/>
    <d v="2016-07-16T00:00:00"/>
    <n v="5"/>
    <x v="1"/>
    <s v="TS-21430"/>
    <s v="Tom Stivers"/>
    <s v="California"/>
    <x v="0"/>
    <s v="Binders"/>
    <s v="Acco Four Pocket Poly Ring Binder with Label Holder, Smoke, 1&quot;"/>
    <n v="29.800000000000004"/>
    <n v="5"/>
  </r>
  <r>
    <x v="723"/>
    <d v="2016-07-18T00:00:00"/>
    <n v="4"/>
    <x v="1"/>
    <s v="TC-21295"/>
    <s v="Toby Carlisle"/>
    <s v="California"/>
    <x v="0"/>
    <s v="Binders"/>
    <s v="Acco Suede Grain Vinyl Round Ring Binder"/>
    <n v="4.4479999999999995"/>
    <n v="2"/>
  </r>
  <r>
    <x v="723"/>
    <d v="2016-07-18T00:00:00"/>
    <n v="4"/>
    <x v="1"/>
    <s v="TC-21295"/>
    <s v="Toby Carlisle"/>
    <s v="California"/>
    <x v="1"/>
    <s v="Furnishings"/>
    <s v="Deflect-o RollaMat Studded, Beveled Mat for Medium Pile Carpeting"/>
    <n v="276.69"/>
    <n v="3"/>
  </r>
  <r>
    <x v="723"/>
    <d v="2016-07-18T00:00:00"/>
    <n v="4"/>
    <x v="1"/>
    <s v="TC-21295"/>
    <s v="Toby Carlisle"/>
    <s v="California"/>
    <x v="0"/>
    <s v="Fasteners"/>
    <s v="OIC Binder Clips, Mini, 1/4&quot; Capacity, Black"/>
    <n v="4.96"/>
    <n v="4"/>
  </r>
  <r>
    <x v="723"/>
    <d v="2016-07-18T00:00:00"/>
    <n v="4"/>
    <x v="1"/>
    <s v="TC-21295"/>
    <s v="Toby Carlisle"/>
    <s v="California"/>
    <x v="0"/>
    <s v="Art"/>
    <s v="BOSTON Model 1800 Electric Pencil Sharpeners, Putty/Woodgrain"/>
    <n v="71.92"/>
    <n v="4"/>
  </r>
  <r>
    <x v="723"/>
    <d v="2016-07-18T00:00:00"/>
    <n v="4"/>
    <x v="1"/>
    <s v="TC-21295"/>
    <s v="Toby Carlisle"/>
    <s v="California"/>
    <x v="1"/>
    <s v="Furnishings"/>
    <s v="Eldon 200 Class Desk Accessories, Burgundy"/>
    <n v="18.84"/>
    <n v="3"/>
  </r>
  <r>
    <x v="723"/>
    <d v="2016-07-18T00:00:00"/>
    <n v="4"/>
    <x v="1"/>
    <s v="TC-21295"/>
    <s v="Toby Carlisle"/>
    <s v="California"/>
    <x v="2"/>
    <s v="Accessories"/>
    <s v="Sony Micro Vault Click 8 GB USB 2.0 Flash Drive"/>
    <n v="140.97"/>
    <n v="3"/>
  </r>
  <r>
    <x v="723"/>
    <d v="2016-07-18T00:00:00"/>
    <n v="4"/>
    <x v="1"/>
    <s v="TC-21295"/>
    <s v="Toby Carlisle"/>
    <s v="California"/>
    <x v="2"/>
    <s v="Phones"/>
    <s v="GE 30524EE4"/>
    <n v="470.37600000000009"/>
    <n v="3"/>
  </r>
  <r>
    <x v="724"/>
    <d v="2016-07-21T00:00:00"/>
    <n v="4"/>
    <x v="1"/>
    <s v="AB-10255"/>
    <s v="Alejandro Ballentine"/>
    <s v="California"/>
    <x v="2"/>
    <s v="Copiers"/>
    <s v="Brother DCP1000 Digital 3 in 1 Multifunction Machine"/>
    <n v="479.98400000000004"/>
    <n v="2"/>
  </r>
  <r>
    <x v="724"/>
    <d v="2016-07-19T00:00:00"/>
    <n v="2"/>
    <x v="0"/>
    <s v="AJ-10795"/>
    <s v="Anthony Johnson"/>
    <s v="California"/>
    <x v="0"/>
    <s v="Paper"/>
    <s v="Xerox 221"/>
    <n v="32.400000000000006"/>
    <n v="5"/>
  </r>
  <r>
    <x v="724"/>
    <d v="2016-07-19T00:00:00"/>
    <n v="2"/>
    <x v="0"/>
    <s v="AJ-10795"/>
    <s v="Anthony Johnson"/>
    <s v="California"/>
    <x v="0"/>
    <s v="Envelopes"/>
    <s v="Peel &amp; Seel Recycled Catalog Envelopes, Brown"/>
    <n v="57.9"/>
    <n v="5"/>
  </r>
  <r>
    <x v="724"/>
    <d v="2016-07-19T00:00:00"/>
    <n v="2"/>
    <x v="0"/>
    <s v="AJ-10795"/>
    <s v="Anthony Johnson"/>
    <s v="California"/>
    <x v="0"/>
    <s v="Storage"/>
    <s v="Sterilite Show Offs Storage Containers"/>
    <n v="10.56"/>
    <n v="2"/>
  </r>
  <r>
    <x v="724"/>
    <d v="2016-07-19T00:00:00"/>
    <n v="2"/>
    <x v="0"/>
    <s v="AJ-10795"/>
    <s v="Anthony Johnson"/>
    <s v="California"/>
    <x v="1"/>
    <s v="Bookcases"/>
    <s v="Atlantic Metals Mobile 4-Shelf Bookcases, Custom Colors"/>
    <n v="1194.165"/>
    <n v="5"/>
  </r>
  <r>
    <x v="725"/>
    <d v="2016-07-23T00:00:00"/>
    <n v="5"/>
    <x v="1"/>
    <s v="ML-17410"/>
    <s v="Maris LaWare"/>
    <s v="Arizona"/>
    <x v="1"/>
    <s v="Tables"/>
    <s v="Chromcraft 48&quot; x 96&quot; Racetrack Double Pedestal Table"/>
    <n v="801.59999999999991"/>
    <n v="5"/>
  </r>
  <r>
    <x v="725"/>
    <d v="2016-07-23T00:00:00"/>
    <n v="5"/>
    <x v="1"/>
    <s v="ML-17410"/>
    <s v="Maris LaWare"/>
    <s v="Arizona"/>
    <x v="1"/>
    <s v="Chairs"/>
    <s v="Global Fabric Manager's Chair, Dark Gray"/>
    <n v="161.56800000000001"/>
    <n v="2"/>
  </r>
  <r>
    <x v="725"/>
    <d v="2016-07-23T00:00:00"/>
    <n v="5"/>
    <x v="1"/>
    <s v="ML-17410"/>
    <s v="Maris LaWare"/>
    <s v="Arizona"/>
    <x v="0"/>
    <s v="Paper"/>
    <s v="Riverleaf Stik-Withit Designer Note Cubes"/>
    <n v="16.096"/>
    <n v="2"/>
  </r>
  <r>
    <x v="725"/>
    <d v="2016-07-23T00:00:00"/>
    <n v="5"/>
    <x v="1"/>
    <s v="ML-17410"/>
    <s v="Maris LaWare"/>
    <s v="Arizona"/>
    <x v="0"/>
    <s v="Binders"/>
    <s v="Acco Expandable Hanging Binders"/>
    <n v="7.6560000000000006"/>
    <n v="4"/>
  </r>
  <r>
    <x v="725"/>
    <d v="2016-07-23T00:00:00"/>
    <n v="5"/>
    <x v="1"/>
    <s v="ML-17410"/>
    <s v="Maris LaWare"/>
    <s v="Arizona"/>
    <x v="1"/>
    <s v="Chairs"/>
    <s v="High-Back Leather Manager's Chair"/>
    <n v="311.97600000000006"/>
    <n v="3"/>
  </r>
  <r>
    <x v="726"/>
    <d v="2016-07-21T00:00:00"/>
    <n v="0"/>
    <x v="3"/>
    <s v="SF-20200"/>
    <s v="Sarah Foster"/>
    <s v="Utah"/>
    <x v="2"/>
    <s v="Phones"/>
    <s v="PayAnywhere Card Reader"/>
    <n v="71.928000000000011"/>
    <n v="9"/>
  </r>
  <r>
    <x v="726"/>
    <d v="2016-07-21T00:00:00"/>
    <n v="0"/>
    <x v="3"/>
    <s v="SF-20200"/>
    <s v="Sarah Foster"/>
    <s v="Utah"/>
    <x v="0"/>
    <s v="Art"/>
    <s v="BOSTON Ranger #55 Pencil Sharpener, Black"/>
    <n v="25.99"/>
    <n v="1"/>
  </r>
  <r>
    <x v="726"/>
    <d v="2016-07-25T00:00:00"/>
    <n v="4"/>
    <x v="1"/>
    <s v="SW-20455"/>
    <s v="Shaun Weien"/>
    <s v="California"/>
    <x v="0"/>
    <s v="Paper"/>
    <s v="Wirebound Message Forms, Four 2 3/4 x 5 Forms per Page, Pink Paper"/>
    <n v="16.34"/>
    <n v="2"/>
  </r>
  <r>
    <x v="726"/>
    <d v="2016-07-25T00:00:00"/>
    <n v="4"/>
    <x v="1"/>
    <s v="SW-20455"/>
    <s v="Shaun Weien"/>
    <s v="California"/>
    <x v="1"/>
    <s v="Chairs"/>
    <s v="Hon Olson Stacker Stools"/>
    <n v="225.29600000000002"/>
    <n v="2"/>
  </r>
  <r>
    <x v="726"/>
    <d v="2016-07-25T00:00:00"/>
    <n v="4"/>
    <x v="1"/>
    <s v="SW-20455"/>
    <s v="Shaun Weien"/>
    <s v="California"/>
    <x v="0"/>
    <s v="Binders"/>
    <s v="GBC Premium Transparent Covers with Diagonal Lined Pattern"/>
    <n v="50.352000000000004"/>
    <n v="3"/>
  </r>
  <r>
    <x v="726"/>
    <d v="2016-07-25T00:00:00"/>
    <n v="4"/>
    <x v="0"/>
    <s v="AR-10825"/>
    <s v="Anthony Rawles"/>
    <s v="California"/>
    <x v="0"/>
    <s v="Art"/>
    <s v="Nontoxic Chalk"/>
    <n v="3.52"/>
    <n v="2"/>
  </r>
  <r>
    <x v="726"/>
    <d v="2016-07-25T00:00:00"/>
    <n v="4"/>
    <x v="0"/>
    <s v="AR-10825"/>
    <s v="Anthony Rawles"/>
    <s v="California"/>
    <x v="2"/>
    <s v="Phones"/>
    <s v="Polycom SoundPoint IP 450 VoIP phone"/>
    <n v="1626.1920000000002"/>
    <n v="9"/>
  </r>
  <r>
    <x v="727"/>
    <d v="2016-07-26T00:00:00"/>
    <n v="3"/>
    <x v="2"/>
    <s v="TB-21520"/>
    <s v="Tracy Blumstein"/>
    <s v="California"/>
    <x v="0"/>
    <s v="Binders"/>
    <s v="Cardinal HOLDit! Binder Insert Strips,Extra Strips"/>
    <n v="15.192"/>
    <n v="3"/>
  </r>
  <r>
    <x v="727"/>
    <d v="2016-07-26T00:00:00"/>
    <n v="3"/>
    <x v="2"/>
    <s v="TB-21520"/>
    <s v="Tracy Blumstein"/>
    <s v="California"/>
    <x v="0"/>
    <s v="Paper"/>
    <s v="Weyerhaeuser First Choice Laser/Copy Paper (20Lb. and 88 Bright)"/>
    <n v="58.320000000000007"/>
    <n v="9"/>
  </r>
  <r>
    <x v="728"/>
    <d v="2016-07-24T00:00:00"/>
    <n v="0"/>
    <x v="3"/>
    <s v="HR-14830"/>
    <s v="Harold Ryan"/>
    <s v="California"/>
    <x v="2"/>
    <s v="Copiers"/>
    <s v="Hewlett Packard LaserJet 3310 Copier"/>
    <n v="2399.96"/>
    <n v="5"/>
  </r>
  <r>
    <x v="729"/>
    <d v="2016-08-01T00:00:00"/>
    <n v="6"/>
    <x v="1"/>
    <s v="GZ-14545"/>
    <s v="George Zrebassa"/>
    <s v="California"/>
    <x v="2"/>
    <s v="Accessories"/>
    <s v="Logitech Z-906 Speaker sys - home theater - 5.1-CH"/>
    <n v="1649.95"/>
    <n v="5"/>
  </r>
  <r>
    <x v="729"/>
    <d v="2016-08-01T00:00:00"/>
    <n v="6"/>
    <x v="1"/>
    <s v="GZ-14545"/>
    <s v="George Zrebassa"/>
    <s v="California"/>
    <x v="1"/>
    <s v="Chairs"/>
    <s v="Global Airflow Leather Mesh Back Chair, Black"/>
    <n v="362.35199999999998"/>
    <n v="3"/>
  </r>
  <r>
    <x v="730"/>
    <d v="2016-08-01T00:00:00"/>
    <n v="5"/>
    <x v="0"/>
    <s v="DK-13375"/>
    <s v="Dennis Kane"/>
    <s v="Washington"/>
    <x v="1"/>
    <s v="Furnishings"/>
    <s v="Staple-based wall hangings"/>
    <n v="23.88"/>
    <n v="3"/>
  </r>
  <r>
    <x v="730"/>
    <d v="2016-08-01T00:00:00"/>
    <n v="5"/>
    <x v="0"/>
    <s v="DK-13375"/>
    <s v="Dennis Kane"/>
    <s v="Washington"/>
    <x v="0"/>
    <s v="Paper"/>
    <s v="Message Book, Phone, Wirebound Standard Line Memo, 2 3/4&quot; X 5&quot;"/>
    <n v="26.2"/>
    <n v="4"/>
  </r>
  <r>
    <x v="730"/>
    <d v="2016-08-01T00:00:00"/>
    <n v="5"/>
    <x v="0"/>
    <s v="DK-13375"/>
    <s v="Dennis Kane"/>
    <s v="Washington"/>
    <x v="0"/>
    <s v="Paper"/>
    <s v="Xerox 227"/>
    <n v="12.96"/>
    <n v="2"/>
  </r>
  <r>
    <x v="730"/>
    <d v="2016-08-01T00:00:00"/>
    <n v="5"/>
    <x v="0"/>
    <s v="DK-13375"/>
    <s v="Dennis Kane"/>
    <s v="Washington"/>
    <x v="2"/>
    <s v="Accessories"/>
    <s v="Sony Micro Vault Click 8 GB USB 2.0 Flash Drive"/>
    <n v="234.95000000000002"/>
    <n v="5"/>
  </r>
  <r>
    <x v="731"/>
    <d v="2016-08-01T00:00:00"/>
    <n v="4"/>
    <x v="1"/>
    <s v="MH-17620"/>
    <s v="Matt Hagelstein"/>
    <s v="California"/>
    <x v="0"/>
    <s v="Binders"/>
    <s v="Zipper Ring Binder Pockets"/>
    <n v="9.9840000000000018"/>
    <n v="4"/>
  </r>
  <r>
    <x v="731"/>
    <d v="2016-08-01T00:00:00"/>
    <n v="4"/>
    <x v="1"/>
    <s v="MH-17620"/>
    <s v="Matt Hagelstein"/>
    <s v="California"/>
    <x v="0"/>
    <s v="Storage"/>
    <s v="Super Decoflex Portable Personal File"/>
    <n v="14.98"/>
    <n v="1"/>
  </r>
  <r>
    <x v="731"/>
    <d v="2016-08-01T00:00:00"/>
    <n v="4"/>
    <x v="1"/>
    <s v="MH-17620"/>
    <s v="Matt Hagelstein"/>
    <s v="California"/>
    <x v="2"/>
    <s v="Phones"/>
    <s v="Wilson Electronics DB Pro Signal Booster"/>
    <n v="1145.6000000000001"/>
    <n v="4"/>
  </r>
  <r>
    <x v="732"/>
    <d v="2016-08-02T00:00:00"/>
    <n v="4"/>
    <x v="1"/>
    <s v="GW-14605"/>
    <s v="Giulietta Weimer"/>
    <s v="Washington"/>
    <x v="2"/>
    <s v="Accessories"/>
    <s v="Imation 8GB Mini TravelDrive USB 2.0 Flash Drive"/>
    <n v="90.570000000000007"/>
    <n v="3"/>
  </r>
  <r>
    <x v="732"/>
    <d v="2016-08-02T00:00:00"/>
    <n v="4"/>
    <x v="1"/>
    <s v="VG-21790"/>
    <s v="Vivek Gonzalez"/>
    <s v="Washington"/>
    <x v="1"/>
    <s v="Bookcases"/>
    <s v="Bush Westfield Collection Bookcases, Medium Cherry Finish"/>
    <n v="115.96"/>
    <n v="2"/>
  </r>
  <r>
    <x v="733"/>
    <d v="2016-08-03T00:00:00"/>
    <n v="4"/>
    <x v="0"/>
    <s v="JL-15835"/>
    <s v="John Lee"/>
    <s v="California"/>
    <x v="0"/>
    <s v="Storage"/>
    <s v="Economy Rollaway Files"/>
    <n v="330.4"/>
    <n v="2"/>
  </r>
  <r>
    <x v="733"/>
    <d v="2016-08-03T00:00:00"/>
    <n v="4"/>
    <x v="0"/>
    <s v="JL-15835"/>
    <s v="John Lee"/>
    <s v="California"/>
    <x v="0"/>
    <s v="Labels"/>
    <s v="Avery 480"/>
    <n v="26.25"/>
    <n v="7"/>
  </r>
  <r>
    <x v="734"/>
    <d v="2016-08-03T00:00:00"/>
    <n v="3"/>
    <x v="2"/>
    <s v="EC-14050"/>
    <s v="Erin Creighton"/>
    <s v="California"/>
    <x v="0"/>
    <s v="Storage"/>
    <s v="Eldon Portable Mobile Manager"/>
    <n v="56.56"/>
    <n v="2"/>
  </r>
  <r>
    <x v="734"/>
    <d v="2016-08-03T00:00:00"/>
    <n v="3"/>
    <x v="2"/>
    <s v="EC-14050"/>
    <s v="Erin Creighton"/>
    <s v="California"/>
    <x v="1"/>
    <s v="Furnishings"/>
    <s v="Master Big Foot Doorstop, Beige"/>
    <n v="36.96"/>
    <n v="7"/>
  </r>
  <r>
    <x v="735"/>
    <d v="2016-08-04T00:00:00"/>
    <n v="3"/>
    <x v="0"/>
    <s v="HK-14890"/>
    <s v="Heather Kirkland"/>
    <s v="California"/>
    <x v="0"/>
    <s v="Binders"/>
    <s v="GBC Prestige Therm-A-Bind Covers"/>
    <n v="54.896000000000008"/>
    <n v="2"/>
  </r>
  <r>
    <x v="735"/>
    <d v="2016-08-05T00:00:00"/>
    <n v="4"/>
    <x v="0"/>
    <s v="EM-13960"/>
    <s v="Eric Murdock"/>
    <s v="California"/>
    <x v="0"/>
    <s v="Storage"/>
    <s v="Fellowes Mobile File Cart, Black"/>
    <n v="186.54"/>
    <n v="3"/>
  </r>
  <r>
    <x v="736"/>
    <d v="2016-08-08T00:00:00"/>
    <n v="5"/>
    <x v="0"/>
    <s v="BD-11725"/>
    <s v="Bruce Degenhardt"/>
    <s v="California"/>
    <x v="0"/>
    <s v="Labels"/>
    <s v="Avery 473"/>
    <n v="51.75"/>
    <n v="5"/>
  </r>
  <r>
    <x v="736"/>
    <d v="2016-08-08T00:00:00"/>
    <n v="5"/>
    <x v="0"/>
    <s v="BD-11725"/>
    <s v="Bruce Degenhardt"/>
    <s v="California"/>
    <x v="1"/>
    <s v="Furnishings"/>
    <s v="Deflect-o EconoMat Studded, No Bevel Mat for Low Pile Carpeting"/>
    <n v="123.96000000000001"/>
    <n v="3"/>
  </r>
  <r>
    <x v="736"/>
    <d v="2016-08-06T00:00:00"/>
    <n v="3"/>
    <x v="0"/>
    <s v="GA-14515"/>
    <s v="George Ashbrook"/>
    <s v="California"/>
    <x v="0"/>
    <s v="Storage"/>
    <s v="Fellowes Bases and Tops For Staxonsteel/High-Stak Systems"/>
    <n v="99.87"/>
    <n v="3"/>
  </r>
  <r>
    <x v="736"/>
    <d v="2016-08-08T00:00:00"/>
    <n v="5"/>
    <x v="0"/>
    <s v="SC-20230"/>
    <s v="Scot Coram"/>
    <s v="Washington"/>
    <x v="0"/>
    <s v="Storage"/>
    <s v="Letter/Legal File Tote with Clear Snap-On Lid, Black Granite"/>
    <n v="16.059999999999999"/>
    <n v="1"/>
  </r>
  <r>
    <x v="737"/>
    <d v="2016-08-07T00:00:00"/>
    <n v="3"/>
    <x v="2"/>
    <s v="HM-14860"/>
    <s v="Harry Marie"/>
    <s v="Colorado"/>
    <x v="0"/>
    <s v="Paper"/>
    <s v="Hammermill CopyPlus Copy Paper (20Lb. and 84 Bright)"/>
    <n v="7.9680000000000009"/>
    <n v="2"/>
  </r>
  <r>
    <x v="737"/>
    <d v="2016-08-07T00:00:00"/>
    <n v="3"/>
    <x v="2"/>
    <s v="HM-14860"/>
    <s v="Harry Marie"/>
    <s v="Colorado"/>
    <x v="0"/>
    <s v="Envelopes"/>
    <s v="Manila Recycled Extra-Heavyweight Clasp Envelopes, 6&quot; x 9&quot;"/>
    <n v="8.7840000000000007"/>
    <n v="1"/>
  </r>
  <r>
    <x v="738"/>
    <d v="2016-08-13T00:00:00"/>
    <n v="6"/>
    <x v="1"/>
    <s v="JK-15370"/>
    <s v="Jay Kimmel"/>
    <s v="California"/>
    <x v="2"/>
    <s v="Phones"/>
    <s v="GE DSL Phone Line Filter"/>
    <n v="159.96000000000004"/>
    <n v="5"/>
  </r>
  <r>
    <x v="738"/>
    <d v="2016-08-13T00:00:00"/>
    <n v="6"/>
    <x v="1"/>
    <s v="JK-15370"/>
    <s v="Jay Kimmel"/>
    <s v="California"/>
    <x v="0"/>
    <s v="Binders"/>
    <s v="Avery Printable Repositionable Plastic Tabs"/>
    <n v="13.76"/>
    <n v="2"/>
  </r>
  <r>
    <x v="738"/>
    <d v="2016-08-12T00:00:00"/>
    <n v="5"/>
    <x v="1"/>
    <s v="MC-17575"/>
    <s v="Matt Collins"/>
    <s v="California"/>
    <x v="0"/>
    <s v="Paper"/>
    <s v="Xerox 1891"/>
    <n v="244.54999999999998"/>
    <n v="5"/>
  </r>
  <r>
    <x v="738"/>
    <d v="2016-08-11T00:00:00"/>
    <n v="4"/>
    <x v="1"/>
    <s v="JL-15505"/>
    <s v="Jeremy Lonsdale"/>
    <s v="California"/>
    <x v="2"/>
    <s v="Phones"/>
    <s v="Polycom VoiceStation 500 Conference phone"/>
    <n v="707.88"/>
    <n v="3"/>
  </r>
  <r>
    <x v="738"/>
    <d v="2016-08-11T00:00:00"/>
    <n v="4"/>
    <x v="1"/>
    <s v="JL-15505"/>
    <s v="Jeremy Lonsdale"/>
    <s v="California"/>
    <x v="0"/>
    <s v="Binders"/>
    <s v="Cardinal Holdit Business Card Pockets"/>
    <n v="11.952000000000002"/>
    <n v="3"/>
  </r>
  <r>
    <x v="738"/>
    <d v="2016-08-11T00:00:00"/>
    <n v="4"/>
    <x v="1"/>
    <s v="JL-15505"/>
    <s v="Jeremy Lonsdale"/>
    <s v="California"/>
    <x v="0"/>
    <s v="Binders"/>
    <s v="Mead 1st Gear 2&quot; Zipper Binder, Asst. Colors"/>
    <n v="31.128000000000004"/>
    <n v="3"/>
  </r>
  <r>
    <x v="738"/>
    <d v="2016-08-11T00:00:00"/>
    <n v="4"/>
    <x v="1"/>
    <s v="JL-15505"/>
    <s v="Jeremy Lonsdale"/>
    <s v="California"/>
    <x v="2"/>
    <s v="Accessories"/>
    <s v="Sony Micro Vault Click 4 GB USB 2.0 Flash Drive"/>
    <n v="55.76"/>
    <n v="4"/>
  </r>
  <r>
    <x v="738"/>
    <d v="2016-08-11T00:00:00"/>
    <n v="4"/>
    <x v="1"/>
    <s v="JL-15505"/>
    <s v="Jeremy Lonsdale"/>
    <s v="California"/>
    <x v="0"/>
    <s v="Paper"/>
    <s v="Xerox 1881"/>
    <n v="24.56"/>
    <n v="2"/>
  </r>
  <r>
    <x v="738"/>
    <d v="2016-08-11T00:00:00"/>
    <n v="4"/>
    <x v="1"/>
    <s v="JL-15505"/>
    <s v="Jeremy Lonsdale"/>
    <s v="California"/>
    <x v="1"/>
    <s v="Furnishings"/>
    <s v="Howard Miller 13-3/4&quot; Diameter Brushed Chrome Round Wall Clock"/>
    <n v="51.75"/>
    <n v="1"/>
  </r>
  <r>
    <x v="738"/>
    <d v="2016-08-11T00:00:00"/>
    <n v="4"/>
    <x v="1"/>
    <s v="JL-15505"/>
    <s v="Jeremy Lonsdale"/>
    <s v="California"/>
    <x v="1"/>
    <s v="Chairs"/>
    <s v="Global Enterprise Series Seating Low-Back Swivel/Tilt Chairs"/>
    <n v="207.18400000000003"/>
    <n v="1"/>
  </r>
  <r>
    <x v="738"/>
    <d v="2016-08-11T00:00:00"/>
    <n v="4"/>
    <x v="1"/>
    <s v="JL-15505"/>
    <s v="Jeremy Lonsdale"/>
    <s v="California"/>
    <x v="0"/>
    <s v="Appliances"/>
    <s v="3.6 Cubic Foot Counter Height Office Refrigerator"/>
    <n v="1473.1"/>
    <n v="5"/>
  </r>
  <r>
    <x v="739"/>
    <d v="2016-08-15T00:00:00"/>
    <n v="3"/>
    <x v="2"/>
    <s v="JM-16195"/>
    <s v="Justin MacKendrick"/>
    <s v="California"/>
    <x v="0"/>
    <s v="Appliances"/>
    <s v="Avanti 4.4 Cu. Ft. Refrigerator"/>
    <n v="542.93999999999994"/>
    <n v="3"/>
  </r>
  <r>
    <x v="739"/>
    <d v="2016-08-15T00:00:00"/>
    <n v="3"/>
    <x v="2"/>
    <s v="JM-16195"/>
    <s v="Justin MacKendrick"/>
    <s v="California"/>
    <x v="1"/>
    <s v="Furnishings"/>
    <s v="DAX Wood Document Frame"/>
    <n v="54.92"/>
    <n v="4"/>
  </r>
  <r>
    <x v="739"/>
    <d v="2016-08-19T00:00:00"/>
    <n v="7"/>
    <x v="1"/>
    <s v="DK-12895"/>
    <s v="Dana Kaydos"/>
    <s v="Washington"/>
    <x v="2"/>
    <s v="Copiers"/>
    <s v="Hewlett Packard 310 Color Digital Copier"/>
    <n v="299.99"/>
    <n v="1"/>
  </r>
  <r>
    <x v="739"/>
    <d v="2016-08-19T00:00:00"/>
    <n v="7"/>
    <x v="1"/>
    <s v="DK-12895"/>
    <s v="Dana Kaydos"/>
    <s v="Washington"/>
    <x v="0"/>
    <s v="Paper"/>
    <s v="Xerox 1937"/>
    <n v="192.16"/>
    <n v="4"/>
  </r>
  <r>
    <x v="739"/>
    <d v="2016-08-19T00:00:00"/>
    <n v="7"/>
    <x v="1"/>
    <s v="DK-12895"/>
    <s v="Dana Kaydos"/>
    <s v="Washington"/>
    <x v="2"/>
    <s v="Phones"/>
    <s v="Grandstream GXP1160 VoIP phone"/>
    <n v="242.624"/>
    <n v="8"/>
  </r>
  <r>
    <x v="739"/>
    <d v="2016-08-19T00:00:00"/>
    <n v="7"/>
    <x v="1"/>
    <s v="DK-12895"/>
    <s v="Dana Kaydos"/>
    <s v="Washington"/>
    <x v="0"/>
    <s v="Storage"/>
    <s v="Personal File Boxes with Fold-Down Carry Handle"/>
    <n v="46.74"/>
    <n v="3"/>
  </r>
  <r>
    <x v="739"/>
    <d v="2016-08-19T00:00:00"/>
    <n v="7"/>
    <x v="1"/>
    <s v="DK-12895"/>
    <s v="Dana Kaydos"/>
    <s v="Washington"/>
    <x v="2"/>
    <s v="Accessories"/>
    <s v="Perixx PERIBOARD-512B, Ergonomic Split Keyboard"/>
    <n v="174.95000000000002"/>
    <n v="5"/>
  </r>
  <r>
    <x v="739"/>
    <d v="2016-08-19T00:00:00"/>
    <n v="7"/>
    <x v="1"/>
    <s v="DK-12895"/>
    <s v="Dana Kaydos"/>
    <s v="Washington"/>
    <x v="0"/>
    <s v="Binders"/>
    <s v="Avery Legal 4-Ring Binder"/>
    <n v="100.70400000000001"/>
    <n v="6"/>
  </r>
  <r>
    <x v="740"/>
    <d v="2016-08-13T00:00:00"/>
    <n v="0"/>
    <x v="3"/>
    <s v="JK-15370"/>
    <s v="Jay Kimmel"/>
    <s v="California"/>
    <x v="0"/>
    <s v="Storage"/>
    <s v="Sterilite Officeware Hinged File Box"/>
    <n v="31.44"/>
    <n v="3"/>
  </r>
  <r>
    <x v="740"/>
    <d v="2016-08-13T00:00:00"/>
    <n v="0"/>
    <x v="3"/>
    <s v="JK-15370"/>
    <s v="Jay Kimmel"/>
    <s v="California"/>
    <x v="0"/>
    <s v="Appliances"/>
    <s v="Staple holder"/>
    <n v="83.79"/>
    <n v="7"/>
  </r>
  <r>
    <x v="740"/>
    <d v="2016-08-13T00:00:00"/>
    <n v="0"/>
    <x v="3"/>
    <s v="JK-15370"/>
    <s v="Jay Kimmel"/>
    <s v="California"/>
    <x v="0"/>
    <s v="Art"/>
    <s v="Newell 345"/>
    <n v="59.519999999999996"/>
    <n v="3"/>
  </r>
  <r>
    <x v="740"/>
    <d v="2016-08-13T00:00:00"/>
    <n v="0"/>
    <x v="3"/>
    <s v="JK-15370"/>
    <s v="Jay Kimmel"/>
    <s v="California"/>
    <x v="0"/>
    <s v="Supplies"/>
    <s v="Staple remover"/>
    <n v="31.92"/>
    <n v="4"/>
  </r>
  <r>
    <x v="740"/>
    <d v="2016-08-20T00:00:00"/>
    <n v="7"/>
    <x v="1"/>
    <s v="MK-17905"/>
    <s v="Michael Kennedy"/>
    <s v="California"/>
    <x v="0"/>
    <s v="Binders"/>
    <s v="GBC Prepunched Paper, 19-Hole, for Binding Systems, 24-lb"/>
    <n v="36.024000000000001"/>
    <n v="3"/>
  </r>
  <r>
    <x v="741"/>
    <d v="2016-08-16T00:00:00"/>
    <n v="2"/>
    <x v="0"/>
    <s v="NP-18700"/>
    <s v="Nora Preis"/>
    <s v="California"/>
    <x v="0"/>
    <s v="Labels"/>
    <s v="Avery File Folder Labels"/>
    <n v="5.76"/>
    <n v="2"/>
  </r>
  <r>
    <x v="741"/>
    <d v="2016-08-16T00:00:00"/>
    <n v="2"/>
    <x v="0"/>
    <s v="NP-18700"/>
    <s v="Nora Preis"/>
    <s v="California"/>
    <x v="0"/>
    <s v="Art"/>
    <s v="Newell 318"/>
    <n v="16.68"/>
    <n v="6"/>
  </r>
  <r>
    <x v="741"/>
    <d v="2016-08-21T00:00:00"/>
    <n v="7"/>
    <x v="1"/>
    <s v="JM-15250"/>
    <s v="Janet Martin"/>
    <s v="California"/>
    <x v="1"/>
    <s v="Tables"/>
    <s v="Chromcraft Round Conference Tables"/>
    <n v="418.29599999999994"/>
    <n v="3"/>
  </r>
  <r>
    <x v="742"/>
    <d v="2016-08-24T00:00:00"/>
    <n v="7"/>
    <x v="1"/>
    <s v="RW-19540"/>
    <s v="Rick Wilson"/>
    <s v="California"/>
    <x v="0"/>
    <s v="Envelopes"/>
    <s v="Staple envelope"/>
    <n v="23.36"/>
    <n v="2"/>
  </r>
  <r>
    <x v="742"/>
    <d v="2016-08-24T00:00:00"/>
    <n v="7"/>
    <x v="1"/>
    <s v="RW-19540"/>
    <s v="Rick Wilson"/>
    <s v="California"/>
    <x v="2"/>
    <s v="Phones"/>
    <s v="OtterBox Defender Series Case - Samsung Galaxy S4"/>
    <n v="71.975999999999999"/>
    <n v="3"/>
  </r>
  <r>
    <x v="742"/>
    <d v="2016-08-24T00:00:00"/>
    <n v="7"/>
    <x v="1"/>
    <s v="RW-19540"/>
    <s v="Rick Wilson"/>
    <s v="California"/>
    <x v="0"/>
    <s v="Paper"/>
    <s v="Xerox 1962"/>
    <n v="8.56"/>
    <n v="2"/>
  </r>
  <r>
    <x v="742"/>
    <d v="2016-08-24T00:00:00"/>
    <n v="7"/>
    <x v="1"/>
    <s v="RW-19540"/>
    <s v="Rick Wilson"/>
    <s v="California"/>
    <x v="0"/>
    <s v="Binders"/>
    <s v="Wilson Jones Clip &amp; Carry Folder Binder Tool for Ring Binders, Clear"/>
    <n v="13.919999999999998"/>
    <n v="3"/>
  </r>
  <r>
    <x v="742"/>
    <d v="2016-08-24T00:00:00"/>
    <n v="7"/>
    <x v="1"/>
    <s v="RW-19540"/>
    <s v="Rick Wilson"/>
    <s v="California"/>
    <x v="0"/>
    <s v="Appliances"/>
    <s v="Sanyo 2.5 Cubic Foot Mid-Size Office Refrigerators"/>
    <n v="2518.29"/>
    <n v="9"/>
  </r>
  <r>
    <x v="742"/>
    <d v="2016-08-24T00:00:00"/>
    <n v="7"/>
    <x v="1"/>
    <s v="RW-19540"/>
    <s v="Rick Wilson"/>
    <s v="California"/>
    <x v="0"/>
    <s v="Storage"/>
    <s v="Standard Rollaway File with Lock"/>
    <n v="540.56999999999994"/>
    <n v="3"/>
  </r>
  <r>
    <x v="742"/>
    <d v="2016-08-24T00:00:00"/>
    <n v="7"/>
    <x v="1"/>
    <s v="RW-19540"/>
    <s v="Rick Wilson"/>
    <s v="California"/>
    <x v="0"/>
    <s v="Binders"/>
    <s v="GBC Recycled Grain Textured Covers"/>
    <n v="221.05600000000001"/>
    <n v="8"/>
  </r>
  <r>
    <x v="743"/>
    <d v="2016-08-22T00:00:00"/>
    <n v="4"/>
    <x v="1"/>
    <s v="NF-18595"/>
    <s v="Nicole Fjeld"/>
    <s v="Washington"/>
    <x v="0"/>
    <s v="Storage"/>
    <s v="Fellowes Super Stor/Drawer Files"/>
    <n v="323.10000000000002"/>
    <n v="2"/>
  </r>
  <r>
    <x v="743"/>
    <d v="2016-08-22T00:00:00"/>
    <n v="4"/>
    <x v="1"/>
    <s v="HW-14935"/>
    <s v="Helen Wasserman"/>
    <s v="Washington"/>
    <x v="2"/>
    <s v="Accessories"/>
    <s v="Plantronics Savi W720 Multi-Device Wireless Headset System"/>
    <n v="843.9"/>
    <n v="2"/>
  </r>
  <r>
    <x v="743"/>
    <d v="2016-08-22T00:00:00"/>
    <n v="4"/>
    <x v="1"/>
    <s v="HW-14935"/>
    <s v="Helen Wasserman"/>
    <s v="Washington"/>
    <x v="2"/>
    <s v="Accessories"/>
    <s v="Imation Bio 8GB USB Flash Drive Imation Corp"/>
    <n v="1496.16"/>
    <n v="9"/>
  </r>
  <r>
    <x v="743"/>
    <d v="2016-08-25T00:00:00"/>
    <n v="7"/>
    <x v="1"/>
    <s v="YS-21880"/>
    <s v="Yana Sorensen"/>
    <s v="Washington"/>
    <x v="0"/>
    <s v="Binders"/>
    <s v="Fellowes PB300 Plastic Comb Binding Machine"/>
    <n v="2793.5280000000002"/>
    <n v="9"/>
  </r>
  <r>
    <x v="743"/>
    <d v="2016-08-25T00:00:00"/>
    <n v="7"/>
    <x v="1"/>
    <s v="YS-21880"/>
    <s v="Yana Sorensen"/>
    <s v="Washington"/>
    <x v="0"/>
    <s v="Storage"/>
    <s v="Letter Size Cart"/>
    <n v="1000.0200000000001"/>
    <n v="7"/>
  </r>
  <r>
    <x v="743"/>
    <d v="2016-08-25T00:00:00"/>
    <n v="7"/>
    <x v="1"/>
    <s v="YS-21880"/>
    <s v="Yana Sorensen"/>
    <s v="Washington"/>
    <x v="1"/>
    <s v="Furnishings"/>
    <s v="Contract Clock, 14&quot;, Brown"/>
    <n v="65.94"/>
    <n v="3"/>
  </r>
  <r>
    <x v="744"/>
    <d v="2016-08-23T00:00:00"/>
    <n v="4"/>
    <x v="1"/>
    <s v="DO-13435"/>
    <s v="Denny Ordway"/>
    <s v="Utah"/>
    <x v="0"/>
    <s v="Binders"/>
    <s v="Wilson Jones Elliptical Ring 3 1/2&quot; Capacity Binders, 800 sheets"/>
    <n v="102.72"/>
    <n v="3"/>
  </r>
  <r>
    <x v="745"/>
    <d v="2016-08-22T00:00:00"/>
    <n v="2"/>
    <x v="0"/>
    <s v="GM-14500"/>
    <s v="Gene McClure"/>
    <s v="California"/>
    <x v="0"/>
    <s v="Binders"/>
    <s v="GBC Recycled Regency Composition Covers"/>
    <n v="239.12000000000003"/>
    <n v="5"/>
  </r>
  <r>
    <x v="745"/>
    <d v="2016-08-25T00:00:00"/>
    <n v="5"/>
    <x v="1"/>
    <s v="LR-17035"/>
    <s v="Lisa Ryan"/>
    <s v="California"/>
    <x v="0"/>
    <s v="Supplies"/>
    <s v="Acme Kleencut Forged Steel Scissors"/>
    <n v="17.22"/>
    <n v="3"/>
  </r>
  <r>
    <x v="745"/>
    <d v="2016-08-25T00:00:00"/>
    <n v="5"/>
    <x v="1"/>
    <s v="LR-17035"/>
    <s v="Lisa Ryan"/>
    <s v="California"/>
    <x v="0"/>
    <s v="Storage"/>
    <s v="Companion Letter/Legal File, Black"/>
    <n v="226.56"/>
    <n v="6"/>
  </r>
  <r>
    <x v="745"/>
    <d v="2016-08-25T00:00:00"/>
    <n v="5"/>
    <x v="1"/>
    <s v="LR-17035"/>
    <s v="Lisa Ryan"/>
    <s v="California"/>
    <x v="2"/>
    <s v="Phones"/>
    <s v="Plantronics Encore H101 Dual Earpieces Headset"/>
    <n v="107.88"/>
    <n v="3"/>
  </r>
  <r>
    <x v="745"/>
    <d v="2016-08-27T00:00:00"/>
    <n v="7"/>
    <x v="1"/>
    <s v="KT-16480"/>
    <s v="Kean Thornton"/>
    <s v="California"/>
    <x v="0"/>
    <s v="Paper"/>
    <s v="Xerox 203"/>
    <n v="25.92"/>
    <n v="4"/>
  </r>
  <r>
    <x v="746"/>
    <d v="2016-08-22T00:00:00"/>
    <n v="1"/>
    <x v="2"/>
    <s v="PR-18880"/>
    <s v="Patrick Ryan"/>
    <s v="California"/>
    <x v="0"/>
    <s v="Art"/>
    <s v="Newell 336"/>
    <n v="17.12"/>
    <n v="4"/>
  </r>
  <r>
    <x v="746"/>
    <d v="2016-08-22T00:00:00"/>
    <n v="1"/>
    <x v="2"/>
    <s v="PR-18880"/>
    <s v="Patrick Ryan"/>
    <s v="California"/>
    <x v="2"/>
    <s v="Phones"/>
    <s v="Cisco 8x8 Inc. 6753i IP Business Phone System"/>
    <n v="431.96800000000007"/>
    <n v="4"/>
  </r>
  <r>
    <x v="746"/>
    <d v="2016-08-22T00:00:00"/>
    <n v="1"/>
    <x v="2"/>
    <s v="PR-18880"/>
    <s v="Patrick Ryan"/>
    <s v="California"/>
    <x v="1"/>
    <s v="Furnishings"/>
    <s v="Tenex Chairmats For Use with Hard Floors"/>
    <n v="129.91999999999999"/>
    <n v="4"/>
  </r>
  <r>
    <x v="746"/>
    <d v="2016-08-22T00:00:00"/>
    <n v="1"/>
    <x v="2"/>
    <s v="PR-18880"/>
    <s v="Patrick Ryan"/>
    <s v="California"/>
    <x v="1"/>
    <s v="Tables"/>
    <s v="Chromcraft Rectangular Conference Tables"/>
    <n v="568.72800000000007"/>
    <n v="3"/>
  </r>
  <r>
    <x v="746"/>
    <d v="2016-08-22T00:00:00"/>
    <n v="1"/>
    <x v="2"/>
    <s v="PR-18880"/>
    <s v="Patrick Ryan"/>
    <s v="California"/>
    <x v="0"/>
    <s v="Binders"/>
    <s v="Acco Flexible ACCOHIDE Square Ring Data Binder, Dark Blue, 11 1/2&quot; X 14&quot; 7/8&quot;"/>
    <n v="117.14400000000001"/>
    <n v="9"/>
  </r>
  <r>
    <x v="746"/>
    <d v="2016-08-22T00:00:00"/>
    <n v="1"/>
    <x v="2"/>
    <s v="PR-18880"/>
    <s v="Patrick Ryan"/>
    <s v="California"/>
    <x v="0"/>
    <s v="Appliances"/>
    <s v="Fellowes Command Center 5-outlet power strip"/>
    <n v="203.52"/>
    <n v="3"/>
  </r>
  <r>
    <x v="746"/>
    <d v="2016-08-22T00:00:00"/>
    <n v="1"/>
    <x v="2"/>
    <s v="PR-18880"/>
    <s v="Patrick Ryan"/>
    <s v="California"/>
    <x v="0"/>
    <s v="Labels"/>
    <s v="Avery Address/Shipping Labels for Typewriters, 4&quot; x 2&quot;"/>
    <n v="51.75"/>
    <n v="5"/>
  </r>
  <r>
    <x v="746"/>
    <d v="2016-08-21T00:00:00"/>
    <n v="0"/>
    <x v="3"/>
    <s v="DL-13495"/>
    <s v="Dionis Lloyd"/>
    <s v="Arizona"/>
    <x v="0"/>
    <s v="Paper"/>
    <s v="Xerox 1941"/>
    <n v="83.88"/>
    <n v="1"/>
  </r>
  <r>
    <x v="746"/>
    <d v="2016-08-25T00:00:00"/>
    <n v="4"/>
    <x v="0"/>
    <s v="CM-11815"/>
    <s v="Candace McMahon"/>
    <s v="Washington"/>
    <x v="1"/>
    <s v="Chairs"/>
    <s v="Padded Folding Chairs, Black, 4/Carton"/>
    <n v="388.70400000000006"/>
    <n v="6"/>
  </r>
  <r>
    <x v="746"/>
    <d v="2016-08-25T00:00:00"/>
    <n v="4"/>
    <x v="0"/>
    <s v="CM-11815"/>
    <s v="Candace McMahon"/>
    <s v="Washington"/>
    <x v="0"/>
    <s v="Storage"/>
    <s v="Fellowes Stor/Drawer Steel Plus Storage Drawers"/>
    <n v="572.58000000000004"/>
    <n v="6"/>
  </r>
  <r>
    <x v="746"/>
    <d v="2016-08-25T00:00:00"/>
    <n v="4"/>
    <x v="0"/>
    <s v="CM-11815"/>
    <s v="Candace McMahon"/>
    <s v="Washington"/>
    <x v="2"/>
    <s v="Accessories"/>
    <s v="Kensington K72356US Mouse-in-a-Box USB Desktop Mouse"/>
    <n v="33.18"/>
    <n v="2"/>
  </r>
  <r>
    <x v="746"/>
    <d v="2016-08-25T00:00:00"/>
    <n v="4"/>
    <x v="1"/>
    <s v="SC-20845"/>
    <s v="Sung Chung"/>
    <s v="Colorado"/>
    <x v="0"/>
    <s v="Storage"/>
    <s v="Recycled Data-Pak for Archival Bound Computer Printouts, 12-1/2 x 12-1/2 x 16"/>
    <n v="237.09600000000003"/>
    <n v="3"/>
  </r>
  <r>
    <x v="746"/>
    <d v="2016-08-25T00:00:00"/>
    <n v="4"/>
    <x v="1"/>
    <s v="SC-20845"/>
    <s v="Sung Chung"/>
    <s v="Colorado"/>
    <x v="1"/>
    <s v="Furnishings"/>
    <s v="DAX Charcoal/Nickel-Tone Document Frame, 5 x 7"/>
    <n v="22.752000000000002"/>
    <n v="3"/>
  </r>
  <r>
    <x v="746"/>
    <d v="2016-08-25T00:00:00"/>
    <n v="4"/>
    <x v="1"/>
    <s v="SC-20845"/>
    <s v="Sung Chung"/>
    <s v="Colorado"/>
    <x v="0"/>
    <s v="Paper"/>
    <s v="Southworth 25% Cotton Antique Laid Paper &amp; Envelopes"/>
    <n v="6.6720000000000006"/>
    <n v="1"/>
  </r>
  <r>
    <x v="747"/>
    <d v="2016-08-23T00:00:00"/>
    <n v="1"/>
    <x v="2"/>
    <s v="TM-21490"/>
    <s v="Tony Molinari"/>
    <s v="California"/>
    <x v="1"/>
    <s v="Tables"/>
    <s v="Hon Racetrack Conference Tables"/>
    <n v="210.00800000000001"/>
    <n v="1"/>
  </r>
  <r>
    <x v="748"/>
    <d v="2016-08-29T00:00:00"/>
    <n v="2"/>
    <x v="0"/>
    <s v="DR-12880"/>
    <s v="Dan Reichenbach"/>
    <s v="California"/>
    <x v="1"/>
    <s v="Furnishings"/>
    <s v="GE 48&quot; Fluorescent Tube, Cool White Energy Saver, 34 Watts, 30/Box"/>
    <n v="198.46"/>
    <n v="2"/>
  </r>
  <r>
    <x v="748"/>
    <d v="2016-08-29T00:00:00"/>
    <n v="2"/>
    <x v="0"/>
    <s v="DR-12880"/>
    <s v="Dan Reichenbach"/>
    <s v="California"/>
    <x v="0"/>
    <s v="Appliances"/>
    <s v="APC 7 Outlet Network SurgeArrest Surge Protector"/>
    <n v="321.92"/>
    <n v="4"/>
  </r>
  <r>
    <x v="748"/>
    <d v="2016-08-29T00:00:00"/>
    <n v="2"/>
    <x v="0"/>
    <s v="DR-12880"/>
    <s v="Dan Reichenbach"/>
    <s v="California"/>
    <x v="2"/>
    <s v="Copiers"/>
    <s v="Sharp 1540cs Digital Laser Copier"/>
    <n v="879.98400000000004"/>
    <n v="2"/>
  </r>
  <r>
    <x v="748"/>
    <d v="2016-08-29T00:00:00"/>
    <n v="2"/>
    <x v="0"/>
    <s v="DR-12880"/>
    <s v="Dan Reichenbach"/>
    <s v="California"/>
    <x v="0"/>
    <s v="Supplies"/>
    <s v="Acme Preferred Stainless Steel Scissors"/>
    <n v="28.4"/>
    <n v="5"/>
  </r>
  <r>
    <x v="748"/>
    <d v="2016-08-29T00:00:00"/>
    <n v="2"/>
    <x v="0"/>
    <s v="DR-12880"/>
    <s v="Dan Reichenbach"/>
    <s v="California"/>
    <x v="1"/>
    <s v="Chairs"/>
    <s v="Bevis Steel Folding Chairs"/>
    <n v="230.28000000000003"/>
    <n v="3"/>
  </r>
  <r>
    <x v="748"/>
    <d v="2016-08-29T00:00:00"/>
    <n v="2"/>
    <x v="0"/>
    <s v="DR-12880"/>
    <s v="Dan Reichenbach"/>
    <s v="California"/>
    <x v="0"/>
    <s v="Paper"/>
    <s v="White Computer Printout Paper by Universal"/>
    <n v="116.28"/>
    <n v="3"/>
  </r>
  <r>
    <x v="748"/>
    <d v="2016-08-29T00:00:00"/>
    <n v="2"/>
    <x v="0"/>
    <s v="DR-12880"/>
    <s v="Dan Reichenbach"/>
    <s v="California"/>
    <x v="0"/>
    <s v="Binders"/>
    <s v="GBC DocuBind 300 Electric Binding Machine"/>
    <n v="841.5680000000001"/>
    <n v="2"/>
  </r>
  <r>
    <x v="748"/>
    <d v="2016-08-29T00:00:00"/>
    <n v="2"/>
    <x v="0"/>
    <s v="DR-12880"/>
    <s v="Dan Reichenbach"/>
    <s v="California"/>
    <x v="0"/>
    <s v="Storage"/>
    <s v="Sensible Storage WireTech Storage Systems"/>
    <n v="354.90000000000003"/>
    <n v="5"/>
  </r>
  <r>
    <x v="748"/>
    <d v="2016-08-31T00:00:00"/>
    <n v="4"/>
    <x v="1"/>
    <s v="SF-20200"/>
    <s v="Sarah Foster"/>
    <s v="Arizona"/>
    <x v="1"/>
    <s v="Furnishings"/>
    <s v="Flat Face Poster Frame"/>
    <n v="120.57600000000001"/>
    <n v="8"/>
  </r>
  <r>
    <x v="749"/>
    <d v="2016-09-03T00:00:00"/>
    <n v="6"/>
    <x v="1"/>
    <s v="KN-16705"/>
    <s v="Kristina Nunn"/>
    <s v="Washington"/>
    <x v="2"/>
    <s v="Phones"/>
    <s v="Anker 24W Portable Micro USB Car Charger"/>
    <n v="35.167999999999999"/>
    <n v="4"/>
  </r>
  <r>
    <x v="749"/>
    <d v="2016-09-03T00:00:00"/>
    <n v="6"/>
    <x v="1"/>
    <s v="KN-16705"/>
    <s v="Kristina Nunn"/>
    <s v="Washington"/>
    <x v="1"/>
    <s v="Tables"/>
    <s v="Hon Practical Foundations 30 x 60 Training Table, Light Gray/Charcoal"/>
    <n v="1137.75"/>
    <n v="5"/>
  </r>
  <r>
    <x v="749"/>
    <d v="2016-09-03T00:00:00"/>
    <n v="6"/>
    <x v="1"/>
    <s v="KN-16705"/>
    <s v="Kristina Nunn"/>
    <s v="Washington"/>
    <x v="0"/>
    <s v="Binders"/>
    <s v="GBC Standard Therm-A-Bind Covers"/>
    <n v="99.680000000000021"/>
    <n v="5"/>
  </r>
  <r>
    <x v="749"/>
    <d v="2016-09-03T00:00:00"/>
    <n v="6"/>
    <x v="1"/>
    <s v="KN-16705"/>
    <s v="Kristina Nunn"/>
    <s v="Washington"/>
    <x v="0"/>
    <s v="Art"/>
    <s v="Newell 344"/>
    <n v="5.56"/>
    <n v="2"/>
  </r>
  <r>
    <x v="750"/>
    <d v="2016-09-04T00:00:00"/>
    <n v="6"/>
    <x v="1"/>
    <s v="RW-19540"/>
    <s v="Rick Wilson"/>
    <s v="California"/>
    <x v="1"/>
    <s v="Furnishings"/>
    <s v="Electrix Fluorescent Magnifier Lamps &amp; Weighted Base"/>
    <n v="148.02000000000001"/>
    <n v="3"/>
  </r>
  <r>
    <x v="751"/>
    <d v="2016-09-05T00:00:00"/>
    <n v="5"/>
    <x v="1"/>
    <s v="JF-15490"/>
    <s v="Jeremy Farry"/>
    <s v="Arizona"/>
    <x v="0"/>
    <s v="Storage"/>
    <s v="Neat Ideas Personal Hanging Folder Files, Black"/>
    <n v="10.744"/>
    <n v="1"/>
  </r>
  <r>
    <x v="751"/>
    <d v="2016-09-05T00:00:00"/>
    <n v="5"/>
    <x v="1"/>
    <s v="JF-15490"/>
    <s v="Jeremy Farry"/>
    <s v="Arizona"/>
    <x v="0"/>
    <s v="Fasteners"/>
    <s v="OIC Bulk Pack Metal Binder Clips"/>
    <n v="8.3760000000000012"/>
    <n v="3"/>
  </r>
  <r>
    <x v="751"/>
    <d v="2016-09-04T00:00:00"/>
    <n v="4"/>
    <x v="1"/>
    <s v="AW-10930"/>
    <s v="Arthur Wiediger"/>
    <s v="California"/>
    <x v="0"/>
    <s v="Binders"/>
    <s v="Acco Suede Grain Vinyl Round Ring Binder"/>
    <n v="6.6719999999999988"/>
    <n v="3"/>
  </r>
  <r>
    <x v="751"/>
    <d v="2016-09-04T00:00:00"/>
    <n v="4"/>
    <x v="1"/>
    <s v="AW-10930"/>
    <s v="Arthur Wiediger"/>
    <s v="California"/>
    <x v="2"/>
    <s v="Phones"/>
    <s v="Aastra 6757i CT Wireless VoIP phone"/>
    <n v="689.40800000000002"/>
    <n v="4"/>
  </r>
  <r>
    <x v="751"/>
    <d v="2016-09-02T00:00:00"/>
    <n v="2"/>
    <x v="0"/>
    <s v="BW-11110"/>
    <s v="Bart Watters"/>
    <s v="Washington"/>
    <x v="1"/>
    <s v="Chairs"/>
    <s v="Hon 4700 Series Mobuis Mid-Back Task Chairs with Adjustable Arms"/>
    <n v="569.5680000000001"/>
    <n v="2"/>
  </r>
  <r>
    <x v="751"/>
    <d v="2016-09-02T00:00:00"/>
    <n v="2"/>
    <x v="0"/>
    <s v="BW-11110"/>
    <s v="Bart Watters"/>
    <s v="Washington"/>
    <x v="0"/>
    <s v="Storage"/>
    <s v="Sortfiler Multipurpose Personal File Organizer, Black"/>
    <n v="149.73000000000002"/>
    <n v="7"/>
  </r>
  <r>
    <x v="751"/>
    <d v="2016-09-05T00:00:00"/>
    <n v="5"/>
    <x v="1"/>
    <s v="MG-17890"/>
    <s v="Michael Granlund"/>
    <s v="Oregon"/>
    <x v="0"/>
    <s v="Supplies"/>
    <s v="Acme Kleen Earth Office Shears"/>
    <n v="6.2080000000000002"/>
    <n v="2"/>
  </r>
  <r>
    <x v="751"/>
    <d v="2016-09-05T00:00:00"/>
    <n v="5"/>
    <x v="1"/>
    <s v="MS-17770"/>
    <s v="Maxwell Schwartz"/>
    <s v="California"/>
    <x v="0"/>
    <s v="Storage"/>
    <s v="Space Solutions Commercial Steel Shelving"/>
    <n v="193.95000000000002"/>
    <n v="3"/>
  </r>
  <r>
    <x v="752"/>
    <d v="2016-09-06T00:00:00"/>
    <n v="5"/>
    <x v="1"/>
    <s v="SS-20875"/>
    <s v="Sung Shariari"/>
    <s v="Washington"/>
    <x v="2"/>
    <s v="Accessories"/>
    <s v="Logitech LS21 Speaker System - PC Multimedia - 2.1-CH - Wired"/>
    <n v="19.989999999999998"/>
    <n v="1"/>
  </r>
  <r>
    <x v="752"/>
    <d v="2016-09-06T00:00:00"/>
    <n v="5"/>
    <x v="1"/>
    <s v="SS-20875"/>
    <s v="Sung Shariari"/>
    <s v="Washington"/>
    <x v="0"/>
    <s v="Binders"/>
    <s v="Avery Metallic Poly Binders"/>
    <n v="22.92"/>
    <n v="5"/>
  </r>
  <r>
    <x v="752"/>
    <d v="2016-09-07T00:00:00"/>
    <n v="6"/>
    <x v="1"/>
    <s v="CK-12325"/>
    <s v="Christine Kargatis"/>
    <s v="Washington"/>
    <x v="0"/>
    <s v="Art"/>
    <s v="Staples in misc. colors"/>
    <n v="7.58"/>
    <n v="1"/>
  </r>
  <r>
    <x v="752"/>
    <d v="2016-09-01T00:00:00"/>
    <n v="0"/>
    <x v="3"/>
    <s v="RW-19540"/>
    <s v="Rick Wilson"/>
    <s v="Washington"/>
    <x v="0"/>
    <s v="Appliances"/>
    <s v="Honeywell Quietcare HEPA Air Cleaner"/>
    <n v="314.60000000000002"/>
    <n v="4"/>
  </r>
  <r>
    <x v="752"/>
    <d v="2016-09-01T00:00:00"/>
    <n v="0"/>
    <x v="3"/>
    <s v="RW-19540"/>
    <s v="Rick Wilson"/>
    <s v="Washington"/>
    <x v="1"/>
    <s v="Tables"/>
    <s v="KI Conference Tables"/>
    <n v="283.56"/>
    <n v="4"/>
  </r>
  <r>
    <x v="753"/>
    <d v="2016-09-07T00:00:00"/>
    <n v="5"/>
    <x v="1"/>
    <s v="PF-19225"/>
    <s v="Phillip Flathmann"/>
    <s v="California"/>
    <x v="0"/>
    <s v="Art"/>
    <s v="Pencil and Crayon Sharpener"/>
    <n v="6.57"/>
    <n v="3"/>
  </r>
  <r>
    <x v="753"/>
    <d v="2016-09-08T00:00:00"/>
    <n v="6"/>
    <x v="1"/>
    <s v="AW-10840"/>
    <s v="Anthony Witt"/>
    <s v="California"/>
    <x v="0"/>
    <s v="Art"/>
    <s v="OIC #2 Pencils, Medium Soft"/>
    <n v="9.3999999999999986"/>
    <n v="5"/>
  </r>
  <r>
    <x v="753"/>
    <d v="2016-09-08T00:00:00"/>
    <n v="6"/>
    <x v="1"/>
    <s v="AW-10840"/>
    <s v="Anthony Witt"/>
    <s v="California"/>
    <x v="0"/>
    <s v="Labels"/>
    <s v="Avery 505"/>
    <n v="74"/>
    <n v="5"/>
  </r>
  <r>
    <x v="753"/>
    <d v="2016-09-08T00:00:00"/>
    <n v="6"/>
    <x v="1"/>
    <s v="AW-10840"/>
    <s v="Anthony Witt"/>
    <s v="California"/>
    <x v="2"/>
    <s v="Phones"/>
    <s v="Ooma Telo VoIP Home Phone System"/>
    <n v="201.584"/>
    <n v="2"/>
  </r>
  <r>
    <x v="753"/>
    <d v="2016-09-06T00:00:00"/>
    <n v="4"/>
    <x v="1"/>
    <s v="JL-15235"/>
    <s v="Janet Lee"/>
    <s v="California"/>
    <x v="0"/>
    <s v="Binders"/>
    <s v="Acco Translucent Poly Ring Binders"/>
    <n v="18.72"/>
    <n v="5"/>
  </r>
  <r>
    <x v="753"/>
    <d v="2016-09-06T00:00:00"/>
    <n v="4"/>
    <x v="1"/>
    <s v="JL-15235"/>
    <s v="Janet Lee"/>
    <s v="California"/>
    <x v="1"/>
    <s v="Tables"/>
    <s v="Hon 2111 Invitation Series Straight Table"/>
    <n v="236.52800000000002"/>
    <n v="2"/>
  </r>
  <r>
    <x v="753"/>
    <d v="2016-09-02T00:00:00"/>
    <n v="0"/>
    <x v="3"/>
    <s v="SU-20665"/>
    <s v="Stephanie Ulpright"/>
    <s v="Washington"/>
    <x v="1"/>
    <s v="Chairs"/>
    <s v="Global Leather Task Chair, Black"/>
    <n v="215.976"/>
    <n v="3"/>
  </r>
  <r>
    <x v="753"/>
    <d v="2016-09-04T00:00:00"/>
    <n v="2"/>
    <x v="0"/>
    <s v="LW-17215"/>
    <s v="Luke Weiss"/>
    <s v="Colorado"/>
    <x v="0"/>
    <s v="Labels"/>
    <s v="Avery 519"/>
    <n v="11.696"/>
    <n v="2"/>
  </r>
  <r>
    <x v="753"/>
    <d v="2016-09-04T00:00:00"/>
    <n v="2"/>
    <x v="0"/>
    <s v="MH-17290"/>
    <s v="Marc Harrigan"/>
    <s v="California"/>
    <x v="0"/>
    <s v="Appliances"/>
    <s v="Acco Six-Outlet Power Strip, 4' Cord Length"/>
    <n v="43.099999999999994"/>
    <n v="5"/>
  </r>
  <r>
    <x v="753"/>
    <d v="2016-09-04T00:00:00"/>
    <n v="2"/>
    <x v="0"/>
    <s v="MH-17290"/>
    <s v="Marc Harrigan"/>
    <s v="California"/>
    <x v="1"/>
    <s v="Furnishings"/>
    <s v="Luxo Professional Combination Clamp-On Lamps"/>
    <n v="511.5"/>
    <n v="5"/>
  </r>
  <r>
    <x v="753"/>
    <d v="2016-09-04T00:00:00"/>
    <n v="2"/>
    <x v="0"/>
    <s v="MH-17290"/>
    <s v="Marc Harrigan"/>
    <s v="California"/>
    <x v="0"/>
    <s v="Binders"/>
    <s v="GBC Velobind Prepunched Cover Sets, Regency Series"/>
    <n v="147.91999999999999"/>
    <n v="5"/>
  </r>
  <r>
    <x v="754"/>
    <d v="2016-09-08T00:00:00"/>
    <n v="5"/>
    <x v="1"/>
    <s v="AG-10300"/>
    <s v="Aleksandra Gannaway"/>
    <s v="California"/>
    <x v="0"/>
    <s v="Art"/>
    <s v="Premium Writing Pencils, Soft, #2 by Central Association for the Blind"/>
    <n v="5.96"/>
    <n v="2"/>
  </r>
  <r>
    <x v="754"/>
    <d v="2016-09-08T00:00:00"/>
    <n v="5"/>
    <x v="1"/>
    <s v="SC-20050"/>
    <s v="Sample Company A"/>
    <s v="California"/>
    <x v="0"/>
    <s v="Binders"/>
    <s v="Square Ring Data Binders, Rigid 75 Pt. Covers, 11&quot; x 14-7/8&quot;"/>
    <n v="82.56"/>
    <n v="5"/>
  </r>
  <r>
    <x v="754"/>
    <d v="2016-09-08T00:00:00"/>
    <n v="5"/>
    <x v="1"/>
    <s v="SC-20050"/>
    <s v="Sample Company A"/>
    <s v="California"/>
    <x v="2"/>
    <s v="Accessories"/>
    <s v="Kensington Expert Mouse Optical USB Trackball for PC or Mac"/>
    <n v="284.96999999999997"/>
    <n v="3"/>
  </r>
  <r>
    <x v="754"/>
    <d v="2016-09-07T00:00:00"/>
    <n v="4"/>
    <x v="0"/>
    <s v="JK-15730"/>
    <s v="Joe Kamberova"/>
    <s v="California"/>
    <x v="1"/>
    <s v="Bookcases"/>
    <s v="Bush Heritage Pine Collection 5-Shelf Bookcase, Albany Pine Finish, *Special Order"/>
    <n v="239.66599999999997"/>
    <n v="2"/>
  </r>
  <r>
    <x v="755"/>
    <d v="2016-09-08T00:00:00"/>
    <n v="4"/>
    <x v="0"/>
    <s v="GM-14695"/>
    <s v="Greg Maxwell"/>
    <s v="California"/>
    <x v="1"/>
    <s v="Tables"/>
    <s v="Chromcraft Bull-Nose Wood Oval Conference Tables &amp; Bases"/>
    <n v="1322.3520000000001"/>
    <n v="3"/>
  </r>
  <r>
    <x v="755"/>
    <d v="2016-09-05T00:00:00"/>
    <n v="1"/>
    <x v="2"/>
    <s v="KB-16405"/>
    <s v="Katrina Bavinger"/>
    <s v="California"/>
    <x v="0"/>
    <s v="Paper"/>
    <s v="Xerox 220"/>
    <n v="12.96"/>
    <n v="2"/>
  </r>
  <r>
    <x v="755"/>
    <d v="2016-09-05T00:00:00"/>
    <n v="1"/>
    <x v="2"/>
    <s v="KB-16405"/>
    <s v="Katrina Bavinger"/>
    <s v="California"/>
    <x v="2"/>
    <s v="Phones"/>
    <s v="invisibleSHIELD by ZAGG Smudge-Free Screen Protector"/>
    <n v="43.176000000000002"/>
    <n v="3"/>
  </r>
  <r>
    <x v="755"/>
    <d v="2016-09-08T00:00:00"/>
    <n v="4"/>
    <x v="1"/>
    <s v="RA-19285"/>
    <s v="Ralph Arnett"/>
    <s v="California"/>
    <x v="0"/>
    <s v="Binders"/>
    <s v="Ibico Hi-Tech Manual Binding System"/>
    <n v="487.98400000000004"/>
    <n v="2"/>
  </r>
  <r>
    <x v="755"/>
    <d v="2016-09-08T00:00:00"/>
    <n v="4"/>
    <x v="1"/>
    <s v="RA-19285"/>
    <s v="Ralph Arnett"/>
    <s v="California"/>
    <x v="2"/>
    <s v="Phones"/>
    <s v="QVS USB Car Charger 2-Port 2.1Amp for iPod/iPhone/iPad/iPad 2/iPad 3"/>
    <n v="5.5600000000000005"/>
    <n v="1"/>
  </r>
  <r>
    <x v="755"/>
    <d v="2016-09-08T00:00:00"/>
    <n v="4"/>
    <x v="1"/>
    <s v="RA-19285"/>
    <s v="Ralph Arnett"/>
    <s v="California"/>
    <x v="0"/>
    <s v="Storage"/>
    <s v="Trav-L-File Heavy-Duty Shuttle II, Black"/>
    <n v="217.85"/>
    <n v="5"/>
  </r>
  <r>
    <x v="755"/>
    <d v="2016-09-10T00:00:00"/>
    <n v="6"/>
    <x v="1"/>
    <s v="TH-21235"/>
    <s v="Tiffany House"/>
    <s v="California"/>
    <x v="0"/>
    <s v="Storage"/>
    <s v="Rogers Jumbo File, Granite"/>
    <n v="54.32"/>
    <n v="4"/>
  </r>
  <r>
    <x v="755"/>
    <d v="2016-09-06T00:00:00"/>
    <n v="2"/>
    <x v="0"/>
    <s v="PK-19075"/>
    <s v="Pete Kriz"/>
    <s v="California"/>
    <x v="0"/>
    <s v="Binders"/>
    <s v="Acco Suede Grain Vinyl Round Ring Binder"/>
    <n v="13.343999999999998"/>
    <n v="6"/>
  </r>
  <r>
    <x v="755"/>
    <d v="2016-09-06T00:00:00"/>
    <n v="2"/>
    <x v="0"/>
    <s v="PK-19075"/>
    <s v="Pete Kriz"/>
    <s v="California"/>
    <x v="1"/>
    <s v="Tables"/>
    <s v="Bush Cubix Conference Tables, Fully Assembled"/>
    <n v="1478.2719999999999"/>
    <n v="8"/>
  </r>
  <r>
    <x v="755"/>
    <d v="2016-09-08T00:00:00"/>
    <n v="4"/>
    <x v="1"/>
    <s v="EJ-14155"/>
    <s v="Eva Jacobs"/>
    <s v="California"/>
    <x v="0"/>
    <s v="Storage"/>
    <s v="24 Capacity Maxi Data Binder Racks, Pearl"/>
    <n v="421.1"/>
    <n v="2"/>
  </r>
  <r>
    <x v="755"/>
    <d v="2016-09-08T00:00:00"/>
    <n v="4"/>
    <x v="1"/>
    <s v="CV-12805"/>
    <s v="Cynthia Voltz"/>
    <s v="California"/>
    <x v="0"/>
    <s v="Binders"/>
    <s v="Pressboard Hanging Data Binders for Unburst Sheets"/>
    <n v="11.808"/>
    <n v="3"/>
  </r>
  <r>
    <x v="755"/>
    <d v="2016-09-05T00:00:00"/>
    <n v="1"/>
    <x v="2"/>
    <s v="AS-10045"/>
    <s v="Aaron Smayling"/>
    <s v="Oregon"/>
    <x v="0"/>
    <s v="Binders"/>
    <s v="Avery Trapezoid Extra Heavy Duty 4&quot; Binders"/>
    <n v="88.074000000000012"/>
    <n v="7"/>
  </r>
  <r>
    <x v="756"/>
    <d v="2016-09-06T00:00:00"/>
    <n v="1"/>
    <x v="2"/>
    <s v="CS-12400"/>
    <s v="Christopher Schild"/>
    <s v="Washington"/>
    <x v="0"/>
    <s v="Art"/>
    <s v="Newell 333"/>
    <n v="2.78"/>
    <n v="1"/>
  </r>
  <r>
    <x v="757"/>
    <d v="2016-09-11T00:00:00"/>
    <n v="4"/>
    <x v="1"/>
    <s v="JC-15340"/>
    <s v="Jasper Cacioppo"/>
    <s v="California"/>
    <x v="1"/>
    <s v="Furnishings"/>
    <s v="Tenex Chairmats For Use With Carpeted Floors"/>
    <n v="47.94"/>
    <n v="3"/>
  </r>
  <r>
    <x v="757"/>
    <d v="2016-09-12T00:00:00"/>
    <n v="5"/>
    <x v="1"/>
    <s v="RD-19900"/>
    <s v="Ruben Dartt"/>
    <s v="Oregon"/>
    <x v="0"/>
    <s v="Storage"/>
    <s v="Hanging Personal Folder File"/>
    <n v="37.68"/>
    <n v="3"/>
  </r>
  <r>
    <x v="757"/>
    <d v="2016-09-12T00:00:00"/>
    <n v="5"/>
    <x v="1"/>
    <s v="RD-19900"/>
    <s v="Ruben Dartt"/>
    <s v="Oregon"/>
    <x v="2"/>
    <s v="Accessories"/>
    <s v="Logitech Wireless Marathon Mouse M705"/>
    <n v="279.94400000000002"/>
    <n v="7"/>
  </r>
  <r>
    <x v="757"/>
    <d v="2016-09-09T00:00:00"/>
    <n v="2"/>
    <x v="2"/>
    <s v="Dp-13240"/>
    <s v="Dean percer"/>
    <s v="Arizona"/>
    <x v="0"/>
    <s v="Binders"/>
    <s v="Wilson Jones Leather-Like Binders with DublLock Round Rings"/>
    <n v="7.857000000000002"/>
    <n v="3"/>
  </r>
  <r>
    <x v="757"/>
    <d v="2016-09-08T00:00:00"/>
    <n v="1"/>
    <x v="2"/>
    <s v="JM-16195"/>
    <s v="Justin MacKendrick"/>
    <s v="Utah"/>
    <x v="1"/>
    <s v="Furnishings"/>
    <s v="DAX Copper Panel Document Frame, 5 x 7 Size"/>
    <n v="25.16"/>
    <n v="2"/>
  </r>
  <r>
    <x v="757"/>
    <d v="2016-09-08T00:00:00"/>
    <n v="1"/>
    <x v="2"/>
    <s v="JM-16195"/>
    <s v="Justin MacKendrick"/>
    <s v="Utah"/>
    <x v="2"/>
    <s v="Phones"/>
    <s v="Motorla HX550 Universal Bluetooth Headset"/>
    <n v="126.56"/>
    <n v="4"/>
  </r>
  <r>
    <x v="757"/>
    <d v="2016-09-11T00:00:00"/>
    <n v="4"/>
    <x v="1"/>
    <s v="AG-10390"/>
    <s v="Allen Goldenen"/>
    <s v="California"/>
    <x v="1"/>
    <s v="Furnishings"/>
    <s v="C-Line Magnetic Cubicle Keepers, Clear Polypropylene"/>
    <n v="19.760000000000002"/>
    <n v="4"/>
  </r>
  <r>
    <x v="757"/>
    <d v="2016-09-12T00:00:00"/>
    <n v="5"/>
    <x v="1"/>
    <s v="JA-15970"/>
    <s v="Joseph Airdo"/>
    <s v="California"/>
    <x v="1"/>
    <s v="Chairs"/>
    <s v="Global Low Back Tilter Chair"/>
    <n v="161.56800000000001"/>
    <n v="2"/>
  </r>
  <r>
    <x v="757"/>
    <d v="2016-09-10T00:00:00"/>
    <n v="3"/>
    <x v="2"/>
    <s v="PF-19225"/>
    <s v="Phillip Flathmann"/>
    <s v="Washington"/>
    <x v="1"/>
    <s v="Furnishings"/>
    <s v="DAX Two-Tone Silver Metal Document Frame"/>
    <n v="80.959999999999994"/>
    <n v="4"/>
  </r>
  <r>
    <x v="757"/>
    <d v="2016-09-10T00:00:00"/>
    <n v="3"/>
    <x v="2"/>
    <s v="PF-19225"/>
    <s v="Phillip Flathmann"/>
    <s v="Washington"/>
    <x v="2"/>
    <s v="Phones"/>
    <s v="Konftel 250 Conference phone - Charcoal black"/>
    <n v="455.71199999999999"/>
    <n v="2"/>
  </r>
  <r>
    <x v="757"/>
    <d v="2016-09-10T00:00:00"/>
    <n v="3"/>
    <x v="2"/>
    <s v="PF-19225"/>
    <s v="Phillip Flathmann"/>
    <s v="Washington"/>
    <x v="0"/>
    <s v="Art"/>
    <s v="Boston 1799 Powerhouse Electric Pencil Sharpener"/>
    <n v="25.98"/>
    <n v="1"/>
  </r>
  <r>
    <x v="758"/>
    <d v="2016-09-13T00:00:00"/>
    <n v="4"/>
    <x v="1"/>
    <s v="AI-10855"/>
    <s v="Arianne Irving"/>
    <s v="Arizona"/>
    <x v="0"/>
    <s v="Paper"/>
    <s v="Unpadded Memo Slips"/>
    <n v="6.3680000000000003"/>
    <n v="2"/>
  </r>
  <r>
    <x v="758"/>
    <d v="2016-09-14T00:00:00"/>
    <n v="5"/>
    <x v="0"/>
    <s v="LC-17050"/>
    <s v="Liz Carlisle"/>
    <s v="California"/>
    <x v="0"/>
    <s v="Art"/>
    <s v="Newell 35"/>
    <n v="6.56"/>
    <n v="2"/>
  </r>
  <r>
    <x v="758"/>
    <d v="2016-09-14T00:00:00"/>
    <n v="5"/>
    <x v="0"/>
    <s v="LC-17050"/>
    <s v="Liz Carlisle"/>
    <s v="California"/>
    <x v="1"/>
    <s v="Chairs"/>
    <s v="Novimex Fabric Task Chair"/>
    <n v="243.92"/>
    <n v="5"/>
  </r>
  <r>
    <x v="758"/>
    <d v="2016-09-14T00:00:00"/>
    <n v="5"/>
    <x v="0"/>
    <s v="LC-17050"/>
    <s v="Liz Carlisle"/>
    <s v="California"/>
    <x v="0"/>
    <s v="Paper"/>
    <s v="Astroparche Fine Business Paper"/>
    <n v="47.52"/>
    <n v="9"/>
  </r>
  <r>
    <x v="758"/>
    <d v="2016-09-14T00:00:00"/>
    <n v="5"/>
    <x v="1"/>
    <s v="KD-16495"/>
    <s v="Keith Dawkins"/>
    <s v="California"/>
    <x v="0"/>
    <s v="Storage"/>
    <s v="Fellowes Bases and Tops For Staxonsteel/High-Stak Systems"/>
    <n v="99.87"/>
    <n v="3"/>
  </r>
  <r>
    <x v="758"/>
    <d v="2016-09-14T00:00:00"/>
    <n v="5"/>
    <x v="1"/>
    <s v="MC-17605"/>
    <s v="Matt Connell"/>
    <s v="California"/>
    <x v="2"/>
    <s v="Accessories"/>
    <s v="Microsoft Wireless Mobile Mouse 4000"/>
    <n v="159.96"/>
    <n v="4"/>
  </r>
  <r>
    <x v="758"/>
    <d v="2016-09-15T00:00:00"/>
    <n v="6"/>
    <x v="1"/>
    <s v="DK-12835"/>
    <s v="Damala Kotsonis"/>
    <s v="Oregon"/>
    <x v="0"/>
    <s v="Paper"/>
    <s v="Xerox 1930"/>
    <n v="31.104000000000006"/>
    <n v="6"/>
  </r>
  <r>
    <x v="758"/>
    <d v="2016-09-15T00:00:00"/>
    <n v="6"/>
    <x v="1"/>
    <s v="DK-12835"/>
    <s v="Damala Kotsonis"/>
    <s v="Oregon"/>
    <x v="0"/>
    <s v="Appliances"/>
    <s v="Belkin 7-Outlet SurgeMaster Home Series"/>
    <n v="11.176000000000002"/>
    <n v="1"/>
  </r>
  <r>
    <x v="759"/>
    <d v="2016-09-10T00:00:00"/>
    <n v="0"/>
    <x v="3"/>
    <s v="FH-14275"/>
    <s v="Frank Hawley"/>
    <s v="California"/>
    <x v="1"/>
    <s v="Chairs"/>
    <s v="DMI Arturo Collection Mission-style Design Wood Chair"/>
    <n v="362.35199999999998"/>
    <n v="3"/>
  </r>
  <r>
    <x v="759"/>
    <d v="2016-09-10T00:00:00"/>
    <n v="0"/>
    <x v="3"/>
    <s v="FH-14275"/>
    <s v="Frank Hawley"/>
    <s v="California"/>
    <x v="0"/>
    <s v="Binders"/>
    <s v="Avery Non-Stick Binders"/>
    <n v="7.1840000000000011"/>
    <n v="2"/>
  </r>
  <r>
    <x v="760"/>
    <d v="2016-09-12T00:00:00"/>
    <n v="1"/>
    <x v="3"/>
    <s v="KF-16285"/>
    <s v="Karen Ferguson"/>
    <s v="California"/>
    <x v="0"/>
    <s v="Paper"/>
    <s v="Xerox 1996"/>
    <n v="12.96"/>
    <n v="2"/>
  </r>
  <r>
    <x v="760"/>
    <d v="2016-09-12T00:00:00"/>
    <n v="1"/>
    <x v="3"/>
    <s v="KF-16285"/>
    <s v="Karen Ferguson"/>
    <s v="California"/>
    <x v="0"/>
    <s v="Envelopes"/>
    <s v="#10 Self-Seal White Envelopes"/>
    <n v="22.18"/>
    <n v="2"/>
  </r>
  <r>
    <x v="760"/>
    <d v="2016-09-12T00:00:00"/>
    <n v="1"/>
    <x v="3"/>
    <s v="KF-16285"/>
    <s v="Karen Ferguson"/>
    <s v="California"/>
    <x v="1"/>
    <s v="Chairs"/>
    <s v="Hon Pagoda Stacking Chairs"/>
    <n v="2054.2720000000004"/>
    <n v="8"/>
  </r>
  <r>
    <x v="760"/>
    <d v="2016-09-11T00:00:00"/>
    <n v="0"/>
    <x v="3"/>
    <s v="CB-12025"/>
    <s v="Cassandra Brandow"/>
    <s v="California"/>
    <x v="1"/>
    <s v="Furnishings"/>
    <s v="6&quot; Cubicle Wall Clock, Black"/>
    <n v="32.36"/>
    <n v="4"/>
  </r>
  <r>
    <x v="760"/>
    <d v="2016-09-11T00:00:00"/>
    <n v="0"/>
    <x v="3"/>
    <s v="CB-12025"/>
    <s v="Cassandra Brandow"/>
    <s v="California"/>
    <x v="0"/>
    <s v="Appliances"/>
    <s v="Kensington 4 Outlet MasterPiece Compact Power Control Center"/>
    <n v="406.59999999999997"/>
    <n v="5"/>
  </r>
  <r>
    <x v="760"/>
    <d v="2016-09-11T00:00:00"/>
    <n v="0"/>
    <x v="3"/>
    <s v="JF-15415"/>
    <s v="Jennifer Ferguson"/>
    <s v="Washington"/>
    <x v="1"/>
    <s v="Chairs"/>
    <s v="Office Star - Contemporary Task Swivel Chair"/>
    <n v="177.56800000000001"/>
    <n v="2"/>
  </r>
  <r>
    <x v="760"/>
    <d v="2016-09-11T00:00:00"/>
    <n v="0"/>
    <x v="3"/>
    <s v="JF-15415"/>
    <s v="Jennifer Ferguson"/>
    <s v="Washington"/>
    <x v="0"/>
    <s v="Paper"/>
    <s v="Xerox 225"/>
    <n v="19.440000000000001"/>
    <n v="3"/>
  </r>
  <r>
    <x v="760"/>
    <d v="2016-09-11T00:00:00"/>
    <n v="0"/>
    <x v="3"/>
    <s v="JF-15415"/>
    <s v="Jennifer Ferguson"/>
    <s v="Washington"/>
    <x v="0"/>
    <s v="Paper"/>
    <s v="Xerox 1894"/>
    <n v="71.28"/>
    <n v="11"/>
  </r>
  <r>
    <x v="760"/>
    <d v="2016-09-11T00:00:00"/>
    <n v="0"/>
    <x v="3"/>
    <s v="JF-15415"/>
    <s v="Jennifer Ferguson"/>
    <s v="Washington"/>
    <x v="0"/>
    <s v="Binders"/>
    <s v="Ibico Ibimaster 300 Manual Binding System"/>
    <n v="1471.96"/>
    <n v="5"/>
  </r>
  <r>
    <x v="760"/>
    <d v="2016-09-11T00:00:00"/>
    <n v="0"/>
    <x v="3"/>
    <s v="JF-15415"/>
    <s v="Jennifer Ferguson"/>
    <s v="Washington"/>
    <x v="2"/>
    <s v="Phones"/>
    <s v="iOttie XL Car Mount"/>
    <n v="79.959999999999994"/>
    <n v="5"/>
  </r>
  <r>
    <x v="760"/>
    <d v="2016-09-13T00:00:00"/>
    <n v="2"/>
    <x v="0"/>
    <s v="KH-16630"/>
    <s v="Ken Heidel"/>
    <s v="California"/>
    <x v="2"/>
    <s v="Phones"/>
    <s v="OtterBox Defender Series Case - Samsung Galaxy S4"/>
    <n v="143.952"/>
    <n v="6"/>
  </r>
  <r>
    <x v="760"/>
    <d v="2016-09-13T00:00:00"/>
    <n v="2"/>
    <x v="0"/>
    <s v="KH-16630"/>
    <s v="Ken Heidel"/>
    <s v="California"/>
    <x v="0"/>
    <s v="Paper"/>
    <s v="Xerox 192"/>
    <n v="19.440000000000001"/>
    <n v="3"/>
  </r>
  <r>
    <x v="761"/>
    <d v="2016-09-15T00:00:00"/>
    <n v="3"/>
    <x v="2"/>
    <s v="JM-15535"/>
    <s v="Jessica Myrick"/>
    <s v="California"/>
    <x v="1"/>
    <s v="Furnishings"/>
    <s v="Eldon Image Series Desk Accessories, Burgundy"/>
    <n v="8.36"/>
    <n v="2"/>
  </r>
  <r>
    <x v="761"/>
    <d v="2016-09-17T00:00:00"/>
    <n v="5"/>
    <x v="0"/>
    <s v="JM-15865"/>
    <s v="John Murray"/>
    <s v="California"/>
    <x v="0"/>
    <s v="Paper"/>
    <s v="Eaton Premium Continuous-Feed Paper, 25% Cotton, Letter Size, White, 1000 Shts/Box"/>
    <n v="166.44"/>
    <n v="3"/>
  </r>
  <r>
    <x v="762"/>
    <d v="2016-09-18T00:00:00"/>
    <n v="4"/>
    <x v="0"/>
    <s v="JB-16000"/>
    <s v="Joy Bell-"/>
    <s v="California"/>
    <x v="0"/>
    <s v="Labels"/>
    <s v="Avery 48"/>
    <n v="56.699999999999996"/>
    <n v="9"/>
  </r>
  <r>
    <x v="763"/>
    <d v="2016-09-21T00:00:00"/>
    <n v="6"/>
    <x v="1"/>
    <s v="ES-14020"/>
    <s v="Erica Smith"/>
    <s v="California"/>
    <x v="0"/>
    <s v="Binders"/>
    <s v="GBC DocuBind 200 Manual Binding Machine"/>
    <n v="2357.4880000000003"/>
    <n v="7"/>
  </r>
  <r>
    <x v="763"/>
    <d v="2016-09-21T00:00:00"/>
    <n v="6"/>
    <x v="1"/>
    <s v="ES-14020"/>
    <s v="Erica Smith"/>
    <s v="California"/>
    <x v="2"/>
    <s v="Phones"/>
    <s v="Panasonic KX-TG6844B Expandable Digital Cordless Telephone"/>
    <n v="369.54399999999998"/>
    <n v="7"/>
  </r>
  <r>
    <x v="763"/>
    <d v="2016-09-21T00:00:00"/>
    <n v="6"/>
    <x v="1"/>
    <s v="ES-14020"/>
    <s v="Erica Smith"/>
    <s v="California"/>
    <x v="1"/>
    <s v="Chairs"/>
    <s v="Global Deluxe Steno Chair"/>
    <n v="184.75200000000001"/>
    <n v="3"/>
  </r>
  <r>
    <x v="763"/>
    <d v="2016-09-19T00:00:00"/>
    <n v="4"/>
    <x v="1"/>
    <s v="RD-19480"/>
    <s v="Rick Duston"/>
    <s v="California"/>
    <x v="1"/>
    <s v="Chairs"/>
    <s v="Leather Task Chair, Black"/>
    <n v="218.35200000000003"/>
    <n v="3"/>
  </r>
  <r>
    <x v="763"/>
    <d v="2016-09-19T00:00:00"/>
    <n v="4"/>
    <x v="1"/>
    <s v="RD-19480"/>
    <s v="Rick Duston"/>
    <s v="California"/>
    <x v="1"/>
    <s v="Furnishings"/>
    <s v="Tenex 46&quot; x 60&quot; Computer Anti-Static Chairmat, Rectangular Shaped"/>
    <n v="529.9"/>
    <n v="5"/>
  </r>
  <r>
    <x v="763"/>
    <d v="2016-09-19T00:00:00"/>
    <n v="4"/>
    <x v="1"/>
    <s v="RD-19480"/>
    <s v="Rick Duston"/>
    <s v="California"/>
    <x v="0"/>
    <s v="Art"/>
    <s v="Peel-Off China Markers"/>
    <n v="99.3"/>
    <n v="10"/>
  </r>
  <r>
    <x v="763"/>
    <d v="2016-09-19T00:00:00"/>
    <n v="4"/>
    <x v="1"/>
    <s v="RD-19480"/>
    <s v="Rick Duston"/>
    <s v="California"/>
    <x v="0"/>
    <s v="Appliances"/>
    <s v="Belkin 5 Outlet SurgeMaster Power Centers"/>
    <n v="108.96"/>
    <n v="2"/>
  </r>
  <r>
    <x v="763"/>
    <d v="2016-09-19T00:00:00"/>
    <n v="4"/>
    <x v="1"/>
    <s v="RD-19480"/>
    <s v="Rick Duston"/>
    <s v="California"/>
    <x v="0"/>
    <s v="Binders"/>
    <s v="Cardinal Poly Pocket Divider Pockets for Ring Binders"/>
    <n v="2.6880000000000002"/>
    <n v="1"/>
  </r>
  <r>
    <x v="763"/>
    <d v="2016-09-20T00:00:00"/>
    <n v="5"/>
    <x v="1"/>
    <s v="GM-14500"/>
    <s v="Gene McClure"/>
    <s v="Washington"/>
    <x v="0"/>
    <s v="Art"/>
    <s v="BIC Brite Liner Highlighters"/>
    <n v="12.419999999999998"/>
    <n v="3"/>
  </r>
  <r>
    <x v="763"/>
    <d v="2016-09-17T00:00:00"/>
    <n v="2"/>
    <x v="0"/>
    <s v="DO-13645"/>
    <s v="Doug O'Connell"/>
    <s v="Utah"/>
    <x v="0"/>
    <s v="Binders"/>
    <s v="Avery Trapezoid Ring Binder, 3&quot; Capacity, Black, 1040 sheets"/>
    <n v="295.05599999999998"/>
    <n v="9"/>
  </r>
  <r>
    <x v="763"/>
    <d v="2016-09-17T00:00:00"/>
    <n v="2"/>
    <x v="0"/>
    <s v="CS-12400"/>
    <s v="Christopher Schild"/>
    <s v="California"/>
    <x v="1"/>
    <s v="Tables"/>
    <s v="Bretford Rectangular Conference Table Tops"/>
    <n v="300.904"/>
    <n v="1"/>
  </r>
  <r>
    <x v="764"/>
    <d v="2016-09-17T00:00:00"/>
    <n v="1"/>
    <x v="2"/>
    <s v="BB-10990"/>
    <s v="Barry Blumstein"/>
    <s v="California"/>
    <x v="0"/>
    <s v="Paper"/>
    <s v="Ampad Gold Fibre Wirebound Steno Books, 6&quot; x 9&quot;, Gregg Ruled"/>
    <n v="8.82"/>
    <n v="2"/>
  </r>
  <r>
    <x v="764"/>
    <d v="2016-09-17T00:00:00"/>
    <n v="1"/>
    <x v="2"/>
    <s v="BB-10990"/>
    <s v="Barry Blumstein"/>
    <s v="California"/>
    <x v="0"/>
    <s v="Art"/>
    <s v="Newell 330"/>
    <n v="5.98"/>
    <n v="1"/>
  </r>
  <r>
    <x v="764"/>
    <d v="2016-09-20T00:00:00"/>
    <n v="4"/>
    <x v="1"/>
    <s v="CY-12745"/>
    <s v="Craig Yedwab"/>
    <s v="California"/>
    <x v="0"/>
    <s v="Fasteners"/>
    <s v="OIC Colored Binder Clips, Assorted Sizes"/>
    <n v="17.899999999999999"/>
    <n v="5"/>
  </r>
  <r>
    <x v="765"/>
    <d v="2016-09-17T00:00:00"/>
    <n v="0"/>
    <x v="3"/>
    <s v="TP-21415"/>
    <s v="Tom Prescott"/>
    <s v="Washington"/>
    <x v="0"/>
    <s v="Paper"/>
    <s v="Xerox 1984"/>
    <n v="12.96"/>
    <n v="2"/>
  </r>
  <r>
    <x v="765"/>
    <d v="2016-09-21T00:00:00"/>
    <n v="4"/>
    <x v="0"/>
    <s v="AS-10225"/>
    <s v="Alan Schoenberger"/>
    <s v="Utah"/>
    <x v="0"/>
    <s v="Binders"/>
    <s v="Avery Non-Stick Binders"/>
    <n v="10.776000000000002"/>
    <n v="3"/>
  </r>
  <r>
    <x v="765"/>
    <d v="2016-09-21T00:00:00"/>
    <n v="4"/>
    <x v="0"/>
    <s v="AS-10225"/>
    <s v="Alan Schoenberger"/>
    <s v="Utah"/>
    <x v="0"/>
    <s v="Binders"/>
    <s v="Acco Pressboard Covers with Storage Hooks, 14 7/8&quot; x 11&quot;, Light Blue"/>
    <n v="11.784000000000001"/>
    <n v="3"/>
  </r>
  <r>
    <x v="765"/>
    <d v="2016-09-21T00:00:00"/>
    <n v="4"/>
    <x v="0"/>
    <s v="AS-10225"/>
    <s v="Alan Schoenberger"/>
    <s v="Utah"/>
    <x v="0"/>
    <s v="Paper"/>
    <s v="Green Bar Computer Printout Paper"/>
    <n v="164.88"/>
    <n v="3"/>
  </r>
  <r>
    <x v="765"/>
    <d v="2016-09-21T00:00:00"/>
    <n v="4"/>
    <x v="0"/>
    <s v="AS-10225"/>
    <s v="Alan Schoenberger"/>
    <s v="Utah"/>
    <x v="1"/>
    <s v="Bookcases"/>
    <s v="Global Adaptabilites Bookcase, Cherry/Storm Gray Finish"/>
    <n v="1292.94"/>
    <n v="3"/>
  </r>
  <r>
    <x v="765"/>
    <d v="2016-09-21T00:00:00"/>
    <n v="4"/>
    <x v="0"/>
    <s v="AS-10225"/>
    <s v="Alan Schoenberger"/>
    <s v="Utah"/>
    <x v="0"/>
    <s v="Binders"/>
    <s v="GBC Pre-Punched Binding Paper, Plastic, White, 8-1/2&quot; x 11&quot;"/>
    <n v="25.584000000000003"/>
    <n v="2"/>
  </r>
  <r>
    <x v="765"/>
    <d v="2016-09-21T00:00:00"/>
    <n v="4"/>
    <x v="0"/>
    <s v="AS-10225"/>
    <s v="Alan Schoenberger"/>
    <s v="Utah"/>
    <x v="0"/>
    <s v="Storage"/>
    <s v="Mini 13-1/2 Capacity Data Binder Rack, Pearl"/>
    <n v="261.74"/>
    <n v="2"/>
  </r>
  <r>
    <x v="765"/>
    <d v="2016-09-21T00:00:00"/>
    <n v="4"/>
    <x v="0"/>
    <s v="AS-10225"/>
    <s v="Alan Schoenberger"/>
    <s v="Utah"/>
    <x v="0"/>
    <s v="Labels"/>
    <s v="Avery 514"/>
    <n v="14.399999999999999"/>
    <n v="5"/>
  </r>
  <r>
    <x v="765"/>
    <d v="2016-09-20T00:00:00"/>
    <n v="3"/>
    <x v="2"/>
    <s v="SC-20380"/>
    <s v="Shahid Collister"/>
    <s v="Idaho"/>
    <x v="2"/>
    <s v="Accessories"/>
    <s v="Logitech Trackman Marble Mouse"/>
    <n v="89.97"/>
    <n v="3"/>
  </r>
  <r>
    <x v="766"/>
    <d v="2016-09-23T00:00:00"/>
    <n v="5"/>
    <x v="1"/>
    <s v="SH-19975"/>
    <s v="Sally Hughsby"/>
    <s v="California"/>
    <x v="0"/>
    <s v="Art"/>
    <s v="Newell 343"/>
    <n v="8.82"/>
    <n v="3"/>
  </r>
  <r>
    <x v="766"/>
    <d v="2016-09-23T00:00:00"/>
    <n v="5"/>
    <x v="1"/>
    <s v="SH-19975"/>
    <s v="Sally Hughsby"/>
    <s v="California"/>
    <x v="0"/>
    <s v="Envelopes"/>
    <s v="Convenience Packs of Business Envelopes"/>
    <n v="10.86"/>
    <n v="3"/>
  </r>
  <r>
    <x v="766"/>
    <d v="2016-09-23T00:00:00"/>
    <n v="5"/>
    <x v="1"/>
    <s v="SH-19975"/>
    <s v="Sally Hughsby"/>
    <s v="California"/>
    <x v="0"/>
    <s v="Paper"/>
    <s v="Xerox 1911"/>
    <n v="143.69999999999999"/>
    <n v="3"/>
  </r>
  <r>
    <x v="766"/>
    <d v="2016-09-22T00:00:00"/>
    <n v="4"/>
    <x v="1"/>
    <s v="TS-21505"/>
    <s v="Tony Sayre"/>
    <s v="New Mexico"/>
    <x v="0"/>
    <s v="Binders"/>
    <s v="Wilson Jones Easy Flow II Sheet Lifters"/>
    <n v="10.080000000000002"/>
    <n v="7"/>
  </r>
  <r>
    <x v="766"/>
    <d v="2016-09-22T00:00:00"/>
    <n v="4"/>
    <x v="1"/>
    <s v="TS-21505"/>
    <s v="Tony Sayre"/>
    <s v="New Mexico"/>
    <x v="2"/>
    <s v="Accessories"/>
    <s v="Kingston Digital DataTraveler 64GB USB 2.0"/>
    <n v="101.34"/>
    <n v="3"/>
  </r>
  <r>
    <x v="767"/>
    <d v="2016-09-25T00:00:00"/>
    <n v="6"/>
    <x v="1"/>
    <s v="JR-16210"/>
    <s v="Justin Ritter"/>
    <s v="Oregon"/>
    <x v="2"/>
    <s v="Phones"/>
    <s v="Mophie Juice Pack Helium for iPhone"/>
    <n v="191.976"/>
    <n v="3"/>
  </r>
  <r>
    <x v="767"/>
    <d v="2016-09-25T00:00:00"/>
    <n v="6"/>
    <x v="1"/>
    <s v="JR-16210"/>
    <s v="Justin Ritter"/>
    <s v="Oregon"/>
    <x v="0"/>
    <s v="Art"/>
    <s v="Peel-Off China Markers"/>
    <n v="23.832000000000001"/>
    <n v="3"/>
  </r>
  <r>
    <x v="767"/>
    <d v="2016-09-25T00:00:00"/>
    <n v="6"/>
    <x v="1"/>
    <s v="JR-16210"/>
    <s v="Justin Ritter"/>
    <s v="Oregon"/>
    <x v="1"/>
    <s v="Furnishings"/>
    <s v="Howard Miller 14-1/2&quot; Diameter Chrome Round Wall Clock"/>
    <n v="409.21600000000001"/>
    <n v="8"/>
  </r>
  <r>
    <x v="767"/>
    <d v="2016-09-25T00:00:00"/>
    <n v="6"/>
    <x v="1"/>
    <s v="JR-16210"/>
    <s v="Justin Ritter"/>
    <s v="Oregon"/>
    <x v="1"/>
    <s v="Bookcases"/>
    <s v="O'Sullivan 4-Shelf Bookcase in Odessa Pine"/>
    <n v="72.588000000000008"/>
    <n v="2"/>
  </r>
  <r>
    <x v="767"/>
    <d v="2016-09-24T00:00:00"/>
    <n v="5"/>
    <x v="1"/>
    <s v="DP-13105"/>
    <s v="Dave Poirier"/>
    <s v="California"/>
    <x v="2"/>
    <s v="Accessories"/>
    <s v="Microsoft Natural Ergonomic Keyboard 4000"/>
    <n v="149.94999999999999"/>
    <n v="5"/>
  </r>
  <r>
    <x v="767"/>
    <d v="2016-09-24T00:00:00"/>
    <n v="5"/>
    <x v="1"/>
    <s v="DP-13105"/>
    <s v="Dave Poirier"/>
    <s v="California"/>
    <x v="0"/>
    <s v="Art"/>
    <s v="Boston 16765 Mini Stand Up Battery Pencil Sharpener"/>
    <n v="23.32"/>
    <n v="2"/>
  </r>
  <r>
    <x v="767"/>
    <d v="2016-09-24T00:00:00"/>
    <n v="5"/>
    <x v="1"/>
    <s v="DP-13105"/>
    <s v="Dave Poirier"/>
    <s v="California"/>
    <x v="0"/>
    <s v="Art"/>
    <s v="Newell 33"/>
    <n v="16.740000000000002"/>
    <n v="3"/>
  </r>
  <r>
    <x v="767"/>
    <d v="2016-09-25T00:00:00"/>
    <n v="6"/>
    <x v="1"/>
    <s v="AB-10105"/>
    <s v="Adrian Barton"/>
    <s v="Arizona"/>
    <x v="0"/>
    <s v="Storage"/>
    <s v="Akro Stacking Bins"/>
    <n v="12.624000000000001"/>
    <n v="2"/>
  </r>
  <r>
    <x v="767"/>
    <d v="2016-09-25T00:00:00"/>
    <n v="6"/>
    <x v="1"/>
    <s v="AB-10105"/>
    <s v="Adrian Barton"/>
    <s v="Arizona"/>
    <x v="2"/>
    <s v="Accessories"/>
    <s v="Sony Micro Vault Click 16 GB USB 2.0 Flash Drive"/>
    <n v="89.584000000000003"/>
    <n v="2"/>
  </r>
  <r>
    <x v="767"/>
    <d v="2016-09-25T00:00:00"/>
    <n v="6"/>
    <x v="1"/>
    <s v="AB-10105"/>
    <s v="Adrian Barton"/>
    <s v="Arizona"/>
    <x v="2"/>
    <s v="Phones"/>
    <s v="Polycom VoiceStation 500 Conference phone"/>
    <n v="471.92"/>
    <n v="2"/>
  </r>
  <r>
    <x v="767"/>
    <d v="2016-09-25T00:00:00"/>
    <n v="6"/>
    <x v="1"/>
    <s v="AB-10105"/>
    <s v="Adrian Barton"/>
    <s v="Arizona"/>
    <x v="0"/>
    <s v="Binders"/>
    <s v="Plastic Binding Combs"/>
    <n v="18.180000000000003"/>
    <n v="4"/>
  </r>
  <r>
    <x v="768"/>
    <d v="2016-09-23T00:00:00"/>
    <n v="2"/>
    <x v="2"/>
    <s v="ML-18265"/>
    <s v="Muhammed Lee"/>
    <s v="Washington"/>
    <x v="2"/>
    <s v="Accessories"/>
    <s v="Sony 64GB Class 10 Micro SDHC R40 Memory Card"/>
    <n v="71.98"/>
    <n v="2"/>
  </r>
  <r>
    <x v="768"/>
    <d v="2016-09-23T00:00:00"/>
    <n v="2"/>
    <x v="2"/>
    <s v="ML-18265"/>
    <s v="Muhammed Lee"/>
    <s v="Washington"/>
    <x v="2"/>
    <s v="Accessories"/>
    <s v="Logitech M510 Wireless Mouse"/>
    <n v="79.98"/>
    <n v="2"/>
  </r>
  <r>
    <x v="768"/>
    <d v="2016-09-23T00:00:00"/>
    <n v="2"/>
    <x v="2"/>
    <s v="BM-11575"/>
    <s v="Brendan Murry"/>
    <s v="California"/>
    <x v="0"/>
    <s v="Storage"/>
    <s v="Tenex Personal Filing Tote With Secure Closure Lid, Black/Frost"/>
    <n v="15.51"/>
    <n v="1"/>
  </r>
  <r>
    <x v="768"/>
    <d v="2016-09-25T00:00:00"/>
    <n v="4"/>
    <x v="1"/>
    <s v="DB-13615"/>
    <s v="Doug Bickford"/>
    <s v="California"/>
    <x v="0"/>
    <s v="Paper"/>
    <s v="Adams Telephone Message Book w/Frequently-Called Numbers Space, 400 Messages per Book"/>
    <n v="55.86"/>
    <n v="7"/>
  </r>
  <r>
    <x v="769"/>
    <d v="2016-09-28T00:00:00"/>
    <n v="6"/>
    <x v="1"/>
    <s v="DW-13195"/>
    <s v="David Wiener"/>
    <s v="New Mexico"/>
    <x v="0"/>
    <s v="Paper"/>
    <s v="Southworth 25% Cotton Linen-Finish Paper &amp; Envelopes"/>
    <n v="27.18"/>
    <n v="3"/>
  </r>
  <r>
    <x v="769"/>
    <d v="2016-09-28T00:00:00"/>
    <n v="6"/>
    <x v="1"/>
    <s v="BK-11260"/>
    <s v="Berenike Kampe"/>
    <s v="California"/>
    <x v="0"/>
    <s v="Supplies"/>
    <s v="Fiskars Softgrip Scissors"/>
    <n v="21.96"/>
    <n v="2"/>
  </r>
  <r>
    <x v="770"/>
    <d v="2016-09-25T00:00:00"/>
    <n v="2"/>
    <x v="0"/>
    <s v="DW-13540"/>
    <s v="Don Weiss"/>
    <s v="Washington"/>
    <x v="0"/>
    <s v="Appliances"/>
    <s v="Belkin 8 Outlet SurgeMaster II Gold Surge Protector"/>
    <n v="119.96"/>
    <n v="2"/>
  </r>
  <r>
    <x v="770"/>
    <d v="2016-09-25T00:00:00"/>
    <n v="2"/>
    <x v="0"/>
    <s v="DW-13540"/>
    <s v="Don Weiss"/>
    <s v="Washington"/>
    <x v="0"/>
    <s v="Storage"/>
    <s v="Sterilite Officeware Hinged File Box"/>
    <n v="31.44"/>
    <n v="3"/>
  </r>
  <r>
    <x v="770"/>
    <d v="2016-09-25T00:00:00"/>
    <n v="2"/>
    <x v="0"/>
    <s v="DW-13540"/>
    <s v="Don Weiss"/>
    <s v="Washington"/>
    <x v="0"/>
    <s v="Binders"/>
    <s v="Avery Printable Repositionable Plastic Tabs"/>
    <n v="6.88"/>
    <n v="1"/>
  </r>
  <r>
    <x v="770"/>
    <d v="2016-09-27T00:00:00"/>
    <n v="4"/>
    <x v="1"/>
    <s v="BG-11695"/>
    <s v="Brooke Gillingham"/>
    <s v="Colorado"/>
    <x v="1"/>
    <s v="Furnishings"/>
    <s v="Aluminum Document Frame"/>
    <n v="29.328000000000003"/>
    <n v="3"/>
  </r>
  <r>
    <x v="770"/>
    <d v="2016-09-26T00:00:00"/>
    <n v="3"/>
    <x v="2"/>
    <s v="KN-16705"/>
    <s v="Kristina Nunn"/>
    <s v="Colorado"/>
    <x v="0"/>
    <s v="Envelopes"/>
    <s v="Wausau Papers Astrobrights Colored Envelopes"/>
    <n v="14.352000000000002"/>
    <n v="3"/>
  </r>
  <r>
    <x v="770"/>
    <d v="2016-09-29T00:00:00"/>
    <n v="6"/>
    <x v="1"/>
    <s v="AP-10915"/>
    <s v="Arthur Prichep"/>
    <s v="Colorado"/>
    <x v="1"/>
    <s v="Bookcases"/>
    <s v="Atlantic Metals Mobile 5-Shelf Bookcases, Custom Colors"/>
    <n v="180.58800000000005"/>
    <n v="2"/>
  </r>
  <r>
    <x v="770"/>
    <d v="2016-09-29T00:00:00"/>
    <n v="6"/>
    <x v="1"/>
    <s v="AP-10915"/>
    <s v="Arthur Prichep"/>
    <s v="Colorado"/>
    <x v="2"/>
    <s v="Accessories"/>
    <s v="Belkin F8E887 USB Wired Ergonomic Keyboard"/>
    <n v="47.984000000000002"/>
    <n v="2"/>
  </r>
  <r>
    <x v="770"/>
    <d v="2016-09-30T00:00:00"/>
    <n v="7"/>
    <x v="1"/>
    <s v="BS-11755"/>
    <s v="Bruce Stewart"/>
    <s v="California"/>
    <x v="0"/>
    <s v="Binders"/>
    <s v="Acco PRESSTEX Data Binder with Storage Hooks, Light Blue, 9 1/2&quot; X 11&quot;"/>
    <n v="25.824000000000002"/>
    <n v="6"/>
  </r>
  <r>
    <x v="770"/>
    <d v="2016-09-30T00:00:00"/>
    <n v="7"/>
    <x v="1"/>
    <s v="BS-11755"/>
    <s v="Bruce Stewart"/>
    <s v="California"/>
    <x v="0"/>
    <s v="Appliances"/>
    <s v="APC 7 Outlet Network SurgeArrest Surge Protector"/>
    <n v="160.96"/>
    <n v="2"/>
  </r>
  <r>
    <x v="770"/>
    <d v="2016-09-29T00:00:00"/>
    <n v="6"/>
    <x v="1"/>
    <s v="DB-13660"/>
    <s v="Duane Benoit"/>
    <s v="California"/>
    <x v="0"/>
    <s v="Paper"/>
    <s v="Xerox 1909"/>
    <n v="211.04"/>
    <n v="8"/>
  </r>
  <r>
    <x v="770"/>
    <d v="2016-09-29T00:00:00"/>
    <n v="6"/>
    <x v="1"/>
    <s v="DB-13660"/>
    <s v="Duane Benoit"/>
    <s v="California"/>
    <x v="1"/>
    <s v="Chairs"/>
    <s v="GuestStacker Chair with Chrome Finish Legs"/>
    <n v="594.81600000000003"/>
    <n v="2"/>
  </r>
  <r>
    <x v="770"/>
    <d v="2016-09-29T00:00:00"/>
    <n v="6"/>
    <x v="1"/>
    <s v="DB-13660"/>
    <s v="Duane Benoit"/>
    <s v="California"/>
    <x v="0"/>
    <s v="Binders"/>
    <s v="Ibico Plastic Spiral Binding Combs"/>
    <n v="72.960000000000008"/>
    <n v="3"/>
  </r>
  <r>
    <x v="771"/>
    <d v="2016-09-29T00:00:00"/>
    <n v="5"/>
    <x v="1"/>
    <s v="FA-14230"/>
    <s v="Frank Atkinson"/>
    <s v="California"/>
    <x v="2"/>
    <s v="Phones"/>
    <s v="Wilson Electronics DB Pro Signal Booster"/>
    <n v="859.2"/>
    <n v="3"/>
  </r>
  <r>
    <x v="771"/>
    <d v="2016-09-29T00:00:00"/>
    <n v="5"/>
    <x v="1"/>
    <s v="FA-14230"/>
    <s v="Frank Atkinson"/>
    <s v="California"/>
    <x v="2"/>
    <s v="Machines"/>
    <s v="Socket Bluetooth Cordless Hand Scanner (CHS)"/>
    <n v="506.28"/>
    <n v="3"/>
  </r>
  <r>
    <x v="771"/>
    <d v="2016-09-24T00:00:00"/>
    <n v="0"/>
    <x v="3"/>
    <s v="PB-19150"/>
    <s v="Philip Brown"/>
    <s v="Washington"/>
    <x v="1"/>
    <s v="Furnishings"/>
    <s v="12-1/2 Diameter Round Wall Clock"/>
    <n v="199.8"/>
    <n v="10"/>
  </r>
  <r>
    <x v="771"/>
    <d v="2016-09-28T00:00:00"/>
    <n v="4"/>
    <x v="0"/>
    <s v="NK-18490"/>
    <s v="Neil Knudson"/>
    <s v="California"/>
    <x v="0"/>
    <s v="Paper"/>
    <s v="Array Memo Cubes"/>
    <n v="31.08"/>
    <n v="6"/>
  </r>
  <r>
    <x v="771"/>
    <d v="2016-09-28T00:00:00"/>
    <n v="4"/>
    <x v="0"/>
    <s v="NK-18490"/>
    <s v="Neil Knudson"/>
    <s v="California"/>
    <x v="0"/>
    <s v="Supplies"/>
    <s v="Acme Value Line Scissors"/>
    <n v="7.3"/>
    <n v="2"/>
  </r>
  <r>
    <x v="772"/>
    <d v="2016-09-28T00:00:00"/>
    <n v="3"/>
    <x v="2"/>
    <s v="LS-17200"/>
    <s v="Luke Schmidt"/>
    <s v="Montana"/>
    <x v="0"/>
    <s v="Storage"/>
    <s v="Iris Project Case"/>
    <n v="39.900000000000006"/>
    <n v="5"/>
  </r>
  <r>
    <x v="773"/>
    <d v="2016-09-26T00:00:00"/>
    <n v="0"/>
    <x v="3"/>
    <s v="RA-19885"/>
    <s v="Ruben Ausman"/>
    <s v="California"/>
    <x v="0"/>
    <s v="Envelopes"/>
    <s v="Staple envelope"/>
    <n v="71.88"/>
    <n v="6"/>
  </r>
  <r>
    <x v="773"/>
    <d v="2016-09-26T00:00:00"/>
    <n v="0"/>
    <x v="3"/>
    <s v="RA-19885"/>
    <s v="Ruben Ausman"/>
    <s v="California"/>
    <x v="1"/>
    <s v="Furnishings"/>
    <s v="Stackable Trays"/>
    <n v="9.24"/>
    <n v="3"/>
  </r>
  <r>
    <x v="773"/>
    <d v="2016-09-26T00:00:00"/>
    <n v="0"/>
    <x v="3"/>
    <s v="RA-19885"/>
    <s v="Ruben Ausman"/>
    <s v="California"/>
    <x v="0"/>
    <s v="Paper"/>
    <s v="Xerox 1895"/>
    <n v="35.880000000000003"/>
    <n v="6"/>
  </r>
  <r>
    <x v="773"/>
    <d v="2016-09-26T00:00:00"/>
    <n v="0"/>
    <x v="3"/>
    <s v="RA-19885"/>
    <s v="Ruben Ausman"/>
    <s v="California"/>
    <x v="0"/>
    <s v="Binders"/>
    <s v="Wilson Jones Hanging View Binder, White, 1&quot;"/>
    <n v="17.04"/>
    <n v="3"/>
  </r>
  <r>
    <x v="773"/>
    <d v="2016-09-26T00:00:00"/>
    <n v="0"/>
    <x v="3"/>
    <s v="RA-19885"/>
    <s v="Ruben Ausman"/>
    <s v="California"/>
    <x v="0"/>
    <s v="Binders"/>
    <s v="Fellowes PB300 Plastic Comb Binding Machine"/>
    <n v="931.17600000000016"/>
    <n v="3"/>
  </r>
  <r>
    <x v="773"/>
    <d v="2016-09-28T00:00:00"/>
    <n v="2"/>
    <x v="2"/>
    <s v="SL-20155"/>
    <s v="Sara Luxemburg"/>
    <s v="Oregon"/>
    <x v="0"/>
    <s v="Art"/>
    <s v="Prang Drawing Pencil Set"/>
    <n v="2.2239999999999998"/>
    <n v="1"/>
  </r>
  <r>
    <x v="774"/>
    <d v="2016-10-01T00:00:00"/>
    <n v="3"/>
    <x v="2"/>
    <s v="DS-13030"/>
    <s v="Darrin Sayre"/>
    <s v="Colorado"/>
    <x v="1"/>
    <s v="Furnishings"/>
    <s v="Dana Halogen Swing-Arm Architect Lamp"/>
    <n v="32.776000000000003"/>
    <n v="1"/>
  </r>
  <r>
    <x v="774"/>
    <d v="2016-10-01T00:00:00"/>
    <n v="3"/>
    <x v="2"/>
    <s v="DS-13030"/>
    <s v="Darrin Sayre"/>
    <s v="Colorado"/>
    <x v="0"/>
    <s v="Storage"/>
    <s v="Gould Plastics 18-Pocket Panel Bin, 34w x 5-1/4d x 20-1/2h"/>
    <n v="147.184"/>
    <n v="2"/>
  </r>
  <r>
    <x v="774"/>
    <d v="2016-10-01T00:00:00"/>
    <n v="3"/>
    <x v="2"/>
    <s v="DS-13030"/>
    <s v="Darrin Sayre"/>
    <s v="Colorado"/>
    <x v="2"/>
    <s v="Accessories"/>
    <s v="Lenovo 17-Key USB Numeric Keypad"/>
    <n v="54.384000000000007"/>
    <n v="2"/>
  </r>
  <r>
    <x v="774"/>
    <d v="2016-10-01T00:00:00"/>
    <n v="3"/>
    <x v="2"/>
    <s v="DS-13030"/>
    <s v="Darrin Sayre"/>
    <s v="Colorado"/>
    <x v="0"/>
    <s v="Binders"/>
    <s v="GBC DocuBind P50 Personal Binding Machine"/>
    <n v="76.77600000000001"/>
    <n v="4"/>
  </r>
  <r>
    <x v="774"/>
    <d v="2016-10-01T00:00:00"/>
    <n v="3"/>
    <x v="2"/>
    <s v="DS-13030"/>
    <s v="Darrin Sayre"/>
    <s v="Colorado"/>
    <x v="0"/>
    <s v="Paper"/>
    <s v="Xerox 1992"/>
    <n v="14.352000000000002"/>
    <n v="3"/>
  </r>
  <r>
    <x v="774"/>
    <d v="2016-10-01T00:00:00"/>
    <n v="3"/>
    <x v="2"/>
    <s v="DS-13030"/>
    <s v="Darrin Sayre"/>
    <s v="Colorado"/>
    <x v="0"/>
    <s v="Appliances"/>
    <s v="Kensington 7 Outlet MasterPiece HOMEOFFICE Power Control Center"/>
    <n v="209.79200000000003"/>
    <n v="2"/>
  </r>
  <r>
    <x v="774"/>
    <d v="2016-10-04T00:00:00"/>
    <n v="6"/>
    <x v="1"/>
    <s v="BD-11725"/>
    <s v="Bruce Degenhardt"/>
    <s v="California"/>
    <x v="1"/>
    <s v="Furnishings"/>
    <s v="Longer-Life Soft White Bulbs"/>
    <n v="9.24"/>
    <n v="3"/>
  </r>
  <r>
    <x v="775"/>
    <d v="2016-10-02T00:00:00"/>
    <n v="3"/>
    <x v="2"/>
    <s v="PG-18820"/>
    <s v="Patrick Gardner"/>
    <s v="California"/>
    <x v="0"/>
    <s v="Fasteners"/>
    <s v="Advantus Plastic Paper Clips"/>
    <n v="35"/>
    <n v="7"/>
  </r>
  <r>
    <x v="775"/>
    <d v="2016-10-02T00:00:00"/>
    <n v="3"/>
    <x v="2"/>
    <s v="PG-18820"/>
    <s v="Patrick Gardner"/>
    <s v="California"/>
    <x v="1"/>
    <s v="Chairs"/>
    <s v="Leather Task Chair, Black"/>
    <n v="72.784000000000006"/>
    <n v="1"/>
  </r>
  <r>
    <x v="775"/>
    <d v="2016-10-02T00:00:00"/>
    <n v="3"/>
    <x v="2"/>
    <s v="PG-18820"/>
    <s v="Patrick Gardner"/>
    <s v="California"/>
    <x v="0"/>
    <s v="Appliances"/>
    <s v="Fellowes Premier Superior Surge Suppressor, 10-Outlet, With Phone and Remote"/>
    <n v="97.84"/>
    <n v="2"/>
  </r>
  <r>
    <x v="775"/>
    <d v="2016-10-02T00:00:00"/>
    <n v="3"/>
    <x v="2"/>
    <s v="PG-18820"/>
    <s v="Patrick Gardner"/>
    <s v="California"/>
    <x v="1"/>
    <s v="Furnishings"/>
    <s v="Howard Miller 13-3/4&quot; Diameter Brushed Chrome Round Wall Clock"/>
    <n v="51.75"/>
    <n v="1"/>
  </r>
  <r>
    <x v="775"/>
    <d v="2016-10-02T00:00:00"/>
    <n v="3"/>
    <x v="2"/>
    <s v="PG-18820"/>
    <s v="Patrick Gardner"/>
    <s v="California"/>
    <x v="0"/>
    <s v="Binders"/>
    <s v="Binding Machine Supplies"/>
    <n v="46.672000000000004"/>
    <n v="2"/>
  </r>
  <r>
    <x v="775"/>
    <d v="2016-10-01T00:00:00"/>
    <n v="2"/>
    <x v="2"/>
    <s v="SC-20575"/>
    <s v="Sonia Cooley"/>
    <s v="California"/>
    <x v="0"/>
    <s v="Art"/>
    <s v="Newell 334"/>
    <n v="99.2"/>
    <n v="5"/>
  </r>
  <r>
    <x v="775"/>
    <d v="2016-10-06T00:00:00"/>
    <n v="7"/>
    <x v="1"/>
    <s v="JK-15730"/>
    <s v="Joe Kamberova"/>
    <s v="California"/>
    <x v="0"/>
    <s v="Supplies"/>
    <s v="Acme Hot Forged Carbon Steel Scissors with Nickel-Plated Handles, 3 7/8&quot; Cut, 8&quot;L"/>
    <n v="97.3"/>
    <n v="7"/>
  </r>
  <r>
    <x v="776"/>
    <d v="2016-10-03T00:00:00"/>
    <n v="3"/>
    <x v="2"/>
    <s v="CS-11845"/>
    <s v="Cari Sayre"/>
    <s v="Washington"/>
    <x v="0"/>
    <s v="Paper"/>
    <s v="Adams Telephone Message Book W/Dividers/Space For Phone Numbers, 5 1/4&quot;X8 1/2&quot;, 300/Messages"/>
    <n v="11.76"/>
    <n v="2"/>
  </r>
  <r>
    <x v="776"/>
    <d v="2016-10-03T00:00:00"/>
    <n v="3"/>
    <x v="2"/>
    <s v="CS-11845"/>
    <s v="Cari Sayre"/>
    <s v="Washington"/>
    <x v="0"/>
    <s v="Paper"/>
    <s v="Xerox 1882"/>
    <n v="167.94"/>
    <n v="3"/>
  </r>
  <r>
    <x v="776"/>
    <d v="2016-10-03T00:00:00"/>
    <n v="3"/>
    <x v="2"/>
    <s v="CS-11845"/>
    <s v="Cari Sayre"/>
    <s v="Washington"/>
    <x v="0"/>
    <s v="Appliances"/>
    <s v="Commercial WindTunnel Clean Air Upright Vacuum, Replacement Belts, Filtration Bags"/>
    <n v="3.89"/>
    <n v="1"/>
  </r>
  <r>
    <x v="776"/>
    <d v="2016-10-02T00:00:00"/>
    <n v="2"/>
    <x v="0"/>
    <s v="BT-11530"/>
    <s v="Bradley Talbott"/>
    <s v="California"/>
    <x v="2"/>
    <s v="Accessories"/>
    <s v="Razer Kraken PRO Over Ear PC and Music Headset"/>
    <n v="159.97999999999999"/>
    <n v="2"/>
  </r>
  <r>
    <x v="777"/>
    <d v="2016-10-08T00:00:00"/>
    <n v="7"/>
    <x v="1"/>
    <s v="EB-13840"/>
    <s v="Ellis Ballard"/>
    <s v="Washington"/>
    <x v="0"/>
    <s v="Paper"/>
    <s v="Personal Creations Ink Jet Cards and Labels"/>
    <n v="91.84"/>
    <n v="8"/>
  </r>
  <r>
    <x v="777"/>
    <d v="2016-10-08T00:00:00"/>
    <n v="7"/>
    <x v="1"/>
    <s v="EB-13840"/>
    <s v="Ellis Ballard"/>
    <s v="Washington"/>
    <x v="0"/>
    <s v="Binders"/>
    <s v="GBC White Gloss Covers, Plain Front"/>
    <n v="81.088000000000008"/>
    <n v="7"/>
  </r>
  <r>
    <x v="777"/>
    <d v="2016-10-08T00:00:00"/>
    <n v="7"/>
    <x v="1"/>
    <s v="EB-13840"/>
    <s v="Ellis Ballard"/>
    <s v="Washington"/>
    <x v="0"/>
    <s v="Paper"/>
    <s v="Xerox 222"/>
    <n v="19.440000000000001"/>
    <n v="3"/>
  </r>
  <r>
    <x v="777"/>
    <d v="2016-10-08T00:00:00"/>
    <n v="7"/>
    <x v="1"/>
    <s v="EB-13840"/>
    <s v="Ellis Ballard"/>
    <s v="Washington"/>
    <x v="1"/>
    <s v="Chairs"/>
    <s v="Hon Every-Day Series Multi-Task Chairs"/>
    <n v="451.15199999999993"/>
    <n v="3"/>
  </r>
  <r>
    <x v="777"/>
    <d v="2016-10-02T00:00:00"/>
    <n v="1"/>
    <x v="2"/>
    <s v="NS-18505"/>
    <s v="Neola Schneider"/>
    <s v="California"/>
    <x v="0"/>
    <s v="Binders"/>
    <s v="Wilson Jones Easy Flow II Sheet Lifters"/>
    <n v="1.4400000000000002"/>
    <n v="1"/>
  </r>
  <r>
    <x v="777"/>
    <d v="2016-10-02T00:00:00"/>
    <n v="1"/>
    <x v="2"/>
    <s v="NS-18505"/>
    <s v="Neola Schneider"/>
    <s v="California"/>
    <x v="0"/>
    <s v="Binders"/>
    <s v="Storex Dura Pro Binders"/>
    <n v="61.77600000000001"/>
    <n v="13"/>
  </r>
  <r>
    <x v="777"/>
    <d v="2016-10-02T00:00:00"/>
    <n v="1"/>
    <x v="2"/>
    <s v="NS-18505"/>
    <s v="Neola Schneider"/>
    <s v="California"/>
    <x v="0"/>
    <s v="Appliances"/>
    <s v="Belkin 325VA UPS Surge Protector, 6'"/>
    <n v="241.96"/>
    <n v="2"/>
  </r>
  <r>
    <x v="777"/>
    <d v="2016-10-02T00:00:00"/>
    <n v="1"/>
    <x v="2"/>
    <s v="NS-18505"/>
    <s v="Neola Schneider"/>
    <s v="California"/>
    <x v="1"/>
    <s v="Chairs"/>
    <s v="Metal Folding Chairs, Beige, 4/Carton"/>
    <n v="108.608"/>
    <n v="4"/>
  </r>
  <r>
    <x v="777"/>
    <d v="2016-10-06T00:00:00"/>
    <n v="5"/>
    <x v="1"/>
    <s v="TN-21040"/>
    <s v="Tanja Norvell"/>
    <s v="California"/>
    <x v="2"/>
    <s v="Accessories"/>
    <s v="Sony 32GB Class 10 Micro SDHC R40 Memory Card"/>
    <n v="104.75"/>
    <n v="5"/>
  </r>
  <r>
    <x v="778"/>
    <d v="2016-10-07T00:00:00"/>
    <n v="5"/>
    <x v="1"/>
    <s v="FG-14260"/>
    <s v="Frank Gastineau"/>
    <s v="Washington"/>
    <x v="0"/>
    <s v="Fasteners"/>
    <s v="Staples"/>
    <n v="8.94"/>
    <n v="3"/>
  </r>
  <r>
    <x v="778"/>
    <d v="2016-10-07T00:00:00"/>
    <n v="5"/>
    <x v="1"/>
    <s v="FG-14260"/>
    <s v="Frank Gastineau"/>
    <s v="Washington"/>
    <x v="2"/>
    <s v="Phones"/>
    <s v="i.Sound Portable Power - 8000 mAh"/>
    <n v="84.784000000000006"/>
    <n v="2"/>
  </r>
  <r>
    <x v="778"/>
    <d v="2016-10-08T00:00:00"/>
    <n v="6"/>
    <x v="1"/>
    <s v="PV-18985"/>
    <s v="Paul Van Hugh"/>
    <s v="California"/>
    <x v="0"/>
    <s v="Binders"/>
    <s v="Performers Binder/Pad Holder, Black"/>
    <n v="112.12000000000002"/>
    <n v="5"/>
  </r>
  <r>
    <x v="778"/>
    <d v="2016-10-08T00:00:00"/>
    <n v="6"/>
    <x v="1"/>
    <s v="PV-18985"/>
    <s v="Paul Van Hugh"/>
    <s v="California"/>
    <x v="0"/>
    <s v="Storage"/>
    <s v="Tennsco Double-Tier Lockers"/>
    <n v="1575.14"/>
    <n v="7"/>
  </r>
  <r>
    <x v="778"/>
    <d v="2016-10-08T00:00:00"/>
    <n v="6"/>
    <x v="1"/>
    <s v="JK-16090"/>
    <s v="Juliana Krohn"/>
    <s v="Oregon"/>
    <x v="1"/>
    <s v="Bookcases"/>
    <s v="O'Sullivan 4-Shelf Bookcase in Odessa Pine"/>
    <n v="217.76400000000001"/>
    <n v="6"/>
  </r>
  <r>
    <x v="778"/>
    <d v="2016-10-08T00:00:00"/>
    <n v="6"/>
    <x v="1"/>
    <s v="JK-16090"/>
    <s v="Juliana Krohn"/>
    <s v="Oregon"/>
    <x v="0"/>
    <s v="Supplies"/>
    <s v="Acme Softgrip Scissors"/>
    <n v="39.072000000000003"/>
    <n v="6"/>
  </r>
  <r>
    <x v="778"/>
    <d v="2016-10-08T00:00:00"/>
    <n v="6"/>
    <x v="1"/>
    <s v="JK-16090"/>
    <s v="Juliana Krohn"/>
    <s v="Oregon"/>
    <x v="0"/>
    <s v="Binders"/>
    <s v="GBC Standard Recycled Report Covers, Clear Plastic Sheets"/>
    <n v="22.638000000000002"/>
    <n v="7"/>
  </r>
  <r>
    <x v="778"/>
    <d v="2016-10-08T00:00:00"/>
    <n v="6"/>
    <x v="1"/>
    <s v="JK-16090"/>
    <s v="Juliana Krohn"/>
    <s v="Oregon"/>
    <x v="0"/>
    <s v="Art"/>
    <s v="Berol Giant Pencil Sharpener"/>
    <n v="95.143999999999991"/>
    <n v="7"/>
  </r>
  <r>
    <x v="778"/>
    <d v="2016-10-06T00:00:00"/>
    <n v="4"/>
    <x v="1"/>
    <s v="CM-12115"/>
    <s v="Chad McGuire"/>
    <s v="California"/>
    <x v="1"/>
    <s v="Furnishings"/>
    <s v="Dax Clear Box Frame"/>
    <n v="17.46"/>
    <n v="2"/>
  </r>
  <r>
    <x v="778"/>
    <d v="2016-10-06T00:00:00"/>
    <n v="4"/>
    <x v="1"/>
    <s v="CM-12115"/>
    <s v="Chad McGuire"/>
    <s v="California"/>
    <x v="2"/>
    <s v="Machines"/>
    <s v="Ricoh - Ink Collector Unit for GX3000 Series Printers"/>
    <n v="369.16"/>
    <n v="11"/>
  </r>
  <r>
    <x v="779"/>
    <d v="2016-10-08T00:00:00"/>
    <n v="5"/>
    <x v="1"/>
    <s v="AS-10045"/>
    <s v="Aaron Smayling"/>
    <s v="California"/>
    <x v="1"/>
    <s v="Tables"/>
    <s v="Lesro Sheffield Collection Coffee Table, End Table, Center Table, Corner Table"/>
    <n v="171.28800000000001"/>
    <n v="3"/>
  </r>
  <r>
    <x v="780"/>
    <d v="2016-10-10T00:00:00"/>
    <n v="5"/>
    <x v="1"/>
    <s v="MP-18175"/>
    <s v="Mike Pelletier"/>
    <s v="California"/>
    <x v="0"/>
    <s v="Binders"/>
    <s v="Avery Framed View Binder, EZD Ring (Locking), Navy, 1 1/2&quot;"/>
    <n v="39.92"/>
    <n v="5"/>
  </r>
  <r>
    <x v="780"/>
    <d v="2016-10-10T00:00:00"/>
    <n v="5"/>
    <x v="1"/>
    <s v="MP-18175"/>
    <s v="Mike Pelletier"/>
    <s v="California"/>
    <x v="0"/>
    <s v="Paper"/>
    <s v="Xerox 1951"/>
    <n v="61.96"/>
    <n v="2"/>
  </r>
  <r>
    <x v="780"/>
    <d v="2016-10-10T00:00:00"/>
    <n v="5"/>
    <x v="1"/>
    <s v="MP-18175"/>
    <s v="Mike Pelletier"/>
    <s v="California"/>
    <x v="0"/>
    <s v="Binders"/>
    <s v="Avery Hole Reinforcements"/>
    <n v="19.936000000000003"/>
    <n v="4"/>
  </r>
  <r>
    <x v="780"/>
    <d v="2016-10-07T00:00:00"/>
    <n v="2"/>
    <x v="2"/>
    <s v="RB-19795"/>
    <s v="Ross Baird"/>
    <s v="Colorado"/>
    <x v="2"/>
    <s v="Accessories"/>
    <s v="Logitech MX Performance Wireless Mouse"/>
    <n v="63.824000000000005"/>
    <n v="2"/>
  </r>
  <r>
    <x v="780"/>
    <d v="2016-10-10T00:00:00"/>
    <n v="5"/>
    <x v="1"/>
    <s v="GG-14650"/>
    <s v="Greg Guthrie"/>
    <s v="California"/>
    <x v="1"/>
    <s v="Chairs"/>
    <s v="Global Deluxe High-Back Office Chair in Storm"/>
    <n v="435.16800000000006"/>
    <n v="4"/>
  </r>
  <r>
    <x v="780"/>
    <d v="2016-10-10T00:00:00"/>
    <n v="5"/>
    <x v="1"/>
    <s v="GG-14650"/>
    <s v="Greg Guthrie"/>
    <s v="California"/>
    <x v="0"/>
    <s v="Fasteners"/>
    <s v="Staples"/>
    <n v="14.9"/>
    <n v="5"/>
  </r>
  <r>
    <x v="780"/>
    <d v="2016-10-10T00:00:00"/>
    <n v="5"/>
    <x v="1"/>
    <s v="GG-14650"/>
    <s v="Greg Guthrie"/>
    <s v="California"/>
    <x v="0"/>
    <s v="Appliances"/>
    <s v="Hoover Replacement Belts For Soft Guard &amp; Commercial Ltweight Upright Vacs, 2/Pk"/>
    <n v="15.8"/>
    <n v="4"/>
  </r>
  <r>
    <x v="780"/>
    <d v="2016-10-10T00:00:00"/>
    <n v="5"/>
    <x v="1"/>
    <s v="GG-14650"/>
    <s v="Greg Guthrie"/>
    <s v="California"/>
    <x v="1"/>
    <s v="Furnishings"/>
    <s v="DAX Clear Channel Poster Frame"/>
    <n v="72.900000000000006"/>
    <n v="5"/>
  </r>
  <r>
    <x v="780"/>
    <d v="2016-10-10T00:00:00"/>
    <n v="5"/>
    <x v="1"/>
    <s v="GG-14650"/>
    <s v="Greg Guthrie"/>
    <s v="California"/>
    <x v="1"/>
    <s v="Tables"/>
    <s v="KI Adjustable-Height Table"/>
    <n v="206.35200000000003"/>
    <n v="3"/>
  </r>
  <r>
    <x v="780"/>
    <d v="2016-10-10T00:00:00"/>
    <n v="5"/>
    <x v="1"/>
    <s v="GG-14650"/>
    <s v="Greg Guthrie"/>
    <s v="California"/>
    <x v="2"/>
    <s v="Phones"/>
    <s v="Square Credit Card Reader, 4 1/2&quot; x 4 1/2&quot; x 1&quot;, White"/>
    <n v="7.9920000000000009"/>
    <n v="1"/>
  </r>
  <r>
    <x v="781"/>
    <d v="2016-10-11T00:00:00"/>
    <n v="5"/>
    <x v="1"/>
    <s v="NZ-18565"/>
    <s v="Nick Zandusky"/>
    <s v="Idaho"/>
    <x v="1"/>
    <s v="Furnishings"/>
    <s v="36X48 HARDFLOOR CHAIRMAT"/>
    <n v="41.96"/>
    <n v="2"/>
  </r>
  <r>
    <x v="781"/>
    <d v="2016-10-11T00:00:00"/>
    <n v="5"/>
    <x v="1"/>
    <s v="NZ-18565"/>
    <s v="Nick Zandusky"/>
    <s v="Idaho"/>
    <x v="0"/>
    <s v="Appliances"/>
    <s v="Conquest 14 Commercial Heavy-Duty Upright Vacuum, Collection System, Accessory Kit"/>
    <n v="227.84"/>
    <n v="4"/>
  </r>
  <r>
    <x v="781"/>
    <d v="2016-10-11T00:00:00"/>
    <n v="5"/>
    <x v="1"/>
    <s v="NZ-18565"/>
    <s v="Nick Zandusky"/>
    <s v="Idaho"/>
    <x v="0"/>
    <s v="Paper"/>
    <s v="Computer Printout Paper with Letter-Trim Perforations"/>
    <n v="37.94"/>
    <n v="2"/>
  </r>
  <r>
    <x v="781"/>
    <d v="2016-10-11T00:00:00"/>
    <n v="5"/>
    <x v="1"/>
    <s v="AJ-10945"/>
    <s v="Ashley Jarboe"/>
    <s v="Arizona"/>
    <x v="0"/>
    <s v="Art"/>
    <s v="Avery Hi-Liter Smear-Safe Highlighters"/>
    <n v="9.3439999999999994"/>
    <n v="2"/>
  </r>
  <r>
    <x v="782"/>
    <d v="2016-10-13T00:00:00"/>
    <n v="6"/>
    <x v="1"/>
    <s v="DC-13285"/>
    <s v="Debra Catini"/>
    <s v="California"/>
    <x v="1"/>
    <s v="Bookcases"/>
    <s v="O'Sullivan Manor Hill 2-Door Library in Brianna Oak"/>
    <n v="307.666"/>
    <n v="2"/>
  </r>
  <r>
    <x v="782"/>
    <d v="2016-10-11T00:00:00"/>
    <n v="4"/>
    <x v="1"/>
    <s v="MG-18145"/>
    <s v="Mike Gockenbach"/>
    <s v="California"/>
    <x v="2"/>
    <s v="Accessories"/>
    <s v="Logitech G19 Programmable Gaming Keyboard"/>
    <n v="1115.9099999999999"/>
    <n v="9"/>
  </r>
  <r>
    <x v="782"/>
    <d v="2016-10-11T00:00:00"/>
    <n v="4"/>
    <x v="1"/>
    <s v="MG-18145"/>
    <s v="Mike Gockenbach"/>
    <s v="California"/>
    <x v="2"/>
    <s v="Phones"/>
    <s v="Motorola HK250 Universal Bluetooth Headset"/>
    <n v="128.744"/>
    <n v="7"/>
  </r>
  <r>
    <x v="782"/>
    <d v="2016-10-11T00:00:00"/>
    <n v="4"/>
    <x v="1"/>
    <s v="MG-18145"/>
    <s v="Mike Gockenbach"/>
    <s v="California"/>
    <x v="2"/>
    <s v="Phones"/>
    <s v="Square Credit Card Reader, 4 1/2&quot; x 4 1/2&quot; x 1&quot;, White"/>
    <n v="79.920000000000016"/>
    <n v="10"/>
  </r>
  <r>
    <x v="783"/>
    <d v="2016-10-14T00:00:00"/>
    <n v="6"/>
    <x v="1"/>
    <s v="CS-12250"/>
    <s v="Chris Selesnick"/>
    <s v="California"/>
    <x v="2"/>
    <s v="Phones"/>
    <s v="Digium D40 VoIP phone"/>
    <n v="103.19200000000001"/>
    <n v="1"/>
  </r>
  <r>
    <x v="783"/>
    <d v="2016-10-14T00:00:00"/>
    <n v="6"/>
    <x v="1"/>
    <s v="CS-12250"/>
    <s v="Chris Selesnick"/>
    <s v="California"/>
    <x v="2"/>
    <s v="Accessories"/>
    <s v="KeyTronic E03601U1 - Keyboard - Beige"/>
    <n v="36"/>
    <n v="2"/>
  </r>
  <r>
    <x v="783"/>
    <d v="2016-10-14T00:00:00"/>
    <n v="6"/>
    <x v="1"/>
    <s v="CS-12250"/>
    <s v="Chris Selesnick"/>
    <s v="California"/>
    <x v="2"/>
    <s v="Accessories"/>
    <s v="Logitech Illuminated - Keyboard"/>
    <n v="239.96"/>
    <n v="4"/>
  </r>
  <r>
    <x v="783"/>
    <d v="2016-10-14T00:00:00"/>
    <n v="6"/>
    <x v="1"/>
    <s v="CS-12250"/>
    <s v="Chris Selesnick"/>
    <s v="California"/>
    <x v="0"/>
    <s v="Storage"/>
    <s v="Tennsco Commercial Shelving"/>
    <n v="40.68"/>
    <n v="2"/>
  </r>
  <r>
    <x v="784"/>
    <d v="2016-10-11T00:00:00"/>
    <n v="2"/>
    <x v="2"/>
    <s v="XP-21865"/>
    <s v="Xylona Preis"/>
    <s v="California"/>
    <x v="0"/>
    <s v="Paper"/>
    <s v="Wirebound Message Books, 2 7/8&quot; x 5&quot;, 3 Forms per Page"/>
    <n v="35.200000000000003"/>
    <n v="5"/>
  </r>
  <r>
    <x v="785"/>
    <d v="2016-10-18T00:00:00"/>
    <n v="6"/>
    <x v="1"/>
    <s v="ML-18040"/>
    <s v="Michelle Lonsdale"/>
    <s v="New Mexico"/>
    <x v="2"/>
    <s v="Accessories"/>
    <s v="WD My Passport Ultra 2TB Portable External Hard Drive"/>
    <n v="595"/>
    <n v="5"/>
  </r>
  <r>
    <x v="785"/>
    <d v="2016-10-18T00:00:00"/>
    <n v="6"/>
    <x v="1"/>
    <s v="ML-18040"/>
    <s v="Michelle Lonsdale"/>
    <s v="New Mexico"/>
    <x v="0"/>
    <s v="Binders"/>
    <s v="GBC Twin Loop Wire Binding Elements"/>
    <n v="79.872000000000014"/>
    <n v="3"/>
  </r>
  <r>
    <x v="785"/>
    <d v="2016-10-14T00:00:00"/>
    <n v="2"/>
    <x v="2"/>
    <s v="NK-18490"/>
    <s v="Neil Knudson"/>
    <s v="California"/>
    <x v="2"/>
    <s v="Accessories"/>
    <s v="Maxell 4.7GB DVD-R 5/Pack"/>
    <n v="0.99"/>
    <n v="1"/>
  </r>
  <r>
    <x v="785"/>
    <d v="2016-10-14T00:00:00"/>
    <n v="2"/>
    <x v="2"/>
    <s v="NK-18490"/>
    <s v="Neil Knudson"/>
    <s v="California"/>
    <x v="0"/>
    <s v="Binders"/>
    <s v="Canvas Sectional Post Binders"/>
    <n v="101.84"/>
    <n v="5"/>
  </r>
  <r>
    <x v="785"/>
    <d v="2016-10-14T00:00:00"/>
    <n v="2"/>
    <x v="0"/>
    <s v="RW-19690"/>
    <s v="Robert Waldorf"/>
    <s v="California"/>
    <x v="2"/>
    <s v="Accessories"/>
    <s v="SanDisk Cruzer 64 GB USB Flash Drive"/>
    <n v="435.84000000000003"/>
    <n v="12"/>
  </r>
  <r>
    <x v="785"/>
    <d v="2016-10-14T00:00:00"/>
    <n v="2"/>
    <x v="0"/>
    <s v="RW-19690"/>
    <s v="Robert Waldorf"/>
    <s v="California"/>
    <x v="0"/>
    <s v="Art"/>
    <s v="Newell 343"/>
    <n v="5.88"/>
    <n v="2"/>
  </r>
  <r>
    <x v="786"/>
    <d v="2016-10-20T00:00:00"/>
    <n v="7"/>
    <x v="1"/>
    <s v="JW-15220"/>
    <s v="Jane Waco"/>
    <s v="California"/>
    <x v="2"/>
    <s v="Accessories"/>
    <s v="Logitech Media Keyboard K200"/>
    <n v="209.94"/>
    <n v="6"/>
  </r>
  <r>
    <x v="786"/>
    <d v="2016-10-20T00:00:00"/>
    <n v="7"/>
    <x v="1"/>
    <s v="JW-15220"/>
    <s v="Jane Waco"/>
    <s v="California"/>
    <x v="2"/>
    <s v="Phones"/>
    <s v="Anker Astro Mini 3000mAh Ultra-Compact Portable Charger"/>
    <n v="31.983999999999998"/>
    <n v="2"/>
  </r>
  <r>
    <x v="786"/>
    <d v="2016-10-20T00:00:00"/>
    <n v="7"/>
    <x v="1"/>
    <s v="JW-15220"/>
    <s v="Jane Waco"/>
    <s v="California"/>
    <x v="0"/>
    <s v="Binders"/>
    <s v="Fellowes PB500 Electric Punch Plastic Comb Binding Machine with Manual Bind"/>
    <n v="5083.96"/>
    <n v="5"/>
  </r>
  <r>
    <x v="787"/>
    <d v="2016-10-17T00:00:00"/>
    <n v="3"/>
    <x v="2"/>
    <s v="JW-15955"/>
    <s v="Joni Wasserman"/>
    <s v="California"/>
    <x v="1"/>
    <s v="Furnishings"/>
    <s v="C-Line Cubicle Keepers Polyproplyene Holder With Velcro Backings"/>
    <n v="9.4600000000000009"/>
    <n v="2"/>
  </r>
  <r>
    <x v="787"/>
    <d v="2016-10-19T00:00:00"/>
    <n v="5"/>
    <x v="1"/>
    <s v="BK-11260"/>
    <s v="Berenike Kampe"/>
    <s v="California"/>
    <x v="2"/>
    <s v="Accessories"/>
    <s v="Verbatim 25 GB 6x Blu-ray Single Layer Recordable Disc, 10/Pack"/>
    <n v="46.36"/>
    <n v="4"/>
  </r>
  <r>
    <x v="788"/>
    <d v="2016-10-18T00:00:00"/>
    <n v="3"/>
    <x v="0"/>
    <s v="FG-14260"/>
    <s v="Frank Gastineau"/>
    <s v="California"/>
    <x v="0"/>
    <s v="Art"/>
    <s v="Panasonic KP-310 Heavy-Duty Electric Pencil Sharpener"/>
    <n v="87.92"/>
    <n v="4"/>
  </r>
  <r>
    <x v="788"/>
    <d v="2016-10-17T00:00:00"/>
    <n v="2"/>
    <x v="2"/>
    <s v="RS-19765"/>
    <s v="Roland Schwarz"/>
    <s v="California"/>
    <x v="1"/>
    <s v="Tables"/>
    <s v="Bush Advantage Collection Round Conference Table"/>
    <n v="510.24"/>
    <n v="3"/>
  </r>
  <r>
    <x v="788"/>
    <d v="2016-10-17T00:00:00"/>
    <n v="2"/>
    <x v="2"/>
    <s v="RS-19765"/>
    <s v="Roland Schwarz"/>
    <s v="California"/>
    <x v="0"/>
    <s v="Paper"/>
    <s v="Xerox 1919"/>
    <n v="204.95000000000002"/>
    <n v="5"/>
  </r>
  <r>
    <x v="788"/>
    <d v="2016-10-20T00:00:00"/>
    <n v="5"/>
    <x v="1"/>
    <s v="DL-13495"/>
    <s v="Dionis Lloyd"/>
    <s v="California"/>
    <x v="0"/>
    <s v="Labels"/>
    <s v="Avery 4027 File Folder Labels for Dot Matrix Printers, 5000 Labels per Box, White"/>
    <n v="152.65"/>
    <n v="5"/>
  </r>
  <r>
    <x v="788"/>
    <d v="2016-10-20T00:00:00"/>
    <n v="5"/>
    <x v="1"/>
    <s v="DL-13495"/>
    <s v="Dionis Lloyd"/>
    <s v="California"/>
    <x v="1"/>
    <s v="Furnishings"/>
    <s v="Executive Impressions 14&quot; Two-Color Numerals Wall Clock"/>
    <n v="22.72"/>
    <n v="1"/>
  </r>
  <r>
    <x v="788"/>
    <d v="2016-10-19T00:00:00"/>
    <n v="4"/>
    <x v="1"/>
    <s v="MC-17275"/>
    <s v="Marc Crier"/>
    <s v="California"/>
    <x v="0"/>
    <s v="Labels"/>
    <s v="Avery 478"/>
    <n v="14.73"/>
    <n v="3"/>
  </r>
  <r>
    <x v="788"/>
    <d v="2016-10-19T00:00:00"/>
    <n v="4"/>
    <x v="1"/>
    <s v="SV-20815"/>
    <s v="Stuart Van"/>
    <s v="Utah"/>
    <x v="0"/>
    <s v="Art"/>
    <s v="Avery Hi-Liter Smear-Safe Highlighters"/>
    <n v="11.68"/>
    <n v="2"/>
  </r>
  <r>
    <x v="789"/>
    <d v="2016-10-21T00:00:00"/>
    <n v="5"/>
    <x v="1"/>
    <s v="AJ-10780"/>
    <s v="Anthony Jacobs"/>
    <s v="Arizona"/>
    <x v="0"/>
    <s v="Paper"/>
    <s v="Green Bar Computer Printout Paper"/>
    <n v="307.77600000000001"/>
    <n v="7"/>
  </r>
  <r>
    <x v="789"/>
    <d v="2016-10-21T00:00:00"/>
    <n v="5"/>
    <x v="1"/>
    <s v="GH-14410"/>
    <s v="Gary Hansen"/>
    <s v="Arizona"/>
    <x v="2"/>
    <s v="Machines"/>
    <s v="Swingline SM12-08 MicroCut Jam Free Shredder"/>
    <n v="599.98500000000013"/>
    <n v="5"/>
  </r>
  <r>
    <x v="790"/>
    <d v="2016-10-19T00:00:00"/>
    <n v="2"/>
    <x v="0"/>
    <s v="AJ-10960"/>
    <s v="Astrea Jones"/>
    <s v="California"/>
    <x v="0"/>
    <s v="Art"/>
    <s v="Economy #2 Pencils"/>
    <n v="10.64"/>
    <n v="4"/>
  </r>
  <r>
    <x v="790"/>
    <d v="2016-10-19T00:00:00"/>
    <n v="2"/>
    <x v="0"/>
    <s v="BF-11020"/>
    <s v="Barry Französisch"/>
    <s v="California"/>
    <x v="2"/>
    <s v="Phones"/>
    <s v="Panasonic KX-TG6844B Expandable Digital Cordless Telephone"/>
    <n v="52.792000000000002"/>
    <n v="1"/>
  </r>
  <r>
    <x v="791"/>
    <d v="2016-10-24T00:00:00"/>
    <n v="5"/>
    <x v="0"/>
    <s v="HH-15010"/>
    <s v="Hilary Holden"/>
    <s v="California"/>
    <x v="0"/>
    <s v="Envelopes"/>
    <s v="Ampad #10 Peel &amp; Seel Holiday Envelopes"/>
    <n v="8.9600000000000009"/>
    <n v="2"/>
  </r>
  <r>
    <x v="791"/>
    <d v="2016-10-24T00:00:00"/>
    <n v="5"/>
    <x v="0"/>
    <s v="HH-15010"/>
    <s v="Hilary Holden"/>
    <s v="California"/>
    <x v="0"/>
    <s v="Labels"/>
    <s v="Avery 518"/>
    <n v="31.5"/>
    <n v="10"/>
  </r>
  <r>
    <x v="791"/>
    <d v="2016-10-24T00:00:00"/>
    <n v="5"/>
    <x v="0"/>
    <s v="HH-15010"/>
    <s v="Hilary Holden"/>
    <s v="California"/>
    <x v="1"/>
    <s v="Furnishings"/>
    <s v="Linden 10&quot; Round Wall Clock, Black"/>
    <n v="30.56"/>
    <n v="2"/>
  </r>
  <r>
    <x v="791"/>
    <d v="2016-10-24T00:00:00"/>
    <n v="5"/>
    <x v="0"/>
    <s v="HH-15010"/>
    <s v="Hilary Holden"/>
    <s v="California"/>
    <x v="1"/>
    <s v="Tables"/>
    <s v="Anderson Hickey Conga Table Tops &amp; Accessories"/>
    <n v="24.368000000000002"/>
    <n v="2"/>
  </r>
  <r>
    <x v="791"/>
    <d v="2016-10-23T00:00:00"/>
    <n v="4"/>
    <x v="1"/>
    <s v="JS-16030"/>
    <s v="Joy Smith"/>
    <s v="California"/>
    <x v="0"/>
    <s v="Binders"/>
    <s v="JM Magazine Binder"/>
    <n v="39.624000000000009"/>
    <n v="3"/>
  </r>
  <r>
    <x v="792"/>
    <d v="2016-10-22T00:00:00"/>
    <n v="2"/>
    <x v="0"/>
    <s v="JE-16165"/>
    <s v="Justin Ellison"/>
    <s v="California"/>
    <x v="0"/>
    <s v="Labels"/>
    <s v="Avery 510"/>
    <n v="3.75"/>
    <n v="1"/>
  </r>
  <r>
    <x v="792"/>
    <d v="2016-10-22T00:00:00"/>
    <n v="2"/>
    <x v="0"/>
    <s v="JE-16165"/>
    <s v="Justin Ellison"/>
    <s v="California"/>
    <x v="0"/>
    <s v="Binders"/>
    <s v="Wilson Jones Four-Pocket Poly Binders"/>
    <n v="20.928000000000001"/>
    <n v="4"/>
  </r>
  <r>
    <x v="793"/>
    <d v="2016-10-22T00:00:00"/>
    <n v="1"/>
    <x v="2"/>
    <s v="DK-12835"/>
    <s v="Damala Kotsonis"/>
    <s v="Oregon"/>
    <x v="0"/>
    <s v="Paper"/>
    <s v="Xerox 218"/>
    <n v="5.1840000000000011"/>
    <n v="1"/>
  </r>
  <r>
    <x v="793"/>
    <d v="2016-10-22T00:00:00"/>
    <n v="1"/>
    <x v="2"/>
    <s v="DK-12835"/>
    <s v="Damala Kotsonis"/>
    <s v="Oregon"/>
    <x v="1"/>
    <s v="Chairs"/>
    <s v="Global Comet Stacking Armless Chair"/>
    <n v="478.48"/>
    <n v="2"/>
  </r>
  <r>
    <x v="793"/>
    <d v="2016-10-22T00:00:00"/>
    <n v="1"/>
    <x v="2"/>
    <s v="DK-12835"/>
    <s v="Damala Kotsonis"/>
    <s v="Oregon"/>
    <x v="2"/>
    <s v="Accessories"/>
    <s v="Memorex Froggy Flash Drive 8 GB"/>
    <n v="28.400000000000002"/>
    <n v="2"/>
  </r>
  <r>
    <x v="793"/>
    <d v="2016-10-28T00:00:00"/>
    <n v="7"/>
    <x v="1"/>
    <s v="ND-18370"/>
    <s v="Natalie DeCherney"/>
    <s v="Arizona"/>
    <x v="0"/>
    <s v="Binders"/>
    <s v="Lock-Up Easel 'Spel-Binder'"/>
    <n v="8.5590000000000011"/>
    <n v="1"/>
  </r>
  <r>
    <x v="794"/>
    <d v="2016-10-27T00:00:00"/>
    <n v="5"/>
    <x v="1"/>
    <s v="DW-13195"/>
    <s v="David Wiener"/>
    <s v="Oregon"/>
    <x v="1"/>
    <s v="Tables"/>
    <s v="KI Conference Tables"/>
    <n v="177.22499999999999"/>
    <n v="5"/>
  </r>
  <r>
    <x v="794"/>
    <d v="2016-10-24T00:00:00"/>
    <n v="2"/>
    <x v="0"/>
    <s v="HA-14905"/>
    <s v="Helen Abelman"/>
    <s v="Colorado"/>
    <x v="0"/>
    <s v="Binders"/>
    <s v="Storex Flexible Poly Binders with Double Pockets"/>
    <n v="3.1680000000000006"/>
    <n v="4"/>
  </r>
  <r>
    <x v="794"/>
    <d v="2016-10-24T00:00:00"/>
    <n v="2"/>
    <x v="0"/>
    <s v="HA-14905"/>
    <s v="Helen Abelman"/>
    <s v="Colorado"/>
    <x v="1"/>
    <s v="Chairs"/>
    <s v="Office Star - Ergonomic Mid Back Chair with 2-Way Adjustable Arms"/>
    <n v="579.13599999999997"/>
    <n v="4"/>
  </r>
  <r>
    <x v="795"/>
    <d v="2016-10-28T00:00:00"/>
    <n v="1"/>
    <x v="2"/>
    <s v="JO-15145"/>
    <s v="Jack O'Briant"/>
    <s v="California"/>
    <x v="1"/>
    <s v="Bookcases"/>
    <s v="O'Sullivan Elevations Bookcase, Cherry Finish"/>
    <n v="556.66499999999996"/>
    <n v="5"/>
  </r>
  <r>
    <x v="795"/>
    <d v="2016-10-28T00:00:00"/>
    <n v="1"/>
    <x v="2"/>
    <s v="JO-15145"/>
    <s v="Jack O'Briant"/>
    <s v="California"/>
    <x v="2"/>
    <s v="Phones"/>
    <s v="Jackery Bar Premium Fast-charging Portable Charger"/>
    <n v="95.84"/>
    <n v="4"/>
  </r>
  <r>
    <x v="795"/>
    <d v="2016-10-29T00:00:00"/>
    <n v="2"/>
    <x v="2"/>
    <s v="JM-15655"/>
    <s v="Jim Mitchum"/>
    <s v="California"/>
    <x v="1"/>
    <s v="Tables"/>
    <s v="Chromcraft Rectangular Conference Tables"/>
    <n v="189.57600000000002"/>
    <n v="1"/>
  </r>
  <r>
    <x v="795"/>
    <d v="2016-10-29T00:00:00"/>
    <n v="2"/>
    <x v="2"/>
    <s v="JM-15655"/>
    <s v="Jim Mitchum"/>
    <s v="California"/>
    <x v="2"/>
    <s v="Phones"/>
    <s v="Griffin GC17055 Auxiliary Audio Cable"/>
    <n v="71.959999999999994"/>
    <n v="5"/>
  </r>
  <r>
    <x v="795"/>
    <d v="2016-11-01T00:00:00"/>
    <n v="5"/>
    <x v="1"/>
    <s v="TW-21025"/>
    <s v="Tamara Willingham"/>
    <s v="Arizona"/>
    <x v="0"/>
    <s v="Paper"/>
    <s v="Xerox 1882"/>
    <n v="44.783999999999999"/>
    <n v="1"/>
  </r>
  <r>
    <x v="796"/>
    <d v="2016-11-03T00:00:00"/>
    <n v="4"/>
    <x v="1"/>
    <s v="JW-15220"/>
    <s v="Jane Waco"/>
    <s v="Washington"/>
    <x v="1"/>
    <s v="Furnishings"/>
    <s v="Magna Visual Magnetic Picture Hangers"/>
    <n v="9.64"/>
    <n v="2"/>
  </r>
  <r>
    <x v="796"/>
    <d v="2016-11-06T00:00:00"/>
    <n v="7"/>
    <x v="1"/>
    <s v="MM-18055"/>
    <s v="Michelle Moray"/>
    <s v="Washington"/>
    <x v="0"/>
    <s v="Binders"/>
    <s v="GBC Velobind Prepunched Cover Sets, Regency Series"/>
    <n v="88.751999999999995"/>
    <n v="3"/>
  </r>
  <r>
    <x v="796"/>
    <d v="2016-11-06T00:00:00"/>
    <n v="7"/>
    <x v="1"/>
    <s v="MM-18055"/>
    <s v="Michelle Moray"/>
    <s v="Washington"/>
    <x v="0"/>
    <s v="Binders"/>
    <s v="Cardinal Slant-D Ring Binders"/>
    <n v="13.904"/>
    <n v="2"/>
  </r>
  <r>
    <x v="796"/>
    <d v="2016-11-05T00:00:00"/>
    <n v="6"/>
    <x v="1"/>
    <s v="JK-15205"/>
    <s v="Jamie Kunitz"/>
    <s v="California"/>
    <x v="0"/>
    <s v="Labels"/>
    <s v="Avery 500"/>
    <n v="43.86"/>
    <n v="6"/>
  </r>
  <r>
    <x v="796"/>
    <d v="2016-11-05T00:00:00"/>
    <n v="6"/>
    <x v="1"/>
    <s v="JK-15205"/>
    <s v="Jamie Kunitz"/>
    <s v="California"/>
    <x v="2"/>
    <s v="Phones"/>
    <s v="Geemarc AmpliPOWER60"/>
    <n v="148.47999999999999"/>
    <n v="2"/>
  </r>
  <r>
    <x v="796"/>
    <d v="2016-11-05T00:00:00"/>
    <n v="6"/>
    <x v="1"/>
    <s v="JK-15205"/>
    <s v="Jamie Kunitz"/>
    <s v="California"/>
    <x v="0"/>
    <s v="Paper"/>
    <s v="&quot;While you Were Out&quot; Message Book, One Form per Page"/>
    <n v="7.42"/>
    <n v="2"/>
  </r>
  <r>
    <x v="796"/>
    <d v="2016-11-05T00:00:00"/>
    <n v="6"/>
    <x v="1"/>
    <s v="JK-15205"/>
    <s v="Jamie Kunitz"/>
    <s v="California"/>
    <x v="1"/>
    <s v="Chairs"/>
    <s v="Global Leather Task Chair, Black"/>
    <n v="71.992000000000004"/>
    <n v="1"/>
  </r>
  <r>
    <x v="796"/>
    <d v="2016-11-05T00:00:00"/>
    <n v="6"/>
    <x v="1"/>
    <s v="JK-15205"/>
    <s v="Jamie Kunitz"/>
    <s v="California"/>
    <x v="0"/>
    <s v="Art"/>
    <s v="4009 Highlighters by Sanford"/>
    <n v="19.899999999999999"/>
    <n v="5"/>
  </r>
  <r>
    <x v="796"/>
    <d v="2016-11-05T00:00:00"/>
    <n v="6"/>
    <x v="1"/>
    <s v="JK-15205"/>
    <s v="Jamie Kunitz"/>
    <s v="California"/>
    <x v="0"/>
    <s v="Appliances"/>
    <s v="Acco 7-Outlet Masterpiece Power Center, Wihtout Fax/Phone Line Protection"/>
    <n v="1702.12"/>
    <n v="14"/>
  </r>
  <r>
    <x v="796"/>
    <d v="2016-11-02T00:00:00"/>
    <n v="3"/>
    <x v="2"/>
    <s v="JK-15625"/>
    <s v="Jim Karlsson"/>
    <s v="Washington"/>
    <x v="1"/>
    <s v="Chairs"/>
    <s v="Novimex Fabric Task Chair"/>
    <n v="97.567999999999998"/>
    <n v="2"/>
  </r>
  <r>
    <x v="796"/>
    <d v="2016-11-02T00:00:00"/>
    <n v="3"/>
    <x v="2"/>
    <s v="JK-15625"/>
    <s v="Jim Karlsson"/>
    <s v="Washington"/>
    <x v="1"/>
    <s v="Chairs"/>
    <s v="Global Super Steno Chair"/>
    <n v="614.27200000000005"/>
    <n v="8"/>
  </r>
  <r>
    <x v="796"/>
    <d v="2016-11-02T00:00:00"/>
    <n v="3"/>
    <x v="2"/>
    <s v="JK-15625"/>
    <s v="Jim Karlsson"/>
    <s v="Washington"/>
    <x v="1"/>
    <s v="Bookcases"/>
    <s v="Bestar Classic Bookcase"/>
    <n v="199.98"/>
    <n v="2"/>
  </r>
  <r>
    <x v="797"/>
    <d v="2016-11-03T00:00:00"/>
    <n v="2"/>
    <x v="0"/>
    <s v="SF-20200"/>
    <s v="Sarah Foster"/>
    <s v="Washington"/>
    <x v="0"/>
    <s v="Binders"/>
    <s v="GBC Standard Plastic Binding Systems' Combs"/>
    <n v="25.120000000000005"/>
    <n v="5"/>
  </r>
  <r>
    <x v="797"/>
    <d v="2016-11-03T00:00:00"/>
    <n v="2"/>
    <x v="0"/>
    <s v="SF-20200"/>
    <s v="Sarah Foster"/>
    <s v="Washington"/>
    <x v="1"/>
    <s v="Tables"/>
    <s v="Hon 94000 Series Round Tables"/>
    <n v="2665.62"/>
    <n v="9"/>
  </r>
  <r>
    <x v="798"/>
    <d v="2016-11-06T00:00:00"/>
    <n v="4"/>
    <x v="1"/>
    <s v="KH-16630"/>
    <s v="Ken Heidel"/>
    <s v="Washington"/>
    <x v="0"/>
    <s v="Paper"/>
    <s v="Wirebound Message Books, Four 2 3/4 x 5 Forms per Page, 200 Sets per Book"/>
    <n v="23.849999999999998"/>
    <n v="5"/>
  </r>
  <r>
    <x v="798"/>
    <d v="2016-11-04T00:00:00"/>
    <n v="2"/>
    <x v="0"/>
    <s v="NL-18310"/>
    <s v="Nancy Lomonaco"/>
    <s v="California"/>
    <x v="0"/>
    <s v="Envelopes"/>
    <s v="White Business Envelopes with Contemporary Seam, Recycled White Business Envelopes"/>
    <n v="76.58"/>
    <n v="7"/>
  </r>
  <r>
    <x v="798"/>
    <d v="2016-11-04T00:00:00"/>
    <n v="2"/>
    <x v="0"/>
    <s v="NL-18310"/>
    <s v="Nancy Lomonaco"/>
    <s v="California"/>
    <x v="0"/>
    <s v="Art"/>
    <s v="Nontoxic Chalk"/>
    <n v="8.8000000000000007"/>
    <n v="5"/>
  </r>
  <r>
    <x v="798"/>
    <d v="2016-11-04T00:00:00"/>
    <n v="2"/>
    <x v="0"/>
    <s v="NL-18310"/>
    <s v="Nancy Lomonaco"/>
    <s v="California"/>
    <x v="0"/>
    <s v="Binders"/>
    <s v="GBC Therma-A-Bind 250T Electric Binding System"/>
    <n v="590.35199999999998"/>
    <n v="6"/>
  </r>
  <r>
    <x v="798"/>
    <d v="2016-11-04T00:00:00"/>
    <n v="2"/>
    <x v="0"/>
    <s v="NL-18310"/>
    <s v="Nancy Lomonaco"/>
    <s v="California"/>
    <x v="0"/>
    <s v="Fasteners"/>
    <s v="Super Bands, 12/Pack"/>
    <n v="5.58"/>
    <n v="3"/>
  </r>
  <r>
    <x v="798"/>
    <d v="2016-11-04T00:00:00"/>
    <n v="2"/>
    <x v="0"/>
    <s v="NL-18310"/>
    <s v="Nancy Lomonaco"/>
    <s v="California"/>
    <x v="1"/>
    <s v="Furnishings"/>
    <s v="Document Clip Frames"/>
    <n v="25.02"/>
    <n v="3"/>
  </r>
  <r>
    <x v="798"/>
    <d v="2016-11-04T00:00:00"/>
    <n v="2"/>
    <x v="0"/>
    <s v="NL-18310"/>
    <s v="Nancy Lomonaco"/>
    <s v="California"/>
    <x v="0"/>
    <s v="Storage"/>
    <s v="Space Solutions Commercial Steel Shelving"/>
    <n v="452.55000000000007"/>
    <n v="7"/>
  </r>
  <r>
    <x v="798"/>
    <d v="2016-11-07T00:00:00"/>
    <n v="5"/>
    <x v="1"/>
    <s v="JB-16000"/>
    <s v="Joy Bell-"/>
    <s v="Utah"/>
    <x v="0"/>
    <s v="Paper"/>
    <s v="Xerox 220"/>
    <n v="19.440000000000001"/>
    <n v="3"/>
  </r>
  <r>
    <x v="798"/>
    <d v="2016-11-07T00:00:00"/>
    <n v="5"/>
    <x v="1"/>
    <s v="CS-12505"/>
    <s v="Cindy Stewart"/>
    <s v="California"/>
    <x v="0"/>
    <s v="Appliances"/>
    <s v="Fellowes 8 Outlet Superior Workstation Surge Protector w/o Phone/Fax/Modem Protection"/>
    <n v="168.1"/>
    <n v="5"/>
  </r>
  <r>
    <x v="799"/>
    <d v="2016-11-07T00:00:00"/>
    <n v="4"/>
    <x v="1"/>
    <s v="KC-16675"/>
    <s v="Kimberly Carter"/>
    <s v="Washington"/>
    <x v="0"/>
    <s v="Paper"/>
    <s v="Xerox 191"/>
    <n v="139.86000000000001"/>
    <n v="7"/>
  </r>
  <r>
    <x v="799"/>
    <d v="2016-11-07T00:00:00"/>
    <n v="4"/>
    <x v="1"/>
    <s v="KC-16675"/>
    <s v="Kimberly Carter"/>
    <s v="Washington"/>
    <x v="1"/>
    <s v="Chairs"/>
    <s v="Global Deluxe Office Fabric Chairs"/>
    <n v="307.13600000000002"/>
    <n v="4"/>
  </r>
  <r>
    <x v="799"/>
    <d v="2016-11-08T00:00:00"/>
    <n v="5"/>
    <x v="1"/>
    <s v="DL-13330"/>
    <s v="Denise Leinenbach"/>
    <s v="New Mexico"/>
    <x v="1"/>
    <s v="Furnishings"/>
    <s v="9-3/4 Diameter Round Wall Clock"/>
    <n v="41.37"/>
    <n v="3"/>
  </r>
  <r>
    <x v="799"/>
    <d v="2016-11-05T00:00:00"/>
    <n v="2"/>
    <x v="0"/>
    <s v="EJ-14155"/>
    <s v="Eva Jacobs"/>
    <s v="Washington"/>
    <x v="2"/>
    <s v="Accessories"/>
    <s v="HP Standard 104 key PS/2 Keyboard"/>
    <n v="43.5"/>
    <n v="3"/>
  </r>
  <r>
    <x v="799"/>
    <d v="2016-11-08T00:00:00"/>
    <n v="5"/>
    <x v="1"/>
    <s v="PG-18895"/>
    <s v="Paul Gonzalez"/>
    <s v="California"/>
    <x v="0"/>
    <s v="Paper"/>
    <s v="Xerox 1992"/>
    <n v="35.880000000000003"/>
    <n v="6"/>
  </r>
  <r>
    <x v="799"/>
    <d v="2016-11-05T00:00:00"/>
    <n v="2"/>
    <x v="2"/>
    <s v="CR-12580"/>
    <s v="Clay Rozendal"/>
    <s v="California"/>
    <x v="2"/>
    <s v="Accessories"/>
    <s v="Microsoft Sculpt Comfort Mouse"/>
    <n v="199.75"/>
    <n v="5"/>
  </r>
  <r>
    <x v="799"/>
    <d v="2016-11-05T00:00:00"/>
    <n v="2"/>
    <x v="2"/>
    <s v="CR-12580"/>
    <s v="Clay Rozendal"/>
    <s v="California"/>
    <x v="1"/>
    <s v="Tables"/>
    <s v="Chromcraft Round Conference Tables"/>
    <n v="1673.1839999999997"/>
    <n v="12"/>
  </r>
  <r>
    <x v="799"/>
    <d v="2016-11-07T00:00:00"/>
    <n v="4"/>
    <x v="1"/>
    <s v="JO-15145"/>
    <s v="Jack O'Briant"/>
    <s v="Washington"/>
    <x v="0"/>
    <s v="Binders"/>
    <s v="Binder Posts"/>
    <n v="18.368000000000002"/>
    <n v="4"/>
  </r>
  <r>
    <x v="799"/>
    <d v="2016-11-09T00:00:00"/>
    <n v="6"/>
    <x v="1"/>
    <s v="BG-11740"/>
    <s v="Bruce Geld"/>
    <s v="California"/>
    <x v="1"/>
    <s v="Tables"/>
    <s v="SAFCO PlanMaster Boards, 60w x 37-1/2d, White Melamine"/>
    <n v="486.36800000000005"/>
    <n v="4"/>
  </r>
  <r>
    <x v="800"/>
    <d v="2016-11-12T00:00:00"/>
    <n v="7"/>
    <x v="1"/>
    <s v="TS-21610"/>
    <s v="Troy Staebel"/>
    <s v="Arizona"/>
    <x v="0"/>
    <s v="Binders"/>
    <s v="Avery Durable Slant Ring Binders, No Labels"/>
    <n v="2.3880000000000003"/>
    <n v="2"/>
  </r>
  <r>
    <x v="800"/>
    <d v="2016-11-12T00:00:00"/>
    <n v="7"/>
    <x v="1"/>
    <s v="TS-21610"/>
    <s v="Troy Staebel"/>
    <s v="Arizona"/>
    <x v="0"/>
    <s v="Storage"/>
    <s v="Trav-L-File Heavy-Duty Shuttle II, Black"/>
    <n v="243.99200000000002"/>
    <n v="7"/>
  </r>
  <r>
    <x v="800"/>
    <d v="2016-11-06T00:00:00"/>
    <n v="1"/>
    <x v="2"/>
    <s v="RA-19885"/>
    <s v="Ruben Ausman"/>
    <s v="New Mexico"/>
    <x v="2"/>
    <s v="Accessories"/>
    <s v="NETGEAR AC1750 Dual Band Gigabit Smart WiFi Router"/>
    <n v="159.99"/>
    <n v="1"/>
  </r>
  <r>
    <x v="800"/>
    <d v="2016-11-09T00:00:00"/>
    <n v="4"/>
    <x v="1"/>
    <s v="AA-10645"/>
    <s v="Anna Andreadi"/>
    <s v="California"/>
    <x v="0"/>
    <s v="Paper"/>
    <s v="Xerox 1996"/>
    <n v="12.96"/>
    <n v="2"/>
  </r>
  <r>
    <x v="801"/>
    <d v="2016-11-12T00:00:00"/>
    <n v="6"/>
    <x v="1"/>
    <s v="RB-19705"/>
    <s v="Roger Barcio"/>
    <s v="Oregon"/>
    <x v="0"/>
    <s v="Binders"/>
    <s v="Flexible Leather- Look Classic Collection Ring Binder"/>
    <n v="5.6820000000000013"/>
    <n v="1"/>
  </r>
  <r>
    <x v="801"/>
    <d v="2016-11-11T00:00:00"/>
    <n v="5"/>
    <x v="1"/>
    <s v="ZC-21910"/>
    <s v="Zuschuss Carroll"/>
    <s v="California"/>
    <x v="0"/>
    <s v="Envelopes"/>
    <s v="#10- 4 1/8&quot; x 9 1/2&quot; Security-Tint Envelopes"/>
    <n v="15.28"/>
    <n v="2"/>
  </r>
  <r>
    <x v="801"/>
    <d v="2016-11-11T00:00:00"/>
    <n v="5"/>
    <x v="1"/>
    <s v="ZC-21910"/>
    <s v="Zuschuss Carroll"/>
    <s v="California"/>
    <x v="1"/>
    <s v="Furnishings"/>
    <s v="Dax Clear Box Frame"/>
    <n v="8.73"/>
    <n v="1"/>
  </r>
  <r>
    <x v="801"/>
    <d v="2016-11-11T00:00:00"/>
    <n v="5"/>
    <x v="1"/>
    <s v="ZC-21910"/>
    <s v="Zuschuss Carroll"/>
    <s v="California"/>
    <x v="0"/>
    <s v="Art"/>
    <s v="SANFORD Liquid Accent Tank-Style Highlighters"/>
    <n v="5.68"/>
    <n v="2"/>
  </r>
  <r>
    <x v="801"/>
    <d v="2016-11-06T00:00:00"/>
    <n v="0"/>
    <x v="3"/>
    <s v="FM-14290"/>
    <s v="Frank Merwin"/>
    <s v="California"/>
    <x v="0"/>
    <s v="Paper"/>
    <s v="Xerox 191"/>
    <n v="59.94"/>
    <n v="3"/>
  </r>
  <r>
    <x v="801"/>
    <d v="2016-11-06T00:00:00"/>
    <n v="0"/>
    <x v="3"/>
    <s v="FM-14290"/>
    <s v="Frank Merwin"/>
    <s v="California"/>
    <x v="0"/>
    <s v="Paper"/>
    <s v="Easy-staple paper"/>
    <n v="45.36"/>
    <n v="4"/>
  </r>
  <r>
    <x v="801"/>
    <d v="2016-11-06T00:00:00"/>
    <n v="0"/>
    <x v="3"/>
    <s v="FM-14290"/>
    <s v="Frank Merwin"/>
    <s v="California"/>
    <x v="0"/>
    <s v="Paper"/>
    <s v="Astroparche Fine Business Paper"/>
    <n v="26.400000000000002"/>
    <n v="5"/>
  </r>
  <r>
    <x v="801"/>
    <d v="2016-11-06T00:00:00"/>
    <n v="0"/>
    <x v="3"/>
    <s v="FM-14290"/>
    <s v="Frank Merwin"/>
    <s v="California"/>
    <x v="0"/>
    <s v="Labels"/>
    <s v="Avery 503"/>
    <n v="41.4"/>
    <n v="4"/>
  </r>
  <r>
    <x v="801"/>
    <d v="2016-11-06T00:00:00"/>
    <n v="0"/>
    <x v="3"/>
    <s v="FM-14290"/>
    <s v="Frank Merwin"/>
    <s v="California"/>
    <x v="2"/>
    <s v="Accessories"/>
    <s v="Kingston Digital DataTraveler 32GB USB 2.0"/>
    <n v="16.95"/>
    <n v="1"/>
  </r>
  <r>
    <x v="801"/>
    <d v="2016-11-13T00:00:00"/>
    <n v="7"/>
    <x v="1"/>
    <s v="AB-10060"/>
    <s v="Adam Bellavance"/>
    <s v="Washington"/>
    <x v="1"/>
    <s v="Tables"/>
    <s v="Hon 5100 Series Wood Tables"/>
    <n v="2036.8600000000001"/>
    <n v="7"/>
  </r>
  <r>
    <x v="801"/>
    <d v="2016-11-13T00:00:00"/>
    <n v="7"/>
    <x v="1"/>
    <s v="AB-10060"/>
    <s v="Adam Bellavance"/>
    <s v="Washington"/>
    <x v="1"/>
    <s v="Chairs"/>
    <s v="Hon 2090 “Pillow Soft” Series Mid Back Swivel/Tilt Chairs"/>
    <n v="449.56800000000004"/>
    <n v="2"/>
  </r>
  <r>
    <x v="801"/>
    <d v="2016-11-13T00:00:00"/>
    <n v="7"/>
    <x v="1"/>
    <s v="AB-10060"/>
    <s v="Adam Bellavance"/>
    <s v="Washington"/>
    <x v="2"/>
    <s v="Accessories"/>
    <s v="SanDisk Cruzer 64 GB USB Flash Drive"/>
    <n v="108.96000000000001"/>
    <n v="3"/>
  </r>
  <r>
    <x v="802"/>
    <d v="2016-11-12T00:00:00"/>
    <n v="5"/>
    <x v="0"/>
    <s v="DB-13270"/>
    <s v="Deborah Brumfield"/>
    <s v="California"/>
    <x v="2"/>
    <s v="Accessories"/>
    <s v="Anker Ultra-Slim Mini Bluetooth 3.0 Wireless Keyboard"/>
    <n v="59.97"/>
    <n v="3"/>
  </r>
  <r>
    <x v="802"/>
    <d v="2016-11-12T00:00:00"/>
    <n v="5"/>
    <x v="0"/>
    <s v="DB-13270"/>
    <s v="Deborah Brumfield"/>
    <s v="California"/>
    <x v="2"/>
    <s v="Phones"/>
    <s v="Plantronics CS 50-USB - headset - Convertible, Monaural"/>
    <n v="761.5440000000001"/>
    <n v="7"/>
  </r>
  <r>
    <x v="802"/>
    <d v="2016-11-12T00:00:00"/>
    <n v="5"/>
    <x v="1"/>
    <s v="TS-21505"/>
    <s v="Tony Sayre"/>
    <s v="California"/>
    <x v="0"/>
    <s v="Binders"/>
    <s v="Avery Self-Adhesive Photo Pockets for Polaroid Photos"/>
    <n v="21.792000000000002"/>
    <n v="4"/>
  </r>
  <r>
    <x v="802"/>
    <d v="2016-11-12T00:00:00"/>
    <n v="5"/>
    <x v="1"/>
    <s v="TS-21505"/>
    <s v="Tony Sayre"/>
    <s v="California"/>
    <x v="2"/>
    <s v="Accessories"/>
    <s v="Plantronics Audio 995 Wireless Stereo Headset"/>
    <n v="439.8"/>
    <n v="4"/>
  </r>
  <r>
    <x v="803"/>
    <d v="2016-11-11T00:00:00"/>
    <n v="2"/>
    <x v="2"/>
    <s v="JB-15400"/>
    <s v="Jennifer Braxton"/>
    <s v="California"/>
    <x v="1"/>
    <s v="Chairs"/>
    <s v="Global Leather Task Chair, Black"/>
    <n v="215.976"/>
    <n v="3"/>
  </r>
  <r>
    <x v="803"/>
    <d v="2016-11-14T00:00:00"/>
    <n v="5"/>
    <x v="1"/>
    <s v="MC-17590"/>
    <s v="Matt Collister"/>
    <s v="California"/>
    <x v="0"/>
    <s v="Storage"/>
    <s v="Safco Wire Cube Shelving System, For Use as 4 or 5 14&quot; Cubes, Black"/>
    <n v="63.56"/>
    <n v="2"/>
  </r>
  <r>
    <x v="803"/>
    <d v="2016-11-14T00:00:00"/>
    <n v="5"/>
    <x v="1"/>
    <s v="MC-17590"/>
    <s v="Matt Collister"/>
    <s v="California"/>
    <x v="2"/>
    <s v="Accessories"/>
    <s v="Razer Kraken 7.1 Surround Sound Over Ear USB Gaming Headset"/>
    <n v="99.99"/>
    <n v="1"/>
  </r>
  <r>
    <x v="803"/>
    <d v="2016-11-14T00:00:00"/>
    <n v="5"/>
    <x v="1"/>
    <s v="JE-15745"/>
    <s v="Joel Eaton"/>
    <s v="California"/>
    <x v="1"/>
    <s v="Furnishings"/>
    <s v="Eldon Wave Desk Accessories"/>
    <n v="47.12"/>
    <n v="8"/>
  </r>
  <r>
    <x v="803"/>
    <d v="2016-11-13T00:00:00"/>
    <n v="4"/>
    <x v="1"/>
    <s v="JE-15610"/>
    <s v="Jim Epp"/>
    <s v="California"/>
    <x v="1"/>
    <s v="Chairs"/>
    <s v="Lifetime Advantage Folding Chairs, 4/Carton"/>
    <n v="523.39200000000005"/>
    <n v="3"/>
  </r>
  <r>
    <x v="804"/>
    <d v="2016-11-11T00:00:00"/>
    <n v="1"/>
    <x v="2"/>
    <s v="AB-10600"/>
    <s v="Ann Blume"/>
    <s v="Arizona"/>
    <x v="0"/>
    <s v="Binders"/>
    <s v="Cardinal EasyOpen D-Ring Binders"/>
    <n v="38.388000000000005"/>
    <n v="14"/>
  </r>
  <r>
    <x v="804"/>
    <d v="2016-11-11T00:00:00"/>
    <n v="1"/>
    <x v="2"/>
    <s v="AB-10600"/>
    <s v="Ann Blume"/>
    <s v="Arizona"/>
    <x v="2"/>
    <s v="Machines"/>
    <s v="DYMO CardScan Personal V9 Business Card Scanner"/>
    <n v="95.994000000000014"/>
    <n v="2"/>
  </r>
  <r>
    <x v="804"/>
    <d v="2016-11-11T00:00:00"/>
    <n v="1"/>
    <x v="2"/>
    <s v="AB-10600"/>
    <s v="Ann Blume"/>
    <s v="Arizona"/>
    <x v="2"/>
    <s v="Accessories"/>
    <s v="Case Logic 2.4GHz Wireless Keyboard"/>
    <n v="239.95200000000003"/>
    <n v="6"/>
  </r>
  <r>
    <x v="804"/>
    <d v="2016-11-11T00:00:00"/>
    <n v="1"/>
    <x v="2"/>
    <s v="AB-10600"/>
    <s v="Ann Blume"/>
    <s v="Arizona"/>
    <x v="2"/>
    <s v="Phones"/>
    <s v="Adtran 1202752G1"/>
    <n v="201.584"/>
    <n v="2"/>
  </r>
  <r>
    <x v="804"/>
    <d v="2016-11-11T00:00:00"/>
    <n v="1"/>
    <x v="2"/>
    <s v="AB-10600"/>
    <s v="Ann Blume"/>
    <s v="Arizona"/>
    <x v="1"/>
    <s v="Chairs"/>
    <s v="Hon 2090 “Pillow Soft” Series Mid Back Swivel/Tilt Chairs"/>
    <n v="899.13600000000008"/>
    <n v="4"/>
  </r>
  <r>
    <x v="804"/>
    <d v="2016-11-12T00:00:00"/>
    <n v="2"/>
    <x v="0"/>
    <s v="NC-18535"/>
    <s v="Nick Crebassa"/>
    <s v="Washington"/>
    <x v="0"/>
    <s v="Binders"/>
    <s v="GBC Imprintable Covers"/>
    <n v="26.352000000000004"/>
    <n v="3"/>
  </r>
  <r>
    <x v="804"/>
    <d v="2016-11-10T00:00:00"/>
    <n v="0"/>
    <x v="3"/>
    <s v="TB-21190"/>
    <s v="Thomas Brumley"/>
    <s v="California"/>
    <x v="0"/>
    <s v="Art"/>
    <s v="12 Colored Short Pencils"/>
    <n v="7.8000000000000007"/>
    <n v="3"/>
  </r>
  <r>
    <x v="804"/>
    <d v="2016-11-17T00:00:00"/>
    <n v="7"/>
    <x v="1"/>
    <s v="MC-17845"/>
    <s v="Michael Chen"/>
    <s v="Washington"/>
    <x v="0"/>
    <s v="Appliances"/>
    <s v="Eureka The Boss Lite 10-Amp Upright Vacuum, Blue"/>
    <n v="400.79999999999995"/>
    <n v="5"/>
  </r>
  <r>
    <x v="804"/>
    <d v="2016-11-17T00:00:00"/>
    <n v="7"/>
    <x v="1"/>
    <s v="MC-17845"/>
    <s v="Michael Chen"/>
    <s v="Washington"/>
    <x v="0"/>
    <s v="Binders"/>
    <s v="GBC VeloBinder Manual Binding System"/>
    <n v="28.792000000000002"/>
    <n v="1"/>
  </r>
  <r>
    <x v="804"/>
    <d v="2016-11-16T00:00:00"/>
    <n v="6"/>
    <x v="1"/>
    <s v="GH-14425"/>
    <s v="Gary Hwang"/>
    <s v="California"/>
    <x v="2"/>
    <s v="Accessories"/>
    <s v="Memorex Mini Travel Drive 16 GB USB 2.0 Flash Drive"/>
    <n v="111.79"/>
    <n v="7"/>
  </r>
  <r>
    <x v="804"/>
    <d v="2016-11-17T00:00:00"/>
    <n v="7"/>
    <x v="1"/>
    <s v="ME-17320"/>
    <s v="Maria Etezadi"/>
    <s v="California"/>
    <x v="1"/>
    <s v="Chairs"/>
    <s v="Global Leather &amp; Oak Executive Chair, Burgundy"/>
    <n v="241.42399999999998"/>
    <n v="2"/>
  </r>
  <r>
    <x v="805"/>
    <d v="2016-11-16T00:00:00"/>
    <n v="5"/>
    <x v="1"/>
    <s v="GA-14725"/>
    <s v="Guy Armstrong"/>
    <s v="California"/>
    <x v="0"/>
    <s v="Appliances"/>
    <s v="Belkin 6 Outlet Metallic Surge Strip"/>
    <n v="10.89"/>
    <n v="1"/>
  </r>
  <r>
    <x v="805"/>
    <d v="2016-11-16T00:00:00"/>
    <n v="5"/>
    <x v="1"/>
    <s v="GA-14725"/>
    <s v="Guy Armstrong"/>
    <s v="California"/>
    <x v="0"/>
    <s v="Paper"/>
    <s v="Xerox 201"/>
    <n v="19.440000000000001"/>
    <n v="3"/>
  </r>
  <r>
    <x v="805"/>
    <d v="2016-11-16T00:00:00"/>
    <n v="5"/>
    <x v="1"/>
    <s v="GA-14725"/>
    <s v="Guy Armstrong"/>
    <s v="California"/>
    <x v="0"/>
    <s v="Binders"/>
    <s v="Ibico Plastic Spiral Binding Combs"/>
    <n v="121.6"/>
    <n v="5"/>
  </r>
  <r>
    <x v="805"/>
    <d v="2016-11-15T00:00:00"/>
    <n v="4"/>
    <x v="0"/>
    <s v="TB-21190"/>
    <s v="Thomas Brumley"/>
    <s v="California"/>
    <x v="1"/>
    <s v="Furnishings"/>
    <s v="Dax Clear Box Frame"/>
    <n v="34.92"/>
    <n v="4"/>
  </r>
  <r>
    <x v="806"/>
    <d v="2016-11-16T00:00:00"/>
    <n v="4"/>
    <x v="1"/>
    <s v="DB-13120"/>
    <s v="David Bremer"/>
    <s v="California"/>
    <x v="0"/>
    <s v="Paper"/>
    <s v="Xerox 4200 Series MultiUse Premium Copy Paper (20Lb. and 84 Bright)"/>
    <n v="10.56"/>
    <n v="2"/>
  </r>
  <r>
    <x v="806"/>
    <d v="2016-11-12T00:00:00"/>
    <n v="0"/>
    <x v="3"/>
    <s v="EM-14140"/>
    <s v="Eugene Moren"/>
    <s v="Arizona"/>
    <x v="2"/>
    <s v="Accessories"/>
    <s v="Memorex Micro Travel Drive 8 GB"/>
    <n v="41.6"/>
    <n v="4"/>
  </r>
  <r>
    <x v="806"/>
    <d v="2016-11-12T00:00:00"/>
    <n v="0"/>
    <x v="3"/>
    <s v="EM-14140"/>
    <s v="Eugene Moren"/>
    <s v="Arizona"/>
    <x v="0"/>
    <s v="Paper"/>
    <s v="Xerox 1978"/>
    <n v="23.120000000000005"/>
    <n v="5"/>
  </r>
  <r>
    <x v="806"/>
    <d v="2016-11-12T00:00:00"/>
    <n v="0"/>
    <x v="3"/>
    <s v="EM-14140"/>
    <s v="Eugene Moren"/>
    <s v="Arizona"/>
    <x v="1"/>
    <s v="Chairs"/>
    <s v="Harbour Creations 67200 Series Stacking Chairs"/>
    <n v="113.88800000000002"/>
    <n v="2"/>
  </r>
  <r>
    <x v="806"/>
    <d v="2016-11-12T00:00:00"/>
    <n v="0"/>
    <x v="3"/>
    <s v="EM-14140"/>
    <s v="Eugene Moren"/>
    <s v="Arizona"/>
    <x v="1"/>
    <s v="Furnishings"/>
    <s v="Tenex V2T-RE Standard Weight Series Chair Mat, 45&quot; x 53&quot;, Lip 25&quot; x 12&quot;"/>
    <n v="113.56800000000001"/>
    <n v="2"/>
  </r>
  <r>
    <x v="806"/>
    <d v="2016-11-12T00:00:00"/>
    <n v="0"/>
    <x v="3"/>
    <s v="EM-14140"/>
    <s v="Eugene Moren"/>
    <s v="Arizona"/>
    <x v="2"/>
    <s v="Phones"/>
    <s v="Cush Cases Heavy Duty Rugged Cover Case for Samsung Galaxy S5 - Purple"/>
    <n v="7.9200000000000008"/>
    <n v="2"/>
  </r>
  <r>
    <x v="806"/>
    <d v="2016-11-12T00:00:00"/>
    <n v="0"/>
    <x v="3"/>
    <s v="EM-14140"/>
    <s v="Eugene Moren"/>
    <s v="Arizona"/>
    <x v="2"/>
    <s v="Phones"/>
    <s v="Samsung Galaxy Mega 6.3"/>
    <n v="671.98400000000004"/>
    <n v="2"/>
  </r>
  <r>
    <x v="806"/>
    <d v="2016-11-16T00:00:00"/>
    <n v="4"/>
    <x v="1"/>
    <s v="CS-12355"/>
    <s v="Christine Sundaresam"/>
    <s v="Washington"/>
    <x v="0"/>
    <s v="Labels"/>
    <s v="Avery 483"/>
    <n v="9.9600000000000009"/>
    <n v="2"/>
  </r>
  <r>
    <x v="806"/>
    <d v="2016-11-16T00:00:00"/>
    <n v="4"/>
    <x v="1"/>
    <s v="CS-12355"/>
    <s v="Christine Sundaresam"/>
    <s v="Washington"/>
    <x v="0"/>
    <s v="Art"/>
    <s v="Dixon Ticonderoga Maple Cedar Pencil, #2"/>
    <n v="9.2099999999999991"/>
    <n v="3"/>
  </r>
  <r>
    <x v="806"/>
    <d v="2016-11-16T00:00:00"/>
    <n v="4"/>
    <x v="1"/>
    <s v="CS-12355"/>
    <s v="Christine Sundaresam"/>
    <s v="Washington"/>
    <x v="0"/>
    <s v="Supplies"/>
    <s v="Acme Forged Steel Scissors with Black Enamel Handles"/>
    <n v="27.93"/>
    <n v="3"/>
  </r>
  <r>
    <x v="806"/>
    <d v="2016-11-15T00:00:00"/>
    <n v="3"/>
    <x v="2"/>
    <s v="JE-15610"/>
    <s v="Jim Epp"/>
    <s v="California"/>
    <x v="0"/>
    <s v="Binders"/>
    <s v="Acco 3-Hole Punch"/>
    <n v="14.016"/>
    <n v="4"/>
  </r>
  <r>
    <x v="806"/>
    <d v="2016-11-16T00:00:00"/>
    <n v="4"/>
    <x v="0"/>
    <s v="MB-17305"/>
    <s v="Maria Bertelson"/>
    <s v="Washington"/>
    <x v="0"/>
    <s v="Fasteners"/>
    <s v="Staples"/>
    <n v="18.240000000000002"/>
    <n v="3"/>
  </r>
  <r>
    <x v="806"/>
    <d v="2016-11-16T00:00:00"/>
    <n v="4"/>
    <x v="0"/>
    <s v="MB-17305"/>
    <s v="Maria Bertelson"/>
    <s v="Washington"/>
    <x v="0"/>
    <s v="Appliances"/>
    <s v="Fellowes Superior 10 Outlet Split Surge Protector"/>
    <n v="76.12"/>
    <n v="2"/>
  </r>
  <r>
    <x v="806"/>
    <d v="2016-11-16T00:00:00"/>
    <n v="4"/>
    <x v="1"/>
    <s v="DJ-13510"/>
    <s v="Don Jones"/>
    <s v="Arizona"/>
    <x v="2"/>
    <s v="Accessories"/>
    <s v="SanDisk Ultra 16 GB MicroSDHC Class 10 Memory Card"/>
    <n v="62.352000000000004"/>
    <n v="6"/>
  </r>
  <r>
    <x v="806"/>
    <d v="2016-11-15T00:00:00"/>
    <n v="3"/>
    <x v="0"/>
    <s v="EP-13915"/>
    <s v="Emily Phan"/>
    <s v="California"/>
    <x v="0"/>
    <s v="Paper"/>
    <s v="Xerox 1899"/>
    <n v="11.56"/>
    <n v="2"/>
  </r>
  <r>
    <x v="807"/>
    <d v="2016-11-18T00:00:00"/>
    <n v="5"/>
    <x v="1"/>
    <s v="TT-21070"/>
    <s v="Ted Trevino"/>
    <s v="Washington"/>
    <x v="1"/>
    <s v="Chairs"/>
    <s v="Global Troy Executive Leather Low-Back Tilter"/>
    <n v="2404.7040000000002"/>
    <n v="6"/>
  </r>
  <r>
    <x v="807"/>
    <d v="2016-11-18T00:00:00"/>
    <n v="5"/>
    <x v="1"/>
    <s v="TT-21070"/>
    <s v="Ted Trevino"/>
    <s v="Washington"/>
    <x v="0"/>
    <s v="Binders"/>
    <s v="GBC DocuBind P50 Personal Binding Machine"/>
    <n v="563.024"/>
    <n v="11"/>
  </r>
  <r>
    <x v="807"/>
    <d v="2016-11-18T00:00:00"/>
    <n v="5"/>
    <x v="1"/>
    <s v="TT-21070"/>
    <s v="Ted Trevino"/>
    <s v="Washington"/>
    <x v="0"/>
    <s v="Storage"/>
    <s v="Space Solutions HD Industrial Steel Shelving."/>
    <n v="344.90999999999997"/>
    <n v="3"/>
  </r>
  <r>
    <x v="807"/>
    <d v="2016-11-18T00:00:00"/>
    <n v="5"/>
    <x v="1"/>
    <s v="TT-21070"/>
    <s v="Ted Trevino"/>
    <s v="Washington"/>
    <x v="0"/>
    <s v="Labels"/>
    <s v="Avery File Folder Labels"/>
    <n v="8.64"/>
    <n v="3"/>
  </r>
  <r>
    <x v="807"/>
    <d v="2016-11-17T00:00:00"/>
    <n v="4"/>
    <x v="0"/>
    <s v="SE-20110"/>
    <s v="Sanjit Engle"/>
    <s v="California"/>
    <x v="2"/>
    <s v="Accessories"/>
    <s v="Kensington K72356US Mouse-in-a-Box USB Desktop Mouse"/>
    <n v="82.95"/>
    <n v="5"/>
  </r>
  <r>
    <x v="807"/>
    <d v="2016-11-19T00:00:00"/>
    <n v="6"/>
    <x v="1"/>
    <s v="KL-16645"/>
    <s v="Ken Lonsdale"/>
    <s v="California"/>
    <x v="2"/>
    <s v="Phones"/>
    <s v="Samsung Replacement EH64AVFWE Premium Headset"/>
    <n v="22"/>
    <n v="5"/>
  </r>
  <r>
    <x v="808"/>
    <d v="2016-11-19T00:00:00"/>
    <n v="5"/>
    <x v="1"/>
    <s v="LW-16990"/>
    <s v="Lindsay Williams"/>
    <s v="California"/>
    <x v="1"/>
    <s v="Chairs"/>
    <s v="Global Leather Highback Executive Chair with Pneumatic Height Adjustment, Black"/>
    <n v="321.56799999999998"/>
    <n v="2"/>
  </r>
  <r>
    <x v="808"/>
    <d v="2016-11-19T00:00:00"/>
    <n v="5"/>
    <x v="1"/>
    <s v="JE-15715"/>
    <s v="Joe Elijah"/>
    <s v="California"/>
    <x v="0"/>
    <s v="Art"/>
    <s v="Newell 347"/>
    <n v="34.24"/>
    <n v="8"/>
  </r>
  <r>
    <x v="809"/>
    <d v="2016-11-22T00:00:00"/>
    <n v="6"/>
    <x v="1"/>
    <s v="SW-20275"/>
    <s v="Scott Williamson"/>
    <s v="California"/>
    <x v="0"/>
    <s v="Storage"/>
    <s v="Tennsco Regal Shelving Units"/>
    <n v="811.28"/>
    <n v="8"/>
  </r>
  <r>
    <x v="809"/>
    <d v="2016-11-16T00:00:00"/>
    <n v="0"/>
    <x v="3"/>
    <s v="MW-18235"/>
    <s v="Mitch Willingham"/>
    <s v="California"/>
    <x v="2"/>
    <s v="Machines"/>
    <s v="Bady BDG101FRU Card Printer"/>
    <n v="1919.9760000000001"/>
    <n v="3"/>
  </r>
  <r>
    <x v="809"/>
    <d v="2016-11-20T00:00:00"/>
    <n v="4"/>
    <x v="1"/>
    <s v="JK-15370"/>
    <s v="Jay Kimmel"/>
    <s v="California"/>
    <x v="0"/>
    <s v="Storage"/>
    <s v="Eldon Shelf Savers Cubes and Bins"/>
    <n v="48.86"/>
    <n v="7"/>
  </r>
  <r>
    <x v="809"/>
    <d v="2016-11-21T00:00:00"/>
    <n v="5"/>
    <x v="1"/>
    <s v="EK-13795"/>
    <s v="Eileen Kiefer"/>
    <s v="California"/>
    <x v="0"/>
    <s v="Art"/>
    <s v="Newell 328"/>
    <n v="23.36"/>
    <n v="4"/>
  </r>
  <r>
    <x v="809"/>
    <d v="2016-11-19T00:00:00"/>
    <n v="3"/>
    <x v="2"/>
    <s v="CC-12220"/>
    <s v="Chris Cortes"/>
    <s v="Washington"/>
    <x v="0"/>
    <s v="Paper"/>
    <s v="Xerox 1933"/>
    <n v="73.679999999999993"/>
    <n v="6"/>
  </r>
  <r>
    <x v="809"/>
    <d v="2016-11-19T00:00:00"/>
    <n v="3"/>
    <x v="2"/>
    <s v="CC-12220"/>
    <s v="Chris Cortes"/>
    <s v="Washington"/>
    <x v="1"/>
    <s v="Furnishings"/>
    <s v="Tenex &quot;The Solids&quot; Textured Chair Mats"/>
    <n v="139.91999999999999"/>
    <n v="2"/>
  </r>
  <r>
    <x v="809"/>
    <d v="2016-11-19T00:00:00"/>
    <n v="3"/>
    <x v="2"/>
    <s v="CC-12220"/>
    <s v="Chris Cortes"/>
    <s v="Washington"/>
    <x v="2"/>
    <s v="Phones"/>
    <s v="Plantronics Encore H101 Dual Earpieces Headset"/>
    <n v="107.88"/>
    <n v="3"/>
  </r>
  <r>
    <x v="809"/>
    <d v="2016-11-19T00:00:00"/>
    <n v="3"/>
    <x v="2"/>
    <s v="CC-12220"/>
    <s v="Chris Cortes"/>
    <s v="Washington"/>
    <x v="0"/>
    <s v="Storage"/>
    <s v="Fellowes Bases and Tops For Staxonsteel/High-Stak Systems"/>
    <n v="33.29"/>
    <n v="1"/>
  </r>
  <r>
    <x v="809"/>
    <d v="2016-11-22T00:00:00"/>
    <n v="6"/>
    <x v="1"/>
    <s v="MB-18085"/>
    <s v="Mick Brown"/>
    <s v="California"/>
    <x v="1"/>
    <s v="Furnishings"/>
    <s v="DAX Cubicle Frames - 8x10"/>
    <n v="17.309999999999999"/>
    <n v="3"/>
  </r>
  <r>
    <x v="809"/>
    <d v="2016-11-20T00:00:00"/>
    <n v="4"/>
    <x v="1"/>
    <s v="LC-16885"/>
    <s v="Lena Creighton"/>
    <s v="California"/>
    <x v="1"/>
    <s v="Furnishings"/>
    <s v="Eldon Radial Chair Mat for Low to Medium Pile Carpets"/>
    <n v="119.94"/>
    <n v="3"/>
  </r>
  <r>
    <x v="809"/>
    <d v="2016-11-20T00:00:00"/>
    <n v="4"/>
    <x v="1"/>
    <s v="LC-16885"/>
    <s v="Lena Creighton"/>
    <s v="California"/>
    <x v="1"/>
    <s v="Furnishings"/>
    <s v="Eldon Image Series Black Desk Accessories"/>
    <n v="12.419999999999998"/>
    <n v="3"/>
  </r>
  <r>
    <x v="810"/>
    <d v="2016-11-24T00:00:00"/>
    <n v="7"/>
    <x v="1"/>
    <s v="GG-14650"/>
    <s v="Greg Guthrie"/>
    <s v="Washington"/>
    <x v="0"/>
    <s v="Binders"/>
    <s v="Cardinal Slant-D Ring Binder, Heavy Gauge Vinyl"/>
    <n v="13.904"/>
    <n v="2"/>
  </r>
  <r>
    <x v="810"/>
    <d v="2016-11-21T00:00:00"/>
    <n v="4"/>
    <x v="1"/>
    <s v="KH-16330"/>
    <s v="Katharine Harms"/>
    <s v="Oregon"/>
    <x v="0"/>
    <s v="Paper"/>
    <s v="Wirebound Message Forms, Four 2 3/4 x 5 Forms per Page, Pink Paper"/>
    <n v="19.608000000000001"/>
    <n v="3"/>
  </r>
  <r>
    <x v="810"/>
    <d v="2016-11-21T00:00:00"/>
    <n v="4"/>
    <x v="1"/>
    <s v="KH-16330"/>
    <s v="Katharine Harms"/>
    <s v="Oregon"/>
    <x v="0"/>
    <s v="Binders"/>
    <s v="Avery Reinforcements for Hole-Punch Pages"/>
    <n v="4.1580000000000004"/>
    <n v="7"/>
  </r>
  <r>
    <x v="811"/>
    <d v="2016-11-21T00:00:00"/>
    <n v="3"/>
    <x v="2"/>
    <s v="CD-12280"/>
    <s v="Christina DeMoss"/>
    <s v="Washington"/>
    <x v="0"/>
    <s v="Storage"/>
    <s v="Eldon Portable Mobile Manager"/>
    <n v="169.68"/>
    <n v="6"/>
  </r>
  <r>
    <x v="811"/>
    <d v="2016-11-21T00:00:00"/>
    <n v="3"/>
    <x v="2"/>
    <s v="CD-12280"/>
    <s v="Christina DeMoss"/>
    <s v="Washington"/>
    <x v="2"/>
    <s v="Accessories"/>
    <s v="Imation 16GB Mini TravelDrive USB 2.0 Flash Drive"/>
    <n v="132.52000000000001"/>
    <n v="4"/>
  </r>
  <r>
    <x v="811"/>
    <d v="2016-11-21T00:00:00"/>
    <n v="3"/>
    <x v="2"/>
    <s v="CD-12280"/>
    <s v="Christina DeMoss"/>
    <s v="Washington"/>
    <x v="0"/>
    <s v="Fasteners"/>
    <s v="Binder Clips by OIC"/>
    <n v="2.96"/>
    <n v="2"/>
  </r>
  <r>
    <x v="811"/>
    <d v="2016-11-21T00:00:00"/>
    <n v="3"/>
    <x v="2"/>
    <s v="CD-12280"/>
    <s v="Christina DeMoss"/>
    <s v="Washington"/>
    <x v="0"/>
    <s v="Binders"/>
    <s v="Wilson Jones 1&quot; Hanging DublLock Ring Binders"/>
    <n v="8.4480000000000004"/>
    <n v="2"/>
  </r>
  <r>
    <x v="811"/>
    <d v="2016-11-21T00:00:00"/>
    <n v="3"/>
    <x v="2"/>
    <s v="CD-12280"/>
    <s v="Christina DeMoss"/>
    <s v="Washington"/>
    <x v="0"/>
    <s v="Storage"/>
    <s v="Fellowes Bankers Box Stor/Drawer Steel Plus"/>
    <n v="95.94"/>
    <n v="3"/>
  </r>
  <r>
    <x v="812"/>
    <d v="2016-11-20T00:00:00"/>
    <n v="1"/>
    <x v="2"/>
    <s v="KD-16345"/>
    <s v="Katherine Ducich"/>
    <s v="California"/>
    <x v="2"/>
    <s v="Phones"/>
    <s v="Square Credit Card Reader"/>
    <n v="31.968000000000004"/>
    <n v="4"/>
  </r>
  <r>
    <x v="812"/>
    <d v="2016-11-24T00:00:00"/>
    <n v="5"/>
    <x v="1"/>
    <s v="MC-18100"/>
    <s v="Mick Crebagga"/>
    <s v="California"/>
    <x v="0"/>
    <s v="Storage"/>
    <s v="File Shuttle II and Handi-File, Black"/>
    <n v="305.01"/>
    <n v="9"/>
  </r>
  <r>
    <x v="812"/>
    <d v="2016-11-24T00:00:00"/>
    <n v="5"/>
    <x v="1"/>
    <s v="MC-18100"/>
    <s v="Mick Crebagga"/>
    <s v="California"/>
    <x v="1"/>
    <s v="Furnishings"/>
    <s v="Executive Impressions 13-1/2&quot; Indoor/Outdoor Wall Clock"/>
    <n v="18.7"/>
    <n v="1"/>
  </r>
  <r>
    <x v="813"/>
    <d v="2016-11-22T00:00:00"/>
    <n v="2"/>
    <x v="0"/>
    <s v="LP-17080"/>
    <s v="Liz Pelletier"/>
    <s v="California"/>
    <x v="1"/>
    <s v="Furnishings"/>
    <s v="Coloredge Poster Frame"/>
    <n v="42.599999999999994"/>
    <n v="3"/>
  </r>
  <r>
    <x v="813"/>
    <d v="2016-11-22T00:00:00"/>
    <n v="2"/>
    <x v="0"/>
    <s v="LP-17080"/>
    <s v="Liz Pelletier"/>
    <s v="California"/>
    <x v="0"/>
    <s v="Binders"/>
    <s v="GBC Prepunched Paper, 19-Hole, for Binding Systems, 24-lb"/>
    <n v="84.056000000000012"/>
    <n v="7"/>
  </r>
  <r>
    <x v="813"/>
    <d v="2016-11-25T00:00:00"/>
    <n v="5"/>
    <x v="1"/>
    <s v="KA-16525"/>
    <s v="Kelly Andreada"/>
    <s v="California"/>
    <x v="1"/>
    <s v="Chairs"/>
    <s v="Novimex High-Tech Fabric Mesh Task Chair"/>
    <n v="283.92"/>
    <n v="5"/>
  </r>
  <r>
    <x v="814"/>
    <d v="2016-11-25T00:00:00"/>
    <n v="4"/>
    <x v="1"/>
    <s v="BP-11230"/>
    <s v="Benjamin Patterson"/>
    <s v="Washington"/>
    <x v="1"/>
    <s v="Tables"/>
    <s v="Safco Drafting Table"/>
    <n v="70.98"/>
    <n v="1"/>
  </r>
  <r>
    <x v="814"/>
    <d v="2016-11-25T00:00:00"/>
    <n v="4"/>
    <x v="1"/>
    <s v="BF-11005"/>
    <s v="Barry Franz"/>
    <s v="California"/>
    <x v="0"/>
    <s v="Storage"/>
    <s v="Eldon Portable Mobile Manager"/>
    <n v="56.56"/>
    <n v="2"/>
  </r>
  <r>
    <x v="814"/>
    <d v="2016-11-25T00:00:00"/>
    <n v="4"/>
    <x v="1"/>
    <s v="BF-11005"/>
    <s v="Barry Franz"/>
    <s v="California"/>
    <x v="0"/>
    <s v="Art"/>
    <s v="Newell 344"/>
    <n v="5.56"/>
    <n v="2"/>
  </r>
  <r>
    <x v="814"/>
    <d v="2016-11-25T00:00:00"/>
    <n v="4"/>
    <x v="1"/>
    <s v="BF-11005"/>
    <s v="Barry Franz"/>
    <s v="California"/>
    <x v="0"/>
    <s v="Fasteners"/>
    <s v="Advantus T-Pin Paper Clips"/>
    <n v="9.02"/>
    <n v="2"/>
  </r>
  <r>
    <x v="814"/>
    <d v="2016-11-25T00:00:00"/>
    <n v="4"/>
    <x v="1"/>
    <s v="BF-11005"/>
    <s v="Barry Franz"/>
    <s v="California"/>
    <x v="0"/>
    <s v="Appliances"/>
    <s v="Acco Six-Outlet Power Strip, 4' Cord Length"/>
    <n v="8.6199999999999992"/>
    <n v="1"/>
  </r>
  <r>
    <x v="814"/>
    <d v="2016-11-25T00:00:00"/>
    <n v="4"/>
    <x v="1"/>
    <s v="BF-11005"/>
    <s v="Barry Franz"/>
    <s v="California"/>
    <x v="2"/>
    <s v="Phones"/>
    <s v="Mitel MiVoice 5330e IP Phone"/>
    <n v="659.97600000000011"/>
    <n v="3"/>
  </r>
  <r>
    <x v="814"/>
    <d v="2016-11-25T00:00:00"/>
    <n v="4"/>
    <x v="1"/>
    <s v="PJ-18835"/>
    <s v="Patrick Jones"/>
    <s v="California"/>
    <x v="0"/>
    <s v="Art"/>
    <s v="Newell 332"/>
    <n v="11.76"/>
    <n v="4"/>
  </r>
  <r>
    <x v="814"/>
    <d v="2016-11-25T00:00:00"/>
    <n v="4"/>
    <x v="1"/>
    <s v="PJ-18835"/>
    <s v="Patrick Jones"/>
    <s v="California"/>
    <x v="0"/>
    <s v="Binders"/>
    <s v="Canvas Sectional Post Binders"/>
    <n v="40.736000000000004"/>
    <n v="2"/>
  </r>
  <r>
    <x v="814"/>
    <d v="2016-11-25T00:00:00"/>
    <n v="4"/>
    <x v="1"/>
    <s v="CK-12205"/>
    <s v="Chloris Kastensmidt"/>
    <s v="Washington"/>
    <x v="0"/>
    <s v="Binders"/>
    <s v="Vinyl Sectional Post Binders"/>
    <n v="150.80000000000001"/>
    <n v="5"/>
  </r>
  <r>
    <x v="814"/>
    <d v="2016-11-25T00:00:00"/>
    <n v="4"/>
    <x v="1"/>
    <s v="CK-12205"/>
    <s v="Chloris Kastensmidt"/>
    <s v="Washington"/>
    <x v="2"/>
    <s v="Machines"/>
    <s v="3D Systems Cube Printer, 2nd Generation, White"/>
    <n v="1039.992"/>
    <n v="1"/>
  </r>
  <r>
    <x v="814"/>
    <d v="2016-11-25T00:00:00"/>
    <n v="4"/>
    <x v="1"/>
    <s v="CK-12205"/>
    <s v="Chloris Kastensmidt"/>
    <s v="Washington"/>
    <x v="0"/>
    <s v="Paper"/>
    <s v="Xerox 209"/>
    <n v="51.84"/>
    <n v="8"/>
  </r>
  <r>
    <x v="815"/>
    <d v="2016-11-29T00:00:00"/>
    <n v="5"/>
    <x v="0"/>
    <s v="MV-17485"/>
    <s v="Mark Van Huff"/>
    <s v="Arizona"/>
    <x v="0"/>
    <s v="Binders"/>
    <s v="GBC Recycled Grain Textured Covers"/>
    <n v="20.724000000000004"/>
    <n v="2"/>
  </r>
  <r>
    <x v="815"/>
    <d v="2016-11-29T00:00:00"/>
    <n v="5"/>
    <x v="0"/>
    <s v="MV-17485"/>
    <s v="Mark Van Huff"/>
    <s v="Arizona"/>
    <x v="0"/>
    <s v="Storage"/>
    <s v="Fellowes Bankers Box Staxonsteel Drawer File/Stacking System"/>
    <n v="415.87200000000007"/>
    <n v="8"/>
  </r>
  <r>
    <x v="815"/>
    <d v="2016-11-27T00:00:00"/>
    <n v="3"/>
    <x v="2"/>
    <s v="PG-18820"/>
    <s v="Patrick Gardner"/>
    <s v="California"/>
    <x v="0"/>
    <s v="Art"/>
    <s v="BIC Liqua Brite Liner"/>
    <n v="27.76"/>
    <n v="4"/>
  </r>
  <r>
    <x v="815"/>
    <d v="2016-11-24T00:00:00"/>
    <n v="0"/>
    <x v="3"/>
    <s v="PR-18880"/>
    <s v="Patrick Ryan"/>
    <s v="California"/>
    <x v="0"/>
    <s v="Paper"/>
    <s v="Southworth 100% Résumé Paper, 24lb."/>
    <n v="7.78"/>
    <n v="1"/>
  </r>
  <r>
    <x v="815"/>
    <d v="2016-11-24T00:00:00"/>
    <n v="0"/>
    <x v="3"/>
    <s v="BP-11290"/>
    <s v="Beth Paige"/>
    <s v="California"/>
    <x v="1"/>
    <s v="Tables"/>
    <s v="Hon Practical Foundations 30 x 60 Training Table, Light Gray/Charcoal"/>
    <n v="364.08000000000004"/>
    <n v="2"/>
  </r>
  <r>
    <x v="815"/>
    <d v="2016-11-24T00:00:00"/>
    <n v="0"/>
    <x v="3"/>
    <s v="BP-11290"/>
    <s v="Beth Paige"/>
    <s v="California"/>
    <x v="1"/>
    <s v="Tables"/>
    <s v="Hon 61000 Series Interactive Training Tables"/>
    <n v="71.088000000000008"/>
    <n v="2"/>
  </r>
  <r>
    <x v="815"/>
    <d v="2016-11-30T00:00:00"/>
    <n v="6"/>
    <x v="1"/>
    <s v="JL-15835"/>
    <s v="John Lee"/>
    <s v="California"/>
    <x v="2"/>
    <s v="Accessories"/>
    <s v="Memorex Mini Travel Drive 16 GB USB 2.0 Flash Drive"/>
    <n v="223.58"/>
    <n v="14"/>
  </r>
  <r>
    <x v="816"/>
    <d v="2016-11-29T00:00:00"/>
    <n v="4"/>
    <x v="1"/>
    <s v="BD-11500"/>
    <s v="Bradley Drucker"/>
    <s v="California"/>
    <x v="1"/>
    <s v="Bookcases"/>
    <s v="Sauder Forest Hills Library, Woodland Oak Finish"/>
    <n v="359.49899999999997"/>
    <n v="3"/>
  </r>
  <r>
    <x v="816"/>
    <d v="2016-11-29T00:00:00"/>
    <n v="4"/>
    <x v="1"/>
    <s v="BD-11500"/>
    <s v="Bradley Drucker"/>
    <s v="California"/>
    <x v="0"/>
    <s v="Storage"/>
    <s v="Sterilite Officeware Hinged File Box"/>
    <n v="10.48"/>
    <n v="1"/>
  </r>
  <r>
    <x v="816"/>
    <d v="2016-11-29T00:00:00"/>
    <n v="4"/>
    <x v="0"/>
    <s v="EB-13750"/>
    <s v="Edward Becker"/>
    <s v="California"/>
    <x v="2"/>
    <s v="Phones"/>
    <s v="PayAnywhere Card Reader"/>
    <n v="39.960000000000008"/>
    <n v="5"/>
  </r>
  <r>
    <x v="816"/>
    <d v="2016-11-29T00:00:00"/>
    <n v="4"/>
    <x v="0"/>
    <s v="EB-13750"/>
    <s v="Edward Becker"/>
    <s v="California"/>
    <x v="0"/>
    <s v="Paper"/>
    <s v="Adams Telephone Message Book W/Dividers/Space For Phone Numbers, 5 1/4&quot;X8 1/2&quot;, 200/Messages"/>
    <n v="34.08"/>
    <n v="6"/>
  </r>
  <r>
    <x v="816"/>
    <d v="2016-12-01T00:00:00"/>
    <n v="6"/>
    <x v="1"/>
    <s v="TZ-21580"/>
    <s v="Tracy Zic"/>
    <s v="California"/>
    <x v="0"/>
    <s v="Art"/>
    <s v="DIXON Oriole Pencils"/>
    <n v="5.16"/>
    <n v="2"/>
  </r>
  <r>
    <x v="817"/>
    <d v="2016-12-03T00:00:00"/>
    <n v="6"/>
    <x v="1"/>
    <s v="LW-16990"/>
    <s v="Lindsay Williams"/>
    <s v="California"/>
    <x v="0"/>
    <s v="Paper"/>
    <s v="Tops White Computer Printout Paper"/>
    <n v="244.54999999999998"/>
    <n v="5"/>
  </r>
  <r>
    <x v="817"/>
    <d v="2016-12-03T00:00:00"/>
    <n v="6"/>
    <x v="1"/>
    <s v="LW-16990"/>
    <s v="Lindsay Williams"/>
    <s v="California"/>
    <x v="2"/>
    <s v="Accessories"/>
    <s v="Enermax Briskie RF Wireless Keyboard and Mouse Combo"/>
    <n v="166.16"/>
    <n v="8"/>
  </r>
  <r>
    <x v="817"/>
    <d v="2016-12-02T00:00:00"/>
    <n v="5"/>
    <x v="1"/>
    <s v="BD-11320"/>
    <s v="Bill Donatelli"/>
    <s v="California"/>
    <x v="0"/>
    <s v="Binders"/>
    <s v="Premium Transparent Presentation Covers by GBC"/>
    <n v="117.48800000000001"/>
    <n v="7"/>
  </r>
  <r>
    <x v="817"/>
    <d v="2016-12-02T00:00:00"/>
    <n v="5"/>
    <x v="1"/>
    <s v="BD-11320"/>
    <s v="Bill Donatelli"/>
    <s v="California"/>
    <x v="1"/>
    <s v="Furnishings"/>
    <s v="Eldon 200 Class Desk Accessories"/>
    <n v="18.84"/>
    <n v="3"/>
  </r>
  <r>
    <x v="817"/>
    <d v="2016-12-03T00:00:00"/>
    <n v="6"/>
    <x v="1"/>
    <s v="DO-13645"/>
    <s v="Doug O'Connell"/>
    <s v="California"/>
    <x v="2"/>
    <s v="Phones"/>
    <s v="Griffin GC17055 Auxiliary Audio Cable"/>
    <n v="57.567999999999998"/>
    <n v="4"/>
  </r>
  <r>
    <x v="818"/>
    <d v="2016-12-01T00:00:00"/>
    <n v="3"/>
    <x v="2"/>
    <s v="RH-19495"/>
    <s v="Rick Hansen"/>
    <s v="Colorado"/>
    <x v="0"/>
    <s v="Paper"/>
    <s v="Eaton Premium Continuous-Feed Paper, 25% Cotton, Letter Size, White, 1000 Shts/Box"/>
    <n v="88.768000000000001"/>
    <n v="2"/>
  </r>
  <r>
    <x v="818"/>
    <d v="2016-12-02T00:00:00"/>
    <n v="4"/>
    <x v="1"/>
    <s v="EP-13915"/>
    <s v="Emily Phan"/>
    <s v="California"/>
    <x v="0"/>
    <s v="Labels"/>
    <s v="Round Specialty Laser Printer Labels"/>
    <n v="62.65"/>
    <n v="5"/>
  </r>
  <r>
    <x v="819"/>
    <d v="2016-12-03T00:00:00"/>
    <n v="3"/>
    <x v="2"/>
    <s v="MZ-17335"/>
    <s v="Maria Zettner"/>
    <s v="California"/>
    <x v="1"/>
    <s v="Furnishings"/>
    <s v="Contemporary Borderless Frame"/>
    <n v="25.83"/>
    <n v="3"/>
  </r>
  <r>
    <x v="820"/>
    <d v="2016-12-05T00:00:00"/>
    <n v="4"/>
    <x v="1"/>
    <s v="DV-13465"/>
    <s v="Dianna Vittorini"/>
    <s v="Colorado"/>
    <x v="2"/>
    <s v="Phones"/>
    <s v="GE 30524EE4"/>
    <n v="470.37600000000009"/>
    <n v="3"/>
  </r>
  <r>
    <x v="820"/>
    <d v="2016-12-05T00:00:00"/>
    <n v="4"/>
    <x v="1"/>
    <s v="DV-13465"/>
    <s v="Dianna Vittorini"/>
    <s v="Colorado"/>
    <x v="2"/>
    <s v="Phones"/>
    <s v="AT&amp;T SB67148 SynJ"/>
    <n v="105.584"/>
    <n v="2"/>
  </r>
  <r>
    <x v="820"/>
    <d v="2016-12-05T00:00:00"/>
    <n v="4"/>
    <x v="1"/>
    <s v="DV-13465"/>
    <s v="Dianna Vittorini"/>
    <s v="Colorado"/>
    <x v="0"/>
    <s v="Appliances"/>
    <s v="Fellowes Basic Home/Office Series Surge Protectors"/>
    <n v="31.152000000000001"/>
    <n v="3"/>
  </r>
  <r>
    <x v="820"/>
    <d v="2016-12-05T00:00:00"/>
    <n v="4"/>
    <x v="1"/>
    <s v="DV-13465"/>
    <s v="Dianna Vittorini"/>
    <s v="Colorado"/>
    <x v="0"/>
    <s v="Binders"/>
    <s v="Recycled Pressboard Report Cover with Reinforced Top Hinge"/>
    <n v="6.7830000000000004"/>
    <n v="7"/>
  </r>
  <r>
    <x v="820"/>
    <d v="2016-12-05T00:00:00"/>
    <n v="4"/>
    <x v="1"/>
    <s v="DV-13465"/>
    <s v="Dianna Vittorini"/>
    <s v="Colorado"/>
    <x v="2"/>
    <s v="Phones"/>
    <s v="Jabra BIZ 2300 Duo QD Duo Corded Headset"/>
    <n v="406.36799999999999"/>
    <n v="4"/>
  </r>
  <r>
    <x v="820"/>
    <d v="2016-12-05T00:00:00"/>
    <n v="4"/>
    <x v="1"/>
    <s v="CC-12550"/>
    <s v="Clay Cheatham"/>
    <s v="California"/>
    <x v="0"/>
    <s v="Paper"/>
    <s v="Xerox 1905"/>
    <n v="45.36"/>
    <n v="7"/>
  </r>
  <r>
    <x v="820"/>
    <d v="2016-12-05T00:00:00"/>
    <n v="4"/>
    <x v="1"/>
    <s v="CC-12550"/>
    <s v="Clay Cheatham"/>
    <s v="California"/>
    <x v="0"/>
    <s v="Binders"/>
    <s v="Cardinal HOLDit! Binder Insert Strips,Extra Strips"/>
    <n v="10.128"/>
    <n v="2"/>
  </r>
  <r>
    <x v="820"/>
    <d v="2016-12-08T00:00:00"/>
    <n v="7"/>
    <x v="1"/>
    <s v="SO-20335"/>
    <s v="Sean O'Donnell"/>
    <s v="Washington"/>
    <x v="0"/>
    <s v="Paper"/>
    <s v="Xerox 1947"/>
    <n v="41.86"/>
    <n v="7"/>
  </r>
  <r>
    <x v="820"/>
    <d v="2016-12-08T00:00:00"/>
    <n v="7"/>
    <x v="1"/>
    <s v="SO-20335"/>
    <s v="Sean O'Donnell"/>
    <s v="Washington"/>
    <x v="1"/>
    <s v="Bookcases"/>
    <s v="Hon Metal Bookcases, Putty"/>
    <n v="141.96"/>
    <n v="2"/>
  </r>
  <r>
    <x v="820"/>
    <d v="2016-12-06T00:00:00"/>
    <n v="5"/>
    <x v="1"/>
    <s v="SH-19975"/>
    <s v="Sally Hughsby"/>
    <s v="Washington"/>
    <x v="0"/>
    <s v="Binders"/>
    <s v="Ibico Presentation Index for Binding Systems"/>
    <n v="15.920000000000002"/>
    <n v="5"/>
  </r>
  <r>
    <x v="820"/>
    <d v="2016-12-06T00:00:00"/>
    <n v="5"/>
    <x v="1"/>
    <s v="SH-19975"/>
    <s v="Sally Hughsby"/>
    <s v="Washington"/>
    <x v="1"/>
    <s v="Furnishings"/>
    <s v="Eldon Wave Desk Accessories"/>
    <n v="70.679999999999993"/>
    <n v="12"/>
  </r>
  <r>
    <x v="820"/>
    <d v="2016-12-06T00:00:00"/>
    <n v="5"/>
    <x v="1"/>
    <s v="SH-19975"/>
    <s v="Sally Hughsby"/>
    <s v="Washington"/>
    <x v="0"/>
    <s v="Storage"/>
    <s v="Tennsco Stur-D-Stor Boltless Shelving, 5 Shelves, 24&quot; Deep, Sand"/>
    <n v="541.24"/>
    <n v="4"/>
  </r>
  <r>
    <x v="820"/>
    <d v="2016-12-07T00:00:00"/>
    <n v="6"/>
    <x v="1"/>
    <s v="ML-17755"/>
    <s v="Max Ludwig"/>
    <s v="California"/>
    <x v="1"/>
    <s v="Furnishings"/>
    <s v="Tenex &quot;The Solids&quot; Textured Chair Mats"/>
    <n v="629.64"/>
    <n v="9"/>
  </r>
  <r>
    <x v="821"/>
    <d v="2016-12-05T00:00:00"/>
    <n v="3"/>
    <x v="2"/>
    <s v="VW-21775"/>
    <s v="Victoria Wilson"/>
    <s v="California"/>
    <x v="0"/>
    <s v="Storage"/>
    <s v="Fellowes Mobile File Cart, Black"/>
    <n v="559.62"/>
    <n v="9"/>
  </r>
  <r>
    <x v="821"/>
    <d v="2016-12-05T00:00:00"/>
    <n v="3"/>
    <x v="2"/>
    <s v="VW-21775"/>
    <s v="Victoria Wilson"/>
    <s v="California"/>
    <x v="0"/>
    <s v="Paper"/>
    <s v="Xerox 1940"/>
    <n v="109.92"/>
    <n v="2"/>
  </r>
  <r>
    <x v="821"/>
    <d v="2016-12-05T00:00:00"/>
    <n v="3"/>
    <x v="2"/>
    <s v="VW-21775"/>
    <s v="Victoria Wilson"/>
    <s v="California"/>
    <x v="0"/>
    <s v="Paper"/>
    <s v="Xerox 1962"/>
    <n v="8.56"/>
    <n v="2"/>
  </r>
  <r>
    <x v="821"/>
    <d v="2016-12-03T00:00:00"/>
    <n v="1"/>
    <x v="3"/>
    <s v="AM-10360"/>
    <s v="Alice McCarthy"/>
    <s v="California"/>
    <x v="0"/>
    <s v="Binders"/>
    <s v="3-ring staple pack"/>
    <n v="9.0240000000000009"/>
    <n v="6"/>
  </r>
  <r>
    <x v="821"/>
    <d v="2016-12-03T00:00:00"/>
    <n v="1"/>
    <x v="3"/>
    <s v="AM-10360"/>
    <s v="Alice McCarthy"/>
    <s v="California"/>
    <x v="0"/>
    <s v="Binders"/>
    <s v="Satellite Sectional Post Binders"/>
    <n v="69.456000000000003"/>
    <n v="2"/>
  </r>
  <r>
    <x v="821"/>
    <d v="2016-12-03T00:00:00"/>
    <n v="1"/>
    <x v="3"/>
    <s v="AM-10360"/>
    <s v="Alice McCarthy"/>
    <s v="California"/>
    <x v="0"/>
    <s v="Paper"/>
    <s v="Wirebound Message Book, 4 per Page"/>
    <n v="10.86"/>
    <n v="2"/>
  </r>
  <r>
    <x v="821"/>
    <d v="2016-12-03T00:00:00"/>
    <n v="1"/>
    <x v="3"/>
    <s v="AM-10360"/>
    <s v="Alice McCarthy"/>
    <s v="California"/>
    <x v="0"/>
    <s v="Appliances"/>
    <s v="Fellowes Advanced Computer Series Surge Protectors"/>
    <n v="79.47"/>
    <n v="3"/>
  </r>
  <r>
    <x v="821"/>
    <d v="2016-12-03T00:00:00"/>
    <n v="1"/>
    <x v="3"/>
    <s v="AM-10360"/>
    <s v="Alice McCarthy"/>
    <s v="California"/>
    <x v="0"/>
    <s v="Art"/>
    <s v="Prang Dustless Chalk Sticks"/>
    <n v="10.08"/>
    <n v="6"/>
  </r>
  <r>
    <x v="821"/>
    <d v="2016-12-06T00:00:00"/>
    <n v="4"/>
    <x v="1"/>
    <s v="BB-11545"/>
    <s v="Brenda Bowman"/>
    <s v="California"/>
    <x v="2"/>
    <s v="Phones"/>
    <s v="Anker Astro 15000mAh USB Portable Charger"/>
    <n v="39.992000000000004"/>
    <n v="1"/>
  </r>
  <r>
    <x v="821"/>
    <d v="2016-12-06T00:00:00"/>
    <n v="4"/>
    <x v="1"/>
    <s v="BB-11545"/>
    <s v="Brenda Bowman"/>
    <s v="California"/>
    <x v="1"/>
    <s v="Chairs"/>
    <s v="Office Star - Mid Back Dual function Ergonomic High Back Chair with 2-Way Adjustable Arms"/>
    <n v="1159.056"/>
    <n v="9"/>
  </r>
  <r>
    <x v="821"/>
    <d v="2016-12-06T00:00:00"/>
    <n v="4"/>
    <x v="1"/>
    <s v="BB-11545"/>
    <s v="Brenda Bowman"/>
    <s v="California"/>
    <x v="0"/>
    <s v="Art"/>
    <s v="Panasonic KP-380BK Classic Electric Pencil Sharpener"/>
    <n v="179.89999999999998"/>
    <n v="5"/>
  </r>
  <r>
    <x v="821"/>
    <d v="2016-12-06T00:00:00"/>
    <n v="4"/>
    <x v="1"/>
    <s v="BS-11380"/>
    <s v="Bill Stewart"/>
    <s v="Colorado"/>
    <x v="0"/>
    <s v="Storage"/>
    <s v="Letter Size Cart"/>
    <n v="114.28800000000001"/>
    <n v="1"/>
  </r>
  <r>
    <x v="821"/>
    <d v="2016-12-06T00:00:00"/>
    <n v="4"/>
    <x v="1"/>
    <s v="BS-11380"/>
    <s v="Bill Stewart"/>
    <s v="Colorado"/>
    <x v="0"/>
    <s v="Binders"/>
    <s v="Aluminum Screw Posts"/>
    <n v="36.624000000000002"/>
    <n v="8"/>
  </r>
  <r>
    <x v="821"/>
    <d v="2016-12-06T00:00:00"/>
    <n v="4"/>
    <x v="1"/>
    <s v="BS-11380"/>
    <s v="Bill Stewart"/>
    <s v="Colorado"/>
    <x v="1"/>
    <s v="Bookcases"/>
    <s v="Hon 4-Shelf Metal Bookcases"/>
    <n v="242.35200000000003"/>
    <n v="8"/>
  </r>
  <r>
    <x v="821"/>
    <d v="2016-12-06T00:00:00"/>
    <n v="4"/>
    <x v="1"/>
    <s v="BS-11380"/>
    <s v="Bill Stewart"/>
    <s v="Colorado"/>
    <x v="2"/>
    <s v="Phones"/>
    <s v="Seidio BD2-HK3IPH5-BK DILEX Case and Holster Combo for Apple iPhone 5/5s - Black"/>
    <n v="49.616000000000007"/>
    <n v="2"/>
  </r>
  <r>
    <x v="821"/>
    <d v="2016-12-06T00:00:00"/>
    <n v="4"/>
    <x v="1"/>
    <s v="BS-11380"/>
    <s v="Bill Stewart"/>
    <s v="Colorado"/>
    <x v="1"/>
    <s v="Furnishings"/>
    <s v="Tenex 46&quot; x 60&quot; Computer Anti-Static Chairmat, Rectangular Shaped"/>
    <n v="508.70400000000006"/>
    <n v="6"/>
  </r>
  <r>
    <x v="821"/>
    <d v="2016-12-06T00:00:00"/>
    <n v="4"/>
    <x v="1"/>
    <s v="BS-11380"/>
    <s v="Bill Stewart"/>
    <s v="Colorado"/>
    <x v="2"/>
    <s v="Phones"/>
    <s v="Macally Suction Cup Mount"/>
    <n v="57.36"/>
    <n v="6"/>
  </r>
  <r>
    <x v="821"/>
    <d v="2016-12-06T00:00:00"/>
    <n v="4"/>
    <x v="1"/>
    <s v="BS-11380"/>
    <s v="Bill Stewart"/>
    <s v="Colorado"/>
    <x v="1"/>
    <s v="Chairs"/>
    <s v="Hon GuestStacker Chair"/>
    <n v="906.68000000000006"/>
    <n v="5"/>
  </r>
  <r>
    <x v="821"/>
    <d v="2016-12-02T00:00:00"/>
    <n v="0"/>
    <x v="3"/>
    <s v="SV-20935"/>
    <s v="Susan Vittorini"/>
    <s v="Arizona"/>
    <x v="0"/>
    <s v="Binders"/>
    <s v="Vinyl Sectional Post Binders"/>
    <n v="67.860000000000014"/>
    <n v="6"/>
  </r>
  <r>
    <x v="822"/>
    <d v="2016-12-03T00:00:00"/>
    <n v="0"/>
    <x v="3"/>
    <s v="TC-21295"/>
    <s v="Toby Carlisle"/>
    <s v="California"/>
    <x v="0"/>
    <s v="Paper"/>
    <s v="Xerox 1888"/>
    <n v="166.44"/>
    <n v="3"/>
  </r>
  <r>
    <x v="822"/>
    <d v="2016-12-07T00:00:00"/>
    <n v="4"/>
    <x v="0"/>
    <s v="CM-12655"/>
    <s v="Corinna Mitchell"/>
    <s v="Washington"/>
    <x v="1"/>
    <s v="Tables"/>
    <s v="Bevis Oval Conference Table, Walnut"/>
    <n v="521.96"/>
    <n v="2"/>
  </r>
  <r>
    <x v="822"/>
    <d v="2016-12-06T00:00:00"/>
    <n v="3"/>
    <x v="0"/>
    <s v="LC-16870"/>
    <s v="Lena Cacioppo"/>
    <s v="Colorado"/>
    <x v="0"/>
    <s v="Art"/>
    <s v="Newell 344"/>
    <n v="13.343999999999998"/>
    <n v="6"/>
  </r>
  <r>
    <x v="822"/>
    <d v="2016-12-06T00:00:00"/>
    <n v="3"/>
    <x v="0"/>
    <s v="LC-16870"/>
    <s v="Lena Cacioppo"/>
    <s v="Colorado"/>
    <x v="2"/>
    <s v="Accessories"/>
    <s v="Memorex Micro Travel Drive 16 GB"/>
    <n v="76.75200000000001"/>
    <n v="6"/>
  </r>
  <r>
    <x v="822"/>
    <d v="2016-12-06T00:00:00"/>
    <n v="3"/>
    <x v="0"/>
    <s v="LC-16870"/>
    <s v="Lena Cacioppo"/>
    <s v="Colorado"/>
    <x v="2"/>
    <s v="Accessories"/>
    <s v="Memorex Micro Travel Drive 16 GB"/>
    <n v="102.33600000000001"/>
    <n v="8"/>
  </r>
  <r>
    <x v="822"/>
    <d v="2016-12-06T00:00:00"/>
    <n v="3"/>
    <x v="0"/>
    <s v="LC-16870"/>
    <s v="Lena Cacioppo"/>
    <s v="Colorado"/>
    <x v="0"/>
    <s v="Paper"/>
    <s v="Wirebound Four 2-3/4 x 5 Forms per Page, 400 Sets per Book"/>
    <n v="10.32"/>
    <n v="2"/>
  </r>
  <r>
    <x v="822"/>
    <d v="2016-12-06T00:00:00"/>
    <n v="3"/>
    <x v="0"/>
    <s v="LC-16870"/>
    <s v="Lena Cacioppo"/>
    <s v="Colorado"/>
    <x v="0"/>
    <s v="Supplies"/>
    <s v="Elite 5&quot; Scissors"/>
    <n v="47.32"/>
    <n v="7"/>
  </r>
  <r>
    <x v="822"/>
    <d v="2016-12-06T00:00:00"/>
    <n v="3"/>
    <x v="0"/>
    <s v="LC-16870"/>
    <s v="Lena Cacioppo"/>
    <s v="Colorado"/>
    <x v="1"/>
    <s v="Furnishings"/>
    <s v="Staple-based wall hangings"/>
    <n v="23.376000000000001"/>
    <n v="3"/>
  </r>
  <r>
    <x v="822"/>
    <d v="2016-12-06T00:00:00"/>
    <n v="3"/>
    <x v="0"/>
    <s v="LC-16870"/>
    <s v="Lena Cacioppo"/>
    <s v="Colorado"/>
    <x v="1"/>
    <s v="Furnishings"/>
    <s v="Eldon Image Series Desk Accessories, Burgundy"/>
    <n v="16.72"/>
    <n v="5"/>
  </r>
  <r>
    <x v="822"/>
    <d v="2016-12-06T00:00:00"/>
    <n v="3"/>
    <x v="0"/>
    <s v="LC-16870"/>
    <s v="Lena Cacioppo"/>
    <s v="Colorado"/>
    <x v="1"/>
    <s v="Furnishings"/>
    <s v="DAX Two-Tone Silver Metal Document Frame"/>
    <n v="16.192"/>
    <n v="1"/>
  </r>
  <r>
    <x v="823"/>
    <d v="2016-12-06T00:00:00"/>
    <n v="2"/>
    <x v="2"/>
    <s v="CS-12250"/>
    <s v="Chris Selesnick"/>
    <s v="California"/>
    <x v="0"/>
    <s v="Paper"/>
    <s v="Adams Telephone Message Book W/Dividers/Space For Phone Numbers, 5 1/4&quot;X8 1/2&quot;, 300/Messages"/>
    <n v="11.76"/>
    <n v="2"/>
  </r>
  <r>
    <x v="824"/>
    <d v="2016-12-07T00:00:00"/>
    <n v="2"/>
    <x v="0"/>
    <s v="NP-18325"/>
    <s v="Naresj Patel"/>
    <s v="California"/>
    <x v="0"/>
    <s v="Paper"/>
    <s v="Xerox 1960"/>
    <n v="92.94"/>
    <n v="3"/>
  </r>
  <r>
    <x v="824"/>
    <d v="2016-12-09T00:00:00"/>
    <n v="4"/>
    <x v="1"/>
    <s v="AB-10165"/>
    <s v="Alan Barnes"/>
    <s v="Washington"/>
    <x v="0"/>
    <s v="Binders"/>
    <s v="GBC Wire Binding Combs"/>
    <n v="24.816000000000003"/>
    <n v="3"/>
  </r>
  <r>
    <x v="824"/>
    <d v="2016-12-09T00:00:00"/>
    <n v="4"/>
    <x v="1"/>
    <s v="AB-10165"/>
    <s v="Alan Barnes"/>
    <s v="Washington"/>
    <x v="0"/>
    <s v="Binders"/>
    <s v="Zipper Ring Binder Pockets"/>
    <n v="14.976000000000003"/>
    <n v="6"/>
  </r>
  <r>
    <x v="824"/>
    <d v="2016-12-06T00:00:00"/>
    <n v="1"/>
    <x v="2"/>
    <s v="PB-18805"/>
    <s v="Patrick Bzostek"/>
    <s v="Washington"/>
    <x v="0"/>
    <s v="Binders"/>
    <s v="GBC Premium Transparent Covers with Diagonal Lined Pattern"/>
    <n v="83.920000000000016"/>
    <n v="5"/>
  </r>
  <r>
    <x v="824"/>
    <d v="2016-12-06T00:00:00"/>
    <n v="1"/>
    <x v="2"/>
    <s v="PB-18805"/>
    <s v="Patrick Bzostek"/>
    <s v="Washington"/>
    <x v="1"/>
    <s v="Furnishings"/>
    <s v="Eldon Radial Chair Mat for Low to Medium Pile Carpets"/>
    <n v="199.89999999999998"/>
    <n v="5"/>
  </r>
  <r>
    <x v="824"/>
    <d v="2016-12-06T00:00:00"/>
    <n v="1"/>
    <x v="2"/>
    <s v="PB-18805"/>
    <s v="Patrick Bzostek"/>
    <s v="Washington"/>
    <x v="2"/>
    <s v="Phones"/>
    <s v="Cyber Acoustics AC-202b Speech Recognition Stereo Headset"/>
    <n v="31.176000000000002"/>
    <n v="3"/>
  </r>
  <r>
    <x v="824"/>
    <d v="2016-12-06T00:00:00"/>
    <n v="1"/>
    <x v="2"/>
    <s v="PB-18805"/>
    <s v="Patrick Bzostek"/>
    <s v="Washington"/>
    <x v="0"/>
    <s v="Binders"/>
    <s v="GBC VeloBinder Manual Binding System"/>
    <n v="172.75200000000001"/>
    <n v="6"/>
  </r>
  <r>
    <x v="824"/>
    <d v="2016-12-06T00:00:00"/>
    <n v="1"/>
    <x v="2"/>
    <s v="PB-18805"/>
    <s v="Patrick Bzostek"/>
    <s v="Washington"/>
    <x v="0"/>
    <s v="Binders"/>
    <s v="Fellowes Black Plastic Comb Bindings"/>
    <n v="9.2959999999999994"/>
    <n v="2"/>
  </r>
  <r>
    <x v="825"/>
    <d v="2016-12-08T00:00:00"/>
    <n v="2"/>
    <x v="0"/>
    <s v="BN-11470"/>
    <s v="Brad Norvell"/>
    <s v="California"/>
    <x v="0"/>
    <s v="Storage"/>
    <s v="Staple magnet"/>
    <n v="10.68"/>
    <n v="1"/>
  </r>
  <r>
    <x v="826"/>
    <d v="2016-12-10T00:00:00"/>
    <n v="3"/>
    <x v="2"/>
    <s v="FP-14320"/>
    <s v="Frank Preis"/>
    <s v="California"/>
    <x v="2"/>
    <s v="Phones"/>
    <s v="Cisco SPA301"/>
    <n v="374.37600000000003"/>
    <n v="3"/>
  </r>
  <r>
    <x v="826"/>
    <d v="2016-12-14T00:00:00"/>
    <n v="7"/>
    <x v="1"/>
    <s v="TC-21535"/>
    <s v="Tracy Collins"/>
    <s v="California"/>
    <x v="0"/>
    <s v="Paper"/>
    <s v="REDIFORM Incoming/Outgoing Call Register, 11&quot; X 8 1/2&quot;, 100 Messages"/>
    <n v="50.04"/>
    <n v="6"/>
  </r>
  <r>
    <x v="827"/>
    <d v="2016-12-12T00:00:00"/>
    <n v="4"/>
    <x v="1"/>
    <s v="KH-16510"/>
    <s v="Keith Herrera"/>
    <s v="California"/>
    <x v="2"/>
    <s v="Accessories"/>
    <s v="Sony 64GB Class 10 Micro SDHC R40 Memory Card"/>
    <n v="179.95000000000002"/>
    <n v="5"/>
  </r>
  <r>
    <x v="827"/>
    <d v="2016-12-12T00:00:00"/>
    <n v="4"/>
    <x v="1"/>
    <s v="KH-16510"/>
    <s v="Keith Herrera"/>
    <s v="California"/>
    <x v="2"/>
    <s v="Copiers"/>
    <s v="Sharp AL-1530CS Digital Copier"/>
    <n v="1199.9760000000001"/>
    <n v="3"/>
  </r>
  <r>
    <x v="827"/>
    <d v="2016-12-12T00:00:00"/>
    <n v="4"/>
    <x v="1"/>
    <s v="KH-16510"/>
    <s v="Keith Herrera"/>
    <s v="California"/>
    <x v="0"/>
    <s v="Paper"/>
    <s v="Wirebound Message Book, 4 per Page"/>
    <n v="27.15"/>
    <n v="5"/>
  </r>
  <r>
    <x v="827"/>
    <d v="2016-12-12T00:00:00"/>
    <n v="4"/>
    <x v="1"/>
    <s v="KH-16510"/>
    <s v="Keith Herrera"/>
    <s v="California"/>
    <x v="1"/>
    <s v="Tables"/>
    <s v="Bevis Round Conference Table Top, X-Base"/>
    <n v="1004.0239999999999"/>
    <n v="7"/>
  </r>
  <r>
    <x v="827"/>
    <d v="2016-12-12T00:00:00"/>
    <n v="4"/>
    <x v="1"/>
    <s v="KH-16510"/>
    <s v="Keith Herrera"/>
    <s v="California"/>
    <x v="0"/>
    <s v="Paper"/>
    <s v="Wirebound Service Call Books, 5 1/2&quot; x 4&quot;"/>
    <n v="9.68"/>
    <n v="1"/>
  </r>
  <r>
    <x v="827"/>
    <d v="2016-12-12T00:00:00"/>
    <n v="4"/>
    <x v="1"/>
    <s v="KH-16510"/>
    <s v="Keith Herrera"/>
    <s v="California"/>
    <x v="0"/>
    <s v="Labels"/>
    <s v="Self-Adhesive Removable Labels"/>
    <n v="28.349999999999998"/>
    <n v="9"/>
  </r>
  <r>
    <x v="827"/>
    <d v="2016-12-12T00:00:00"/>
    <n v="4"/>
    <x v="1"/>
    <s v="KH-16510"/>
    <s v="Keith Herrera"/>
    <s v="California"/>
    <x v="0"/>
    <s v="Paper"/>
    <s v="Xerox 1908"/>
    <n v="55.98"/>
    <n v="1"/>
  </r>
  <r>
    <x v="827"/>
    <d v="2016-12-12T00:00:00"/>
    <n v="4"/>
    <x v="1"/>
    <s v="KH-16510"/>
    <s v="Keith Herrera"/>
    <s v="California"/>
    <x v="1"/>
    <s v="Bookcases"/>
    <s v="O'Sullivan 4-Shelf Bookcase in Odessa Pine"/>
    <n v="1336.829"/>
    <n v="13"/>
  </r>
  <r>
    <x v="827"/>
    <d v="2016-12-12T00:00:00"/>
    <n v="4"/>
    <x v="1"/>
    <s v="KH-16510"/>
    <s v="Keith Herrera"/>
    <s v="California"/>
    <x v="1"/>
    <s v="Chairs"/>
    <s v="Novimex High-Tech Fabric Mesh Task Chair"/>
    <n v="113.56800000000001"/>
    <n v="2"/>
  </r>
  <r>
    <x v="827"/>
    <d v="2016-12-09T00:00:00"/>
    <n v="1"/>
    <x v="2"/>
    <s v="LF-17185"/>
    <s v="Luke Foster"/>
    <s v="California"/>
    <x v="0"/>
    <s v="Storage"/>
    <s v="Akro-Mils 12-Gallon Tote"/>
    <n v="29.79"/>
    <n v="3"/>
  </r>
  <r>
    <x v="827"/>
    <d v="2016-12-09T00:00:00"/>
    <n v="1"/>
    <x v="2"/>
    <s v="LF-17185"/>
    <s v="Luke Foster"/>
    <s v="California"/>
    <x v="1"/>
    <s v="Furnishings"/>
    <s v="Tenex Traditional Chairmats for Hard Floors, Average Lip, 36&quot; x 48&quot;"/>
    <n v="128.9"/>
    <n v="2"/>
  </r>
  <r>
    <x v="827"/>
    <d v="2016-12-09T00:00:00"/>
    <n v="1"/>
    <x v="2"/>
    <s v="LF-17185"/>
    <s v="Luke Foster"/>
    <s v="California"/>
    <x v="0"/>
    <s v="Paper"/>
    <s v="Xerox 1968"/>
    <n v="60.12"/>
    <n v="9"/>
  </r>
  <r>
    <x v="827"/>
    <d v="2016-12-12T00:00:00"/>
    <n v="4"/>
    <x v="0"/>
    <s v="AS-10225"/>
    <s v="Alan Schoenberger"/>
    <s v="California"/>
    <x v="0"/>
    <s v="Appliances"/>
    <s v="Belkin 8-Outlet Premiere SurgeMaster II Surge Protectors"/>
    <n v="69.48"/>
    <n v="1"/>
  </r>
  <r>
    <x v="827"/>
    <d v="2016-12-14T00:00:00"/>
    <n v="6"/>
    <x v="1"/>
    <s v="DM-13345"/>
    <s v="Denise Monton"/>
    <s v="California"/>
    <x v="0"/>
    <s v="Paper"/>
    <s v="Standard Line “While You Were Out” Hardbound Telephone Message Book"/>
    <n v="87.92"/>
    <n v="4"/>
  </r>
  <r>
    <x v="827"/>
    <d v="2016-12-14T00:00:00"/>
    <n v="6"/>
    <x v="1"/>
    <s v="DM-13345"/>
    <s v="Denise Monton"/>
    <s v="California"/>
    <x v="0"/>
    <s v="Binders"/>
    <s v="Performers Binder/Pad Holder, Black"/>
    <n v="22.424000000000003"/>
    <n v="1"/>
  </r>
  <r>
    <x v="827"/>
    <d v="2016-12-14T00:00:00"/>
    <n v="6"/>
    <x v="1"/>
    <s v="DM-13345"/>
    <s v="Denise Monton"/>
    <s v="California"/>
    <x v="0"/>
    <s v="Binders"/>
    <s v="Vinyl Sectional Post Binders"/>
    <n v="90.480000000000018"/>
    <n v="3"/>
  </r>
  <r>
    <x v="827"/>
    <d v="2016-12-14T00:00:00"/>
    <n v="6"/>
    <x v="1"/>
    <s v="DM-13345"/>
    <s v="Denise Monton"/>
    <s v="California"/>
    <x v="0"/>
    <s v="Storage"/>
    <s v="SAFCO Mobile Desk Side File, Wire Frame"/>
    <n v="42.76"/>
    <n v="1"/>
  </r>
  <r>
    <x v="828"/>
    <d v="2016-12-14T00:00:00"/>
    <n v="5"/>
    <x v="1"/>
    <s v="LE-16810"/>
    <s v="Laurel Elliston"/>
    <s v="California"/>
    <x v="2"/>
    <s v="Phones"/>
    <s v="Nortel Business Series Terminal T7208 Digital phone"/>
    <n v="444.76800000000003"/>
    <n v="4"/>
  </r>
  <r>
    <x v="828"/>
    <d v="2016-12-13T00:00:00"/>
    <n v="4"/>
    <x v="0"/>
    <s v="AT-10435"/>
    <s v="Alyssa Tate"/>
    <s v="California"/>
    <x v="0"/>
    <s v="Art"/>
    <s v="Newell 314"/>
    <n v="11.16"/>
    <n v="2"/>
  </r>
  <r>
    <x v="828"/>
    <d v="2016-12-13T00:00:00"/>
    <n v="4"/>
    <x v="0"/>
    <s v="AT-10435"/>
    <s v="Alyssa Tate"/>
    <s v="California"/>
    <x v="1"/>
    <s v="Tables"/>
    <s v="Bevis 36 x 72 Conference Tables"/>
    <n v="896.32799999999997"/>
    <n v="9"/>
  </r>
  <r>
    <x v="828"/>
    <d v="2016-12-13T00:00:00"/>
    <n v="4"/>
    <x v="0"/>
    <s v="AT-10435"/>
    <s v="Alyssa Tate"/>
    <s v="California"/>
    <x v="0"/>
    <s v="Appliances"/>
    <s v="Harmony Air Purifier"/>
    <n v="189"/>
    <n v="1"/>
  </r>
  <r>
    <x v="828"/>
    <d v="2016-12-13T00:00:00"/>
    <n v="4"/>
    <x v="1"/>
    <s v="NC-18535"/>
    <s v="Nick Crebassa"/>
    <s v="Arizona"/>
    <x v="0"/>
    <s v="Paper"/>
    <s v="Multicolor Computer Printout Paper"/>
    <n v="419.4"/>
    <n v="5"/>
  </r>
  <r>
    <x v="828"/>
    <d v="2016-12-13T00:00:00"/>
    <n v="4"/>
    <x v="1"/>
    <s v="NC-18535"/>
    <s v="Nick Crebassa"/>
    <s v="Arizona"/>
    <x v="0"/>
    <s v="Binders"/>
    <s v="Acco Recycled 2&quot; Capacity Laser Printer Hanging Data Binders"/>
    <n v="13.005000000000003"/>
    <n v="3"/>
  </r>
  <r>
    <x v="828"/>
    <d v="2016-12-11T00:00:00"/>
    <n v="2"/>
    <x v="0"/>
    <s v="DB-12910"/>
    <s v="Daniel Byrd"/>
    <s v="California"/>
    <x v="1"/>
    <s v="Bookcases"/>
    <s v="O'Sullivan 3-Shelf Heavy-Duty Bookcases"/>
    <n v="148.25700000000001"/>
    <n v="3"/>
  </r>
  <r>
    <x v="829"/>
    <d v="2016-12-17T00:00:00"/>
    <n v="7"/>
    <x v="1"/>
    <s v="BP-11185"/>
    <s v="Ben Peterman"/>
    <s v="California"/>
    <x v="0"/>
    <s v="Binders"/>
    <s v="Avery Hole Reinforcements"/>
    <n v="19.936000000000003"/>
    <n v="4"/>
  </r>
  <r>
    <x v="829"/>
    <d v="2016-12-17T00:00:00"/>
    <n v="7"/>
    <x v="1"/>
    <s v="BP-11185"/>
    <s v="Ben Peterman"/>
    <s v="California"/>
    <x v="0"/>
    <s v="Binders"/>
    <s v="Wilson Jones Ledger-Size, Piano-Hinge Binder, 2&quot;, Blue"/>
    <n v="65.567999999999998"/>
    <n v="2"/>
  </r>
  <r>
    <x v="829"/>
    <d v="2016-12-14T00:00:00"/>
    <n v="4"/>
    <x v="0"/>
    <s v="MC-17845"/>
    <s v="Michael Chen"/>
    <s v="Nevada"/>
    <x v="1"/>
    <s v="Tables"/>
    <s v="Bretford “Just In Time” Height-Adjustable Multi-Task Work Tables"/>
    <n v="1669.6"/>
    <n v="4"/>
  </r>
  <r>
    <x v="829"/>
    <d v="2016-12-12T00:00:00"/>
    <n v="2"/>
    <x v="0"/>
    <s v="BP-11185"/>
    <s v="Ben Peterman"/>
    <s v="Washington"/>
    <x v="2"/>
    <s v="Accessories"/>
    <s v="Logitech Desktop MK120 Mouse and keyboard Combo"/>
    <n v="49.08"/>
    <n v="3"/>
  </r>
  <r>
    <x v="829"/>
    <d v="2016-12-12T00:00:00"/>
    <n v="2"/>
    <x v="0"/>
    <s v="BP-11185"/>
    <s v="Ben Peterman"/>
    <s v="Washington"/>
    <x v="0"/>
    <s v="Storage"/>
    <s v="Fellowes Bankers Box Staxonsteel Drawer File/Stacking System"/>
    <n v="324.90000000000003"/>
    <n v="5"/>
  </r>
  <r>
    <x v="829"/>
    <d v="2016-12-12T00:00:00"/>
    <n v="2"/>
    <x v="0"/>
    <s v="BP-11185"/>
    <s v="Ben Peterman"/>
    <s v="Washington"/>
    <x v="0"/>
    <s v="Art"/>
    <s v="Col-Erase Pencils with Erasers"/>
    <n v="18.240000000000002"/>
    <n v="3"/>
  </r>
  <r>
    <x v="829"/>
    <d v="2016-12-12T00:00:00"/>
    <n v="2"/>
    <x v="0"/>
    <s v="AG-10330"/>
    <s v="Alex Grayson"/>
    <s v="California"/>
    <x v="2"/>
    <s v="Phones"/>
    <s v="Jackery Bar Premium Fast-charging Portable Charger"/>
    <n v="95.84"/>
    <n v="4"/>
  </r>
  <r>
    <x v="829"/>
    <d v="2016-12-12T00:00:00"/>
    <n v="2"/>
    <x v="0"/>
    <s v="AG-10330"/>
    <s v="Alex Grayson"/>
    <s v="California"/>
    <x v="0"/>
    <s v="Paper"/>
    <s v="Xerox 225"/>
    <n v="12.96"/>
    <n v="2"/>
  </r>
  <r>
    <x v="830"/>
    <d v="2016-12-13T00:00:00"/>
    <n v="0"/>
    <x v="3"/>
    <s v="MW-18220"/>
    <s v="Mitch Webber"/>
    <s v="Washington"/>
    <x v="0"/>
    <s v="Storage"/>
    <s v="Sterilite Officeware Hinged File Box"/>
    <n v="31.44"/>
    <n v="3"/>
  </r>
  <r>
    <x v="830"/>
    <d v="2016-12-18T00:00:00"/>
    <n v="5"/>
    <x v="1"/>
    <s v="EP-13915"/>
    <s v="Emily Phan"/>
    <s v="California"/>
    <x v="0"/>
    <s v="Labels"/>
    <s v="Avery 49"/>
    <n v="8.64"/>
    <n v="3"/>
  </r>
  <r>
    <x v="830"/>
    <d v="2016-12-18T00:00:00"/>
    <n v="5"/>
    <x v="1"/>
    <s v="EP-13915"/>
    <s v="Emily Phan"/>
    <s v="California"/>
    <x v="0"/>
    <s v="Paper"/>
    <s v="Xerox 1996"/>
    <n v="38.880000000000003"/>
    <n v="6"/>
  </r>
  <r>
    <x v="830"/>
    <d v="2016-12-18T00:00:00"/>
    <n v="5"/>
    <x v="1"/>
    <s v="EP-13915"/>
    <s v="Emily Phan"/>
    <s v="California"/>
    <x v="1"/>
    <s v="Furnishings"/>
    <s v="Eldon Executive Woodline II Desk Accessories, Mahogany"/>
    <n v="201.04"/>
    <n v="8"/>
  </r>
  <r>
    <x v="830"/>
    <d v="2016-12-18T00:00:00"/>
    <n v="5"/>
    <x v="1"/>
    <s v="EP-13915"/>
    <s v="Emily Phan"/>
    <s v="California"/>
    <x v="0"/>
    <s v="Paper"/>
    <s v="Xerox 1975"/>
    <n v="12.96"/>
    <n v="2"/>
  </r>
  <r>
    <x v="831"/>
    <d v="2016-12-18T00:00:00"/>
    <n v="4"/>
    <x v="1"/>
    <s v="MP-18175"/>
    <s v="Mike Pelletier"/>
    <s v="California"/>
    <x v="1"/>
    <s v="Furnishings"/>
    <s v="Eldon 400 Class Desk Accessories, Black Carbon"/>
    <n v="26.25"/>
    <n v="3"/>
  </r>
  <r>
    <x v="831"/>
    <d v="2016-12-18T00:00:00"/>
    <n v="4"/>
    <x v="1"/>
    <s v="MP-18175"/>
    <s v="Mike Pelletier"/>
    <s v="California"/>
    <x v="0"/>
    <s v="Binders"/>
    <s v="Wilson Jones Clip &amp; Carry Folder Binder Tool for Ring Binders, Clear"/>
    <n v="64.959999999999994"/>
    <n v="14"/>
  </r>
  <r>
    <x v="831"/>
    <d v="2016-12-18T00:00:00"/>
    <n v="4"/>
    <x v="1"/>
    <s v="MP-18175"/>
    <s v="Mike Pelletier"/>
    <s v="California"/>
    <x v="0"/>
    <s v="Envelopes"/>
    <s v="#10- 4 1/8&quot; x 9 1/2&quot; Recycled Envelopes"/>
    <n v="43.7"/>
    <n v="5"/>
  </r>
  <r>
    <x v="832"/>
    <d v="2016-12-20T00:00:00"/>
    <n v="5"/>
    <x v="1"/>
    <s v="PL-18925"/>
    <s v="Paul Lucas"/>
    <s v="Washington"/>
    <x v="1"/>
    <s v="Furnishings"/>
    <s v="Master Giant Foot Doorstop, Safety Yellow"/>
    <n v="22.77"/>
    <n v="3"/>
  </r>
  <r>
    <x v="832"/>
    <d v="2016-12-19T00:00:00"/>
    <n v="4"/>
    <x v="1"/>
    <s v="KM-16660"/>
    <s v="Khloe Miller"/>
    <s v="California"/>
    <x v="0"/>
    <s v="Paper"/>
    <s v="Wirebound Message Books, Two 4 1/4&quot; x 5&quot; Forms per Page"/>
    <n v="22.830000000000002"/>
    <n v="3"/>
  </r>
  <r>
    <x v="832"/>
    <d v="2016-12-19T00:00:00"/>
    <n v="4"/>
    <x v="1"/>
    <s v="KM-16660"/>
    <s v="Khloe Miller"/>
    <s v="California"/>
    <x v="0"/>
    <s v="Appliances"/>
    <s v="Hoover Commercial SteamVac"/>
    <n v="54.32"/>
    <n v="4"/>
  </r>
  <r>
    <x v="832"/>
    <d v="2016-12-19T00:00:00"/>
    <n v="4"/>
    <x v="1"/>
    <s v="KM-16660"/>
    <s v="Khloe Miller"/>
    <s v="California"/>
    <x v="2"/>
    <s v="Phones"/>
    <s v="Panasonic KX TS3282B Corded phone"/>
    <n v="196.77600000000001"/>
    <n v="3"/>
  </r>
  <r>
    <x v="833"/>
    <d v="2016-12-21T00:00:00"/>
    <n v="5"/>
    <x v="0"/>
    <s v="AY-10555"/>
    <s v="Andy Yotov"/>
    <s v="California"/>
    <x v="1"/>
    <s v="Chairs"/>
    <s v="Global Deluxe Stacking Chair, Gray"/>
    <n v="81.567999999999998"/>
    <n v="2"/>
  </r>
  <r>
    <x v="833"/>
    <d v="2016-12-21T00:00:00"/>
    <n v="5"/>
    <x v="0"/>
    <s v="AY-10555"/>
    <s v="Andy Yotov"/>
    <s v="California"/>
    <x v="1"/>
    <s v="Chairs"/>
    <s v="Global Value Steno Chair, Gray"/>
    <n v="97.184000000000012"/>
    <n v="2"/>
  </r>
  <r>
    <x v="833"/>
    <d v="2016-12-21T00:00:00"/>
    <n v="5"/>
    <x v="0"/>
    <s v="AY-10555"/>
    <s v="Andy Yotov"/>
    <s v="California"/>
    <x v="0"/>
    <s v="Binders"/>
    <s v="Prestige Round Ring Binders"/>
    <n v="24.320000000000004"/>
    <n v="5"/>
  </r>
  <r>
    <x v="833"/>
    <d v="2016-12-21T00:00:00"/>
    <n v="5"/>
    <x v="0"/>
    <s v="AY-10555"/>
    <s v="Andy Yotov"/>
    <s v="California"/>
    <x v="1"/>
    <s v="Furnishings"/>
    <s v="DAX Two-Tone Rosewood/Black Document Frame, Desktop, 5 x 7"/>
    <n v="18.96"/>
    <n v="2"/>
  </r>
  <r>
    <x v="833"/>
    <d v="2016-12-21T00:00:00"/>
    <n v="5"/>
    <x v="0"/>
    <s v="RB-19465"/>
    <s v="Rick Bensley"/>
    <s v="California"/>
    <x v="0"/>
    <s v="Paper"/>
    <s v="Xerox 1898"/>
    <n v="13.36"/>
    <n v="2"/>
  </r>
  <r>
    <x v="833"/>
    <d v="2016-12-21T00:00:00"/>
    <n v="5"/>
    <x v="0"/>
    <s v="RB-19465"/>
    <s v="Rick Bensley"/>
    <s v="California"/>
    <x v="0"/>
    <s v="Storage"/>
    <s v="Safco Wire Cube Shelving System, For Use as 4 or 5 14&quot; Cubes, Black"/>
    <n v="158.9"/>
    <n v="5"/>
  </r>
  <r>
    <x v="833"/>
    <d v="2016-12-20T00:00:00"/>
    <n v="4"/>
    <x v="0"/>
    <s v="KM-16225"/>
    <s v="Kalyca Meade"/>
    <s v="California"/>
    <x v="0"/>
    <s v="Binders"/>
    <s v="Accohide Poly Flexible Ring Binders"/>
    <n v="5.9840000000000009"/>
    <n v="2"/>
  </r>
  <r>
    <x v="833"/>
    <d v="2016-12-20T00:00:00"/>
    <n v="4"/>
    <x v="0"/>
    <s v="KM-16225"/>
    <s v="Kalyca Meade"/>
    <s v="California"/>
    <x v="2"/>
    <s v="Accessories"/>
    <s v="Imation Secure Drive + Hardware Encrypted USB flash drive - 16 GB"/>
    <n v="189.95000000000002"/>
    <n v="5"/>
  </r>
  <r>
    <x v="833"/>
    <d v="2016-12-20T00:00:00"/>
    <n v="4"/>
    <x v="0"/>
    <s v="KM-16225"/>
    <s v="Kalyca Meade"/>
    <s v="California"/>
    <x v="2"/>
    <s v="Accessories"/>
    <s v="Microsoft Natural Ergonomic Keyboard 4000"/>
    <n v="149.94999999999999"/>
    <n v="5"/>
  </r>
  <r>
    <x v="833"/>
    <d v="2016-12-20T00:00:00"/>
    <n v="4"/>
    <x v="0"/>
    <s v="KM-16225"/>
    <s v="Kalyca Meade"/>
    <s v="California"/>
    <x v="0"/>
    <s v="Art"/>
    <s v="Bulldog Table or Wall-Mount Pencil Sharpener"/>
    <n v="29.950000000000003"/>
    <n v="5"/>
  </r>
  <r>
    <x v="833"/>
    <d v="2016-12-20T00:00:00"/>
    <n v="4"/>
    <x v="0"/>
    <s v="KM-16225"/>
    <s v="Kalyca Meade"/>
    <s v="California"/>
    <x v="0"/>
    <s v="Labels"/>
    <s v="Avery 475"/>
    <n v="44.400000000000006"/>
    <n v="3"/>
  </r>
  <r>
    <x v="834"/>
    <d v="2016-12-21T00:00:00"/>
    <n v="4"/>
    <x v="1"/>
    <s v="LC-17140"/>
    <s v="Logan Currie"/>
    <s v="California"/>
    <x v="0"/>
    <s v="Binders"/>
    <s v="Acco Pressboard Covers with Storage Hooks, 9 1/2&quot; x 11&quot;, Executive Red"/>
    <n v="15.24"/>
    <n v="5"/>
  </r>
  <r>
    <x v="834"/>
    <d v="2016-12-21T00:00:00"/>
    <n v="4"/>
    <x v="1"/>
    <s v="LC-17140"/>
    <s v="Logan Currie"/>
    <s v="California"/>
    <x v="0"/>
    <s v="Paper"/>
    <s v="Ampad Gold Fibre Wirebound Steno Books, 6&quot; x 9&quot;, Gregg Ruled"/>
    <n v="13.23"/>
    <n v="3"/>
  </r>
  <r>
    <x v="834"/>
    <d v="2016-12-20T00:00:00"/>
    <n v="3"/>
    <x v="2"/>
    <s v="HR-14770"/>
    <s v="Hallie Redmond"/>
    <s v="California"/>
    <x v="0"/>
    <s v="Binders"/>
    <s v="GBC Plastic Binding Combs"/>
    <n v="11.808"/>
    <n v="2"/>
  </r>
  <r>
    <x v="834"/>
    <d v="2016-12-21T00:00:00"/>
    <n v="4"/>
    <x v="1"/>
    <s v="CA-12310"/>
    <s v="Christine Abelman"/>
    <s v="California"/>
    <x v="0"/>
    <s v="Storage"/>
    <s v="Iceberg Mobile Mega Data/Printer Cart "/>
    <n v="481.32"/>
    <n v="4"/>
  </r>
  <r>
    <x v="834"/>
    <d v="2016-12-21T00:00:00"/>
    <n v="4"/>
    <x v="1"/>
    <s v="CA-12310"/>
    <s v="Christine Abelman"/>
    <s v="California"/>
    <x v="0"/>
    <s v="Supplies"/>
    <s v="Fiskars Spring-Action Scissors"/>
    <n v="13.98"/>
    <n v="1"/>
  </r>
  <r>
    <x v="835"/>
    <d v="2016-12-23T00:00:00"/>
    <n v="5"/>
    <x v="0"/>
    <s v="RA-19915"/>
    <s v="Russell Applegate"/>
    <s v="California"/>
    <x v="0"/>
    <s v="Binders"/>
    <s v="Binding Machine Supplies"/>
    <n v="46.672000000000004"/>
    <n v="2"/>
  </r>
  <r>
    <x v="835"/>
    <d v="2016-12-23T00:00:00"/>
    <n v="5"/>
    <x v="0"/>
    <s v="RA-19915"/>
    <s v="Russell Applegate"/>
    <s v="California"/>
    <x v="1"/>
    <s v="Bookcases"/>
    <s v="Bush Saratoga Collection 5-Shelf Bookcase, Hanover Cherry, *Special Order"/>
    <n v="119.83299999999998"/>
    <n v="1"/>
  </r>
  <r>
    <x v="835"/>
    <d v="2016-12-23T00:00:00"/>
    <n v="5"/>
    <x v="0"/>
    <s v="RA-19915"/>
    <s v="Russell Applegate"/>
    <s v="California"/>
    <x v="2"/>
    <s v="Accessories"/>
    <s v="Logitech Illuminated - Keyboard"/>
    <n v="119.98"/>
    <n v="2"/>
  </r>
  <r>
    <x v="835"/>
    <d v="2016-12-19T00:00:00"/>
    <n v="1"/>
    <x v="2"/>
    <s v="EP-13915"/>
    <s v="Emily Phan"/>
    <s v="California"/>
    <x v="0"/>
    <s v="Art"/>
    <s v="Newell 327"/>
    <n v="6.63"/>
    <n v="3"/>
  </r>
  <r>
    <x v="835"/>
    <d v="2016-12-19T00:00:00"/>
    <n v="1"/>
    <x v="2"/>
    <s v="EP-13915"/>
    <s v="Emily Phan"/>
    <s v="California"/>
    <x v="0"/>
    <s v="Paper"/>
    <s v="Xerox 1996"/>
    <n v="12.96"/>
    <n v="2"/>
  </r>
  <r>
    <x v="835"/>
    <d v="2016-12-19T00:00:00"/>
    <n v="1"/>
    <x v="2"/>
    <s v="EP-13915"/>
    <s v="Emily Phan"/>
    <s v="California"/>
    <x v="0"/>
    <s v="Paper"/>
    <s v="Xerox 213"/>
    <n v="32.400000000000006"/>
    <n v="5"/>
  </r>
  <r>
    <x v="835"/>
    <d v="2016-12-24T00:00:00"/>
    <n v="6"/>
    <x v="1"/>
    <s v="TT-21460"/>
    <s v="Tonja Turnell"/>
    <s v="California"/>
    <x v="0"/>
    <s v="Art"/>
    <s v="Newell 335"/>
    <n v="5.76"/>
    <n v="2"/>
  </r>
  <r>
    <x v="836"/>
    <d v="2016-12-24T00:00:00"/>
    <n v="5"/>
    <x v="0"/>
    <s v="MM-17920"/>
    <s v="Michael Moore"/>
    <s v="California"/>
    <x v="0"/>
    <s v="Binders"/>
    <s v="Deluxe Heavy-Duty Vinyl Round Ring Binder"/>
    <n v="36.672000000000004"/>
    <n v="2"/>
  </r>
  <r>
    <x v="836"/>
    <d v="2016-12-23T00:00:00"/>
    <n v="4"/>
    <x v="1"/>
    <s v="TS-21505"/>
    <s v="Tony Sayre"/>
    <s v="Colorado"/>
    <x v="1"/>
    <s v="Furnishings"/>
    <s v="OIC Stacking Trays"/>
    <n v="13.360000000000001"/>
    <n v="5"/>
  </r>
  <r>
    <x v="836"/>
    <d v="2016-12-23T00:00:00"/>
    <n v="4"/>
    <x v="1"/>
    <s v="TS-21505"/>
    <s v="Tony Sayre"/>
    <s v="Colorado"/>
    <x v="0"/>
    <s v="Storage"/>
    <s v="Tennsco Industrial Shelving"/>
    <n v="78.256"/>
    <n v="2"/>
  </r>
  <r>
    <x v="836"/>
    <d v="2016-12-23T00:00:00"/>
    <n v="4"/>
    <x v="1"/>
    <s v="TS-21505"/>
    <s v="Tony Sayre"/>
    <s v="Colorado"/>
    <x v="1"/>
    <s v="Bookcases"/>
    <s v="O'Sullivan 2-Shelf Heavy-Duty Bookcases"/>
    <n v="102.01800000000001"/>
    <n v="7"/>
  </r>
  <r>
    <x v="837"/>
    <d v="2016-12-25T00:00:00"/>
    <n v="4"/>
    <x v="1"/>
    <s v="BN-11515"/>
    <s v="Bradley Nguyen"/>
    <s v="California"/>
    <x v="0"/>
    <s v="Art"/>
    <s v="Newell 327"/>
    <n v="6.63"/>
    <n v="3"/>
  </r>
  <r>
    <x v="837"/>
    <d v="2016-12-25T00:00:00"/>
    <n v="4"/>
    <x v="1"/>
    <s v="BN-11515"/>
    <s v="Bradley Nguyen"/>
    <s v="California"/>
    <x v="0"/>
    <s v="Art"/>
    <s v="Newell 317"/>
    <n v="5.88"/>
    <n v="2"/>
  </r>
  <r>
    <x v="837"/>
    <d v="2016-12-25T00:00:00"/>
    <n v="4"/>
    <x v="1"/>
    <s v="YS-21880"/>
    <s v="Yana Sorensen"/>
    <s v="California"/>
    <x v="0"/>
    <s v="Storage"/>
    <s v="Letter Size Cart"/>
    <n v="1000.0200000000001"/>
    <n v="7"/>
  </r>
  <r>
    <x v="837"/>
    <d v="2016-12-27T00:00:00"/>
    <n v="6"/>
    <x v="1"/>
    <s v="SE-20110"/>
    <s v="Sanjit Engle"/>
    <s v="California"/>
    <x v="0"/>
    <s v="Storage"/>
    <s v="Fellowes Mobile File Cart, Black"/>
    <n v="124.36"/>
    <n v="2"/>
  </r>
  <r>
    <x v="838"/>
    <d v="2016-12-26T00:00:00"/>
    <n v="4"/>
    <x v="1"/>
    <s v="JM-15655"/>
    <s v="Jim Mitchum"/>
    <s v="New Mexico"/>
    <x v="0"/>
    <s v="Art"/>
    <s v="Design Ebony Sketching Pencil"/>
    <n v="4.17"/>
    <n v="3"/>
  </r>
  <r>
    <x v="838"/>
    <d v="2016-12-26T00:00:00"/>
    <n v="4"/>
    <x v="1"/>
    <s v="JM-15655"/>
    <s v="Jim Mitchum"/>
    <s v="New Mexico"/>
    <x v="2"/>
    <s v="Phones"/>
    <s v="iKross Bluetooth Portable Keyboard + Cell Phone Stand Holder + Brush for Apple iPhone 5S 5C 5, 4S 4"/>
    <n v="67.040000000000006"/>
    <n v="4"/>
  </r>
  <r>
    <x v="838"/>
    <d v="2016-12-26T00:00:00"/>
    <n v="4"/>
    <x v="1"/>
    <s v="JM-15655"/>
    <s v="Jim Mitchum"/>
    <s v="New Mexico"/>
    <x v="0"/>
    <s v="Storage"/>
    <s v="Eldon Simplefile Box Office"/>
    <n v="37.32"/>
    <n v="3"/>
  </r>
  <r>
    <x v="838"/>
    <d v="2016-12-26T00:00:00"/>
    <n v="4"/>
    <x v="1"/>
    <s v="JM-15655"/>
    <s v="Jim Mitchum"/>
    <s v="New Mexico"/>
    <x v="0"/>
    <s v="Labels"/>
    <s v="Avery 517"/>
    <n v="18.45"/>
    <n v="5"/>
  </r>
  <r>
    <x v="838"/>
    <d v="2016-12-25T00:00:00"/>
    <n v="3"/>
    <x v="0"/>
    <s v="AG-10330"/>
    <s v="Alex Grayson"/>
    <s v="Arizona"/>
    <x v="1"/>
    <s v="Tables"/>
    <s v="Lesro Round Back Collection Coffee Table, End Table"/>
    <n v="182.55"/>
    <n v="2"/>
  </r>
  <r>
    <x v="838"/>
    <d v="2016-12-24T00:00:00"/>
    <n v="2"/>
    <x v="2"/>
    <s v="CM-12115"/>
    <s v="Chad McGuire"/>
    <s v="California"/>
    <x v="2"/>
    <s v="Accessories"/>
    <s v="Kensington Expert Mouse Optical USB Trackball for PC or Mac"/>
    <n v="474.95"/>
    <n v="5"/>
  </r>
  <r>
    <x v="839"/>
    <d v="2016-12-23T00:00:00"/>
    <n v="0"/>
    <x v="3"/>
    <s v="GZ-14470"/>
    <s v="Gary Zandusky"/>
    <s v="California"/>
    <x v="0"/>
    <s v="Art"/>
    <s v="Binney &amp; Smith Crayola Metallic Crayons, 16-Color Pack"/>
    <n v="13.48"/>
    <n v="4"/>
  </r>
  <r>
    <x v="840"/>
    <d v="2016-12-31T00:00:00"/>
    <n v="7"/>
    <x v="1"/>
    <s v="AH-10210"/>
    <s v="Alan Hwang"/>
    <s v="Washington"/>
    <x v="0"/>
    <s v="Storage"/>
    <s v="Office Impressions Heavy Duty Welded Shelving &amp; Multimedia Storage Drawers"/>
    <n v="1003.6200000000001"/>
    <n v="6"/>
  </r>
  <r>
    <x v="840"/>
    <d v="2016-12-25T00:00:00"/>
    <n v="1"/>
    <x v="2"/>
    <s v="RM-19675"/>
    <s v="Robert Marley"/>
    <s v="California"/>
    <x v="2"/>
    <s v="Copiers"/>
    <s v="Hewlett Packard LaserJet 3310 Copier"/>
    <n v="2879.9520000000002"/>
    <n v="6"/>
  </r>
  <r>
    <x v="840"/>
    <d v="2016-12-25T00:00:00"/>
    <n v="1"/>
    <x v="2"/>
    <s v="RM-19675"/>
    <s v="Robert Marley"/>
    <s v="California"/>
    <x v="0"/>
    <s v="Binders"/>
    <s v="Vinyl Sectional Post Binders"/>
    <n v="90.480000000000018"/>
    <n v="3"/>
  </r>
  <r>
    <x v="840"/>
    <d v="2016-12-31T00:00:00"/>
    <n v="7"/>
    <x v="1"/>
    <s v="JL-15175"/>
    <s v="James Lanier"/>
    <s v="Arizona"/>
    <x v="1"/>
    <s v="Furnishings"/>
    <s v="Acrylic Self-Standing Desk Frames"/>
    <n v="8.5440000000000005"/>
    <n v="4"/>
  </r>
  <r>
    <x v="840"/>
    <d v="2016-12-31T00:00:00"/>
    <n v="7"/>
    <x v="1"/>
    <s v="JL-15175"/>
    <s v="James Lanier"/>
    <s v="Arizona"/>
    <x v="1"/>
    <s v="Chairs"/>
    <s v="Global Leather Executive Chair"/>
    <n v="842.37600000000009"/>
    <n v="3"/>
  </r>
  <r>
    <x v="840"/>
    <d v="2016-12-30T00:00:00"/>
    <n v="6"/>
    <x v="1"/>
    <s v="DP-13105"/>
    <s v="Dave Poirier"/>
    <s v="Idaho"/>
    <x v="0"/>
    <s v="Binders"/>
    <s v="GBC Instant Index System for Binding Systems"/>
    <n v="21.312000000000005"/>
    <n v="3"/>
  </r>
  <r>
    <x v="841"/>
    <d v="2016-12-29T00:00:00"/>
    <n v="4"/>
    <x v="1"/>
    <s v="FH-14365"/>
    <s v="Fred Hopkins"/>
    <s v="California"/>
    <x v="0"/>
    <s v="Binders"/>
    <s v="GBC DocuBind P50 Personal Binding Machine"/>
    <n v="153.55199999999999"/>
    <n v="3"/>
  </r>
  <r>
    <x v="841"/>
    <d v="2016-12-29T00:00:00"/>
    <n v="4"/>
    <x v="1"/>
    <s v="FH-14365"/>
    <s v="Fred Hopkins"/>
    <s v="California"/>
    <x v="0"/>
    <s v="Storage"/>
    <s v="Tennsco Stur-D-Stor Boltless Shelving, 5 Shelves, 24&quot; Deep, Sand"/>
    <n v="270.62"/>
    <n v="2"/>
  </r>
  <r>
    <x v="841"/>
    <d v="2016-12-29T00:00:00"/>
    <n v="4"/>
    <x v="1"/>
    <s v="GD-14590"/>
    <s v="Giulietta Dortch"/>
    <s v="Washington"/>
    <x v="0"/>
    <s v="Binders"/>
    <s v="Tuff Stuff Recycled Round Ring Binders"/>
    <n v="3.8560000000000003"/>
    <n v="1"/>
  </r>
  <r>
    <x v="842"/>
    <d v="2017-01-02T00:00:00"/>
    <n v="5"/>
    <x v="0"/>
    <s v="KH-16690"/>
    <s v="Kristen Hastings"/>
    <s v="California"/>
    <x v="0"/>
    <s v="Storage"/>
    <s v="Adjustable Depth Letter/Legal Cart"/>
    <n v="725.84"/>
    <n v="4"/>
  </r>
  <r>
    <x v="842"/>
    <d v="2017-01-02T00:00:00"/>
    <n v="5"/>
    <x v="1"/>
    <s v="HM-14860"/>
    <s v="Harry Marie"/>
    <s v="Washington"/>
    <x v="1"/>
    <s v="Furnishings"/>
    <s v="3M Hangers With Command Adhesive"/>
    <n v="7.4"/>
    <n v="2"/>
  </r>
  <r>
    <x v="842"/>
    <d v="2016-12-31T00:00:00"/>
    <n v="3"/>
    <x v="0"/>
    <s v="PC-18745"/>
    <s v="Pamela Coakley"/>
    <s v="Colorado"/>
    <x v="0"/>
    <s v="Binders"/>
    <s v="Avery Reinforcements for Hole-Punch Pages"/>
    <n v="1.1880000000000002"/>
    <n v="2"/>
  </r>
  <r>
    <x v="842"/>
    <d v="2016-12-31T00:00:00"/>
    <n v="3"/>
    <x v="2"/>
    <s v="JG-15310"/>
    <s v="Jason Gross"/>
    <s v="California"/>
    <x v="1"/>
    <s v="Chairs"/>
    <s v="Novimex Turbo Task Chair"/>
    <n v="340.70400000000006"/>
    <n v="6"/>
  </r>
  <r>
    <x v="842"/>
    <d v="2017-01-01T00:00:00"/>
    <n v="4"/>
    <x v="1"/>
    <s v="SV-20935"/>
    <s v="Susan Vittorini"/>
    <s v="New Mexico"/>
    <x v="0"/>
    <s v="Storage"/>
    <s v="Eldon Mobile Mega Data Cart  Mega Stackable  Add-On Trays"/>
    <n v="118.25"/>
    <n v="5"/>
  </r>
  <r>
    <x v="842"/>
    <d v="2017-01-01T00:00:00"/>
    <n v="4"/>
    <x v="1"/>
    <s v="SV-20935"/>
    <s v="Susan Vittorini"/>
    <s v="New Mexico"/>
    <x v="0"/>
    <s v="Paper"/>
    <s v="Xerox 1953"/>
    <n v="4.28"/>
    <n v="1"/>
  </r>
  <r>
    <x v="843"/>
    <d v="2017-01-02T00:00:00"/>
    <n v="4"/>
    <x v="1"/>
    <s v="JG-15160"/>
    <s v="James Galang"/>
    <s v="California"/>
    <x v="1"/>
    <s v="Chairs"/>
    <s v="Global High-Back Leather Tilter, Burgundy"/>
    <n v="393.56799999999998"/>
    <n v="4"/>
  </r>
  <r>
    <x v="843"/>
    <d v="2017-01-02T00:00:00"/>
    <n v="4"/>
    <x v="1"/>
    <s v="JG-15160"/>
    <s v="James Galang"/>
    <s v="California"/>
    <x v="2"/>
    <s v="Phones"/>
    <s v="Adtran 1202752G1"/>
    <n v="302.37599999999998"/>
    <n v="3"/>
  </r>
  <r>
    <x v="843"/>
    <d v="2017-01-05T00:00:00"/>
    <n v="7"/>
    <x v="1"/>
    <s v="BP-11185"/>
    <s v="Ben Peterman"/>
    <s v="California"/>
    <x v="1"/>
    <s v="Furnishings"/>
    <s v="Nu-Dell Executive Frame"/>
    <n v="101.12"/>
    <n v="8"/>
  </r>
  <r>
    <x v="843"/>
    <d v="2017-01-02T00:00:00"/>
    <n v="4"/>
    <x v="1"/>
    <s v="BS-11755"/>
    <s v="Bruce Stewart"/>
    <s v="Washington"/>
    <x v="0"/>
    <s v="Fasteners"/>
    <s v="Acco Glide Clips"/>
    <n v="19.600000000000001"/>
    <n v="5"/>
  </r>
  <r>
    <x v="843"/>
    <d v="2017-01-02T00:00:00"/>
    <n v="4"/>
    <x v="1"/>
    <s v="BS-11755"/>
    <s v="Bruce Stewart"/>
    <s v="Washington"/>
    <x v="1"/>
    <s v="Furnishings"/>
    <s v="Hand-Finished Solid Wood Document Frame"/>
    <n v="68.459999999999994"/>
    <n v="2"/>
  </r>
  <r>
    <x v="844"/>
    <d v="2017-01-03T00:00:00"/>
    <n v="4"/>
    <x v="1"/>
    <s v="EB-13975"/>
    <s v="Erica Bern"/>
    <s v="California"/>
    <x v="0"/>
    <s v="Binders"/>
    <s v="Cardinal Slant-D Ring Binder, Heavy Gauge Vinyl"/>
    <n v="13.904"/>
    <n v="2"/>
  </r>
  <r>
    <x v="844"/>
    <d v="2017-01-03T00:00:00"/>
    <n v="4"/>
    <x v="1"/>
    <s v="EB-13975"/>
    <s v="Erica Bern"/>
    <s v="California"/>
    <x v="0"/>
    <s v="Binders"/>
    <s v="GBC Binding covers"/>
    <n v="20.72"/>
    <n v="2"/>
  </r>
  <r>
    <x v="844"/>
    <d v="2017-01-03T00:00:00"/>
    <n v="4"/>
    <x v="1"/>
    <s v="JM-15580"/>
    <s v="Jill Matthias"/>
    <s v="Colorado"/>
    <x v="0"/>
    <s v="Fasteners"/>
    <s v="Bagged Rubber Bands"/>
    <n v="3.024"/>
    <n v="3"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  <r>
    <x v="845"/>
    <m/>
    <m/>
    <x v="4"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33C3D-4FBD-5347-B2DA-F2B4EB42BC60}" name="Tabela dinâmica1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K3:K691" firstHeaderRow="1" firstDataRow="1" firstDataCol="1"/>
  <pivotFields count="5">
    <pivotField axis="axisRow" showAll="0">
      <items count="688">
        <item x="21"/>
        <item x="70"/>
        <item x="547"/>
        <item x="379"/>
        <item x="213"/>
        <item x="260"/>
        <item x="545"/>
        <item x="106"/>
        <item x="565"/>
        <item x="296"/>
        <item x="593"/>
        <item x="230"/>
        <item x="578"/>
        <item x="181"/>
        <item x="111"/>
        <item x="68"/>
        <item x="559"/>
        <item x="60"/>
        <item x="40"/>
        <item x="682"/>
        <item x="293"/>
        <item x="58"/>
        <item x="644"/>
        <item x="172"/>
        <item x="102"/>
        <item x="263"/>
        <item x="193"/>
        <item x="479"/>
        <item x="400"/>
        <item x="367"/>
        <item x="302"/>
        <item x="46"/>
        <item x="190"/>
        <item x="279"/>
        <item x="599"/>
        <item x="238"/>
        <item x="506"/>
        <item x="466"/>
        <item x="486"/>
        <item x="382"/>
        <item x="579"/>
        <item x="531"/>
        <item x="311"/>
        <item x="324"/>
        <item x="265"/>
        <item x="520"/>
        <item x="96"/>
        <item x="304"/>
        <item x="62"/>
        <item x="434"/>
        <item x="112"/>
        <item x="134"/>
        <item x="415"/>
        <item x="426"/>
        <item x="663"/>
        <item x="118"/>
        <item x="162"/>
        <item x="15"/>
        <item x="604"/>
        <item x="253"/>
        <item x="314"/>
        <item x="98"/>
        <item x="527"/>
        <item x="331"/>
        <item x="103"/>
        <item x="534"/>
        <item x="132"/>
        <item x="602"/>
        <item x="57"/>
        <item x="585"/>
        <item x="291"/>
        <item x="30"/>
        <item x="472"/>
        <item x="59"/>
        <item x="473"/>
        <item x="607"/>
        <item x="477"/>
        <item x="63"/>
        <item x="601"/>
        <item x="306"/>
        <item x="567"/>
        <item x="467"/>
        <item x="678"/>
        <item x="675"/>
        <item x="149"/>
        <item x="73"/>
        <item x="677"/>
        <item x="609"/>
        <item x="569"/>
        <item x="232"/>
        <item x="1"/>
        <item x="551"/>
        <item x="160"/>
        <item x="417"/>
        <item x="471"/>
        <item x="650"/>
        <item x="84"/>
        <item x="633"/>
        <item x="337"/>
        <item x="121"/>
        <item x="532"/>
        <item x="292"/>
        <item x="389"/>
        <item x="544"/>
        <item x="378"/>
        <item x="576"/>
        <item x="270"/>
        <item x="425"/>
        <item x="387"/>
        <item x="83"/>
        <item x="299"/>
        <item x="570"/>
        <item x="256"/>
        <item x="594"/>
        <item x="366"/>
        <item x="329"/>
        <item x="518"/>
        <item x="294"/>
        <item x="251"/>
        <item x="657"/>
        <item x="123"/>
        <item x="108"/>
        <item x="584"/>
        <item x="619"/>
        <item x="380"/>
        <item x="394"/>
        <item x="469"/>
        <item x="575"/>
        <item x="420"/>
        <item x="33"/>
        <item x="674"/>
        <item x="608"/>
        <item x="685"/>
        <item x="81"/>
        <item x="492"/>
        <item x="340"/>
        <item x="508"/>
        <item x="589"/>
        <item x="164"/>
        <item x="456"/>
        <item x="541"/>
        <item x="85"/>
        <item x="72"/>
        <item x="36"/>
        <item x="323"/>
        <item x="624"/>
        <item x="104"/>
        <item x="572"/>
        <item x="262"/>
        <item x="553"/>
        <item x="354"/>
        <item x="409"/>
        <item x="375"/>
        <item x="476"/>
        <item x="23"/>
        <item x="342"/>
        <item x="243"/>
        <item x="353"/>
        <item x="8"/>
        <item x="524"/>
        <item x="35"/>
        <item x="548"/>
        <item x="468"/>
        <item x="635"/>
        <item x="552"/>
        <item x="383"/>
        <item x="37"/>
        <item x="244"/>
        <item x="442"/>
        <item x="355"/>
        <item x="424"/>
        <item x="478"/>
        <item x="101"/>
        <item x="499"/>
        <item x="19"/>
        <item x="283"/>
        <item x="284"/>
        <item x="503"/>
        <item x="369"/>
        <item x="173"/>
        <item x="363"/>
        <item x="2"/>
        <item x="496"/>
        <item x="26"/>
        <item x="76"/>
        <item x="204"/>
        <item x="10"/>
        <item x="658"/>
        <item x="402"/>
        <item x="588"/>
        <item x="668"/>
        <item x="680"/>
        <item x="217"/>
        <item x="438"/>
        <item x="97"/>
        <item x="242"/>
        <item x="297"/>
        <item x="533"/>
        <item x="452"/>
        <item x="513"/>
        <item x="523"/>
        <item x="649"/>
        <item x="617"/>
        <item x="517"/>
        <item x="38"/>
        <item x="169"/>
        <item x="441"/>
        <item x="645"/>
        <item x="651"/>
        <item x="228"/>
        <item x="182"/>
        <item x="99"/>
        <item x="6"/>
        <item x="470"/>
        <item x="53"/>
        <item x="28"/>
        <item x="332"/>
        <item x="271"/>
        <item x="295"/>
        <item x="447"/>
        <item x="207"/>
        <item x="128"/>
        <item x="555"/>
        <item x="485"/>
        <item x="344"/>
        <item x="392"/>
        <item x="458"/>
        <item x="74"/>
        <item x="239"/>
        <item x="156"/>
        <item x="500"/>
        <item x="632"/>
        <item x="171"/>
        <item x="422"/>
        <item x="307"/>
        <item x="188"/>
        <item x="107"/>
        <item x="20"/>
        <item x="168"/>
        <item x="87"/>
        <item x="152"/>
        <item x="381"/>
        <item x="655"/>
        <item x="47"/>
        <item x="137"/>
        <item x="586"/>
        <item x="237"/>
        <item x="179"/>
        <item x="597"/>
        <item x="290"/>
        <item x="580"/>
        <item x="587"/>
        <item x="100"/>
        <item x="88"/>
        <item x="257"/>
        <item x="144"/>
        <item x="131"/>
        <item x="309"/>
        <item x="374"/>
        <item x="606"/>
        <item x="218"/>
        <item x="621"/>
        <item x="117"/>
        <item x="95"/>
        <item x="192"/>
        <item x="67"/>
        <item x="543"/>
        <item x="461"/>
        <item x="39"/>
        <item x="280"/>
        <item x="684"/>
        <item x="64"/>
        <item x="223"/>
        <item x="431"/>
        <item x="305"/>
        <item x="416"/>
        <item x="439"/>
        <item x="180"/>
        <item x="598"/>
        <item x="158"/>
        <item x="393"/>
        <item x="75"/>
        <item x="139"/>
        <item x="322"/>
        <item x="5"/>
        <item x="437"/>
        <item x="185"/>
        <item x="120"/>
        <item x="159"/>
        <item x="475"/>
        <item x="116"/>
        <item x="445"/>
        <item x="268"/>
        <item x="590"/>
        <item x="666"/>
        <item x="542"/>
        <item x="641"/>
        <item x="636"/>
        <item x="135"/>
        <item x="250"/>
        <item x="27"/>
        <item x="491"/>
        <item x="605"/>
        <item x="582"/>
        <item x="399"/>
        <item x="301"/>
        <item x="630"/>
        <item x="317"/>
        <item x="300"/>
        <item x="18"/>
        <item x="334"/>
        <item x="512"/>
        <item x="287"/>
        <item x="186"/>
        <item x="634"/>
        <item x="208"/>
        <item x="348"/>
        <item x="289"/>
        <item x="341"/>
        <item x="483"/>
        <item x="312"/>
        <item x="489"/>
        <item x="241"/>
        <item x="154"/>
        <item x="48"/>
        <item x="448"/>
        <item x="539"/>
        <item x="281"/>
        <item x="643"/>
        <item x="91"/>
        <item x="397"/>
        <item x="298"/>
        <item x="216"/>
        <item x="55"/>
        <item x="285"/>
        <item x="361"/>
        <item x="446"/>
        <item x="34"/>
        <item x="558"/>
        <item x="234"/>
        <item x="612"/>
        <item x="151"/>
        <item x="130"/>
        <item x="454"/>
        <item x="174"/>
        <item x="664"/>
        <item x="319"/>
        <item x="161"/>
        <item x="546"/>
        <item x="656"/>
        <item x="259"/>
        <item x="474"/>
        <item x="343"/>
        <item x="214"/>
        <item x="665"/>
        <item x="326"/>
        <item x="277"/>
        <item x="459"/>
        <item x="683"/>
        <item x="411"/>
        <item x="502"/>
        <item x="440"/>
        <item x="165"/>
        <item x="286"/>
        <item x="600"/>
        <item x="673"/>
        <item x="248"/>
        <item x="433"/>
        <item x="395"/>
        <item x="419"/>
        <item x="42"/>
        <item x="52"/>
        <item x="163"/>
        <item x="24"/>
        <item x="538"/>
        <item x="175"/>
        <item x="396"/>
        <item x="407"/>
        <item x="261"/>
        <item x="421"/>
        <item x="316"/>
        <item x="493"/>
        <item x="376"/>
        <item x="274"/>
        <item x="114"/>
        <item x="258"/>
        <item x="667"/>
        <item x="404"/>
        <item x="514"/>
        <item x="41"/>
        <item x="515"/>
        <item x="615"/>
        <item x="141"/>
        <item x="453"/>
        <item x="525"/>
        <item x="681"/>
        <item x="224"/>
        <item x="330"/>
        <item x="320"/>
        <item x="78"/>
        <item x="205"/>
        <item x="125"/>
        <item x="488"/>
        <item x="313"/>
        <item x="430"/>
        <item x="226"/>
        <item x="480"/>
        <item x="490"/>
        <item x="561"/>
        <item x="143"/>
        <item x="7"/>
        <item x="93"/>
        <item x="530"/>
        <item x="408"/>
        <item x="146"/>
        <item x="428"/>
        <item x="247"/>
        <item x="370"/>
        <item x="679"/>
        <item x="227"/>
        <item x="610"/>
        <item x="0"/>
        <item x="184"/>
        <item x="80"/>
        <item x="145"/>
        <item x="61"/>
        <item x="126"/>
        <item x="495"/>
        <item x="412"/>
        <item x="264"/>
        <item x="449"/>
        <item x="403"/>
        <item x="14"/>
        <item x="550"/>
        <item x="510"/>
        <item x="11"/>
        <item x="573"/>
        <item x="4"/>
        <item x="44"/>
        <item x="201"/>
        <item x="631"/>
        <item x="211"/>
        <item x="372"/>
        <item x="670"/>
        <item x="568"/>
        <item x="432"/>
        <item x="462"/>
        <item x="129"/>
        <item x="267"/>
        <item x="622"/>
        <item x="32"/>
        <item x="385"/>
        <item x="505"/>
        <item x="628"/>
        <item x="522"/>
        <item x="77"/>
        <item x="377"/>
        <item x="410"/>
        <item x="435"/>
        <item x="254"/>
        <item x="464"/>
        <item x="444"/>
        <item x="595"/>
        <item x="157"/>
        <item x="110"/>
        <item x="351"/>
        <item x="660"/>
        <item x="51"/>
        <item x="623"/>
        <item x="614"/>
        <item x="89"/>
        <item x="153"/>
        <item x="659"/>
        <item x="577"/>
        <item x="583"/>
        <item x="345"/>
        <item x="136"/>
        <item x="672"/>
        <item x="288"/>
        <item x="648"/>
        <item x="384"/>
        <item x="556"/>
        <item x="194"/>
        <item x="69"/>
        <item x="196"/>
        <item x="225"/>
        <item x="310"/>
        <item x="423"/>
        <item x="12"/>
        <item x="155"/>
        <item x="170"/>
        <item x="327"/>
        <item x="654"/>
        <item x="371"/>
        <item x="113"/>
        <item x="150"/>
        <item x="362"/>
        <item x="56"/>
        <item x="627"/>
        <item x="554"/>
        <item x="94"/>
        <item x="405"/>
        <item x="282"/>
        <item x="22"/>
        <item x="246"/>
        <item x="147"/>
        <item x="497"/>
        <item x="564"/>
        <item x="549"/>
        <item x="356"/>
        <item x="418"/>
        <item x="66"/>
        <item x="79"/>
        <item x="318"/>
        <item x="31"/>
        <item x="637"/>
        <item x="443"/>
        <item x="43"/>
        <item x="197"/>
        <item x="167"/>
        <item x="54"/>
        <item x="501"/>
        <item x="49"/>
        <item x="529"/>
        <item x="71"/>
        <item x="563"/>
        <item x="557"/>
        <item x="519"/>
        <item x="335"/>
        <item x="105"/>
        <item x="365"/>
        <item x="536"/>
        <item x="427"/>
        <item x="560"/>
        <item x="215"/>
        <item x="187"/>
        <item x="450"/>
        <item x="566"/>
        <item x="249"/>
        <item x="509"/>
        <item x="507"/>
        <item x="148"/>
        <item x="481"/>
        <item x="25"/>
        <item x="360"/>
        <item x="487"/>
        <item x="339"/>
        <item x="676"/>
        <item x="368"/>
        <item x="273"/>
        <item x="537"/>
        <item x="278"/>
        <item x="233"/>
        <item x="516"/>
        <item x="133"/>
        <item x="303"/>
        <item x="398"/>
        <item x="661"/>
        <item x="669"/>
        <item x="109"/>
        <item x="349"/>
        <item x="236"/>
        <item x="321"/>
        <item x="494"/>
        <item x="460"/>
        <item x="504"/>
        <item x="581"/>
        <item x="391"/>
        <item x="511"/>
        <item x="209"/>
        <item x="195"/>
        <item x="352"/>
        <item x="364"/>
        <item x="235"/>
        <item x="245"/>
        <item x="221"/>
        <item x="526"/>
        <item x="29"/>
        <item x="358"/>
        <item x="406"/>
        <item x="13"/>
        <item x="50"/>
        <item x="540"/>
        <item x="390"/>
        <item x="652"/>
        <item x="596"/>
        <item x="325"/>
        <item x="535"/>
        <item x="276"/>
        <item x="521"/>
        <item x="465"/>
        <item x="45"/>
        <item x="603"/>
        <item x="373"/>
        <item x="272"/>
        <item x="451"/>
        <item x="591"/>
        <item x="498"/>
        <item x="346"/>
        <item x="198"/>
        <item x="212"/>
        <item x="611"/>
        <item x="386"/>
        <item x="413"/>
        <item x="229"/>
        <item x="178"/>
        <item x="140"/>
        <item x="266"/>
        <item x="336"/>
        <item x="653"/>
        <item x="124"/>
        <item x="616"/>
        <item x="269"/>
        <item x="252"/>
        <item x="328"/>
        <item x="642"/>
        <item x="219"/>
        <item x="65"/>
        <item x="82"/>
        <item x="16"/>
        <item x="199"/>
        <item x="338"/>
        <item x="90"/>
        <item x="625"/>
        <item x="662"/>
        <item x="17"/>
        <item x="638"/>
        <item x="571"/>
        <item x="640"/>
        <item x="220"/>
        <item x="613"/>
        <item x="457"/>
        <item x="189"/>
        <item x="574"/>
        <item x="455"/>
        <item x="127"/>
        <item x="429"/>
        <item x="177"/>
        <item x="482"/>
        <item x="350"/>
        <item x="166"/>
        <item x="308"/>
        <item x="463"/>
        <item x="671"/>
        <item x="86"/>
        <item x="357"/>
        <item x="203"/>
        <item x="240"/>
        <item x="359"/>
        <item x="92"/>
        <item x="255"/>
        <item x="347"/>
        <item x="231"/>
        <item x="3"/>
        <item x="191"/>
        <item x="9"/>
        <item x="646"/>
        <item x="119"/>
        <item x="592"/>
        <item x="315"/>
        <item x="639"/>
        <item x="647"/>
        <item x="388"/>
        <item x="200"/>
        <item x="562"/>
        <item x="210"/>
        <item x="206"/>
        <item x="626"/>
        <item x="401"/>
        <item x="333"/>
        <item x="618"/>
        <item x="122"/>
        <item x="528"/>
        <item x="115"/>
        <item x="629"/>
        <item x="142"/>
        <item x="275"/>
        <item x="222"/>
        <item x="620"/>
        <item x="484"/>
        <item x="202"/>
        <item x="176"/>
        <item x="436"/>
        <item x="414"/>
        <item x="183"/>
        <item x="138"/>
        <item x="686"/>
        <item t="default"/>
      </items>
    </pivotField>
    <pivotField showAll="0"/>
    <pivotField showAll="0"/>
    <pivotField showAll="0"/>
    <pivotField showAll="0"/>
  </pivotFields>
  <rowFields count="1">
    <field x="0"/>
  </rowFields>
  <rowItems count="6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DB570-4569-BA45-9D1D-4AF5F0B9CD65}" name="Tabela dinâmica1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M3:M1508" firstHeaderRow="1" firstDataRow="1" firstDataCol="1"/>
  <pivotFields count="5">
    <pivotField showAll="0">
      <items count="688">
        <item x="21"/>
        <item x="70"/>
        <item x="547"/>
        <item x="379"/>
        <item x="213"/>
        <item x="260"/>
        <item x="545"/>
        <item x="106"/>
        <item x="565"/>
        <item x="296"/>
        <item x="593"/>
        <item x="230"/>
        <item x="578"/>
        <item x="181"/>
        <item x="111"/>
        <item x="68"/>
        <item x="559"/>
        <item x="60"/>
        <item x="40"/>
        <item x="682"/>
        <item x="293"/>
        <item x="58"/>
        <item x="644"/>
        <item x="172"/>
        <item x="102"/>
        <item x="263"/>
        <item x="193"/>
        <item x="479"/>
        <item x="400"/>
        <item x="367"/>
        <item x="302"/>
        <item x="46"/>
        <item x="190"/>
        <item x="279"/>
        <item x="599"/>
        <item x="238"/>
        <item x="506"/>
        <item x="466"/>
        <item x="486"/>
        <item x="382"/>
        <item x="579"/>
        <item x="531"/>
        <item x="311"/>
        <item x="324"/>
        <item x="265"/>
        <item x="520"/>
        <item x="96"/>
        <item x="304"/>
        <item x="62"/>
        <item x="434"/>
        <item x="112"/>
        <item x="134"/>
        <item x="415"/>
        <item x="426"/>
        <item x="663"/>
        <item x="118"/>
        <item x="162"/>
        <item x="15"/>
        <item x="604"/>
        <item x="253"/>
        <item x="314"/>
        <item x="98"/>
        <item x="527"/>
        <item x="331"/>
        <item x="103"/>
        <item x="534"/>
        <item x="132"/>
        <item x="602"/>
        <item x="57"/>
        <item x="585"/>
        <item x="291"/>
        <item x="30"/>
        <item x="472"/>
        <item x="59"/>
        <item x="473"/>
        <item x="607"/>
        <item x="477"/>
        <item x="63"/>
        <item x="601"/>
        <item x="306"/>
        <item x="567"/>
        <item x="467"/>
        <item x="678"/>
        <item x="675"/>
        <item x="149"/>
        <item x="73"/>
        <item x="677"/>
        <item x="609"/>
        <item x="569"/>
        <item x="232"/>
        <item x="1"/>
        <item x="551"/>
        <item x="160"/>
        <item x="417"/>
        <item x="471"/>
        <item x="650"/>
        <item x="84"/>
        <item x="633"/>
        <item x="337"/>
        <item x="121"/>
        <item x="532"/>
        <item x="292"/>
        <item x="389"/>
        <item x="544"/>
        <item x="378"/>
        <item x="576"/>
        <item x="270"/>
        <item x="425"/>
        <item x="387"/>
        <item x="83"/>
        <item x="299"/>
        <item x="570"/>
        <item x="256"/>
        <item x="594"/>
        <item x="366"/>
        <item x="329"/>
        <item x="518"/>
        <item x="294"/>
        <item x="251"/>
        <item x="657"/>
        <item x="123"/>
        <item x="108"/>
        <item x="584"/>
        <item x="619"/>
        <item x="380"/>
        <item x="394"/>
        <item x="469"/>
        <item x="575"/>
        <item x="420"/>
        <item x="33"/>
        <item x="674"/>
        <item x="608"/>
        <item x="685"/>
        <item x="81"/>
        <item x="492"/>
        <item x="340"/>
        <item x="508"/>
        <item x="589"/>
        <item x="164"/>
        <item x="456"/>
        <item x="541"/>
        <item x="85"/>
        <item x="72"/>
        <item x="36"/>
        <item x="323"/>
        <item x="624"/>
        <item x="104"/>
        <item x="572"/>
        <item x="262"/>
        <item x="553"/>
        <item x="354"/>
        <item x="409"/>
        <item x="375"/>
        <item x="476"/>
        <item x="23"/>
        <item x="342"/>
        <item x="243"/>
        <item x="353"/>
        <item x="8"/>
        <item x="524"/>
        <item x="35"/>
        <item x="548"/>
        <item x="468"/>
        <item x="635"/>
        <item x="552"/>
        <item x="383"/>
        <item x="37"/>
        <item x="244"/>
        <item x="442"/>
        <item x="355"/>
        <item x="424"/>
        <item x="478"/>
        <item x="101"/>
        <item x="499"/>
        <item x="19"/>
        <item x="283"/>
        <item x="284"/>
        <item x="503"/>
        <item x="369"/>
        <item x="173"/>
        <item x="363"/>
        <item x="2"/>
        <item x="496"/>
        <item x="26"/>
        <item x="76"/>
        <item x="204"/>
        <item x="10"/>
        <item x="658"/>
        <item x="402"/>
        <item x="588"/>
        <item x="668"/>
        <item x="680"/>
        <item x="217"/>
        <item x="438"/>
        <item x="97"/>
        <item x="242"/>
        <item x="297"/>
        <item x="533"/>
        <item x="452"/>
        <item x="513"/>
        <item x="523"/>
        <item x="649"/>
        <item x="617"/>
        <item x="517"/>
        <item x="38"/>
        <item x="169"/>
        <item x="441"/>
        <item x="645"/>
        <item x="651"/>
        <item x="228"/>
        <item x="182"/>
        <item x="99"/>
        <item x="6"/>
        <item x="470"/>
        <item x="53"/>
        <item x="28"/>
        <item x="332"/>
        <item x="271"/>
        <item x="295"/>
        <item x="447"/>
        <item x="207"/>
        <item x="128"/>
        <item x="555"/>
        <item x="485"/>
        <item x="344"/>
        <item x="392"/>
        <item x="458"/>
        <item x="74"/>
        <item x="239"/>
        <item x="156"/>
        <item x="500"/>
        <item x="632"/>
        <item x="171"/>
        <item x="422"/>
        <item x="307"/>
        <item x="188"/>
        <item x="107"/>
        <item x="20"/>
        <item x="168"/>
        <item x="87"/>
        <item x="152"/>
        <item x="381"/>
        <item x="655"/>
        <item x="47"/>
        <item x="137"/>
        <item x="586"/>
        <item x="237"/>
        <item x="179"/>
        <item x="597"/>
        <item x="290"/>
        <item x="580"/>
        <item x="587"/>
        <item x="100"/>
        <item x="88"/>
        <item x="257"/>
        <item x="144"/>
        <item x="131"/>
        <item x="309"/>
        <item x="374"/>
        <item x="606"/>
        <item x="218"/>
        <item x="621"/>
        <item x="117"/>
        <item x="95"/>
        <item x="192"/>
        <item x="67"/>
        <item x="543"/>
        <item x="461"/>
        <item x="39"/>
        <item x="280"/>
        <item x="684"/>
        <item x="64"/>
        <item x="223"/>
        <item x="431"/>
        <item x="305"/>
        <item x="416"/>
        <item x="439"/>
        <item x="180"/>
        <item x="598"/>
        <item x="158"/>
        <item x="393"/>
        <item x="75"/>
        <item x="139"/>
        <item x="322"/>
        <item x="5"/>
        <item x="437"/>
        <item x="185"/>
        <item x="120"/>
        <item x="159"/>
        <item x="475"/>
        <item x="116"/>
        <item x="445"/>
        <item x="268"/>
        <item x="590"/>
        <item x="666"/>
        <item x="542"/>
        <item x="641"/>
        <item x="636"/>
        <item x="135"/>
        <item x="250"/>
        <item x="27"/>
        <item x="491"/>
        <item x="605"/>
        <item x="582"/>
        <item x="399"/>
        <item x="301"/>
        <item x="630"/>
        <item x="317"/>
        <item x="300"/>
        <item x="18"/>
        <item x="334"/>
        <item x="512"/>
        <item x="287"/>
        <item x="186"/>
        <item x="634"/>
        <item x="208"/>
        <item x="348"/>
        <item x="289"/>
        <item x="341"/>
        <item x="483"/>
        <item x="312"/>
        <item x="489"/>
        <item x="241"/>
        <item x="154"/>
        <item x="48"/>
        <item x="448"/>
        <item x="539"/>
        <item x="281"/>
        <item x="643"/>
        <item x="91"/>
        <item x="397"/>
        <item x="298"/>
        <item x="216"/>
        <item x="55"/>
        <item x="285"/>
        <item x="361"/>
        <item x="446"/>
        <item x="34"/>
        <item x="558"/>
        <item x="234"/>
        <item x="612"/>
        <item x="151"/>
        <item x="130"/>
        <item x="454"/>
        <item x="174"/>
        <item x="664"/>
        <item x="319"/>
        <item x="161"/>
        <item x="546"/>
        <item x="656"/>
        <item x="259"/>
        <item x="474"/>
        <item x="343"/>
        <item x="214"/>
        <item x="665"/>
        <item x="326"/>
        <item x="277"/>
        <item x="459"/>
        <item x="683"/>
        <item x="411"/>
        <item x="502"/>
        <item x="440"/>
        <item x="165"/>
        <item x="286"/>
        <item x="600"/>
        <item x="673"/>
        <item x="248"/>
        <item x="433"/>
        <item x="395"/>
        <item x="419"/>
        <item x="42"/>
        <item x="52"/>
        <item x="163"/>
        <item x="24"/>
        <item x="538"/>
        <item x="175"/>
        <item x="396"/>
        <item x="407"/>
        <item x="261"/>
        <item x="421"/>
        <item x="316"/>
        <item x="493"/>
        <item x="376"/>
        <item x="274"/>
        <item x="114"/>
        <item x="258"/>
        <item x="667"/>
        <item x="404"/>
        <item x="514"/>
        <item x="41"/>
        <item x="515"/>
        <item x="615"/>
        <item x="141"/>
        <item x="453"/>
        <item x="525"/>
        <item x="681"/>
        <item x="224"/>
        <item x="330"/>
        <item x="320"/>
        <item x="78"/>
        <item x="205"/>
        <item x="125"/>
        <item x="488"/>
        <item x="313"/>
        <item x="430"/>
        <item x="226"/>
        <item x="480"/>
        <item x="490"/>
        <item x="561"/>
        <item x="143"/>
        <item x="7"/>
        <item x="93"/>
        <item x="530"/>
        <item x="408"/>
        <item x="146"/>
        <item x="428"/>
        <item x="247"/>
        <item x="370"/>
        <item x="679"/>
        <item x="227"/>
        <item x="610"/>
        <item x="0"/>
        <item x="184"/>
        <item x="80"/>
        <item x="145"/>
        <item x="61"/>
        <item x="126"/>
        <item x="495"/>
        <item x="412"/>
        <item x="264"/>
        <item x="449"/>
        <item x="403"/>
        <item x="14"/>
        <item x="550"/>
        <item x="510"/>
        <item x="11"/>
        <item x="573"/>
        <item x="4"/>
        <item x="44"/>
        <item x="201"/>
        <item x="631"/>
        <item x="211"/>
        <item x="372"/>
        <item x="670"/>
        <item x="568"/>
        <item x="432"/>
        <item x="462"/>
        <item x="129"/>
        <item x="267"/>
        <item x="622"/>
        <item x="32"/>
        <item x="385"/>
        <item x="505"/>
        <item x="628"/>
        <item x="522"/>
        <item x="77"/>
        <item x="377"/>
        <item x="410"/>
        <item x="435"/>
        <item x="254"/>
        <item x="464"/>
        <item x="444"/>
        <item x="595"/>
        <item x="157"/>
        <item x="110"/>
        <item x="351"/>
        <item x="660"/>
        <item x="51"/>
        <item x="623"/>
        <item x="614"/>
        <item x="89"/>
        <item x="153"/>
        <item x="659"/>
        <item x="577"/>
        <item x="583"/>
        <item x="345"/>
        <item x="136"/>
        <item x="672"/>
        <item x="288"/>
        <item x="648"/>
        <item x="384"/>
        <item x="556"/>
        <item x="194"/>
        <item x="69"/>
        <item x="196"/>
        <item x="225"/>
        <item x="310"/>
        <item x="423"/>
        <item x="12"/>
        <item x="155"/>
        <item x="170"/>
        <item x="327"/>
        <item x="654"/>
        <item x="371"/>
        <item x="113"/>
        <item x="150"/>
        <item x="362"/>
        <item x="56"/>
        <item x="627"/>
        <item x="554"/>
        <item x="94"/>
        <item x="405"/>
        <item x="282"/>
        <item x="22"/>
        <item x="246"/>
        <item x="147"/>
        <item x="497"/>
        <item x="564"/>
        <item x="549"/>
        <item x="356"/>
        <item x="418"/>
        <item x="66"/>
        <item x="79"/>
        <item x="318"/>
        <item x="31"/>
        <item x="637"/>
        <item x="443"/>
        <item x="43"/>
        <item x="197"/>
        <item x="167"/>
        <item x="54"/>
        <item x="501"/>
        <item x="49"/>
        <item x="529"/>
        <item x="71"/>
        <item x="563"/>
        <item x="557"/>
        <item x="519"/>
        <item x="335"/>
        <item x="105"/>
        <item x="365"/>
        <item x="536"/>
        <item x="427"/>
        <item x="560"/>
        <item x="215"/>
        <item x="187"/>
        <item x="450"/>
        <item x="566"/>
        <item x="249"/>
        <item x="509"/>
        <item x="507"/>
        <item x="148"/>
        <item x="481"/>
        <item x="25"/>
        <item x="360"/>
        <item x="487"/>
        <item x="339"/>
        <item x="676"/>
        <item x="368"/>
        <item x="273"/>
        <item x="537"/>
        <item x="278"/>
        <item x="233"/>
        <item x="516"/>
        <item x="133"/>
        <item x="303"/>
        <item x="398"/>
        <item x="661"/>
        <item x="669"/>
        <item x="109"/>
        <item x="349"/>
        <item x="236"/>
        <item x="321"/>
        <item x="494"/>
        <item x="460"/>
        <item x="504"/>
        <item x="581"/>
        <item x="391"/>
        <item x="511"/>
        <item x="209"/>
        <item x="195"/>
        <item x="352"/>
        <item x="364"/>
        <item x="235"/>
        <item x="245"/>
        <item x="221"/>
        <item x="526"/>
        <item x="29"/>
        <item x="358"/>
        <item x="406"/>
        <item x="13"/>
        <item x="50"/>
        <item x="540"/>
        <item x="390"/>
        <item x="652"/>
        <item x="596"/>
        <item x="325"/>
        <item x="535"/>
        <item x="276"/>
        <item x="521"/>
        <item x="465"/>
        <item x="45"/>
        <item x="603"/>
        <item x="373"/>
        <item x="272"/>
        <item x="451"/>
        <item x="591"/>
        <item x="498"/>
        <item x="346"/>
        <item x="198"/>
        <item x="212"/>
        <item x="611"/>
        <item x="386"/>
        <item x="413"/>
        <item x="229"/>
        <item x="178"/>
        <item x="140"/>
        <item x="266"/>
        <item x="336"/>
        <item x="653"/>
        <item x="124"/>
        <item x="616"/>
        <item x="269"/>
        <item x="252"/>
        <item x="328"/>
        <item x="642"/>
        <item x="219"/>
        <item x="65"/>
        <item x="82"/>
        <item x="16"/>
        <item x="199"/>
        <item x="338"/>
        <item x="90"/>
        <item x="625"/>
        <item x="662"/>
        <item x="17"/>
        <item x="638"/>
        <item x="571"/>
        <item x="640"/>
        <item x="220"/>
        <item x="613"/>
        <item x="457"/>
        <item x="189"/>
        <item x="574"/>
        <item x="455"/>
        <item x="127"/>
        <item x="429"/>
        <item x="177"/>
        <item x="482"/>
        <item x="350"/>
        <item x="166"/>
        <item x="308"/>
        <item x="463"/>
        <item x="671"/>
        <item x="86"/>
        <item x="357"/>
        <item x="203"/>
        <item x="240"/>
        <item x="359"/>
        <item x="92"/>
        <item x="255"/>
        <item x="347"/>
        <item x="231"/>
        <item x="3"/>
        <item x="191"/>
        <item x="9"/>
        <item x="646"/>
        <item x="119"/>
        <item x="592"/>
        <item x="315"/>
        <item x="639"/>
        <item x="647"/>
        <item x="388"/>
        <item x="200"/>
        <item x="562"/>
        <item x="210"/>
        <item x="206"/>
        <item x="626"/>
        <item x="401"/>
        <item x="333"/>
        <item x="618"/>
        <item x="122"/>
        <item x="528"/>
        <item x="115"/>
        <item x="629"/>
        <item x="142"/>
        <item x="275"/>
        <item x="222"/>
        <item x="620"/>
        <item x="484"/>
        <item x="202"/>
        <item x="176"/>
        <item x="436"/>
        <item x="414"/>
        <item x="183"/>
        <item x="138"/>
        <item x="686"/>
        <item t="default"/>
      </items>
    </pivotField>
    <pivotField showAll="0"/>
    <pivotField showAll="0"/>
    <pivotField showAll="0"/>
    <pivotField axis="axisRow" showAll="0">
      <items count="1505">
        <item x="1459"/>
        <item x="1413"/>
        <item x="333"/>
        <item x="766"/>
        <item x="368"/>
        <item x="916"/>
        <item x="1467"/>
        <item x="881"/>
        <item x="1100"/>
        <item x="774"/>
        <item x="1409"/>
        <item x="934"/>
        <item x="668"/>
        <item x="1384"/>
        <item x="1024"/>
        <item x="1475"/>
        <item x="1214"/>
        <item x="907"/>
        <item x="1200"/>
        <item x="617"/>
        <item x="3"/>
        <item x="437"/>
        <item x="1099"/>
        <item x="786"/>
        <item x="616"/>
        <item x="1329"/>
        <item x="1472"/>
        <item x="601"/>
        <item x="481"/>
        <item x="1323"/>
        <item x="1354"/>
        <item x="952"/>
        <item x="909"/>
        <item x="571"/>
        <item x="1162"/>
        <item x="1371"/>
        <item x="734"/>
        <item x="812"/>
        <item x="1500"/>
        <item x="736"/>
        <item x="1179"/>
        <item x="505"/>
        <item x="1202"/>
        <item x="195"/>
        <item x="114"/>
        <item x="979"/>
        <item x="702"/>
        <item x="857"/>
        <item x="495"/>
        <item x="304"/>
        <item x="1489"/>
        <item x="497"/>
        <item x="1092"/>
        <item x="621"/>
        <item x="778"/>
        <item x="1367"/>
        <item x="1025"/>
        <item x="707"/>
        <item x="108"/>
        <item x="383"/>
        <item x="640"/>
        <item x="447"/>
        <item x="295"/>
        <item x="128"/>
        <item x="593"/>
        <item x="1471"/>
        <item x="780"/>
        <item x="1434"/>
        <item x="223"/>
        <item x="1390"/>
        <item x="484"/>
        <item x="1171"/>
        <item x="543"/>
        <item x="216"/>
        <item x="816"/>
        <item x="276"/>
        <item x="309"/>
        <item x="171"/>
        <item x="457"/>
        <item x="1319"/>
        <item x="242"/>
        <item x="992"/>
        <item x="355"/>
        <item x="1426"/>
        <item x="411"/>
        <item x="501"/>
        <item x="1150"/>
        <item x="1283"/>
        <item x="761"/>
        <item x="1159"/>
        <item x="754"/>
        <item x="489"/>
        <item x="833"/>
        <item x="105"/>
        <item x="254"/>
        <item x="545"/>
        <item x="1093"/>
        <item x="522"/>
        <item x="701"/>
        <item x="246"/>
        <item x="1483"/>
        <item x="879"/>
        <item x="828"/>
        <item x="89"/>
        <item x="555"/>
        <item x="147"/>
        <item x="671"/>
        <item x="846"/>
        <item x="1270"/>
        <item x="1070"/>
        <item x="1451"/>
        <item x="1126"/>
        <item x="1101"/>
        <item x="1044"/>
        <item x="1453"/>
        <item x="901"/>
        <item x="1397"/>
        <item x="1346"/>
        <item x="948"/>
        <item x="1088"/>
        <item x="1466"/>
        <item x="454"/>
        <item x="956"/>
        <item x="224"/>
        <item x="1078"/>
        <item x="684"/>
        <item x="1134"/>
        <item x="250"/>
        <item x="97"/>
        <item x="944"/>
        <item x="1094"/>
        <item x="1083"/>
        <item x="217"/>
        <item x="410"/>
        <item x="1294"/>
        <item x="94"/>
        <item x="67"/>
        <item x="102"/>
        <item x="969"/>
        <item x="725"/>
        <item x="919"/>
        <item x="1052"/>
        <item x="537"/>
        <item x="1029"/>
        <item x="1205"/>
        <item x="1225"/>
        <item x="577"/>
        <item x="1030"/>
        <item x="745"/>
        <item x="408"/>
        <item x="652"/>
        <item x="551"/>
        <item x="1314"/>
        <item x="1416"/>
        <item x="386"/>
        <item x="1011"/>
        <item x="1365"/>
        <item x="878"/>
        <item x="575"/>
        <item x="1032"/>
        <item x="1103"/>
        <item x="714"/>
        <item x="479"/>
        <item x="182"/>
        <item x="69"/>
        <item x="499"/>
        <item x="1262"/>
        <item x="255"/>
        <item x="116"/>
        <item x="1036"/>
        <item x="927"/>
        <item x="1295"/>
        <item x="326"/>
        <item x="1154"/>
        <item x="563"/>
        <item x="664"/>
        <item x="790"/>
        <item x="1406"/>
        <item x="854"/>
        <item x="802"/>
        <item x="946"/>
        <item x="880"/>
        <item x="836"/>
        <item x="1454"/>
        <item x="720"/>
        <item x="362"/>
        <item x="899"/>
        <item x="1421"/>
        <item x="294"/>
        <item x="1303"/>
        <item x="76"/>
        <item x="364"/>
        <item x="1183"/>
        <item x="1395"/>
        <item x="912"/>
        <item x="993"/>
        <item x="645"/>
        <item x="572"/>
        <item x="1139"/>
        <item x="18"/>
        <item x="1087"/>
        <item x="384"/>
        <item x="732"/>
        <item x="884"/>
        <item x="398"/>
        <item x="550"/>
        <item x="269"/>
        <item x="721"/>
        <item x="174"/>
        <item x="44"/>
        <item x="1444"/>
        <item x="184"/>
        <item x="261"/>
        <item x="296"/>
        <item x="1402"/>
        <item x="77"/>
        <item x="379"/>
        <item x="891"/>
        <item x="1002"/>
        <item x="390"/>
        <item x="1380"/>
        <item x="859"/>
        <item x="966"/>
        <item x="806"/>
        <item x="168"/>
        <item x="85"/>
        <item x="434"/>
        <item x="566"/>
        <item x="1502"/>
        <item x="800"/>
        <item x="1244"/>
        <item x="13"/>
        <item x="1086"/>
        <item x="1074"/>
        <item x="742"/>
        <item x="672"/>
        <item x="1437"/>
        <item x="1219"/>
        <item x="636"/>
        <item x="1127"/>
        <item x="963"/>
        <item x="540"/>
        <item x="24"/>
        <item x="1428"/>
        <item x="1485"/>
        <item x="154"/>
        <item x="466"/>
        <item x="100"/>
        <item x="974"/>
        <item x="1176"/>
        <item x="1366"/>
        <item x="1330"/>
        <item x="441"/>
        <item x="954"/>
        <item x="510"/>
        <item x="90"/>
        <item x="444"/>
        <item x="32"/>
        <item x="455"/>
        <item x="377"/>
        <item x="360"/>
        <item x="192"/>
        <item x="415"/>
        <item x="113"/>
        <item x="61"/>
        <item x="864"/>
        <item x="176"/>
        <item x="1477"/>
        <item x="87"/>
        <item x="1463"/>
        <item x="561"/>
        <item x="665"/>
        <item x="1498"/>
        <item x="104"/>
        <item x="1281"/>
        <item x="1218"/>
        <item x="1224"/>
        <item x="894"/>
        <item x="265"/>
        <item x="1098"/>
        <item x="1325"/>
        <item x="356"/>
        <item x="318"/>
        <item x="1215"/>
        <item x="1181"/>
        <item x="629"/>
        <item x="1412"/>
        <item x="1288"/>
        <item x="744"/>
        <item x="866"/>
        <item x="366"/>
        <item x="84"/>
        <item x="247"/>
        <item x="293"/>
        <item x="41"/>
        <item x="1315"/>
        <item x="233"/>
        <item x="234"/>
        <item x="1031"/>
        <item x="765"/>
        <item x="1089"/>
        <item x="509"/>
        <item x="1049"/>
        <item x="924"/>
        <item x="1493"/>
        <item x="1353"/>
        <item x="597"/>
        <item x="870"/>
        <item x="450"/>
        <item x="906"/>
        <item x="787"/>
        <item x="1035"/>
        <item x="50"/>
        <item x="1494"/>
        <item x="980"/>
        <item x="885"/>
        <item x="1136"/>
        <item x="988"/>
        <item x="1313"/>
        <item x="81"/>
        <item x="978"/>
        <item x="1284"/>
        <item x="678"/>
        <item x="1249"/>
        <item x="1285"/>
        <item x="1326"/>
        <item x="609"/>
        <item x="582"/>
        <item x="332"/>
        <item x="589"/>
        <item x="1447"/>
        <item x="416"/>
        <item x="708"/>
        <item x="177"/>
        <item x="1165"/>
        <item x="1376"/>
        <item x="844"/>
        <item x="516"/>
        <item x="1458"/>
        <item x="35"/>
        <item x="46"/>
        <item x="837"/>
        <item x="406"/>
        <item x="452"/>
        <item x="36"/>
        <item x="1166"/>
        <item x="1077"/>
        <item x="492"/>
        <item x="1407"/>
        <item x="78"/>
        <item x="155"/>
        <item x="947"/>
        <item x="1393"/>
        <item x="1344"/>
        <item x="822"/>
        <item x="1000"/>
        <item x="288"/>
        <item x="931"/>
        <item x="1206"/>
        <item x="1019"/>
        <item x="278"/>
        <item x="256"/>
        <item x="524"/>
        <item x="200"/>
        <item x="405"/>
        <item x="1286"/>
        <item x="922"/>
        <item x="1490"/>
        <item x="1309"/>
        <item x="824"/>
        <item x="439"/>
        <item x="25"/>
        <item x="1391"/>
        <item x="381"/>
        <item x="921"/>
        <item x="528"/>
        <item x="1443"/>
        <item x="1479"/>
        <item x="821"/>
        <item x="38"/>
        <item x="938"/>
        <item x="1085"/>
        <item x="1106"/>
        <item x="212"/>
        <item x="1296"/>
        <item x="637"/>
        <item x="1065"/>
        <item x="251"/>
        <item x="850"/>
        <item x="1291"/>
        <item x="1396"/>
        <item x="1440"/>
        <item x="1442"/>
        <item x="57"/>
        <item x="674"/>
        <item x="371"/>
        <item x="939"/>
        <item x="1253"/>
        <item x="656"/>
        <item x="503"/>
        <item x="1182"/>
        <item x="1306"/>
        <item x="1411"/>
        <item x="763"/>
        <item x="889"/>
        <item x="323"/>
        <item x="1227"/>
        <item x="306"/>
        <item x="562"/>
        <item x="272"/>
        <item x="581"/>
        <item x="746"/>
        <item x="1368"/>
        <item x="789"/>
        <item x="158"/>
        <item x="829"/>
        <item x="588"/>
        <item x="1497"/>
        <item x="670"/>
        <item x="1274"/>
        <item x="920"/>
        <item x="159"/>
        <item x="583"/>
        <item x="14"/>
        <item x="370"/>
        <item x="1297"/>
        <item x="1470"/>
        <item x="606"/>
        <item x="344"/>
        <item x="818"/>
        <item x="1462"/>
        <item x="1161"/>
        <item x="342"/>
        <item x="153"/>
        <item x="735"/>
        <item x="549"/>
        <item x="409"/>
        <item x="1415"/>
        <item x="59"/>
        <item x="42"/>
        <item x="1272"/>
        <item x="55"/>
        <item x="133"/>
        <item x="673"/>
        <item x="445"/>
        <item x="676"/>
        <item x="1369"/>
        <item x="282"/>
        <item x="1063"/>
        <item x="1335"/>
        <item x="1307"/>
        <item x="511"/>
        <item x="1305"/>
        <item x="1257"/>
        <item x="791"/>
        <item x="51"/>
        <item x="1169"/>
        <item x="542"/>
        <item x="252"/>
        <item x="747"/>
        <item x="1491"/>
        <item x="10"/>
        <item x="1107"/>
        <item x="596"/>
        <item x="433"/>
        <item x="150"/>
        <item x="1146"/>
        <item x="845"/>
        <item x="307"/>
        <item x="193"/>
        <item x="312"/>
        <item x="1061"/>
        <item x="512"/>
        <item x="1308"/>
        <item x="262"/>
        <item x="210"/>
        <item x="396"/>
        <item x="313"/>
        <item x="1474"/>
        <item x="810"/>
        <item x="118"/>
        <item x="741"/>
        <item x="93"/>
        <item x="1355"/>
        <item x="831"/>
        <item x="163"/>
        <item x="1124"/>
        <item x="1400"/>
        <item x="687"/>
        <item x="515"/>
        <item x="753"/>
        <item x="1175"/>
        <item x="918"/>
        <item x="75"/>
        <item x="1220"/>
        <item x="1113"/>
        <item x="1324"/>
        <item x="1468"/>
        <item x="959"/>
        <item x="552"/>
        <item x="314"/>
        <item x="161"/>
        <item x="106"/>
        <item x="518"/>
        <item x="1450"/>
        <item x="1003"/>
        <item x="1357"/>
        <item x="1317"/>
        <item x="490"/>
        <item x="898"/>
        <item x="72"/>
        <item x="1040"/>
        <item x="860"/>
        <item x="1265"/>
        <item x="554"/>
        <item x="1282"/>
        <item x="559"/>
        <item x="630"/>
        <item x="853"/>
        <item x="1208"/>
        <item x="4"/>
        <item x="350"/>
        <item x="977"/>
        <item x="141"/>
        <item x="1118"/>
        <item x="1389"/>
        <item x="442"/>
        <item x="219"/>
        <item x="1020"/>
        <item x="997"/>
        <item x="838"/>
        <item x="982"/>
        <item x="1320"/>
        <item x="1068"/>
        <item x="130"/>
        <item x="353"/>
        <item x="248"/>
        <item x="400"/>
        <item x="491"/>
        <item x="338"/>
        <item x="519"/>
        <item x="1062"/>
        <item x="1071"/>
        <item x="1060"/>
        <item x="719"/>
        <item x="1239"/>
        <item x="615"/>
        <item x="1464"/>
        <item x="486"/>
        <item x="1273"/>
        <item x="1332"/>
        <item x="604"/>
        <item x="1501"/>
        <item x="71"/>
        <item x="546"/>
        <item x="813"/>
        <item x="165"/>
        <item x="1211"/>
        <item x="1299"/>
        <item x="270"/>
        <item x="591"/>
        <item x="1499"/>
        <item x="1108"/>
        <item x="905"/>
        <item x="274"/>
        <item x="92"/>
        <item x="1039"/>
        <item x="784"/>
        <item x="1241"/>
        <item x="635"/>
        <item x="983"/>
        <item x="315"/>
        <item x="1242"/>
        <item x="19"/>
        <item x="363"/>
        <item x="779"/>
        <item x="352"/>
        <item x="5"/>
        <item x="146"/>
        <item x="1461"/>
        <item x="1056"/>
        <item x="639"/>
        <item x="391"/>
        <item x="686"/>
        <item x="772"/>
        <item x="1172"/>
        <item x="1363"/>
        <item x="45"/>
        <item x="941"/>
        <item x="520"/>
        <item x="107"/>
        <item x="733"/>
        <item x="189"/>
        <item x="1034"/>
        <item x="843"/>
        <item x="929"/>
        <item x="456"/>
        <item x="1420"/>
        <item x="1001"/>
        <item x="436"/>
        <item x="1235"/>
        <item x="647"/>
        <item x="967"/>
        <item x="179"/>
        <item x="31"/>
        <item x="942"/>
        <item x="541"/>
        <item x="361"/>
        <item x="558"/>
        <item x="374"/>
        <item x="1383"/>
        <item x="709"/>
        <item x="1230"/>
        <item x="815"/>
        <item x="22"/>
        <item x="965"/>
        <item x="788"/>
        <item x="470"/>
        <item x="40"/>
        <item x="1190"/>
        <item x="1210"/>
        <item x="1055"/>
        <item x="530"/>
        <item x="1037"/>
        <item x="33"/>
        <item x="971"/>
        <item x="999"/>
        <item x="767"/>
        <item x="1168"/>
        <item x="207"/>
        <item x="535"/>
        <item x="244"/>
        <item x="1217"/>
        <item x="1096"/>
        <item x="1203"/>
        <item x="1431"/>
        <item x="340"/>
        <item x="1386"/>
        <item x="1185"/>
        <item x="259"/>
        <item x="494"/>
        <item x="145"/>
        <item x="65"/>
        <item x="680"/>
        <item x="112"/>
        <item x="962"/>
        <item x="1379"/>
        <item x="567"/>
        <item x="825"/>
        <item x="1115"/>
        <item x="1488"/>
        <item x="1212"/>
        <item x="940"/>
        <item x="1045"/>
        <item x="975"/>
        <item x="729"/>
        <item x="418"/>
        <item x="220"/>
        <item x="1372"/>
        <item x="1059"/>
        <item x="1199"/>
        <item x="777"/>
        <item x="119"/>
        <item x="298"/>
        <item x="865"/>
        <item x="1012"/>
        <item x="225"/>
        <item x="180"/>
        <item x="325"/>
        <item x="208"/>
        <item x="1482"/>
        <item x="172"/>
        <item x="693"/>
        <item x="961"/>
        <item x="1066"/>
        <item x="188"/>
        <item x="565"/>
        <item x="578"/>
        <item x="611"/>
        <item x="984"/>
        <item x="1047"/>
        <item x="302"/>
        <item x="149"/>
        <item x="1141"/>
        <item x="760"/>
        <item x="473"/>
        <item x="692"/>
        <item x="851"/>
        <item x="1348"/>
        <item x="508"/>
        <item x="139"/>
        <item x="129"/>
        <item x="1398"/>
        <item x="580"/>
        <item x="1041"/>
        <item x="1155"/>
        <item x="1403"/>
        <item x="841"/>
        <item x="1301"/>
        <item x="1236"/>
        <item x="1073"/>
        <item x="624"/>
        <item x="236"/>
        <item x="205"/>
        <item x="586"/>
        <item x="1054"/>
        <item x="1177"/>
        <item x="1300"/>
        <item x="458"/>
        <item x="1351"/>
        <item x="101"/>
        <item x="679"/>
        <item x="1072"/>
        <item x="737"/>
        <item x="1191"/>
        <item x="1197"/>
        <item x="1258"/>
        <item x="764"/>
        <item x="556"/>
        <item x="785"/>
        <item x="487"/>
        <item x="175"/>
        <item x="303"/>
        <item x="1233"/>
        <item x="144"/>
        <item x="968"/>
        <item x="1105"/>
        <item x="1144"/>
        <item x="525"/>
        <item x="258"/>
        <item x="17"/>
        <item x="329"/>
        <item x="1120"/>
        <item x="705"/>
        <item x="904"/>
        <item x="643"/>
        <item x="241"/>
        <item x="1033"/>
        <item x="1240"/>
        <item x="132"/>
        <item x="618"/>
        <item x="300"/>
        <item x="1069"/>
        <item x="1188"/>
        <item x="1009"/>
        <item x="47"/>
        <item x="1213"/>
        <item x="218"/>
        <item x="937"/>
        <item x="1269"/>
        <item x="599"/>
        <item x="134"/>
        <item x="834"/>
        <item x="60"/>
        <item x="365"/>
        <item x="925"/>
        <item x="608"/>
        <item x="1051"/>
        <item x="723"/>
        <item x="367"/>
        <item x="1414"/>
        <item x="373"/>
        <item x="560"/>
        <item x="835"/>
        <item x="429"/>
        <item x="1457"/>
        <item x="257"/>
        <item x="685"/>
        <item x="873"/>
        <item x="1204"/>
        <item x="985"/>
        <item x="654"/>
        <item x="762"/>
        <item x="111"/>
        <item x="1021"/>
        <item x="462"/>
        <item x="1153"/>
        <item x="1356"/>
        <item x="169"/>
        <item x="1167"/>
        <item x="292"/>
        <item x="148"/>
        <item x="140"/>
        <item x="359"/>
        <item x="79"/>
        <item x="1422"/>
        <item x="1116"/>
        <item x="156"/>
        <item x="607"/>
        <item x="689"/>
        <item x="631"/>
        <item x="341"/>
        <item x="1432"/>
        <item x="459"/>
        <item x="1245"/>
        <item x="357"/>
        <item x="534"/>
        <item x="397"/>
        <item x="1302"/>
        <item x="727"/>
        <item x="125"/>
        <item x="1057"/>
        <item x="1337"/>
        <item x="892"/>
        <item x="1452"/>
        <item x="1147"/>
        <item x="773"/>
        <item x="529"/>
        <item x="628"/>
        <item x="970"/>
        <item x="245"/>
        <item x="1252"/>
        <item x="827"/>
        <item x="695"/>
        <item x="527"/>
        <item x="933"/>
        <item x="23"/>
        <item x="769"/>
        <item x="908"/>
        <item x="644"/>
        <item x="380"/>
        <item x="227"/>
        <item x="820"/>
        <item x="887"/>
        <item x="1401"/>
        <item x="1424"/>
        <item x="935"/>
        <item x="472"/>
        <item x="1318"/>
        <item x="446"/>
        <item x="823"/>
        <item x="1148"/>
        <item x="666"/>
        <item x="1173"/>
        <item x="1275"/>
        <item x="91"/>
        <item x="896"/>
        <item x="143"/>
        <item x="297"/>
        <item x="667"/>
        <item x="351"/>
        <item x="819"/>
        <item x="1109"/>
        <item x="669"/>
        <item x="431"/>
        <item x="346"/>
        <item x="1014"/>
        <item x="1082"/>
        <item x="1043"/>
        <item x="923"/>
        <item x="1180"/>
        <item x="1243"/>
        <item x="1007"/>
        <item x="1278"/>
        <item x="612"/>
        <item x="1260"/>
        <item x="1050"/>
        <item x="902"/>
        <item x="21"/>
        <item x="888"/>
        <item x="1492"/>
        <item x="928"/>
        <item x="949"/>
        <item x="202"/>
        <item x="1333"/>
        <item x="796"/>
        <item x="402"/>
        <item x="1382"/>
        <item x="553"/>
        <item x="1133"/>
        <item x="485"/>
        <item x="430"/>
        <item x="603"/>
        <item x="228"/>
        <item x="726"/>
        <item x="874"/>
        <item x="1469"/>
        <item x="1008"/>
        <item x="95"/>
        <item x="738"/>
        <item x="876"/>
        <item x="20"/>
        <item x="29"/>
        <item x="1438"/>
        <item x="903"/>
        <item x="482"/>
        <item x="770"/>
        <item x="1216"/>
        <item x="215"/>
        <item x="830"/>
        <item x="1264"/>
        <item x="958"/>
        <item x="152"/>
        <item x="1280"/>
        <item x="711"/>
        <item x="122"/>
        <item x="438"/>
        <item x="1410"/>
        <item x="781"/>
        <item x="700"/>
        <item x="404"/>
        <item x="1194"/>
        <item x="1256"/>
        <item x="590"/>
        <item x="620"/>
        <item x="213"/>
        <item x="793"/>
        <item x="138"/>
        <item x="1193"/>
        <item x="990"/>
        <item x="63"/>
        <item x="1287"/>
        <item x="526"/>
        <item x="569"/>
        <item x="657"/>
        <item x="1223"/>
        <item x="317"/>
        <item x="1331"/>
        <item x="642"/>
        <item x="1310"/>
        <item x="801"/>
        <item x="209"/>
        <item x="913"/>
        <item x="646"/>
        <item x="151"/>
        <item x="757"/>
        <item x="214"/>
        <item x="403"/>
        <item x="886"/>
        <item x="1495"/>
        <item x="1359"/>
        <item x="238"/>
        <item x="1423"/>
        <item x="34"/>
        <item x="533"/>
        <item x="842"/>
        <item x="206"/>
        <item x="1496"/>
        <item x="716"/>
        <item x="1178"/>
        <item x="1254"/>
        <item x="334"/>
        <item x="287"/>
        <item x="419"/>
        <item x="1399"/>
        <item x="633"/>
        <item x="712"/>
        <item x="115"/>
        <item x="204"/>
        <item x="58"/>
        <item x="1321"/>
        <item x="103"/>
        <item x="37"/>
        <item x="1081"/>
        <item x="1336"/>
        <item x="1375"/>
        <item x="1017"/>
        <item x="331"/>
        <item x="271"/>
        <item x="799"/>
        <item x="464"/>
        <item x="688"/>
        <item x="1123"/>
        <item x="917"/>
        <item x="199"/>
        <item x="794"/>
        <item x="722"/>
        <item x="943"/>
        <item x="1345"/>
        <item x="8"/>
        <item x="1121"/>
        <item x="1248"/>
        <item x="2"/>
        <item x="70"/>
        <item x="662"/>
        <item x="1445"/>
        <item x="475"/>
        <item x="506"/>
        <item x="703"/>
        <item x="1160"/>
        <item x="1456"/>
        <item x="194"/>
        <item x="54"/>
        <item x="1480"/>
        <item x="521"/>
        <item x="39"/>
        <item x="1145"/>
        <item x="1091"/>
        <item x="1405"/>
        <item x="164"/>
        <item x="681"/>
        <item x="814"/>
        <item x="1418"/>
        <item x="420"/>
        <item x="308"/>
        <item x="1164"/>
        <item x="1157"/>
        <item x="706"/>
        <item x="1361"/>
        <item x="957"/>
        <item x="56"/>
        <item x="809"/>
        <item x="449"/>
        <item x="638"/>
        <item x="1053"/>
        <item x="1192"/>
        <item x="422"/>
        <item x="1449"/>
        <item x="932"/>
        <item x="1481"/>
        <item x="991"/>
        <item x="1016"/>
        <item x="1232"/>
        <item x="239"/>
        <item x="1347"/>
        <item x="387"/>
        <item x="1268"/>
        <item x="557"/>
        <item x="803"/>
        <item x="1246"/>
        <item x="1058"/>
        <item x="465"/>
        <item x="1373"/>
        <item x="305"/>
        <item x="1237"/>
        <item x="468"/>
        <item x="1417"/>
        <item x="1404"/>
        <item x="849"/>
        <item x="1387"/>
        <item x="183"/>
        <item x="448"/>
        <item x="768"/>
        <item x="750"/>
        <item x="1342"/>
        <item x="775"/>
        <item x="856"/>
        <item x="771"/>
        <item x="299"/>
        <item x="173"/>
        <item x="131"/>
        <item x="1339"/>
        <item x="623"/>
        <item x="166"/>
        <item x="683"/>
        <item x="1189"/>
        <item x="1392"/>
        <item x="142"/>
        <item x="804"/>
        <item x="622"/>
        <item x="915"/>
        <item x="320"/>
        <item x="407"/>
        <item x="900"/>
        <item x="389"/>
        <item x="697"/>
        <item x="995"/>
        <item x="811"/>
        <item x="336"/>
        <item x="619"/>
        <item x="1184"/>
        <item x="414"/>
        <item x="817"/>
        <item x="1381"/>
        <item x="286"/>
        <item x="285"/>
        <item x="989"/>
        <item x="301"/>
        <item x="185"/>
        <item x="413"/>
        <item x="395"/>
        <item x="996"/>
        <item x="1130"/>
        <item x="1080"/>
        <item x="49"/>
        <item x="375"/>
        <item x="1076"/>
        <item x="73"/>
        <item x="26"/>
        <item x="783"/>
        <item x="704"/>
        <item x="650"/>
        <item x="99"/>
        <item x="1238"/>
        <item x="96"/>
        <item x="682"/>
        <item x="752"/>
        <item x="1408"/>
        <item x="86"/>
        <item x="1436"/>
        <item x="1149"/>
        <item x="953"/>
        <item x="634"/>
        <item x="388"/>
        <item x="469"/>
        <item x="427"/>
        <item x="1132"/>
        <item x="998"/>
        <item x="893"/>
        <item x="98"/>
        <item x="12"/>
        <item x="798"/>
        <item x="595"/>
        <item x="1084"/>
        <item x="751"/>
        <item x="955"/>
        <item x="1142"/>
        <item x="277"/>
        <item x="324"/>
        <item x="1441"/>
        <item x="319"/>
        <item x="1327"/>
        <item x="1340"/>
        <item x="972"/>
        <item x="1201"/>
        <item x="610"/>
        <item x="598"/>
        <item x="1027"/>
        <item x="994"/>
        <item x="1064"/>
        <item x="1263"/>
        <item x="641"/>
        <item x="231"/>
        <item x="532"/>
        <item x="424"/>
        <item x="190"/>
        <item x="945"/>
        <item x="230"/>
        <item x="467"/>
        <item x="211"/>
        <item x="739"/>
        <item x="1487"/>
        <item x="632"/>
        <item x="795"/>
        <item x="1231"/>
        <item x="584"/>
        <item x="1140"/>
        <item x="240"/>
        <item x="117"/>
        <item x="1229"/>
        <item x="426"/>
        <item x="435"/>
        <item x="1129"/>
        <item x="713"/>
        <item x="496"/>
        <item x="1473"/>
        <item x="412"/>
        <item x="283"/>
        <item x="1222"/>
        <item x="498"/>
        <item x="62"/>
        <item x="253"/>
        <item x="263"/>
        <item x="1137"/>
        <item x="911"/>
        <item x="1228"/>
        <item x="1465"/>
        <item x="1111"/>
        <item x="1388"/>
        <item x="792"/>
        <item x="273"/>
        <item x="847"/>
        <item x="480"/>
        <item x="694"/>
        <item x="718"/>
        <item x="15"/>
        <item x="1067"/>
        <item x="1112"/>
        <item x="699"/>
        <item x="136"/>
        <item x="425"/>
        <item x="960"/>
        <item x="536"/>
        <item x="592"/>
        <item x="663"/>
        <item x="191"/>
        <item x="1125"/>
        <item x="394"/>
        <item x="1221"/>
        <item x="743"/>
        <item x="266"/>
        <item x="1316"/>
        <item x="758"/>
        <item x="808"/>
        <item x="249"/>
        <item x="1341"/>
        <item x="914"/>
        <item x="1207"/>
        <item x="861"/>
        <item x="281"/>
        <item x="585"/>
        <item x="66"/>
        <item x="576"/>
        <item x="863"/>
        <item x="1430"/>
        <item x="378"/>
        <item x="538"/>
        <item x="862"/>
        <item x="123"/>
        <item x="1186"/>
        <item x="1005"/>
        <item x="376"/>
        <item x="432"/>
        <item x="659"/>
        <item x="1427"/>
        <item x="126"/>
        <item x="883"/>
        <item x="1151"/>
        <item x="1255"/>
        <item x="451"/>
        <item x="170"/>
        <item x="382"/>
        <item x="579"/>
        <item x="1362"/>
        <item x="852"/>
        <item x="517"/>
        <item x="547"/>
        <item x="1486"/>
        <item x="493"/>
        <item x="875"/>
        <item x="74"/>
        <item x="328"/>
        <item x="48"/>
        <item x="157"/>
        <item x="221"/>
        <item x="121"/>
        <item x="16"/>
        <item x="162"/>
        <item x="349"/>
        <item x="1292"/>
        <item x="730"/>
        <item x="68"/>
        <item x="354"/>
        <item x="358"/>
        <item x="347"/>
        <item x="728"/>
        <item x="1022"/>
        <item x="124"/>
        <item x="1117"/>
        <item x="1234"/>
        <item x="756"/>
        <item x="260"/>
        <item x="1378"/>
        <item x="1312"/>
        <item x="52"/>
        <item x="1311"/>
        <item x="1158"/>
        <item x="1135"/>
        <item x="80"/>
        <item x="1010"/>
        <item x="392"/>
        <item x="1394"/>
        <item x="1261"/>
        <item x="1097"/>
        <item x="1425"/>
        <item x="661"/>
        <item x="1484"/>
        <item x="110"/>
        <item x="840"/>
        <item x="1358"/>
        <item x="1"/>
        <item x="339"/>
        <item x="1439"/>
        <item x="871"/>
        <item x="1122"/>
        <item x="401"/>
        <item x="1250"/>
        <item x="651"/>
        <item x="626"/>
        <item x="1338"/>
        <item x="226"/>
        <item x="1226"/>
        <item x="1079"/>
        <item x="1322"/>
        <item x="88"/>
        <item x="1110"/>
        <item x="30"/>
        <item x="6"/>
        <item x="950"/>
        <item x="1006"/>
        <item x="1478"/>
        <item x="461"/>
        <item x="423"/>
        <item x="782"/>
        <item x="731"/>
        <item x="1350"/>
        <item x="267"/>
        <item x="1360"/>
        <item x="187"/>
        <item x="1114"/>
        <item x="7"/>
        <item x="316"/>
        <item x="872"/>
        <item x="710"/>
        <item x="655"/>
        <item x="826"/>
        <item x="1013"/>
        <item x="832"/>
        <item x="1328"/>
        <item x="1289"/>
        <item x="1102"/>
        <item x="1448"/>
        <item x="322"/>
        <item x="1304"/>
        <item x="264"/>
        <item x="178"/>
        <item x="605"/>
        <item x="393"/>
        <item x="137"/>
        <item x="1429"/>
        <item x="372"/>
        <item x="229"/>
        <item x="310"/>
        <item x="369"/>
        <item x="539"/>
        <item x="964"/>
        <item x="1377"/>
        <item x="1028"/>
        <item x="1095"/>
        <item x="235"/>
        <item x="1023"/>
        <item x="1271"/>
        <item x="514"/>
        <item x="523"/>
        <item x="127"/>
        <item x="167"/>
        <item x="848"/>
        <item x="936"/>
        <item x="1247"/>
        <item x="951"/>
        <item x="197"/>
        <item x="232"/>
        <item x="696"/>
        <item x="477"/>
        <item x="1209"/>
        <item x="1455"/>
        <item x="289"/>
        <item x="868"/>
        <item x="759"/>
        <item x="1170"/>
        <item x="64"/>
        <item x="181"/>
        <item x="120"/>
        <item x="568"/>
        <item x="1015"/>
        <item x="483"/>
        <item x="337"/>
        <item x="327"/>
        <item x="1446"/>
        <item x="594"/>
        <item x="1460"/>
        <item x="471"/>
        <item x="755"/>
        <item x="201"/>
        <item x="1374"/>
        <item x="9"/>
        <item x="587"/>
        <item x="513"/>
        <item x="1198"/>
        <item x="602"/>
        <item x="574"/>
        <item x="1435"/>
        <item x="660"/>
        <item x="1042"/>
        <item x="1277"/>
        <item x="1195"/>
        <item x="855"/>
        <item x="460"/>
        <item x="196"/>
        <item x="109"/>
        <item x="1156"/>
        <item x="476"/>
        <item x="658"/>
        <item x="463"/>
        <item x="690"/>
        <item x="198"/>
        <item x="807"/>
        <item x="691"/>
        <item x="627"/>
        <item x="910"/>
        <item x="330"/>
        <item x="625"/>
        <item x="1128"/>
        <item x="1352"/>
        <item x="1266"/>
        <item x="160"/>
        <item x="717"/>
        <item x="987"/>
        <item x="428"/>
        <item x="243"/>
        <item x="805"/>
        <item x="748"/>
        <item x="776"/>
        <item x="385"/>
        <item x="345"/>
        <item x="1196"/>
        <item x="1004"/>
        <item x="675"/>
        <item x="976"/>
        <item x="1267"/>
        <item x="268"/>
        <item x="544"/>
        <item x="740"/>
        <item x="930"/>
        <item x="1143"/>
        <item x="895"/>
        <item x="279"/>
        <item x="890"/>
        <item x="488"/>
        <item x="237"/>
        <item x="1385"/>
        <item x="1343"/>
        <item x="83"/>
        <item x="290"/>
        <item x="453"/>
        <item x="311"/>
        <item x="858"/>
        <item x="1119"/>
        <item x="1104"/>
        <item x="1018"/>
        <item x="1259"/>
        <item x="926"/>
        <item x="11"/>
        <item x="53"/>
        <item x="399"/>
        <item x="649"/>
        <item x="531"/>
        <item x="570"/>
        <item x="797"/>
        <item x="321"/>
        <item x="648"/>
        <item x="502"/>
        <item x="203"/>
        <item x="222"/>
        <item x="186"/>
        <item x="1293"/>
        <item x="478"/>
        <item x="335"/>
        <item x="43"/>
        <item x="614"/>
        <item x="443"/>
        <item x="1290"/>
        <item x="275"/>
        <item x="600"/>
        <item x="1090"/>
        <item x="440"/>
        <item x="548"/>
        <item x="1138"/>
        <item x="973"/>
        <item x="1419"/>
        <item x="291"/>
        <item x="504"/>
        <item x="280"/>
        <item x="564"/>
        <item x="1433"/>
        <item x="421"/>
        <item x="1174"/>
        <item x="867"/>
        <item x="135"/>
        <item x="474"/>
        <item x="877"/>
        <item x="1048"/>
        <item x="417"/>
        <item x="1334"/>
        <item x="1038"/>
        <item x="839"/>
        <item x="27"/>
        <item x="986"/>
        <item x="1476"/>
        <item x="715"/>
        <item x="613"/>
        <item x="82"/>
        <item x="1251"/>
        <item x="897"/>
        <item x="1279"/>
        <item x="1349"/>
        <item x="749"/>
        <item x="343"/>
        <item x="882"/>
        <item x="869"/>
        <item x="573"/>
        <item x="28"/>
        <item x="1370"/>
        <item x="1187"/>
        <item x="348"/>
        <item x="0"/>
        <item x="724"/>
        <item x="981"/>
        <item x="698"/>
        <item x="1163"/>
        <item x="284"/>
        <item x="1276"/>
        <item x="677"/>
        <item x="500"/>
        <item x="1298"/>
        <item x="1026"/>
        <item x="507"/>
        <item x="1152"/>
        <item x="1075"/>
        <item x="1131"/>
        <item x="653"/>
        <item x="1364"/>
        <item x="1046"/>
        <item x="1503"/>
        <item t="default"/>
      </items>
    </pivotField>
  </pivotFields>
  <rowFields count="1">
    <field x="4"/>
  </rowFields>
  <rowItems count="15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03DDC-9ABF-EA4D-B467-507C0BD650D1}" name="Tabela dinâmica1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5">
  <location ref="G12:H16" firstHeaderRow="1" firstDataRow="1" firstDataCol="1"/>
  <pivotFields count="12">
    <pivotField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_Venda" fld="10" baseField="0" baseItem="0" numFmtId="164"/>
  </dataFields>
  <chartFormats count="8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1CA02-BD68-A44F-B707-8D218F3FB436}" name="Tabela dinâmica14" cacheId="3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5">
  <location ref="B3:C389" firstHeaderRow="1" firstDataRow="1" firstDataCol="1"/>
  <pivotFields count="14">
    <pivotField axis="axisRow" numFmtId="14" showAll="0">
      <items count="8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3"/>
    <field x="12"/>
    <field x="0"/>
  </rowFields>
  <rowItems count="386">
    <i>
      <x v="2"/>
    </i>
    <i r="1">
      <x v="5"/>
    </i>
    <i r="2">
      <x v="194"/>
    </i>
    <i r="1">
      <x v="6"/>
    </i>
    <i r="2">
      <x v="195"/>
    </i>
    <i r="1">
      <x v="13"/>
    </i>
    <i r="2">
      <x v="196"/>
    </i>
    <i r="1">
      <x v="23"/>
    </i>
    <i r="2">
      <x v="197"/>
    </i>
    <i r="1">
      <x v="26"/>
    </i>
    <i r="2">
      <x v="198"/>
    </i>
    <i r="1">
      <x v="27"/>
    </i>
    <i r="2">
      <x v="199"/>
    </i>
    <i r="1">
      <x v="30"/>
    </i>
    <i r="2">
      <x v="200"/>
    </i>
    <i r="1">
      <x v="34"/>
    </i>
    <i r="2">
      <x v="201"/>
    </i>
    <i r="1">
      <x v="37"/>
    </i>
    <i r="2">
      <x v="202"/>
    </i>
    <i r="1">
      <x v="40"/>
    </i>
    <i r="2">
      <x v="203"/>
    </i>
    <i r="1">
      <x v="46"/>
    </i>
    <i r="2">
      <x v="204"/>
    </i>
    <i r="1">
      <x v="47"/>
    </i>
    <i r="2">
      <x v="205"/>
    </i>
    <i r="1">
      <x v="49"/>
    </i>
    <i r="2">
      <x v="206"/>
    </i>
    <i r="1">
      <x v="52"/>
    </i>
    <i r="2">
      <x v="207"/>
    </i>
    <i r="1">
      <x v="58"/>
    </i>
    <i r="2">
      <x v="208"/>
    </i>
    <i r="1">
      <x v="61"/>
    </i>
    <i r="2">
      <x v="209"/>
    </i>
    <i r="1">
      <x v="62"/>
    </i>
    <i r="2">
      <x v="210"/>
    </i>
    <i r="1">
      <x v="66"/>
    </i>
    <i r="2">
      <x v="211"/>
    </i>
    <i r="1">
      <x v="68"/>
    </i>
    <i r="2">
      <x v="212"/>
    </i>
    <i r="1">
      <x v="73"/>
    </i>
    <i r="2">
      <x v="213"/>
    </i>
    <i r="1">
      <x v="74"/>
    </i>
    <i r="2">
      <x v="214"/>
    </i>
    <i r="1">
      <x v="75"/>
    </i>
    <i r="2">
      <x v="215"/>
    </i>
    <i r="1">
      <x v="76"/>
    </i>
    <i r="2">
      <x v="216"/>
    </i>
    <i r="1">
      <x v="79"/>
    </i>
    <i r="2">
      <x v="217"/>
    </i>
    <i r="1">
      <x v="80"/>
    </i>
    <i r="2">
      <x v="218"/>
    </i>
    <i r="1">
      <x v="82"/>
    </i>
    <i r="2">
      <x v="219"/>
    </i>
    <i r="1">
      <x v="83"/>
    </i>
    <i r="2">
      <x v="220"/>
    </i>
    <i r="1">
      <x v="84"/>
    </i>
    <i r="2">
      <x v="221"/>
    </i>
    <i r="1">
      <x v="86"/>
    </i>
    <i r="2">
      <x v="222"/>
    </i>
    <i r="1">
      <x v="87"/>
    </i>
    <i r="2">
      <x v="223"/>
    </i>
    <i r="1">
      <x v="88"/>
    </i>
    <i r="2">
      <x v="224"/>
    </i>
    <i r="1">
      <x v="89"/>
    </i>
    <i r="2">
      <x v="225"/>
    </i>
    <i r="1">
      <x v="93"/>
    </i>
    <i r="2">
      <x v="226"/>
    </i>
    <i r="1">
      <x v="96"/>
    </i>
    <i r="2">
      <x v="227"/>
    </i>
    <i r="1">
      <x v="100"/>
    </i>
    <i r="2">
      <x v="228"/>
    </i>
    <i r="1">
      <x v="101"/>
    </i>
    <i r="2">
      <x v="229"/>
    </i>
    <i r="1">
      <x v="102"/>
    </i>
    <i r="2">
      <x v="230"/>
    </i>
    <i r="1">
      <x v="103"/>
    </i>
    <i r="2">
      <x v="231"/>
    </i>
    <i r="1">
      <x v="104"/>
    </i>
    <i r="2">
      <x v="232"/>
    </i>
    <i r="1">
      <x v="105"/>
    </i>
    <i r="2">
      <x v="233"/>
    </i>
    <i r="1">
      <x v="108"/>
    </i>
    <i r="2">
      <x v="234"/>
    </i>
    <i r="1">
      <x v="109"/>
    </i>
    <i r="2">
      <x v="235"/>
    </i>
    <i r="1">
      <x v="113"/>
    </i>
    <i r="2">
      <x v="236"/>
    </i>
    <i r="1">
      <x v="116"/>
    </i>
    <i r="2">
      <x v="237"/>
    </i>
    <i r="1">
      <x v="117"/>
    </i>
    <i r="2">
      <x v="238"/>
    </i>
    <i r="1">
      <x v="118"/>
    </i>
    <i r="2">
      <x v="239"/>
    </i>
    <i r="1">
      <x v="121"/>
    </i>
    <i r="2">
      <x v="240"/>
    </i>
    <i r="1">
      <x v="122"/>
    </i>
    <i r="2">
      <x v="241"/>
    </i>
    <i r="1">
      <x v="124"/>
    </i>
    <i r="2">
      <x v="242"/>
    </i>
    <i r="1">
      <x v="129"/>
    </i>
    <i r="2">
      <x v="243"/>
    </i>
    <i r="1">
      <x v="131"/>
    </i>
    <i r="2">
      <x v="244"/>
    </i>
    <i r="1">
      <x v="132"/>
    </i>
    <i r="2">
      <x v="245"/>
    </i>
    <i r="1">
      <x v="133"/>
    </i>
    <i r="2">
      <x v="246"/>
    </i>
    <i r="1">
      <x v="135"/>
    </i>
    <i r="2">
      <x v="247"/>
    </i>
    <i r="1">
      <x v="139"/>
    </i>
    <i r="2">
      <x v="248"/>
    </i>
    <i r="1">
      <x v="142"/>
    </i>
    <i r="2">
      <x v="249"/>
    </i>
    <i r="1">
      <x v="143"/>
    </i>
    <i r="2">
      <x v="250"/>
    </i>
    <i r="1">
      <x v="144"/>
    </i>
    <i r="2">
      <x v="251"/>
    </i>
    <i r="1">
      <x v="146"/>
    </i>
    <i r="2">
      <x v="252"/>
    </i>
    <i r="1">
      <x v="147"/>
    </i>
    <i r="2">
      <x v="253"/>
    </i>
    <i r="1">
      <x v="149"/>
    </i>
    <i r="2">
      <x v="254"/>
    </i>
    <i r="1">
      <x v="150"/>
    </i>
    <i r="2">
      <x v="255"/>
    </i>
    <i r="1">
      <x v="152"/>
    </i>
    <i r="2">
      <x v="256"/>
    </i>
    <i r="1">
      <x v="153"/>
    </i>
    <i r="2">
      <x v="257"/>
    </i>
    <i r="1">
      <x v="156"/>
    </i>
    <i r="2">
      <x v="258"/>
    </i>
    <i r="1">
      <x v="159"/>
    </i>
    <i r="2">
      <x v="259"/>
    </i>
    <i r="1">
      <x v="161"/>
    </i>
    <i r="2">
      <x v="260"/>
    </i>
    <i r="1">
      <x v="165"/>
    </i>
    <i r="2">
      <x v="261"/>
    </i>
    <i r="1">
      <x v="167"/>
    </i>
    <i r="2">
      <x v="262"/>
    </i>
    <i r="1">
      <x v="170"/>
    </i>
    <i r="2">
      <x v="263"/>
    </i>
    <i r="1">
      <x v="171"/>
    </i>
    <i r="2">
      <x v="264"/>
    </i>
    <i r="1">
      <x v="172"/>
    </i>
    <i r="2">
      <x v="265"/>
    </i>
    <i r="1">
      <x v="174"/>
    </i>
    <i r="2">
      <x v="266"/>
    </i>
    <i r="1">
      <x v="175"/>
    </i>
    <i r="2">
      <x v="267"/>
    </i>
    <i r="1">
      <x v="177"/>
    </i>
    <i r="2">
      <x v="268"/>
    </i>
    <i r="1">
      <x v="180"/>
    </i>
    <i r="2">
      <x v="269"/>
    </i>
    <i r="1">
      <x v="186"/>
    </i>
    <i r="2">
      <x v="270"/>
    </i>
    <i r="1">
      <x v="188"/>
    </i>
    <i r="2">
      <x v="271"/>
    </i>
    <i r="1">
      <x v="192"/>
    </i>
    <i r="2">
      <x v="272"/>
    </i>
    <i r="1">
      <x v="193"/>
    </i>
    <i r="2">
      <x v="273"/>
    </i>
    <i r="1">
      <x v="196"/>
    </i>
    <i r="2">
      <x v="274"/>
    </i>
    <i r="1">
      <x v="198"/>
    </i>
    <i r="2">
      <x v="275"/>
    </i>
    <i r="1">
      <x v="199"/>
    </i>
    <i r="2">
      <x v="276"/>
    </i>
    <i r="1">
      <x v="200"/>
    </i>
    <i r="2">
      <x v="277"/>
    </i>
    <i r="1">
      <x v="201"/>
    </i>
    <i r="2">
      <x v="278"/>
    </i>
    <i r="1">
      <x v="207"/>
    </i>
    <i r="2">
      <x v="279"/>
    </i>
    <i r="1">
      <x v="208"/>
    </i>
    <i r="2">
      <x v="280"/>
    </i>
    <i r="1">
      <x v="212"/>
    </i>
    <i r="2">
      <x v="281"/>
    </i>
    <i r="1">
      <x v="214"/>
    </i>
    <i r="2">
      <x v="282"/>
    </i>
    <i r="1">
      <x v="215"/>
    </i>
    <i r="2">
      <x v="283"/>
    </i>
    <i r="1">
      <x v="220"/>
    </i>
    <i r="2">
      <x v="284"/>
    </i>
    <i r="1">
      <x v="221"/>
    </i>
    <i r="2">
      <x v="285"/>
    </i>
    <i r="1">
      <x v="223"/>
    </i>
    <i r="2">
      <x v="286"/>
    </i>
    <i r="1">
      <x v="226"/>
    </i>
    <i r="2">
      <x v="287"/>
    </i>
    <i r="1">
      <x v="228"/>
    </i>
    <i r="2">
      <x v="288"/>
    </i>
    <i r="1">
      <x v="229"/>
    </i>
    <i r="2">
      <x v="289"/>
    </i>
    <i r="1">
      <x v="230"/>
    </i>
    <i r="2">
      <x v="290"/>
    </i>
    <i r="1">
      <x v="234"/>
    </i>
    <i r="2">
      <x v="291"/>
    </i>
    <i r="1">
      <x v="237"/>
    </i>
    <i r="2">
      <x v="292"/>
    </i>
    <i r="1">
      <x v="238"/>
    </i>
    <i r="2">
      <x v="293"/>
    </i>
    <i r="1">
      <x v="240"/>
    </i>
    <i r="2">
      <x v="294"/>
    </i>
    <i r="1">
      <x v="241"/>
    </i>
    <i r="2">
      <x v="295"/>
    </i>
    <i r="1">
      <x v="244"/>
    </i>
    <i r="2">
      <x v="296"/>
    </i>
    <i r="1">
      <x v="245"/>
    </i>
    <i r="2">
      <x v="297"/>
    </i>
    <i r="1">
      <x v="247"/>
    </i>
    <i r="2">
      <x v="298"/>
    </i>
    <i r="1">
      <x v="248"/>
    </i>
    <i r="2">
      <x v="299"/>
    </i>
    <i r="1">
      <x v="249"/>
    </i>
    <i r="2">
      <x v="300"/>
    </i>
    <i r="1">
      <x v="250"/>
    </i>
    <i r="2">
      <x v="301"/>
    </i>
    <i r="1">
      <x v="251"/>
    </i>
    <i r="2">
      <x v="302"/>
    </i>
    <i r="1">
      <x v="252"/>
    </i>
    <i r="2">
      <x v="303"/>
    </i>
    <i r="1">
      <x v="254"/>
    </i>
    <i r="2">
      <x v="304"/>
    </i>
    <i r="1">
      <x v="255"/>
    </i>
    <i r="2">
      <x v="305"/>
    </i>
    <i r="1">
      <x v="256"/>
    </i>
    <i r="2">
      <x v="306"/>
    </i>
    <i r="1">
      <x v="257"/>
    </i>
    <i r="2">
      <x v="307"/>
    </i>
    <i r="1">
      <x v="258"/>
    </i>
    <i r="2">
      <x v="308"/>
    </i>
    <i r="1">
      <x v="261"/>
    </i>
    <i r="2">
      <x v="309"/>
    </i>
    <i r="1">
      <x v="262"/>
    </i>
    <i r="2">
      <x v="310"/>
    </i>
    <i r="1">
      <x v="263"/>
    </i>
    <i r="2">
      <x v="311"/>
    </i>
    <i r="1">
      <x v="264"/>
    </i>
    <i r="2">
      <x v="312"/>
    </i>
    <i r="1">
      <x v="265"/>
    </i>
    <i r="2">
      <x v="313"/>
    </i>
    <i r="1">
      <x v="266"/>
    </i>
    <i r="2">
      <x v="314"/>
    </i>
    <i r="1">
      <x v="268"/>
    </i>
    <i r="2">
      <x v="315"/>
    </i>
    <i r="1">
      <x v="269"/>
    </i>
    <i r="2">
      <x v="316"/>
    </i>
    <i r="1">
      <x v="270"/>
    </i>
    <i r="2">
      <x v="317"/>
    </i>
    <i r="1">
      <x v="271"/>
    </i>
    <i r="2">
      <x v="318"/>
    </i>
    <i r="1">
      <x v="272"/>
    </i>
    <i r="2">
      <x v="319"/>
    </i>
    <i r="1">
      <x v="275"/>
    </i>
    <i r="2">
      <x v="320"/>
    </i>
    <i r="1">
      <x v="276"/>
    </i>
    <i r="2">
      <x v="321"/>
    </i>
    <i r="1">
      <x v="277"/>
    </i>
    <i r="2">
      <x v="322"/>
    </i>
    <i r="1">
      <x v="278"/>
    </i>
    <i r="2">
      <x v="323"/>
    </i>
    <i r="1">
      <x v="279"/>
    </i>
    <i r="2">
      <x v="324"/>
    </i>
    <i r="1">
      <x v="282"/>
    </i>
    <i r="2">
      <x v="325"/>
    </i>
    <i r="1">
      <x v="284"/>
    </i>
    <i r="2">
      <x v="326"/>
    </i>
    <i r="1">
      <x v="286"/>
    </i>
    <i r="2">
      <x v="327"/>
    </i>
    <i r="1">
      <x v="291"/>
    </i>
    <i r="2">
      <x v="328"/>
    </i>
    <i r="1">
      <x v="292"/>
    </i>
    <i r="2">
      <x v="329"/>
    </i>
    <i r="1">
      <x v="293"/>
    </i>
    <i r="2">
      <x v="330"/>
    </i>
    <i r="1">
      <x v="294"/>
    </i>
    <i r="2">
      <x v="331"/>
    </i>
    <i r="1">
      <x v="297"/>
    </i>
    <i r="2">
      <x v="332"/>
    </i>
    <i r="1">
      <x v="298"/>
    </i>
    <i r="2">
      <x v="333"/>
    </i>
    <i r="1">
      <x v="299"/>
    </i>
    <i r="2">
      <x v="334"/>
    </i>
    <i r="1">
      <x v="300"/>
    </i>
    <i r="2">
      <x v="335"/>
    </i>
    <i r="1">
      <x v="303"/>
    </i>
    <i r="2">
      <x v="336"/>
    </i>
    <i r="1">
      <x v="304"/>
    </i>
    <i r="2">
      <x v="337"/>
    </i>
    <i r="1">
      <x v="305"/>
    </i>
    <i r="2">
      <x v="338"/>
    </i>
    <i r="1">
      <x v="306"/>
    </i>
    <i r="2">
      <x v="339"/>
    </i>
    <i r="1">
      <x v="307"/>
    </i>
    <i r="2">
      <x v="340"/>
    </i>
    <i r="1">
      <x v="308"/>
    </i>
    <i r="2">
      <x v="341"/>
    </i>
    <i r="1">
      <x v="310"/>
    </i>
    <i r="2">
      <x v="342"/>
    </i>
    <i r="1">
      <x v="311"/>
    </i>
    <i r="2">
      <x v="343"/>
    </i>
    <i r="1">
      <x v="312"/>
    </i>
    <i r="2">
      <x v="344"/>
    </i>
    <i r="1">
      <x v="313"/>
    </i>
    <i r="2">
      <x v="345"/>
    </i>
    <i r="1">
      <x v="314"/>
    </i>
    <i r="2">
      <x v="346"/>
    </i>
    <i r="1">
      <x v="315"/>
    </i>
    <i r="2">
      <x v="347"/>
    </i>
    <i r="1">
      <x v="317"/>
    </i>
    <i r="2">
      <x v="348"/>
    </i>
    <i r="1">
      <x v="318"/>
    </i>
    <i r="2">
      <x v="349"/>
    </i>
    <i r="1">
      <x v="319"/>
    </i>
    <i r="2">
      <x v="350"/>
    </i>
    <i r="1">
      <x v="321"/>
    </i>
    <i r="2">
      <x v="351"/>
    </i>
    <i r="1">
      <x v="322"/>
    </i>
    <i r="2">
      <x v="352"/>
    </i>
    <i r="1">
      <x v="324"/>
    </i>
    <i r="2">
      <x v="353"/>
    </i>
    <i r="1">
      <x v="325"/>
    </i>
    <i r="2">
      <x v="354"/>
    </i>
    <i r="1">
      <x v="326"/>
    </i>
    <i r="2">
      <x v="355"/>
    </i>
    <i r="1">
      <x v="327"/>
    </i>
    <i r="2">
      <x v="356"/>
    </i>
    <i r="1">
      <x v="329"/>
    </i>
    <i r="2">
      <x v="357"/>
    </i>
    <i r="1">
      <x v="332"/>
    </i>
    <i r="2">
      <x v="358"/>
    </i>
    <i r="1">
      <x v="333"/>
    </i>
    <i r="2">
      <x v="359"/>
    </i>
    <i r="1">
      <x v="334"/>
    </i>
    <i r="2">
      <x v="360"/>
    </i>
    <i r="1">
      <x v="335"/>
    </i>
    <i r="2">
      <x v="361"/>
    </i>
    <i r="1">
      <x v="336"/>
    </i>
    <i r="2">
      <x v="362"/>
    </i>
    <i r="1">
      <x v="338"/>
    </i>
    <i r="2">
      <x v="363"/>
    </i>
    <i r="1">
      <x v="339"/>
    </i>
    <i r="2">
      <x v="364"/>
    </i>
    <i r="1">
      <x v="340"/>
    </i>
    <i r="2">
      <x v="365"/>
    </i>
    <i r="1">
      <x v="341"/>
    </i>
    <i r="2">
      <x v="366"/>
    </i>
    <i r="1">
      <x v="342"/>
    </i>
    <i r="2">
      <x v="367"/>
    </i>
    <i r="1">
      <x v="343"/>
    </i>
    <i r="2">
      <x v="368"/>
    </i>
    <i r="1">
      <x v="345"/>
    </i>
    <i r="2">
      <x v="369"/>
    </i>
    <i r="1">
      <x v="346"/>
    </i>
    <i r="2">
      <x v="370"/>
    </i>
    <i r="1">
      <x v="347"/>
    </i>
    <i r="2">
      <x v="371"/>
    </i>
    <i r="1">
      <x v="348"/>
    </i>
    <i r="2">
      <x v="372"/>
    </i>
    <i r="1">
      <x v="349"/>
    </i>
    <i r="2">
      <x v="373"/>
    </i>
    <i r="1">
      <x v="350"/>
    </i>
    <i r="2">
      <x v="374"/>
    </i>
    <i r="1">
      <x v="351"/>
    </i>
    <i r="2">
      <x v="375"/>
    </i>
    <i r="1">
      <x v="352"/>
    </i>
    <i r="2">
      <x v="376"/>
    </i>
    <i r="1">
      <x v="353"/>
    </i>
    <i r="2">
      <x v="377"/>
    </i>
    <i r="1">
      <x v="354"/>
    </i>
    <i r="2">
      <x v="378"/>
    </i>
    <i r="1">
      <x v="355"/>
    </i>
    <i r="2">
      <x v="379"/>
    </i>
    <i r="1">
      <x v="356"/>
    </i>
    <i r="2">
      <x v="380"/>
    </i>
    <i r="1">
      <x v="359"/>
    </i>
    <i r="2">
      <x v="381"/>
    </i>
    <i r="1">
      <x v="360"/>
    </i>
    <i r="2">
      <x v="382"/>
    </i>
    <i r="1">
      <x v="362"/>
    </i>
    <i r="2">
      <x v="383"/>
    </i>
    <i r="1">
      <x v="365"/>
    </i>
    <i r="2">
      <x v="384"/>
    </i>
    <i r="1">
      <x v="366"/>
    </i>
    <i r="2">
      <x v="385"/>
    </i>
    <i t="grand">
      <x/>
    </i>
  </rowItems>
  <colItems count="1">
    <i/>
  </colItems>
  <dataFields count="1">
    <dataField name="Soma de Valor_Venda" fld="10" baseField="0" baseItem="0" numFmtId="4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94" name="Data_Pedido">
      <autoFilter ref="A1">
        <filterColumn colId="0">
          <customFilters and="1">
            <customFilter operator="greaterThanOrEqual" val="41640"/>
            <customFilter operator="lessThanOrEqual" val="420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9FB0D-49AC-884C-9D96-215FE159AA69}" name="Tabela dinâmica19" cacheId="3" applyNumberFormats="0" applyBorderFormats="0" applyFontFormats="0" applyPatternFormats="0" applyAlignmentFormats="0" applyWidthHeightFormats="1" dataCaption="Valores" updatedVersion="8" minRefreshableVersion="5" itemPrintTitles="1" createdVersion="6" indent="0" outline="1" outlineData="1" multipleFieldFilters="0" rowHeaderCaption="Nome do Cliente">
  <location ref="N38:O59" firstHeaderRow="1" firstDataRow="1" firstDataCol="1"/>
  <pivotFields count="14">
    <pivotField numFmtId="14" showAll="0">
      <items count="8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 measureFilter="1" sortType="descending">
      <items count="1504">
        <item x="1459"/>
        <item x="1413"/>
        <item x="333"/>
        <item x="766"/>
        <item x="368"/>
        <item x="916"/>
        <item x="1467"/>
        <item x="881"/>
        <item x="1100"/>
        <item x="774"/>
        <item x="1409"/>
        <item x="934"/>
        <item x="668"/>
        <item x="1384"/>
        <item x="1024"/>
        <item x="1475"/>
        <item x="1214"/>
        <item x="907"/>
        <item x="1200"/>
        <item x="617"/>
        <item x="3"/>
        <item x="437"/>
        <item x="1099"/>
        <item x="786"/>
        <item x="616"/>
        <item x="1329"/>
        <item x="1472"/>
        <item x="601"/>
        <item x="481"/>
        <item x="1323"/>
        <item x="1354"/>
        <item x="952"/>
        <item x="909"/>
        <item x="571"/>
        <item x="1162"/>
        <item x="1371"/>
        <item x="734"/>
        <item x="812"/>
        <item x="1500"/>
        <item x="736"/>
        <item x="1179"/>
        <item x="505"/>
        <item x="1202"/>
        <item x="195"/>
        <item x="114"/>
        <item x="979"/>
        <item x="702"/>
        <item x="857"/>
        <item x="495"/>
        <item x="304"/>
        <item x="1489"/>
        <item x="497"/>
        <item x="1092"/>
        <item x="621"/>
        <item x="778"/>
        <item x="1367"/>
        <item x="1025"/>
        <item x="707"/>
        <item x="108"/>
        <item x="383"/>
        <item x="640"/>
        <item x="447"/>
        <item x="295"/>
        <item x="128"/>
        <item x="593"/>
        <item x="1471"/>
        <item x="780"/>
        <item x="1434"/>
        <item x="223"/>
        <item x="1390"/>
        <item x="484"/>
        <item x="1171"/>
        <item x="543"/>
        <item x="216"/>
        <item x="816"/>
        <item x="276"/>
        <item x="309"/>
        <item x="171"/>
        <item x="457"/>
        <item x="1319"/>
        <item x="242"/>
        <item x="992"/>
        <item x="355"/>
        <item x="1426"/>
        <item x="411"/>
        <item x="501"/>
        <item x="1150"/>
        <item x="1283"/>
        <item x="761"/>
        <item x="1159"/>
        <item x="754"/>
        <item x="489"/>
        <item x="833"/>
        <item x="105"/>
        <item x="254"/>
        <item x="545"/>
        <item x="1093"/>
        <item x="522"/>
        <item x="701"/>
        <item x="246"/>
        <item x="1483"/>
        <item x="879"/>
        <item x="828"/>
        <item x="89"/>
        <item x="555"/>
        <item x="147"/>
        <item x="671"/>
        <item x="846"/>
        <item x="1270"/>
        <item x="1070"/>
        <item x="1451"/>
        <item x="1126"/>
        <item x="1101"/>
        <item x="1044"/>
        <item x="1453"/>
        <item x="901"/>
        <item x="1397"/>
        <item x="1346"/>
        <item x="948"/>
        <item x="1088"/>
        <item x="1466"/>
        <item x="454"/>
        <item x="956"/>
        <item x="224"/>
        <item x="1078"/>
        <item x="684"/>
        <item x="1134"/>
        <item x="250"/>
        <item x="97"/>
        <item x="944"/>
        <item x="1094"/>
        <item x="1083"/>
        <item x="217"/>
        <item x="410"/>
        <item x="1294"/>
        <item x="94"/>
        <item x="67"/>
        <item x="102"/>
        <item x="969"/>
        <item x="725"/>
        <item x="919"/>
        <item x="1052"/>
        <item x="537"/>
        <item x="1029"/>
        <item x="1205"/>
        <item x="1225"/>
        <item x="577"/>
        <item x="1030"/>
        <item x="745"/>
        <item x="408"/>
        <item x="652"/>
        <item x="551"/>
        <item x="1314"/>
        <item x="1416"/>
        <item x="386"/>
        <item x="1011"/>
        <item x="1365"/>
        <item x="878"/>
        <item x="575"/>
        <item x="1032"/>
        <item x="1103"/>
        <item x="714"/>
        <item x="479"/>
        <item x="182"/>
        <item x="69"/>
        <item x="499"/>
        <item x="1262"/>
        <item x="255"/>
        <item x="116"/>
        <item x="1036"/>
        <item x="927"/>
        <item x="1295"/>
        <item x="326"/>
        <item x="1154"/>
        <item x="563"/>
        <item x="664"/>
        <item x="790"/>
        <item x="1406"/>
        <item x="854"/>
        <item x="802"/>
        <item x="946"/>
        <item x="880"/>
        <item x="836"/>
        <item x="1454"/>
        <item x="720"/>
        <item x="362"/>
        <item x="899"/>
        <item x="1421"/>
        <item x="294"/>
        <item x="1303"/>
        <item x="76"/>
        <item x="364"/>
        <item x="1183"/>
        <item x="1395"/>
        <item x="912"/>
        <item x="993"/>
        <item x="645"/>
        <item x="572"/>
        <item x="1139"/>
        <item x="18"/>
        <item x="1087"/>
        <item x="384"/>
        <item x="732"/>
        <item x="884"/>
        <item x="398"/>
        <item x="550"/>
        <item x="269"/>
        <item x="721"/>
        <item x="174"/>
        <item x="44"/>
        <item x="1444"/>
        <item x="184"/>
        <item x="261"/>
        <item x="296"/>
        <item x="1402"/>
        <item x="77"/>
        <item x="379"/>
        <item x="891"/>
        <item x="1002"/>
        <item x="390"/>
        <item x="1380"/>
        <item x="859"/>
        <item x="966"/>
        <item x="806"/>
        <item x="168"/>
        <item x="85"/>
        <item x="434"/>
        <item x="566"/>
        <item x="1502"/>
        <item x="800"/>
        <item x="1244"/>
        <item x="13"/>
        <item x="1086"/>
        <item x="1074"/>
        <item x="742"/>
        <item x="672"/>
        <item x="1437"/>
        <item x="1219"/>
        <item x="636"/>
        <item x="1127"/>
        <item x="963"/>
        <item x="540"/>
        <item x="24"/>
        <item x="1428"/>
        <item x="1485"/>
        <item x="154"/>
        <item x="466"/>
        <item x="100"/>
        <item x="974"/>
        <item x="1176"/>
        <item x="1366"/>
        <item x="1330"/>
        <item x="441"/>
        <item x="954"/>
        <item x="510"/>
        <item x="90"/>
        <item x="444"/>
        <item x="32"/>
        <item x="455"/>
        <item x="377"/>
        <item x="360"/>
        <item x="192"/>
        <item x="415"/>
        <item x="113"/>
        <item x="61"/>
        <item x="864"/>
        <item x="176"/>
        <item x="1477"/>
        <item x="87"/>
        <item x="1463"/>
        <item x="561"/>
        <item x="665"/>
        <item x="1498"/>
        <item x="104"/>
        <item x="1281"/>
        <item x="1218"/>
        <item x="1224"/>
        <item x="894"/>
        <item x="265"/>
        <item x="1098"/>
        <item x="1325"/>
        <item x="356"/>
        <item x="318"/>
        <item x="1215"/>
        <item x="1181"/>
        <item x="629"/>
        <item x="1412"/>
        <item x="1288"/>
        <item x="744"/>
        <item x="866"/>
        <item x="366"/>
        <item x="84"/>
        <item x="247"/>
        <item x="293"/>
        <item x="41"/>
        <item x="1315"/>
        <item x="233"/>
        <item x="234"/>
        <item x="1031"/>
        <item x="765"/>
        <item x="1089"/>
        <item x="509"/>
        <item x="1049"/>
        <item x="924"/>
        <item x="1493"/>
        <item x="1353"/>
        <item x="597"/>
        <item x="870"/>
        <item x="450"/>
        <item x="906"/>
        <item x="787"/>
        <item x="1035"/>
        <item x="50"/>
        <item x="1494"/>
        <item x="980"/>
        <item x="885"/>
        <item x="1136"/>
        <item x="988"/>
        <item x="1313"/>
        <item x="81"/>
        <item x="978"/>
        <item x="1284"/>
        <item x="678"/>
        <item x="1249"/>
        <item x="1285"/>
        <item x="1326"/>
        <item x="609"/>
        <item x="582"/>
        <item x="332"/>
        <item x="589"/>
        <item x="1447"/>
        <item x="416"/>
        <item x="708"/>
        <item x="177"/>
        <item x="1165"/>
        <item x="1376"/>
        <item x="844"/>
        <item x="516"/>
        <item x="1458"/>
        <item x="35"/>
        <item x="46"/>
        <item x="837"/>
        <item x="406"/>
        <item x="452"/>
        <item x="36"/>
        <item x="1166"/>
        <item x="1077"/>
        <item x="492"/>
        <item x="1407"/>
        <item x="78"/>
        <item x="155"/>
        <item x="947"/>
        <item x="1393"/>
        <item x="1344"/>
        <item x="822"/>
        <item x="1000"/>
        <item x="288"/>
        <item x="931"/>
        <item x="1206"/>
        <item x="1019"/>
        <item x="278"/>
        <item x="256"/>
        <item x="524"/>
        <item x="200"/>
        <item x="405"/>
        <item x="1286"/>
        <item x="922"/>
        <item x="1490"/>
        <item x="1309"/>
        <item x="824"/>
        <item x="439"/>
        <item x="25"/>
        <item x="1391"/>
        <item x="381"/>
        <item x="921"/>
        <item x="528"/>
        <item x="1443"/>
        <item x="1479"/>
        <item x="821"/>
        <item x="38"/>
        <item x="938"/>
        <item x="1085"/>
        <item x="1106"/>
        <item x="212"/>
        <item x="1296"/>
        <item x="637"/>
        <item x="1065"/>
        <item x="251"/>
        <item x="850"/>
        <item x="1291"/>
        <item x="1396"/>
        <item x="1440"/>
        <item x="1442"/>
        <item x="57"/>
        <item x="674"/>
        <item x="371"/>
        <item x="939"/>
        <item x="1253"/>
        <item x="656"/>
        <item x="503"/>
        <item x="1182"/>
        <item x="1306"/>
        <item x="1411"/>
        <item x="763"/>
        <item x="889"/>
        <item x="323"/>
        <item x="1227"/>
        <item x="306"/>
        <item x="562"/>
        <item x="272"/>
        <item x="581"/>
        <item x="746"/>
        <item x="1368"/>
        <item x="789"/>
        <item x="158"/>
        <item x="829"/>
        <item x="588"/>
        <item x="1497"/>
        <item x="670"/>
        <item x="1274"/>
        <item x="920"/>
        <item x="159"/>
        <item x="583"/>
        <item x="14"/>
        <item x="370"/>
        <item x="1297"/>
        <item x="1470"/>
        <item x="606"/>
        <item x="344"/>
        <item x="818"/>
        <item x="1462"/>
        <item x="1161"/>
        <item x="342"/>
        <item x="153"/>
        <item x="735"/>
        <item x="549"/>
        <item x="409"/>
        <item x="1415"/>
        <item x="59"/>
        <item x="42"/>
        <item x="1272"/>
        <item x="55"/>
        <item x="133"/>
        <item x="673"/>
        <item x="445"/>
        <item x="676"/>
        <item x="1369"/>
        <item x="282"/>
        <item x="1063"/>
        <item x="1335"/>
        <item x="1307"/>
        <item x="511"/>
        <item x="1305"/>
        <item x="1257"/>
        <item x="791"/>
        <item x="51"/>
        <item x="1169"/>
        <item x="542"/>
        <item x="252"/>
        <item x="747"/>
        <item x="1491"/>
        <item x="10"/>
        <item x="1107"/>
        <item x="596"/>
        <item x="433"/>
        <item x="150"/>
        <item x="1146"/>
        <item x="845"/>
        <item x="307"/>
        <item x="193"/>
        <item x="312"/>
        <item x="1061"/>
        <item x="512"/>
        <item x="1308"/>
        <item x="262"/>
        <item x="210"/>
        <item x="396"/>
        <item x="313"/>
        <item x="1474"/>
        <item x="810"/>
        <item x="118"/>
        <item x="741"/>
        <item x="93"/>
        <item x="1355"/>
        <item x="831"/>
        <item x="163"/>
        <item x="1124"/>
        <item x="1400"/>
        <item x="687"/>
        <item x="515"/>
        <item x="753"/>
        <item x="1175"/>
        <item x="918"/>
        <item x="75"/>
        <item x="1220"/>
        <item x="1113"/>
        <item x="1324"/>
        <item x="1468"/>
        <item x="959"/>
        <item x="552"/>
        <item x="314"/>
        <item x="161"/>
        <item x="106"/>
        <item x="518"/>
        <item x="1450"/>
        <item x="1003"/>
        <item x="1357"/>
        <item x="1317"/>
        <item x="490"/>
        <item x="898"/>
        <item x="72"/>
        <item x="1040"/>
        <item x="860"/>
        <item x="1265"/>
        <item x="554"/>
        <item x="1282"/>
        <item x="559"/>
        <item x="630"/>
        <item x="853"/>
        <item x="1208"/>
        <item x="4"/>
        <item x="350"/>
        <item x="977"/>
        <item x="141"/>
        <item x="1118"/>
        <item x="1389"/>
        <item x="442"/>
        <item x="219"/>
        <item x="1020"/>
        <item x="997"/>
        <item x="838"/>
        <item x="982"/>
        <item x="1320"/>
        <item x="1068"/>
        <item x="130"/>
        <item x="353"/>
        <item x="248"/>
        <item x="400"/>
        <item x="491"/>
        <item x="338"/>
        <item x="519"/>
        <item x="1062"/>
        <item x="1071"/>
        <item x="1060"/>
        <item x="719"/>
        <item x="1239"/>
        <item x="615"/>
        <item x="1464"/>
        <item x="486"/>
        <item x="1273"/>
        <item x="1332"/>
        <item x="604"/>
        <item x="1501"/>
        <item x="71"/>
        <item x="546"/>
        <item x="813"/>
        <item x="165"/>
        <item x="1211"/>
        <item x="1299"/>
        <item x="270"/>
        <item x="591"/>
        <item x="1499"/>
        <item x="1108"/>
        <item x="905"/>
        <item x="274"/>
        <item x="92"/>
        <item x="1039"/>
        <item x="784"/>
        <item x="1241"/>
        <item x="635"/>
        <item x="983"/>
        <item x="315"/>
        <item x="1242"/>
        <item x="19"/>
        <item x="363"/>
        <item x="779"/>
        <item x="352"/>
        <item x="5"/>
        <item x="146"/>
        <item x="1461"/>
        <item x="1056"/>
        <item x="639"/>
        <item x="391"/>
        <item x="686"/>
        <item x="772"/>
        <item x="1172"/>
        <item x="1363"/>
        <item x="45"/>
        <item x="941"/>
        <item x="520"/>
        <item x="107"/>
        <item x="733"/>
        <item x="189"/>
        <item x="1034"/>
        <item x="843"/>
        <item x="929"/>
        <item x="456"/>
        <item x="1420"/>
        <item x="1001"/>
        <item x="436"/>
        <item x="1235"/>
        <item x="647"/>
        <item x="967"/>
        <item x="179"/>
        <item x="31"/>
        <item x="942"/>
        <item x="541"/>
        <item x="361"/>
        <item x="558"/>
        <item x="374"/>
        <item x="1383"/>
        <item x="709"/>
        <item x="1230"/>
        <item x="815"/>
        <item x="22"/>
        <item x="965"/>
        <item x="788"/>
        <item x="470"/>
        <item x="40"/>
        <item x="1190"/>
        <item x="1210"/>
        <item x="1055"/>
        <item x="530"/>
        <item x="1037"/>
        <item x="33"/>
        <item x="971"/>
        <item x="999"/>
        <item x="767"/>
        <item x="1168"/>
        <item x="207"/>
        <item x="535"/>
        <item x="244"/>
        <item x="1217"/>
        <item x="1096"/>
        <item x="1203"/>
        <item x="1431"/>
        <item x="340"/>
        <item x="1386"/>
        <item x="1185"/>
        <item x="259"/>
        <item x="494"/>
        <item x="145"/>
        <item x="65"/>
        <item x="680"/>
        <item x="112"/>
        <item x="962"/>
        <item x="1379"/>
        <item x="567"/>
        <item x="825"/>
        <item x="1115"/>
        <item x="1488"/>
        <item x="1212"/>
        <item x="940"/>
        <item x="1045"/>
        <item x="975"/>
        <item x="729"/>
        <item x="418"/>
        <item x="220"/>
        <item x="1372"/>
        <item x="1059"/>
        <item x="1199"/>
        <item x="777"/>
        <item x="119"/>
        <item x="298"/>
        <item x="865"/>
        <item x="1012"/>
        <item x="225"/>
        <item x="180"/>
        <item x="325"/>
        <item x="208"/>
        <item x="1482"/>
        <item x="172"/>
        <item x="693"/>
        <item x="961"/>
        <item x="1066"/>
        <item x="188"/>
        <item x="565"/>
        <item x="578"/>
        <item x="611"/>
        <item x="984"/>
        <item x="1047"/>
        <item x="302"/>
        <item x="149"/>
        <item x="1141"/>
        <item x="760"/>
        <item x="473"/>
        <item x="692"/>
        <item x="851"/>
        <item x="1348"/>
        <item x="508"/>
        <item x="139"/>
        <item x="129"/>
        <item x="1398"/>
        <item x="580"/>
        <item x="1041"/>
        <item x="1155"/>
        <item x="1403"/>
        <item x="841"/>
        <item x="1301"/>
        <item x="1236"/>
        <item x="1073"/>
        <item x="624"/>
        <item x="236"/>
        <item x="205"/>
        <item x="586"/>
        <item x="1054"/>
        <item x="1177"/>
        <item x="1300"/>
        <item x="458"/>
        <item x="1351"/>
        <item x="101"/>
        <item x="679"/>
        <item x="1072"/>
        <item x="737"/>
        <item x="1191"/>
        <item x="1197"/>
        <item x="1258"/>
        <item x="764"/>
        <item x="556"/>
        <item x="785"/>
        <item x="487"/>
        <item x="175"/>
        <item x="303"/>
        <item x="1233"/>
        <item x="144"/>
        <item x="968"/>
        <item x="1105"/>
        <item x="1144"/>
        <item x="525"/>
        <item x="258"/>
        <item x="17"/>
        <item x="329"/>
        <item x="1120"/>
        <item x="705"/>
        <item x="904"/>
        <item x="643"/>
        <item x="241"/>
        <item x="1033"/>
        <item x="1240"/>
        <item x="132"/>
        <item x="618"/>
        <item x="300"/>
        <item x="1069"/>
        <item x="1188"/>
        <item x="1009"/>
        <item x="47"/>
        <item x="1213"/>
        <item x="218"/>
        <item x="937"/>
        <item x="1269"/>
        <item x="599"/>
        <item x="134"/>
        <item x="834"/>
        <item x="60"/>
        <item x="365"/>
        <item x="925"/>
        <item x="608"/>
        <item x="1051"/>
        <item x="723"/>
        <item x="367"/>
        <item x="1414"/>
        <item x="373"/>
        <item x="560"/>
        <item x="835"/>
        <item x="429"/>
        <item x="1457"/>
        <item x="257"/>
        <item x="685"/>
        <item x="873"/>
        <item x="1204"/>
        <item x="985"/>
        <item x="654"/>
        <item x="762"/>
        <item x="111"/>
        <item x="1021"/>
        <item x="462"/>
        <item x="1153"/>
        <item x="1356"/>
        <item x="169"/>
        <item x="1167"/>
        <item x="292"/>
        <item x="148"/>
        <item x="140"/>
        <item x="359"/>
        <item x="79"/>
        <item x="1422"/>
        <item x="1116"/>
        <item x="156"/>
        <item x="607"/>
        <item x="689"/>
        <item x="631"/>
        <item x="341"/>
        <item x="1432"/>
        <item x="459"/>
        <item x="1245"/>
        <item x="357"/>
        <item x="534"/>
        <item x="397"/>
        <item x="1302"/>
        <item x="727"/>
        <item x="125"/>
        <item x="1057"/>
        <item x="1337"/>
        <item x="892"/>
        <item x="1452"/>
        <item x="1147"/>
        <item x="773"/>
        <item x="529"/>
        <item x="628"/>
        <item x="970"/>
        <item x="245"/>
        <item x="1252"/>
        <item x="827"/>
        <item x="695"/>
        <item x="527"/>
        <item x="933"/>
        <item x="23"/>
        <item x="769"/>
        <item x="908"/>
        <item x="644"/>
        <item x="380"/>
        <item x="227"/>
        <item x="820"/>
        <item x="887"/>
        <item x="1401"/>
        <item x="1424"/>
        <item x="935"/>
        <item x="472"/>
        <item x="1318"/>
        <item x="446"/>
        <item x="823"/>
        <item x="1148"/>
        <item x="666"/>
        <item x="1173"/>
        <item x="1275"/>
        <item x="91"/>
        <item x="896"/>
        <item x="143"/>
        <item x="297"/>
        <item x="667"/>
        <item x="351"/>
        <item x="819"/>
        <item x="1109"/>
        <item x="669"/>
        <item x="431"/>
        <item x="346"/>
        <item x="1014"/>
        <item x="1082"/>
        <item x="1043"/>
        <item x="923"/>
        <item x="1180"/>
        <item x="1243"/>
        <item x="1007"/>
        <item x="1278"/>
        <item x="612"/>
        <item x="1260"/>
        <item x="1050"/>
        <item x="902"/>
        <item x="21"/>
        <item x="888"/>
        <item x="1492"/>
        <item x="928"/>
        <item x="949"/>
        <item x="202"/>
        <item x="1333"/>
        <item x="796"/>
        <item x="402"/>
        <item x="1382"/>
        <item x="553"/>
        <item x="1133"/>
        <item x="485"/>
        <item x="430"/>
        <item x="603"/>
        <item x="228"/>
        <item x="726"/>
        <item x="874"/>
        <item x="1469"/>
        <item x="1008"/>
        <item x="95"/>
        <item x="738"/>
        <item x="876"/>
        <item x="20"/>
        <item x="29"/>
        <item x="1438"/>
        <item x="903"/>
        <item x="482"/>
        <item x="770"/>
        <item x="1216"/>
        <item x="215"/>
        <item x="830"/>
        <item x="1264"/>
        <item x="958"/>
        <item x="152"/>
        <item x="1280"/>
        <item x="711"/>
        <item x="122"/>
        <item x="438"/>
        <item x="1410"/>
        <item x="781"/>
        <item x="700"/>
        <item x="404"/>
        <item x="1194"/>
        <item x="1256"/>
        <item x="590"/>
        <item x="620"/>
        <item x="213"/>
        <item x="793"/>
        <item x="138"/>
        <item x="1193"/>
        <item x="990"/>
        <item x="63"/>
        <item x="1287"/>
        <item x="526"/>
        <item x="569"/>
        <item x="657"/>
        <item x="1223"/>
        <item x="317"/>
        <item x="1331"/>
        <item x="642"/>
        <item x="1310"/>
        <item x="801"/>
        <item x="209"/>
        <item x="913"/>
        <item x="646"/>
        <item x="151"/>
        <item x="757"/>
        <item x="214"/>
        <item x="403"/>
        <item x="886"/>
        <item x="1495"/>
        <item x="1359"/>
        <item x="238"/>
        <item x="1423"/>
        <item x="34"/>
        <item x="533"/>
        <item x="842"/>
        <item x="206"/>
        <item x="1496"/>
        <item x="716"/>
        <item x="1178"/>
        <item x="1254"/>
        <item x="334"/>
        <item x="287"/>
        <item x="419"/>
        <item x="1399"/>
        <item x="633"/>
        <item x="712"/>
        <item x="115"/>
        <item x="204"/>
        <item x="58"/>
        <item x="1321"/>
        <item x="103"/>
        <item x="37"/>
        <item x="1081"/>
        <item x="1336"/>
        <item x="1375"/>
        <item x="1017"/>
        <item x="331"/>
        <item x="271"/>
        <item x="799"/>
        <item x="464"/>
        <item x="688"/>
        <item x="1123"/>
        <item x="917"/>
        <item x="199"/>
        <item x="794"/>
        <item x="722"/>
        <item x="943"/>
        <item x="1345"/>
        <item x="8"/>
        <item x="1121"/>
        <item x="1248"/>
        <item x="2"/>
        <item x="70"/>
        <item x="662"/>
        <item x="1445"/>
        <item x="475"/>
        <item x="506"/>
        <item x="703"/>
        <item x="1160"/>
        <item x="1456"/>
        <item x="194"/>
        <item x="54"/>
        <item x="1480"/>
        <item x="521"/>
        <item x="39"/>
        <item x="1145"/>
        <item x="1091"/>
        <item x="1405"/>
        <item x="164"/>
        <item x="681"/>
        <item x="814"/>
        <item x="1418"/>
        <item x="420"/>
        <item x="308"/>
        <item x="1164"/>
        <item x="1157"/>
        <item x="706"/>
        <item x="1361"/>
        <item x="957"/>
        <item x="56"/>
        <item x="809"/>
        <item x="449"/>
        <item x="638"/>
        <item x="1053"/>
        <item x="1192"/>
        <item x="422"/>
        <item x="1449"/>
        <item x="932"/>
        <item x="1481"/>
        <item x="991"/>
        <item x="1016"/>
        <item x="1232"/>
        <item x="239"/>
        <item x="1347"/>
        <item x="387"/>
        <item x="1268"/>
        <item x="557"/>
        <item x="803"/>
        <item x="1246"/>
        <item x="1058"/>
        <item x="465"/>
        <item x="1373"/>
        <item x="305"/>
        <item x="1237"/>
        <item x="468"/>
        <item x="1417"/>
        <item x="1404"/>
        <item x="849"/>
        <item x="1387"/>
        <item x="183"/>
        <item x="448"/>
        <item x="768"/>
        <item x="750"/>
        <item x="1342"/>
        <item x="775"/>
        <item x="856"/>
        <item x="771"/>
        <item x="299"/>
        <item x="173"/>
        <item x="131"/>
        <item x="1339"/>
        <item x="623"/>
        <item x="166"/>
        <item x="683"/>
        <item x="1189"/>
        <item x="1392"/>
        <item x="142"/>
        <item x="804"/>
        <item x="622"/>
        <item x="915"/>
        <item x="320"/>
        <item x="407"/>
        <item x="900"/>
        <item x="389"/>
        <item x="697"/>
        <item x="995"/>
        <item x="811"/>
        <item x="336"/>
        <item x="619"/>
        <item x="1184"/>
        <item x="414"/>
        <item x="817"/>
        <item x="1381"/>
        <item x="286"/>
        <item x="285"/>
        <item x="989"/>
        <item x="301"/>
        <item x="185"/>
        <item x="413"/>
        <item x="395"/>
        <item x="996"/>
        <item x="1130"/>
        <item x="1080"/>
        <item x="49"/>
        <item x="375"/>
        <item x="1076"/>
        <item x="73"/>
        <item x="26"/>
        <item x="783"/>
        <item x="704"/>
        <item x="650"/>
        <item x="99"/>
        <item x="1238"/>
        <item x="96"/>
        <item x="682"/>
        <item x="752"/>
        <item x="1408"/>
        <item x="86"/>
        <item x="1436"/>
        <item x="1149"/>
        <item x="953"/>
        <item x="634"/>
        <item x="388"/>
        <item x="469"/>
        <item x="427"/>
        <item x="1132"/>
        <item x="998"/>
        <item x="893"/>
        <item x="98"/>
        <item x="12"/>
        <item x="798"/>
        <item x="595"/>
        <item x="1084"/>
        <item x="751"/>
        <item x="955"/>
        <item x="1142"/>
        <item x="277"/>
        <item x="324"/>
        <item x="1441"/>
        <item x="319"/>
        <item x="1327"/>
        <item x="1340"/>
        <item x="972"/>
        <item x="1201"/>
        <item x="610"/>
        <item x="598"/>
        <item x="1027"/>
        <item x="994"/>
        <item x="1064"/>
        <item x="1263"/>
        <item x="641"/>
        <item x="231"/>
        <item x="532"/>
        <item x="424"/>
        <item x="190"/>
        <item x="945"/>
        <item x="230"/>
        <item x="467"/>
        <item x="211"/>
        <item x="739"/>
        <item x="1487"/>
        <item x="632"/>
        <item x="795"/>
        <item x="1231"/>
        <item x="584"/>
        <item x="1140"/>
        <item x="240"/>
        <item x="117"/>
        <item x="1229"/>
        <item x="426"/>
        <item x="435"/>
        <item x="1129"/>
        <item x="713"/>
        <item x="496"/>
        <item x="1473"/>
        <item x="412"/>
        <item x="283"/>
        <item x="1222"/>
        <item x="498"/>
        <item x="62"/>
        <item x="253"/>
        <item x="263"/>
        <item x="1137"/>
        <item x="911"/>
        <item x="1228"/>
        <item x="1465"/>
        <item x="1111"/>
        <item x="1388"/>
        <item x="792"/>
        <item x="273"/>
        <item x="847"/>
        <item x="480"/>
        <item x="694"/>
        <item x="718"/>
        <item x="15"/>
        <item x="1067"/>
        <item x="1112"/>
        <item x="699"/>
        <item x="136"/>
        <item x="425"/>
        <item x="960"/>
        <item x="536"/>
        <item x="592"/>
        <item x="663"/>
        <item x="191"/>
        <item x="1125"/>
        <item x="394"/>
        <item x="1221"/>
        <item x="743"/>
        <item x="266"/>
        <item x="1316"/>
        <item x="758"/>
        <item x="808"/>
        <item x="249"/>
        <item x="1341"/>
        <item x="914"/>
        <item x="1207"/>
        <item x="861"/>
        <item x="281"/>
        <item x="585"/>
        <item x="66"/>
        <item x="576"/>
        <item x="863"/>
        <item x="1430"/>
        <item x="378"/>
        <item x="538"/>
        <item x="862"/>
        <item x="123"/>
        <item x="1186"/>
        <item x="1005"/>
        <item x="376"/>
        <item x="432"/>
        <item x="659"/>
        <item x="1427"/>
        <item x="126"/>
        <item x="883"/>
        <item x="1151"/>
        <item x="1255"/>
        <item x="451"/>
        <item x="170"/>
        <item x="382"/>
        <item x="579"/>
        <item x="1362"/>
        <item x="852"/>
        <item x="517"/>
        <item x="547"/>
        <item x="1486"/>
        <item x="493"/>
        <item x="875"/>
        <item x="74"/>
        <item x="328"/>
        <item x="48"/>
        <item x="157"/>
        <item x="221"/>
        <item x="121"/>
        <item x="16"/>
        <item x="162"/>
        <item x="349"/>
        <item x="1292"/>
        <item x="730"/>
        <item x="68"/>
        <item x="354"/>
        <item x="358"/>
        <item x="347"/>
        <item x="728"/>
        <item x="1022"/>
        <item x="124"/>
        <item x="1117"/>
        <item x="1234"/>
        <item x="756"/>
        <item x="260"/>
        <item x="1378"/>
        <item x="1312"/>
        <item x="52"/>
        <item x="1311"/>
        <item x="1158"/>
        <item x="1135"/>
        <item x="80"/>
        <item x="1010"/>
        <item x="392"/>
        <item x="1394"/>
        <item x="1261"/>
        <item x="1097"/>
        <item x="1425"/>
        <item x="661"/>
        <item x="1484"/>
        <item x="110"/>
        <item x="840"/>
        <item x="1358"/>
        <item x="1"/>
        <item x="339"/>
        <item x="1439"/>
        <item x="871"/>
        <item x="1122"/>
        <item x="401"/>
        <item x="1250"/>
        <item x="651"/>
        <item x="626"/>
        <item x="1338"/>
        <item x="226"/>
        <item x="1226"/>
        <item x="1079"/>
        <item x="1322"/>
        <item x="88"/>
        <item x="1110"/>
        <item x="30"/>
        <item x="6"/>
        <item x="950"/>
        <item x="1006"/>
        <item x="1478"/>
        <item x="461"/>
        <item x="423"/>
        <item x="782"/>
        <item x="731"/>
        <item x="1350"/>
        <item x="267"/>
        <item x="1360"/>
        <item x="187"/>
        <item x="1114"/>
        <item x="7"/>
        <item x="316"/>
        <item x="872"/>
        <item x="710"/>
        <item x="655"/>
        <item x="826"/>
        <item x="1013"/>
        <item x="832"/>
        <item x="1328"/>
        <item x="1289"/>
        <item x="1102"/>
        <item x="1448"/>
        <item x="322"/>
        <item x="1304"/>
        <item x="264"/>
        <item x="178"/>
        <item x="605"/>
        <item x="393"/>
        <item x="137"/>
        <item x="1429"/>
        <item x="372"/>
        <item x="229"/>
        <item x="310"/>
        <item x="369"/>
        <item x="539"/>
        <item x="964"/>
        <item x="1377"/>
        <item x="1028"/>
        <item x="1095"/>
        <item x="235"/>
        <item x="1023"/>
        <item x="1271"/>
        <item x="514"/>
        <item x="523"/>
        <item x="127"/>
        <item x="167"/>
        <item x="848"/>
        <item x="936"/>
        <item x="1247"/>
        <item x="951"/>
        <item x="197"/>
        <item x="232"/>
        <item x="696"/>
        <item x="477"/>
        <item x="1209"/>
        <item x="1455"/>
        <item x="289"/>
        <item x="868"/>
        <item x="759"/>
        <item x="1170"/>
        <item x="64"/>
        <item x="181"/>
        <item x="120"/>
        <item x="568"/>
        <item x="1015"/>
        <item x="483"/>
        <item x="337"/>
        <item x="327"/>
        <item x="1446"/>
        <item x="594"/>
        <item x="1460"/>
        <item x="471"/>
        <item x="755"/>
        <item x="201"/>
        <item x="1374"/>
        <item x="9"/>
        <item x="587"/>
        <item x="513"/>
        <item x="1198"/>
        <item x="602"/>
        <item x="574"/>
        <item x="1435"/>
        <item x="660"/>
        <item x="1042"/>
        <item x="1277"/>
        <item x="1195"/>
        <item x="855"/>
        <item x="460"/>
        <item x="196"/>
        <item x="109"/>
        <item x="1156"/>
        <item x="476"/>
        <item x="658"/>
        <item x="463"/>
        <item x="690"/>
        <item x="198"/>
        <item x="807"/>
        <item x="691"/>
        <item x="627"/>
        <item x="910"/>
        <item x="330"/>
        <item x="625"/>
        <item x="1128"/>
        <item x="1352"/>
        <item x="1266"/>
        <item x="160"/>
        <item x="717"/>
        <item x="987"/>
        <item x="428"/>
        <item x="243"/>
        <item x="805"/>
        <item x="748"/>
        <item x="776"/>
        <item x="385"/>
        <item x="345"/>
        <item x="1196"/>
        <item x="1004"/>
        <item x="675"/>
        <item x="976"/>
        <item x="1267"/>
        <item x="268"/>
        <item x="544"/>
        <item x="740"/>
        <item x="930"/>
        <item x="1143"/>
        <item x="895"/>
        <item x="279"/>
        <item x="890"/>
        <item x="488"/>
        <item x="237"/>
        <item x="1385"/>
        <item x="1343"/>
        <item x="83"/>
        <item x="290"/>
        <item x="453"/>
        <item x="311"/>
        <item x="858"/>
        <item x="1119"/>
        <item x="1104"/>
        <item x="1018"/>
        <item x="1259"/>
        <item x="926"/>
        <item x="11"/>
        <item x="53"/>
        <item x="399"/>
        <item x="649"/>
        <item x="531"/>
        <item x="570"/>
        <item x="797"/>
        <item x="321"/>
        <item x="648"/>
        <item x="502"/>
        <item x="203"/>
        <item x="222"/>
        <item x="186"/>
        <item x="1293"/>
        <item x="478"/>
        <item x="335"/>
        <item x="43"/>
        <item x="614"/>
        <item x="443"/>
        <item x="1290"/>
        <item x="275"/>
        <item x="600"/>
        <item x="1090"/>
        <item x="440"/>
        <item x="548"/>
        <item x="1138"/>
        <item x="973"/>
        <item x="1419"/>
        <item x="291"/>
        <item x="504"/>
        <item x="280"/>
        <item x="564"/>
        <item x="1433"/>
        <item x="421"/>
        <item x="1174"/>
        <item x="867"/>
        <item x="135"/>
        <item x="474"/>
        <item x="877"/>
        <item x="1048"/>
        <item x="417"/>
        <item x="1334"/>
        <item x="1038"/>
        <item x="839"/>
        <item x="27"/>
        <item x="986"/>
        <item x="1476"/>
        <item x="715"/>
        <item x="613"/>
        <item x="82"/>
        <item x="1251"/>
        <item x="897"/>
        <item x="1279"/>
        <item x="1349"/>
        <item x="749"/>
        <item x="343"/>
        <item x="882"/>
        <item x="869"/>
        <item x="573"/>
        <item x="28"/>
        <item x="1370"/>
        <item x="1187"/>
        <item x="348"/>
        <item x="0"/>
        <item x="724"/>
        <item x="981"/>
        <item x="698"/>
        <item x="1163"/>
        <item x="284"/>
        <item x="1276"/>
        <item x="677"/>
        <item x="500"/>
        <item x="1298"/>
        <item x="1026"/>
        <item x="507"/>
        <item x="1152"/>
        <item x="1075"/>
        <item x="1131"/>
        <item x="653"/>
        <item x="1364"/>
        <item x="10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3"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21">
    <i>
      <x v="822"/>
    </i>
    <i>
      <x v="436"/>
    </i>
    <i>
      <x v="1033"/>
    </i>
    <i>
      <x v="936"/>
    </i>
    <i>
      <x v="387"/>
    </i>
    <i>
      <x v="146"/>
    </i>
    <i>
      <x v="974"/>
    </i>
    <i>
      <x v="477"/>
    </i>
    <i>
      <x v="546"/>
    </i>
    <i>
      <x v="601"/>
    </i>
    <i>
      <x v="1500"/>
    </i>
    <i>
      <x v="255"/>
    </i>
    <i>
      <x v="771"/>
    </i>
    <i>
      <x v="644"/>
    </i>
    <i>
      <x v="1372"/>
    </i>
    <i>
      <x v="1101"/>
    </i>
    <i>
      <x v="238"/>
    </i>
    <i>
      <x v="288"/>
    </i>
    <i>
      <x v="711"/>
    </i>
    <i>
      <x v="616"/>
    </i>
    <i t="grand">
      <x/>
    </i>
  </rowItems>
  <colItems count="1">
    <i/>
  </colItems>
  <dataFields count="1">
    <dataField name=" Qte_Vendida" fld="11" baseField="0" baseItem="0"/>
  </dataFields>
  <pivotTableStyleInfo name="PivotStyleLight16" showRowHeaders="1" showColHeaders="1" showRowStripes="0" showColStripes="0" showLastColumn="1"/>
  <filters count="2">
    <filter fld="0" type="dateBetween" evalOrder="-1" id="199" name="Data_Pedido">
      <autoFilter ref="A1">
        <filterColumn colId="0">
          <customFilters and="1">
            <customFilter operator="greaterThanOrEqual" val="41640"/>
            <customFilter operator="lessThanOrEqual" val="420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9" type="count" evalOrder="-1" id="33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C943F-1283-FC40-AA3B-E419B092514C}" name="Tabela dinâmica11" cacheId="3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rowHeaderCaption="Nome do Cliente">
  <location ref="B38:D59" firstHeaderRow="0" firstDataRow="1" firstDataCol="1"/>
  <pivotFields count="14">
    <pivotField numFmtId="14" showAll="0">
      <items count="8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umFmtId="14" showAll="0"/>
    <pivotField showAll="0"/>
    <pivotField showAll="0"/>
    <pivotField showAll="0"/>
    <pivotField axis="axisRow" showAll="0" measureFilter="1" sortType="descending">
      <items count="687">
        <item x="21"/>
        <item x="70"/>
        <item x="547"/>
        <item x="379"/>
        <item x="213"/>
        <item x="260"/>
        <item x="545"/>
        <item x="106"/>
        <item x="565"/>
        <item x="296"/>
        <item x="593"/>
        <item x="230"/>
        <item x="578"/>
        <item x="181"/>
        <item x="111"/>
        <item x="68"/>
        <item x="559"/>
        <item x="60"/>
        <item x="40"/>
        <item x="682"/>
        <item x="293"/>
        <item x="58"/>
        <item x="644"/>
        <item x="172"/>
        <item x="102"/>
        <item x="263"/>
        <item x="193"/>
        <item x="479"/>
        <item x="400"/>
        <item x="367"/>
        <item x="302"/>
        <item x="46"/>
        <item x="190"/>
        <item x="279"/>
        <item x="599"/>
        <item x="238"/>
        <item x="506"/>
        <item x="466"/>
        <item x="486"/>
        <item x="382"/>
        <item x="579"/>
        <item x="531"/>
        <item x="311"/>
        <item x="324"/>
        <item x="265"/>
        <item x="520"/>
        <item x="96"/>
        <item x="304"/>
        <item x="62"/>
        <item x="434"/>
        <item x="112"/>
        <item x="134"/>
        <item x="415"/>
        <item x="426"/>
        <item x="663"/>
        <item x="118"/>
        <item x="162"/>
        <item x="15"/>
        <item x="604"/>
        <item x="253"/>
        <item x="314"/>
        <item x="98"/>
        <item x="527"/>
        <item x="331"/>
        <item x="103"/>
        <item x="534"/>
        <item x="132"/>
        <item x="602"/>
        <item x="57"/>
        <item x="585"/>
        <item x="291"/>
        <item x="30"/>
        <item x="472"/>
        <item x="59"/>
        <item x="473"/>
        <item x="607"/>
        <item x="477"/>
        <item x="63"/>
        <item x="601"/>
        <item x="306"/>
        <item x="567"/>
        <item x="467"/>
        <item x="678"/>
        <item x="675"/>
        <item x="149"/>
        <item x="73"/>
        <item x="677"/>
        <item x="609"/>
        <item x="569"/>
        <item x="232"/>
        <item x="1"/>
        <item x="551"/>
        <item x="160"/>
        <item x="417"/>
        <item x="471"/>
        <item x="650"/>
        <item x="84"/>
        <item x="633"/>
        <item x="337"/>
        <item x="121"/>
        <item x="532"/>
        <item x="292"/>
        <item x="389"/>
        <item x="544"/>
        <item x="378"/>
        <item x="576"/>
        <item x="270"/>
        <item x="425"/>
        <item x="387"/>
        <item x="83"/>
        <item x="299"/>
        <item x="570"/>
        <item x="256"/>
        <item x="594"/>
        <item x="366"/>
        <item x="329"/>
        <item x="518"/>
        <item x="294"/>
        <item x="251"/>
        <item x="657"/>
        <item x="123"/>
        <item x="108"/>
        <item x="584"/>
        <item x="619"/>
        <item x="380"/>
        <item x="394"/>
        <item x="469"/>
        <item x="575"/>
        <item x="420"/>
        <item x="33"/>
        <item x="674"/>
        <item x="608"/>
        <item x="685"/>
        <item x="81"/>
        <item x="492"/>
        <item x="340"/>
        <item x="508"/>
        <item x="589"/>
        <item x="164"/>
        <item x="456"/>
        <item x="541"/>
        <item x="85"/>
        <item x="72"/>
        <item x="36"/>
        <item x="323"/>
        <item x="624"/>
        <item x="104"/>
        <item x="572"/>
        <item x="262"/>
        <item x="553"/>
        <item x="354"/>
        <item x="409"/>
        <item x="375"/>
        <item x="476"/>
        <item x="23"/>
        <item x="342"/>
        <item x="243"/>
        <item x="353"/>
        <item x="8"/>
        <item x="524"/>
        <item x="35"/>
        <item x="548"/>
        <item x="468"/>
        <item x="635"/>
        <item x="552"/>
        <item x="383"/>
        <item x="37"/>
        <item x="244"/>
        <item x="442"/>
        <item x="355"/>
        <item x="424"/>
        <item x="478"/>
        <item x="101"/>
        <item x="499"/>
        <item x="19"/>
        <item x="283"/>
        <item x="284"/>
        <item x="503"/>
        <item x="369"/>
        <item x="173"/>
        <item x="363"/>
        <item x="2"/>
        <item x="496"/>
        <item x="26"/>
        <item x="76"/>
        <item x="204"/>
        <item x="10"/>
        <item x="658"/>
        <item x="402"/>
        <item x="588"/>
        <item x="668"/>
        <item x="680"/>
        <item x="217"/>
        <item x="438"/>
        <item x="97"/>
        <item x="242"/>
        <item x="297"/>
        <item x="533"/>
        <item x="452"/>
        <item x="513"/>
        <item x="523"/>
        <item x="649"/>
        <item x="617"/>
        <item x="517"/>
        <item x="38"/>
        <item x="169"/>
        <item x="441"/>
        <item x="645"/>
        <item x="651"/>
        <item x="228"/>
        <item x="182"/>
        <item x="99"/>
        <item x="6"/>
        <item x="470"/>
        <item x="53"/>
        <item x="28"/>
        <item x="332"/>
        <item x="271"/>
        <item x="295"/>
        <item x="447"/>
        <item x="207"/>
        <item x="128"/>
        <item x="555"/>
        <item x="485"/>
        <item x="344"/>
        <item x="392"/>
        <item x="458"/>
        <item x="74"/>
        <item x="239"/>
        <item x="156"/>
        <item x="500"/>
        <item x="632"/>
        <item x="171"/>
        <item x="422"/>
        <item x="307"/>
        <item x="188"/>
        <item x="107"/>
        <item x="20"/>
        <item x="168"/>
        <item x="87"/>
        <item x="152"/>
        <item x="381"/>
        <item x="655"/>
        <item x="47"/>
        <item x="137"/>
        <item x="586"/>
        <item x="237"/>
        <item x="179"/>
        <item x="597"/>
        <item x="290"/>
        <item x="580"/>
        <item x="587"/>
        <item x="100"/>
        <item x="88"/>
        <item x="257"/>
        <item x="144"/>
        <item x="131"/>
        <item x="309"/>
        <item x="374"/>
        <item x="606"/>
        <item x="218"/>
        <item x="621"/>
        <item x="117"/>
        <item x="95"/>
        <item x="192"/>
        <item x="67"/>
        <item x="543"/>
        <item x="461"/>
        <item x="39"/>
        <item x="280"/>
        <item x="684"/>
        <item x="64"/>
        <item x="223"/>
        <item x="431"/>
        <item x="305"/>
        <item x="416"/>
        <item x="439"/>
        <item x="180"/>
        <item x="598"/>
        <item x="158"/>
        <item x="393"/>
        <item x="75"/>
        <item x="139"/>
        <item x="322"/>
        <item x="5"/>
        <item x="437"/>
        <item x="185"/>
        <item x="120"/>
        <item x="159"/>
        <item x="475"/>
        <item x="116"/>
        <item x="445"/>
        <item x="268"/>
        <item x="590"/>
        <item x="666"/>
        <item x="542"/>
        <item x="641"/>
        <item x="636"/>
        <item x="135"/>
        <item x="250"/>
        <item x="27"/>
        <item x="491"/>
        <item x="605"/>
        <item x="582"/>
        <item x="399"/>
        <item x="301"/>
        <item x="630"/>
        <item x="317"/>
        <item x="300"/>
        <item x="18"/>
        <item x="334"/>
        <item x="512"/>
        <item x="287"/>
        <item x="186"/>
        <item x="634"/>
        <item x="208"/>
        <item x="348"/>
        <item x="289"/>
        <item x="341"/>
        <item x="483"/>
        <item x="312"/>
        <item x="489"/>
        <item x="241"/>
        <item x="154"/>
        <item x="48"/>
        <item x="448"/>
        <item x="539"/>
        <item x="281"/>
        <item x="643"/>
        <item x="91"/>
        <item x="397"/>
        <item x="298"/>
        <item x="216"/>
        <item x="55"/>
        <item x="285"/>
        <item x="361"/>
        <item x="446"/>
        <item x="34"/>
        <item x="558"/>
        <item x="234"/>
        <item x="612"/>
        <item x="151"/>
        <item x="130"/>
        <item x="454"/>
        <item x="174"/>
        <item x="664"/>
        <item x="319"/>
        <item x="161"/>
        <item x="546"/>
        <item x="656"/>
        <item x="259"/>
        <item x="474"/>
        <item x="343"/>
        <item x="214"/>
        <item x="665"/>
        <item x="326"/>
        <item x="277"/>
        <item x="459"/>
        <item x="683"/>
        <item x="411"/>
        <item x="502"/>
        <item x="440"/>
        <item x="165"/>
        <item x="286"/>
        <item x="600"/>
        <item x="673"/>
        <item x="248"/>
        <item x="433"/>
        <item x="395"/>
        <item x="419"/>
        <item x="42"/>
        <item x="52"/>
        <item x="163"/>
        <item x="24"/>
        <item x="538"/>
        <item x="175"/>
        <item x="396"/>
        <item x="407"/>
        <item x="261"/>
        <item x="421"/>
        <item x="316"/>
        <item x="493"/>
        <item x="376"/>
        <item x="274"/>
        <item x="114"/>
        <item x="258"/>
        <item x="667"/>
        <item x="404"/>
        <item x="514"/>
        <item x="41"/>
        <item x="515"/>
        <item x="615"/>
        <item x="141"/>
        <item x="453"/>
        <item x="525"/>
        <item x="681"/>
        <item x="224"/>
        <item x="330"/>
        <item x="320"/>
        <item x="78"/>
        <item x="205"/>
        <item x="125"/>
        <item x="488"/>
        <item x="313"/>
        <item x="430"/>
        <item x="226"/>
        <item x="480"/>
        <item x="490"/>
        <item x="561"/>
        <item x="143"/>
        <item x="7"/>
        <item x="93"/>
        <item x="530"/>
        <item x="408"/>
        <item x="146"/>
        <item x="428"/>
        <item x="247"/>
        <item x="370"/>
        <item x="679"/>
        <item x="227"/>
        <item x="610"/>
        <item x="0"/>
        <item x="184"/>
        <item x="80"/>
        <item x="145"/>
        <item x="61"/>
        <item x="126"/>
        <item x="495"/>
        <item x="412"/>
        <item x="264"/>
        <item x="449"/>
        <item x="403"/>
        <item x="14"/>
        <item x="550"/>
        <item x="510"/>
        <item x="11"/>
        <item x="573"/>
        <item x="4"/>
        <item x="44"/>
        <item x="201"/>
        <item x="631"/>
        <item x="211"/>
        <item x="372"/>
        <item x="670"/>
        <item x="568"/>
        <item x="432"/>
        <item x="462"/>
        <item x="129"/>
        <item x="267"/>
        <item x="622"/>
        <item x="32"/>
        <item x="385"/>
        <item x="505"/>
        <item x="628"/>
        <item x="522"/>
        <item x="77"/>
        <item x="377"/>
        <item x="410"/>
        <item x="435"/>
        <item x="254"/>
        <item x="464"/>
        <item x="444"/>
        <item x="595"/>
        <item x="157"/>
        <item x="110"/>
        <item x="351"/>
        <item x="660"/>
        <item x="51"/>
        <item x="623"/>
        <item x="614"/>
        <item x="89"/>
        <item x="153"/>
        <item x="659"/>
        <item x="577"/>
        <item x="583"/>
        <item x="345"/>
        <item x="136"/>
        <item x="672"/>
        <item x="288"/>
        <item x="648"/>
        <item x="384"/>
        <item x="556"/>
        <item x="194"/>
        <item x="69"/>
        <item x="196"/>
        <item x="225"/>
        <item x="310"/>
        <item x="423"/>
        <item x="12"/>
        <item x="155"/>
        <item x="170"/>
        <item x="327"/>
        <item x="654"/>
        <item x="371"/>
        <item x="113"/>
        <item x="150"/>
        <item x="362"/>
        <item x="56"/>
        <item x="627"/>
        <item x="554"/>
        <item x="94"/>
        <item x="405"/>
        <item x="282"/>
        <item x="22"/>
        <item x="246"/>
        <item x="147"/>
        <item x="497"/>
        <item x="564"/>
        <item x="549"/>
        <item x="356"/>
        <item x="418"/>
        <item x="66"/>
        <item x="79"/>
        <item x="318"/>
        <item x="31"/>
        <item x="637"/>
        <item x="443"/>
        <item x="43"/>
        <item x="197"/>
        <item x="167"/>
        <item x="54"/>
        <item x="501"/>
        <item x="49"/>
        <item x="529"/>
        <item x="71"/>
        <item x="563"/>
        <item x="557"/>
        <item x="519"/>
        <item x="335"/>
        <item x="105"/>
        <item x="365"/>
        <item x="536"/>
        <item x="427"/>
        <item x="560"/>
        <item x="215"/>
        <item x="187"/>
        <item x="450"/>
        <item x="566"/>
        <item x="249"/>
        <item x="509"/>
        <item x="507"/>
        <item x="148"/>
        <item x="481"/>
        <item x="25"/>
        <item x="360"/>
        <item x="487"/>
        <item x="339"/>
        <item x="676"/>
        <item x="368"/>
        <item x="273"/>
        <item x="537"/>
        <item x="278"/>
        <item x="233"/>
        <item x="516"/>
        <item x="133"/>
        <item x="303"/>
        <item x="398"/>
        <item x="661"/>
        <item x="669"/>
        <item x="109"/>
        <item x="349"/>
        <item x="236"/>
        <item x="321"/>
        <item x="494"/>
        <item x="460"/>
        <item x="504"/>
        <item x="581"/>
        <item x="391"/>
        <item x="511"/>
        <item x="209"/>
        <item x="195"/>
        <item x="352"/>
        <item x="364"/>
        <item x="235"/>
        <item x="245"/>
        <item x="221"/>
        <item x="526"/>
        <item x="29"/>
        <item x="358"/>
        <item x="406"/>
        <item x="13"/>
        <item x="50"/>
        <item x="540"/>
        <item x="390"/>
        <item x="652"/>
        <item x="596"/>
        <item x="325"/>
        <item x="535"/>
        <item x="276"/>
        <item x="521"/>
        <item x="465"/>
        <item x="45"/>
        <item x="603"/>
        <item x="373"/>
        <item x="272"/>
        <item x="451"/>
        <item x="591"/>
        <item x="498"/>
        <item x="346"/>
        <item x="198"/>
        <item x="212"/>
        <item x="611"/>
        <item x="386"/>
        <item x="413"/>
        <item x="229"/>
        <item x="178"/>
        <item x="140"/>
        <item x="266"/>
        <item x="336"/>
        <item x="653"/>
        <item x="124"/>
        <item x="616"/>
        <item x="269"/>
        <item x="252"/>
        <item x="328"/>
        <item x="642"/>
        <item x="219"/>
        <item x="65"/>
        <item x="82"/>
        <item x="16"/>
        <item x="199"/>
        <item x="338"/>
        <item x="90"/>
        <item x="625"/>
        <item x="662"/>
        <item x="17"/>
        <item x="638"/>
        <item x="571"/>
        <item x="640"/>
        <item x="220"/>
        <item x="613"/>
        <item x="457"/>
        <item x="189"/>
        <item x="574"/>
        <item x="455"/>
        <item x="127"/>
        <item x="429"/>
        <item x="177"/>
        <item x="482"/>
        <item x="350"/>
        <item x="166"/>
        <item x="308"/>
        <item x="463"/>
        <item x="671"/>
        <item x="86"/>
        <item x="357"/>
        <item x="203"/>
        <item x="240"/>
        <item x="359"/>
        <item x="92"/>
        <item x="255"/>
        <item x="347"/>
        <item x="231"/>
        <item x="3"/>
        <item x="191"/>
        <item x="9"/>
        <item x="646"/>
        <item x="119"/>
        <item x="592"/>
        <item x="315"/>
        <item x="639"/>
        <item x="647"/>
        <item x="388"/>
        <item x="200"/>
        <item x="562"/>
        <item x="210"/>
        <item x="206"/>
        <item x="626"/>
        <item x="401"/>
        <item x="333"/>
        <item x="618"/>
        <item x="122"/>
        <item x="528"/>
        <item x="115"/>
        <item x="629"/>
        <item x="142"/>
        <item x="275"/>
        <item x="222"/>
        <item x="620"/>
        <item x="484"/>
        <item x="202"/>
        <item x="176"/>
        <item x="436"/>
        <item x="414"/>
        <item x="183"/>
        <item x="1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3"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21">
    <i>
      <x v="249"/>
    </i>
    <i>
      <x v="636"/>
    </i>
    <i>
      <x v="586"/>
    </i>
    <i>
      <x v="218"/>
    </i>
    <i>
      <x v="146"/>
    </i>
    <i>
      <x v="594"/>
    </i>
    <i>
      <x v="404"/>
    </i>
    <i>
      <x v="257"/>
    </i>
    <i>
      <x v="579"/>
    </i>
    <i>
      <x v="334"/>
    </i>
    <i>
      <x v="335"/>
    </i>
    <i>
      <x v="121"/>
    </i>
    <i>
      <x v="216"/>
    </i>
    <i>
      <x v="114"/>
    </i>
    <i>
      <x v="591"/>
    </i>
    <i>
      <x v="291"/>
    </i>
    <i>
      <x v="556"/>
    </i>
    <i>
      <x v="93"/>
    </i>
    <i>
      <x v="635"/>
    </i>
    <i>
      <x v="33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_Venda" fld="10" baseField="0" baseItem="0" numFmtId="4"/>
    <dataField name=" Qte_Vendida" fld="11" baseField="0" baseItem="0"/>
  </dataFields>
  <pivotTableStyleInfo name="PivotStyleLight16" showRowHeaders="1" showColHeaders="1" showRowStripes="0" showColStripes="0" showLastColumn="1"/>
  <filters count="2">
    <filter fld="0" type="dateBetween" evalOrder="-1" id="197" name="Data_Pedido">
      <autoFilter ref="A1">
        <filterColumn colId="0">
          <customFilters and="1">
            <customFilter operator="greaterThanOrEqual" val="41640"/>
            <customFilter operator="lessThanOrEqual" val="420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5" type="count" evalOrder="-1" id="19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5B157-BF0A-4984-BFD6-C82D6578E68D}" name="Tabela dinâmica4" cacheId="3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7">
  <location ref="B2:C852" firstHeaderRow="1" firstDataRow="1" firstDataCol="1"/>
  <pivotFields count="14">
    <pivotField numFmtId="14" showAll="0">
      <items count="8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3"/>
    <field x="12"/>
  </rowFields>
  <rowItems count="850">
    <i>
      <x v="1"/>
    </i>
    <i r="1">
      <x v="6"/>
    </i>
    <i r="1">
      <x v="13"/>
    </i>
    <i r="1">
      <x v="18"/>
    </i>
    <i r="1">
      <x v="19"/>
    </i>
    <i r="1">
      <x v="20"/>
    </i>
    <i r="1">
      <x v="23"/>
    </i>
    <i r="1">
      <x v="27"/>
    </i>
    <i r="1">
      <x v="31"/>
    </i>
    <i r="1">
      <x v="33"/>
    </i>
    <i r="1">
      <x v="34"/>
    </i>
    <i r="1">
      <x v="35"/>
    </i>
    <i r="1">
      <x v="39"/>
    </i>
    <i r="1">
      <x v="43"/>
    </i>
    <i r="1">
      <x v="45"/>
    </i>
    <i r="1">
      <x v="46"/>
    </i>
    <i r="1">
      <x v="51"/>
    </i>
    <i r="1">
      <x v="53"/>
    </i>
    <i r="1">
      <x v="55"/>
    </i>
    <i r="1">
      <x v="61"/>
    </i>
    <i r="1">
      <x v="63"/>
    </i>
    <i r="1">
      <x v="67"/>
    </i>
    <i r="1">
      <x v="70"/>
    </i>
    <i r="1">
      <x v="71"/>
    </i>
    <i r="1">
      <x v="74"/>
    </i>
    <i r="1">
      <x v="78"/>
    </i>
    <i r="1">
      <x v="82"/>
    </i>
    <i r="1">
      <x v="83"/>
    </i>
    <i r="1">
      <x v="84"/>
    </i>
    <i r="1">
      <x v="85"/>
    </i>
    <i r="1">
      <x v="86"/>
    </i>
    <i r="1">
      <x v="88"/>
    </i>
    <i r="1">
      <x v="90"/>
    </i>
    <i r="1">
      <x v="91"/>
    </i>
    <i r="1">
      <x v="92"/>
    </i>
    <i r="1">
      <x v="94"/>
    </i>
    <i r="1">
      <x v="95"/>
    </i>
    <i r="1">
      <x v="97"/>
    </i>
    <i r="1">
      <x v="99"/>
    </i>
    <i r="1">
      <x v="102"/>
    </i>
    <i r="1">
      <x v="103"/>
    </i>
    <i r="1">
      <x v="106"/>
    </i>
    <i r="1">
      <x v="109"/>
    </i>
    <i r="1">
      <x v="110"/>
    </i>
    <i r="1">
      <x v="111"/>
    </i>
    <i r="1">
      <x v="112"/>
    </i>
    <i r="1">
      <x v="114"/>
    </i>
    <i r="1">
      <x v="116"/>
    </i>
    <i r="1">
      <x v="117"/>
    </i>
    <i r="1">
      <x v="119"/>
    </i>
    <i r="1">
      <x v="125"/>
    </i>
    <i r="1">
      <x v="127"/>
    </i>
    <i r="1">
      <x v="130"/>
    </i>
    <i r="1">
      <x v="131"/>
    </i>
    <i r="1">
      <x v="134"/>
    </i>
    <i r="1">
      <x v="137"/>
    </i>
    <i r="1">
      <x v="142"/>
    </i>
    <i r="1">
      <x v="144"/>
    </i>
    <i r="1">
      <x v="147"/>
    </i>
    <i r="1">
      <x v="148"/>
    </i>
    <i r="1">
      <x v="149"/>
    </i>
    <i r="1">
      <x v="154"/>
    </i>
    <i r="1">
      <x v="155"/>
    </i>
    <i r="1">
      <x v="160"/>
    </i>
    <i r="1">
      <x v="161"/>
    </i>
    <i r="1">
      <x v="165"/>
    </i>
    <i r="1">
      <x v="169"/>
    </i>
    <i r="1">
      <x v="170"/>
    </i>
    <i r="1">
      <x v="173"/>
    </i>
    <i r="1">
      <x v="174"/>
    </i>
    <i r="1">
      <x v="176"/>
    </i>
    <i r="1">
      <x v="177"/>
    </i>
    <i r="1">
      <x v="182"/>
    </i>
    <i r="1">
      <x v="183"/>
    </i>
    <i r="1">
      <x v="186"/>
    </i>
    <i r="1">
      <x v="187"/>
    </i>
    <i r="1">
      <x v="188"/>
    </i>
    <i r="1">
      <x v="190"/>
    </i>
    <i r="1">
      <x v="191"/>
    </i>
    <i r="1">
      <x v="194"/>
    </i>
    <i r="1">
      <x v="195"/>
    </i>
    <i r="1">
      <x v="196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7"/>
    </i>
    <i r="1">
      <x v="208"/>
    </i>
    <i r="1">
      <x v="209"/>
    </i>
    <i r="1">
      <x v="212"/>
    </i>
    <i r="1">
      <x v="214"/>
    </i>
    <i r="1">
      <x v="216"/>
    </i>
    <i r="1">
      <x v="217"/>
    </i>
    <i r="1">
      <x v="218"/>
    </i>
    <i r="1">
      <x v="221"/>
    </i>
    <i r="1">
      <x v="222"/>
    </i>
    <i r="1">
      <x v="224"/>
    </i>
    <i r="1">
      <x v="225"/>
    </i>
    <i r="1">
      <x v="228"/>
    </i>
    <i r="1">
      <x v="232"/>
    </i>
    <i r="1">
      <x v="236"/>
    </i>
    <i r="1">
      <x v="237"/>
    </i>
    <i r="1">
      <x v="238"/>
    </i>
    <i r="1">
      <x v="239"/>
    </i>
    <i r="1">
      <x v="240"/>
    </i>
    <i r="1">
      <x v="242"/>
    </i>
    <i r="1">
      <x v="244"/>
    </i>
    <i r="1">
      <x v="245"/>
    </i>
    <i r="1">
      <x v="250"/>
    </i>
    <i r="1">
      <x v="251"/>
    </i>
    <i r="1">
      <x v="252"/>
    </i>
    <i r="1">
      <x v="254"/>
    </i>
    <i r="1">
      <x v="255"/>
    </i>
    <i r="1">
      <x v="257"/>
    </i>
    <i r="1">
      <x v="261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3"/>
    </i>
    <i r="1">
      <x v="284"/>
    </i>
    <i r="1">
      <x v="285"/>
    </i>
    <i r="1">
      <x v="286"/>
    </i>
    <i r="1">
      <x v="287"/>
    </i>
    <i r="1">
      <x v="290"/>
    </i>
    <i r="1">
      <x v="292"/>
    </i>
    <i r="1">
      <x v="293"/>
    </i>
    <i r="1">
      <x v="295"/>
    </i>
    <i r="1">
      <x v="298"/>
    </i>
    <i r="1">
      <x v="299"/>
    </i>
    <i r="1">
      <x v="300"/>
    </i>
    <i r="1">
      <x v="302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20"/>
    </i>
    <i r="1">
      <x v="321"/>
    </i>
    <i r="1">
      <x v="322"/>
    </i>
    <i r="1">
      <x v="323"/>
    </i>
    <i r="1">
      <x v="324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3"/>
    </i>
    <i r="1">
      <x v="334"/>
    </i>
    <i r="1">
      <x v="335"/>
    </i>
    <i r="1">
      <x v="336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7"/>
    </i>
    <i r="1">
      <x v="348"/>
    </i>
    <i r="1">
      <x v="350"/>
    </i>
    <i r="1">
      <x v="351"/>
    </i>
    <i r="1">
      <x v="354"/>
    </i>
    <i r="1">
      <x v="355"/>
    </i>
    <i r="1">
      <x v="356"/>
    </i>
    <i r="1">
      <x v="357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6"/>
    </i>
    <i>
      <x v="2"/>
    </i>
    <i r="1">
      <x v="5"/>
    </i>
    <i r="1">
      <x v="6"/>
    </i>
    <i r="1">
      <x v="13"/>
    </i>
    <i r="1">
      <x v="23"/>
    </i>
    <i r="1">
      <x v="26"/>
    </i>
    <i r="1">
      <x v="27"/>
    </i>
    <i r="1">
      <x v="30"/>
    </i>
    <i r="1">
      <x v="34"/>
    </i>
    <i r="1">
      <x v="37"/>
    </i>
    <i r="1">
      <x v="40"/>
    </i>
    <i r="1">
      <x v="46"/>
    </i>
    <i r="1">
      <x v="47"/>
    </i>
    <i r="1">
      <x v="49"/>
    </i>
    <i r="1">
      <x v="52"/>
    </i>
    <i r="1">
      <x v="58"/>
    </i>
    <i r="1">
      <x v="61"/>
    </i>
    <i r="1">
      <x v="62"/>
    </i>
    <i r="1">
      <x v="66"/>
    </i>
    <i r="1">
      <x v="68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3"/>
    </i>
    <i r="1">
      <x v="96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8"/>
    </i>
    <i r="1">
      <x v="109"/>
    </i>
    <i r="1">
      <x v="113"/>
    </i>
    <i r="1">
      <x v="116"/>
    </i>
    <i r="1">
      <x v="117"/>
    </i>
    <i r="1">
      <x v="118"/>
    </i>
    <i r="1">
      <x v="121"/>
    </i>
    <i r="1">
      <x v="122"/>
    </i>
    <i r="1">
      <x v="124"/>
    </i>
    <i r="1">
      <x v="129"/>
    </i>
    <i r="1">
      <x v="131"/>
    </i>
    <i r="1">
      <x v="132"/>
    </i>
    <i r="1">
      <x v="133"/>
    </i>
    <i r="1">
      <x v="135"/>
    </i>
    <i r="1">
      <x v="139"/>
    </i>
    <i r="1">
      <x v="142"/>
    </i>
    <i r="1">
      <x v="143"/>
    </i>
    <i r="1">
      <x v="144"/>
    </i>
    <i r="1">
      <x v="146"/>
    </i>
    <i r="1">
      <x v="147"/>
    </i>
    <i r="1">
      <x v="149"/>
    </i>
    <i r="1">
      <x v="150"/>
    </i>
    <i r="1">
      <x v="152"/>
    </i>
    <i r="1">
      <x v="153"/>
    </i>
    <i r="1">
      <x v="156"/>
    </i>
    <i r="1">
      <x v="159"/>
    </i>
    <i r="1">
      <x v="161"/>
    </i>
    <i r="1">
      <x v="165"/>
    </i>
    <i r="1">
      <x v="167"/>
    </i>
    <i r="1">
      <x v="170"/>
    </i>
    <i r="1">
      <x v="171"/>
    </i>
    <i r="1">
      <x v="172"/>
    </i>
    <i r="1">
      <x v="174"/>
    </i>
    <i r="1">
      <x v="175"/>
    </i>
    <i r="1">
      <x v="177"/>
    </i>
    <i r="1">
      <x v="180"/>
    </i>
    <i r="1">
      <x v="186"/>
    </i>
    <i r="1">
      <x v="188"/>
    </i>
    <i r="1">
      <x v="192"/>
    </i>
    <i r="1">
      <x v="193"/>
    </i>
    <i r="1">
      <x v="196"/>
    </i>
    <i r="1">
      <x v="198"/>
    </i>
    <i r="1">
      <x v="199"/>
    </i>
    <i r="1">
      <x v="200"/>
    </i>
    <i r="1">
      <x v="201"/>
    </i>
    <i r="1">
      <x v="207"/>
    </i>
    <i r="1">
      <x v="208"/>
    </i>
    <i r="1">
      <x v="212"/>
    </i>
    <i r="1">
      <x v="214"/>
    </i>
    <i r="1">
      <x v="215"/>
    </i>
    <i r="1">
      <x v="220"/>
    </i>
    <i r="1">
      <x v="221"/>
    </i>
    <i r="1">
      <x v="223"/>
    </i>
    <i r="1">
      <x v="226"/>
    </i>
    <i r="1">
      <x v="228"/>
    </i>
    <i r="1">
      <x v="229"/>
    </i>
    <i r="1">
      <x v="230"/>
    </i>
    <i r="1">
      <x v="234"/>
    </i>
    <i r="1">
      <x v="237"/>
    </i>
    <i r="1">
      <x v="238"/>
    </i>
    <i r="1">
      <x v="240"/>
    </i>
    <i r="1">
      <x v="241"/>
    </i>
    <i r="1">
      <x v="244"/>
    </i>
    <i r="1">
      <x v="245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4"/>
    </i>
    <i r="1">
      <x v="255"/>
    </i>
    <i r="1">
      <x v="256"/>
    </i>
    <i r="1">
      <x v="257"/>
    </i>
    <i r="1">
      <x v="258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8"/>
    </i>
    <i r="1">
      <x v="269"/>
    </i>
    <i r="1">
      <x v="270"/>
    </i>
    <i r="1">
      <x v="271"/>
    </i>
    <i r="1">
      <x v="272"/>
    </i>
    <i r="1">
      <x v="275"/>
    </i>
    <i r="1">
      <x v="276"/>
    </i>
    <i r="1">
      <x v="277"/>
    </i>
    <i r="1">
      <x v="278"/>
    </i>
    <i r="1">
      <x v="279"/>
    </i>
    <i r="1">
      <x v="282"/>
    </i>
    <i r="1">
      <x v="284"/>
    </i>
    <i r="1">
      <x v="286"/>
    </i>
    <i r="1">
      <x v="291"/>
    </i>
    <i r="1">
      <x v="292"/>
    </i>
    <i r="1">
      <x v="293"/>
    </i>
    <i r="1">
      <x v="294"/>
    </i>
    <i r="1">
      <x v="297"/>
    </i>
    <i r="1">
      <x v="298"/>
    </i>
    <i r="1">
      <x v="299"/>
    </i>
    <i r="1">
      <x v="300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7"/>
    </i>
    <i r="1">
      <x v="318"/>
    </i>
    <i r="1">
      <x v="319"/>
    </i>
    <i r="1">
      <x v="321"/>
    </i>
    <i r="1">
      <x v="322"/>
    </i>
    <i r="1">
      <x v="324"/>
    </i>
    <i r="1">
      <x v="325"/>
    </i>
    <i r="1">
      <x v="326"/>
    </i>
    <i r="1">
      <x v="327"/>
    </i>
    <i r="1">
      <x v="329"/>
    </i>
    <i r="1">
      <x v="332"/>
    </i>
    <i r="1">
      <x v="333"/>
    </i>
    <i r="1">
      <x v="334"/>
    </i>
    <i r="1">
      <x v="335"/>
    </i>
    <i r="1">
      <x v="336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9"/>
    </i>
    <i r="1">
      <x v="360"/>
    </i>
    <i r="1">
      <x v="362"/>
    </i>
    <i r="1">
      <x v="365"/>
    </i>
    <i r="1">
      <x v="366"/>
    </i>
    <i>
      <x v="3"/>
    </i>
    <i r="1">
      <x v="3"/>
    </i>
    <i r="1">
      <x v="7"/>
    </i>
    <i r="1">
      <x v="9"/>
    </i>
    <i r="1">
      <x v="10"/>
    </i>
    <i r="1">
      <x v="16"/>
    </i>
    <i r="1">
      <x v="21"/>
    </i>
    <i r="1">
      <x v="22"/>
    </i>
    <i r="1">
      <x v="23"/>
    </i>
    <i r="1">
      <x v="28"/>
    </i>
    <i r="1">
      <x v="30"/>
    </i>
    <i r="1">
      <x v="31"/>
    </i>
    <i r="1">
      <x v="32"/>
    </i>
    <i r="1">
      <x v="35"/>
    </i>
    <i r="1">
      <x v="36"/>
    </i>
    <i r="1">
      <x v="38"/>
    </i>
    <i r="1">
      <x v="40"/>
    </i>
    <i r="1">
      <x v="44"/>
    </i>
    <i r="1">
      <x v="50"/>
    </i>
    <i r="1">
      <x v="52"/>
    </i>
    <i r="1">
      <x v="53"/>
    </i>
    <i r="1">
      <x v="62"/>
    </i>
    <i r="1">
      <x v="64"/>
    </i>
    <i r="1">
      <x v="65"/>
    </i>
    <i r="1">
      <x v="69"/>
    </i>
    <i r="1">
      <x v="71"/>
    </i>
    <i r="1">
      <x v="73"/>
    </i>
    <i r="1">
      <x v="74"/>
    </i>
    <i r="1">
      <x v="75"/>
    </i>
    <i r="1">
      <x v="76"/>
    </i>
    <i r="1">
      <x v="78"/>
    </i>
    <i r="1">
      <x v="80"/>
    </i>
    <i r="1">
      <x v="81"/>
    </i>
    <i r="1">
      <x v="83"/>
    </i>
    <i r="1">
      <x v="85"/>
    </i>
    <i r="1">
      <x v="87"/>
    </i>
    <i r="1">
      <x v="89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20"/>
    </i>
    <i r="1">
      <x v="122"/>
    </i>
    <i r="1">
      <x v="127"/>
    </i>
    <i r="1">
      <x v="128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38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8"/>
    </i>
    <i r="1">
      <x v="149"/>
    </i>
    <i r="1">
      <x v="150"/>
    </i>
    <i r="1">
      <x v="152"/>
    </i>
    <i r="1">
      <x v="155"/>
    </i>
    <i r="1">
      <x v="156"/>
    </i>
    <i r="1">
      <x v="158"/>
    </i>
    <i r="1">
      <x v="159"/>
    </i>
    <i r="1">
      <x v="160"/>
    </i>
    <i r="1">
      <x v="162"/>
    </i>
    <i r="1">
      <x v="163"/>
    </i>
    <i r="1">
      <x v="164"/>
    </i>
    <i r="1">
      <x v="165"/>
    </i>
    <i r="1">
      <x v="167"/>
    </i>
    <i r="1">
      <x v="169"/>
    </i>
    <i r="1">
      <x v="170"/>
    </i>
    <i r="1">
      <x v="172"/>
    </i>
    <i r="1">
      <x v="173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4"/>
    </i>
    <i r="1">
      <x v="185"/>
    </i>
    <i r="1">
      <x v="186"/>
    </i>
    <i r="1">
      <x v="187"/>
    </i>
    <i r="1">
      <x v="190"/>
    </i>
    <i r="1">
      <x v="191"/>
    </i>
    <i r="1">
      <x v="193"/>
    </i>
    <i r="1">
      <x v="195"/>
    </i>
    <i r="1">
      <x v="197"/>
    </i>
    <i r="1">
      <x v="198"/>
    </i>
    <i r="1">
      <x v="200"/>
    </i>
    <i r="1">
      <x v="201"/>
    </i>
    <i r="1">
      <x v="202"/>
    </i>
    <i r="1">
      <x v="204"/>
    </i>
    <i r="1">
      <x v="205"/>
    </i>
    <i r="1">
      <x v="208"/>
    </i>
    <i r="1">
      <x v="211"/>
    </i>
    <i r="1">
      <x v="213"/>
    </i>
    <i r="1">
      <x v="214"/>
    </i>
    <i r="1">
      <x v="215"/>
    </i>
    <i r="1">
      <x v="216"/>
    </i>
    <i r="1">
      <x v="218"/>
    </i>
    <i r="1">
      <x v="220"/>
    </i>
    <i r="1">
      <x v="221"/>
    </i>
    <i r="1">
      <x v="222"/>
    </i>
    <i r="1">
      <x v="228"/>
    </i>
    <i r="1">
      <x v="229"/>
    </i>
    <i r="1">
      <x v="230"/>
    </i>
    <i r="1">
      <x v="231"/>
    </i>
    <i r="1">
      <x v="235"/>
    </i>
    <i r="1">
      <x v="236"/>
    </i>
    <i r="1">
      <x v="237"/>
    </i>
    <i r="1">
      <x v="240"/>
    </i>
    <i r="1">
      <x v="242"/>
    </i>
    <i r="1">
      <x v="244"/>
    </i>
    <i r="1">
      <x v="246"/>
    </i>
    <i r="1">
      <x v="247"/>
    </i>
    <i r="1">
      <x v="249"/>
    </i>
    <i r="1">
      <x v="250"/>
    </i>
    <i r="1">
      <x v="253"/>
    </i>
    <i r="1">
      <x v="254"/>
    </i>
    <i r="1">
      <x v="255"/>
    </i>
    <i r="1">
      <x v="256"/>
    </i>
    <i r="1">
      <x v="257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4"/>
    </i>
    <i r="1">
      <x v="276"/>
    </i>
    <i r="1">
      <x v="277"/>
    </i>
    <i r="1">
      <x v="278"/>
    </i>
    <i r="1">
      <x v="281"/>
    </i>
    <i r="1">
      <x v="282"/>
    </i>
    <i r="1">
      <x v="283"/>
    </i>
    <i r="1">
      <x v="284"/>
    </i>
    <i r="1">
      <x v="285"/>
    </i>
    <i r="1">
      <x v="288"/>
    </i>
    <i r="1">
      <x v="289"/>
    </i>
    <i r="1">
      <x v="290"/>
    </i>
    <i r="1">
      <x v="292"/>
    </i>
    <i r="1">
      <x v="293"/>
    </i>
    <i r="1">
      <x v="295"/>
    </i>
    <i r="1">
      <x v="296"/>
    </i>
    <i r="1">
      <x v="297"/>
    </i>
    <i r="1">
      <x v="298"/>
    </i>
    <i r="1">
      <x v="299"/>
    </i>
    <i r="1">
      <x v="302"/>
    </i>
    <i r="1">
      <x v="303"/>
    </i>
    <i r="1">
      <x v="304"/>
    </i>
    <i r="1">
      <x v="305"/>
    </i>
    <i r="1">
      <x v="306"/>
    </i>
    <i r="1">
      <x v="309"/>
    </i>
    <i r="1">
      <x v="310"/>
    </i>
    <i r="1">
      <x v="311"/>
    </i>
    <i r="1">
      <x v="312"/>
    </i>
    <i r="1">
      <x v="313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30"/>
    </i>
    <i r="1">
      <x v="331"/>
    </i>
    <i r="1">
      <x v="332"/>
    </i>
    <i r="1">
      <x v="333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5"/>
    </i>
    <i r="1">
      <x v="366"/>
    </i>
    <i>
      <x v="4"/>
    </i>
    <i r="1">
      <x v="1"/>
    </i>
    <i r="1">
      <x v="2"/>
    </i>
    <i r="1">
      <x v="3"/>
    </i>
    <i r="1">
      <x v="4"/>
    </i>
    <i r="1">
      <x v="8"/>
    </i>
    <i r="1">
      <x v="9"/>
    </i>
    <i r="1">
      <x v="13"/>
    </i>
    <i r="1">
      <x v="15"/>
    </i>
    <i r="1">
      <x v="16"/>
    </i>
    <i r="1">
      <x v="17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9"/>
    </i>
    <i r="1">
      <x v="30"/>
    </i>
    <i r="1">
      <x v="31"/>
    </i>
    <i r="1">
      <x v="34"/>
    </i>
    <i r="1">
      <x v="37"/>
    </i>
    <i r="1">
      <x v="38"/>
    </i>
    <i r="1">
      <x v="41"/>
    </i>
    <i r="1">
      <x v="42"/>
    </i>
    <i r="1">
      <x v="43"/>
    </i>
    <i r="1">
      <x v="45"/>
    </i>
    <i r="1">
      <x v="50"/>
    </i>
    <i r="1">
      <x v="51"/>
    </i>
    <i r="1">
      <x v="52"/>
    </i>
    <i r="1">
      <x v="55"/>
    </i>
    <i r="1">
      <x v="58"/>
    </i>
    <i r="1">
      <x v="62"/>
    </i>
    <i r="1">
      <x v="63"/>
    </i>
    <i r="1">
      <x v="64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3"/>
    </i>
    <i r="1">
      <x v="85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9"/>
    </i>
    <i r="1">
      <x v="102"/>
    </i>
    <i r="1">
      <x v="104"/>
    </i>
    <i r="1">
      <x v="106"/>
    </i>
    <i r="1">
      <x v="107"/>
    </i>
    <i r="1">
      <x v="108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1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2"/>
    </i>
    <i r="1">
      <x v="133"/>
    </i>
    <i r="1">
      <x v="134"/>
    </i>
    <i r="1">
      <x v="135"/>
    </i>
    <i r="1">
      <x v="136"/>
    </i>
    <i r="1">
      <x v="139"/>
    </i>
    <i r="1">
      <x v="140"/>
    </i>
    <i r="1">
      <x v="141"/>
    </i>
    <i r="1">
      <x v="143"/>
    </i>
    <i r="1">
      <x v="144"/>
    </i>
    <i r="1">
      <x v="147"/>
    </i>
    <i r="1">
      <x v="148"/>
    </i>
    <i r="1">
      <x v="149"/>
    </i>
    <i r="1">
      <x v="151"/>
    </i>
    <i r="1">
      <x v="154"/>
    </i>
    <i r="1">
      <x v="155"/>
    </i>
    <i r="1">
      <x v="158"/>
    </i>
    <i r="1">
      <x v="160"/>
    </i>
    <i r="1">
      <x v="162"/>
    </i>
    <i r="1">
      <x v="163"/>
    </i>
    <i r="1">
      <x v="164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6"/>
    </i>
    <i r="1">
      <x v="177"/>
    </i>
    <i r="1">
      <x v="178"/>
    </i>
    <i r="1">
      <x v="179"/>
    </i>
    <i r="1">
      <x v="181"/>
    </i>
    <i r="1">
      <x v="182"/>
    </i>
    <i r="1">
      <x v="185"/>
    </i>
    <i r="1">
      <x v="188"/>
    </i>
    <i r="1">
      <x v="189"/>
    </i>
    <i r="1">
      <x v="190"/>
    </i>
    <i r="1">
      <x v="191"/>
    </i>
    <i r="1">
      <x v="193"/>
    </i>
    <i r="1">
      <x v="196"/>
    </i>
    <i r="1">
      <x v="199"/>
    </i>
    <i r="1">
      <x v="200"/>
    </i>
    <i r="1">
      <x v="203"/>
    </i>
    <i r="1">
      <x v="205"/>
    </i>
    <i r="1">
      <x v="206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6"/>
    </i>
    <i r="1">
      <x v="217"/>
    </i>
    <i r="1">
      <x v="220"/>
    </i>
    <i r="1">
      <x v="225"/>
    </i>
    <i r="1">
      <x v="226"/>
    </i>
    <i r="1">
      <x v="227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40"/>
    </i>
    <i r="1">
      <x v="241"/>
    </i>
    <i r="1">
      <x v="242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1"/>
    </i>
    <i r="1">
      <x v="253"/>
    </i>
    <i r="1">
      <x v="254"/>
    </i>
    <i r="1">
      <x v="255"/>
    </i>
    <i r="1">
      <x v="256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9"/>
    </i>
    <i r="1">
      <x v="280"/>
    </i>
    <i r="1">
      <x v="281"/>
    </i>
    <i r="1">
      <x v="282"/>
    </i>
    <i r="1">
      <x v="283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3"/>
    </i>
    <i r="1">
      <x v="294"/>
    </i>
    <i r="1">
      <x v="295"/>
    </i>
    <i r="1">
      <x v="296"/>
    </i>
    <i r="1">
      <x v="301"/>
    </i>
    <i r="1">
      <x v="304"/>
    </i>
    <i r="1">
      <x v="306"/>
    </i>
    <i r="1">
      <x v="307"/>
    </i>
    <i r="1">
      <x v="308"/>
    </i>
    <i r="1">
      <x v="310"/>
    </i>
    <i r="1">
      <x v="311"/>
    </i>
    <i r="1">
      <x v="312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9"/>
    </i>
    <i r="1">
      <x v="330"/>
    </i>
    <i r="1">
      <x v="332"/>
    </i>
    <i r="1">
      <x v="333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6"/>
    </i>
    <i r="1">
      <x v="357"/>
    </i>
    <i r="1">
      <x v="358"/>
    </i>
    <i r="1">
      <x v="359"/>
    </i>
    <i r="1">
      <x v="360"/>
    </i>
    <i r="1">
      <x v="363"/>
    </i>
    <i r="1">
      <x v="364"/>
    </i>
    <i r="1">
      <x v="365"/>
    </i>
    <i t="grand">
      <x/>
    </i>
  </rowItems>
  <colItems count="1">
    <i/>
  </colItems>
  <dataFields count="1">
    <dataField name="Soma de Valor_Venda" fld="10" baseField="0" baseItem="0" numFmtId="43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E8E03-FA5B-4CF5-98D7-7E9B061A91DF}" name="Tabela dinâ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s">
  <location ref="C26:E47" firstHeaderRow="0" firstDataRow="1" firstDataCol="1"/>
  <pivotFields count="14">
    <pivotField numFmtId="14" showAll="0">
      <items count="8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umFmtId="14" showAll="0"/>
    <pivotField showAll="0"/>
    <pivotField showAll="0"/>
    <pivotField showAll="0"/>
    <pivotField axis="axisRow" showAll="0" measureFilter="1" sortType="descending">
      <items count="687">
        <item x="21"/>
        <item x="70"/>
        <item x="547"/>
        <item x="379"/>
        <item x="213"/>
        <item x="260"/>
        <item x="545"/>
        <item x="106"/>
        <item x="565"/>
        <item x="296"/>
        <item x="593"/>
        <item x="230"/>
        <item x="578"/>
        <item x="181"/>
        <item x="111"/>
        <item x="68"/>
        <item x="559"/>
        <item x="60"/>
        <item x="40"/>
        <item x="682"/>
        <item x="293"/>
        <item x="58"/>
        <item x="644"/>
        <item x="172"/>
        <item x="102"/>
        <item x="263"/>
        <item x="193"/>
        <item x="479"/>
        <item x="400"/>
        <item x="367"/>
        <item x="302"/>
        <item x="46"/>
        <item x="190"/>
        <item x="279"/>
        <item x="599"/>
        <item x="238"/>
        <item x="506"/>
        <item x="466"/>
        <item x="486"/>
        <item x="382"/>
        <item x="579"/>
        <item x="531"/>
        <item x="311"/>
        <item x="324"/>
        <item x="265"/>
        <item x="520"/>
        <item x="96"/>
        <item x="304"/>
        <item x="62"/>
        <item x="434"/>
        <item x="112"/>
        <item x="134"/>
        <item x="415"/>
        <item x="426"/>
        <item x="663"/>
        <item x="118"/>
        <item x="162"/>
        <item x="15"/>
        <item x="604"/>
        <item x="253"/>
        <item x="314"/>
        <item x="98"/>
        <item x="527"/>
        <item x="331"/>
        <item x="103"/>
        <item x="534"/>
        <item x="132"/>
        <item x="602"/>
        <item x="57"/>
        <item x="585"/>
        <item x="291"/>
        <item x="30"/>
        <item x="472"/>
        <item x="59"/>
        <item x="473"/>
        <item x="607"/>
        <item x="477"/>
        <item x="63"/>
        <item x="601"/>
        <item x="306"/>
        <item x="567"/>
        <item x="467"/>
        <item x="678"/>
        <item x="675"/>
        <item x="149"/>
        <item x="73"/>
        <item x="677"/>
        <item x="609"/>
        <item x="569"/>
        <item x="232"/>
        <item x="1"/>
        <item x="551"/>
        <item x="160"/>
        <item x="417"/>
        <item x="471"/>
        <item x="650"/>
        <item x="84"/>
        <item x="633"/>
        <item x="337"/>
        <item x="121"/>
        <item x="532"/>
        <item x="292"/>
        <item x="389"/>
        <item x="544"/>
        <item x="378"/>
        <item x="576"/>
        <item x="270"/>
        <item x="425"/>
        <item x="387"/>
        <item x="83"/>
        <item x="299"/>
        <item x="570"/>
        <item x="256"/>
        <item x="594"/>
        <item x="366"/>
        <item x="329"/>
        <item x="518"/>
        <item x="294"/>
        <item x="251"/>
        <item x="657"/>
        <item x="123"/>
        <item x="108"/>
        <item x="584"/>
        <item x="619"/>
        <item x="380"/>
        <item x="394"/>
        <item x="469"/>
        <item x="575"/>
        <item x="420"/>
        <item x="33"/>
        <item x="674"/>
        <item x="608"/>
        <item x="685"/>
        <item x="81"/>
        <item x="492"/>
        <item x="340"/>
        <item x="508"/>
        <item x="589"/>
        <item x="164"/>
        <item x="456"/>
        <item x="541"/>
        <item x="85"/>
        <item x="72"/>
        <item x="36"/>
        <item x="323"/>
        <item x="624"/>
        <item x="104"/>
        <item x="572"/>
        <item x="262"/>
        <item x="553"/>
        <item x="354"/>
        <item x="409"/>
        <item x="375"/>
        <item x="476"/>
        <item x="23"/>
        <item x="342"/>
        <item x="243"/>
        <item x="353"/>
        <item x="8"/>
        <item x="524"/>
        <item x="35"/>
        <item x="548"/>
        <item x="468"/>
        <item x="635"/>
        <item x="552"/>
        <item x="383"/>
        <item x="37"/>
        <item x="244"/>
        <item x="442"/>
        <item x="355"/>
        <item x="424"/>
        <item x="478"/>
        <item x="101"/>
        <item x="499"/>
        <item x="19"/>
        <item x="283"/>
        <item x="284"/>
        <item x="503"/>
        <item x="369"/>
        <item x="173"/>
        <item x="363"/>
        <item x="2"/>
        <item x="496"/>
        <item x="26"/>
        <item x="76"/>
        <item x="204"/>
        <item x="10"/>
        <item x="658"/>
        <item x="402"/>
        <item x="588"/>
        <item x="668"/>
        <item x="680"/>
        <item x="217"/>
        <item x="438"/>
        <item x="97"/>
        <item x="242"/>
        <item x="297"/>
        <item x="533"/>
        <item x="452"/>
        <item x="513"/>
        <item x="523"/>
        <item x="649"/>
        <item x="617"/>
        <item x="517"/>
        <item x="38"/>
        <item x="169"/>
        <item x="441"/>
        <item x="645"/>
        <item x="651"/>
        <item x="228"/>
        <item x="182"/>
        <item x="99"/>
        <item x="6"/>
        <item x="470"/>
        <item x="53"/>
        <item x="28"/>
        <item x="332"/>
        <item x="271"/>
        <item x="295"/>
        <item x="447"/>
        <item x="207"/>
        <item x="128"/>
        <item x="555"/>
        <item x="485"/>
        <item x="344"/>
        <item x="392"/>
        <item x="458"/>
        <item x="74"/>
        <item x="239"/>
        <item x="156"/>
        <item x="500"/>
        <item x="632"/>
        <item x="171"/>
        <item x="422"/>
        <item x="307"/>
        <item x="188"/>
        <item x="107"/>
        <item x="20"/>
        <item x="168"/>
        <item x="87"/>
        <item x="152"/>
        <item x="381"/>
        <item x="655"/>
        <item x="47"/>
        <item x="137"/>
        <item x="586"/>
        <item x="237"/>
        <item x="179"/>
        <item x="597"/>
        <item x="290"/>
        <item x="580"/>
        <item x="587"/>
        <item x="100"/>
        <item x="88"/>
        <item x="257"/>
        <item x="144"/>
        <item x="131"/>
        <item x="309"/>
        <item x="374"/>
        <item x="606"/>
        <item x="218"/>
        <item x="621"/>
        <item x="117"/>
        <item x="95"/>
        <item x="192"/>
        <item x="67"/>
        <item x="543"/>
        <item x="461"/>
        <item x="39"/>
        <item x="280"/>
        <item x="684"/>
        <item x="64"/>
        <item x="223"/>
        <item x="431"/>
        <item x="305"/>
        <item x="416"/>
        <item x="439"/>
        <item x="180"/>
        <item x="598"/>
        <item x="158"/>
        <item x="393"/>
        <item x="75"/>
        <item x="139"/>
        <item x="322"/>
        <item x="5"/>
        <item x="437"/>
        <item x="185"/>
        <item x="120"/>
        <item x="159"/>
        <item x="475"/>
        <item x="116"/>
        <item x="445"/>
        <item x="268"/>
        <item x="590"/>
        <item x="666"/>
        <item x="542"/>
        <item x="641"/>
        <item x="636"/>
        <item x="135"/>
        <item x="250"/>
        <item x="27"/>
        <item x="491"/>
        <item x="605"/>
        <item x="582"/>
        <item x="399"/>
        <item x="301"/>
        <item x="630"/>
        <item x="317"/>
        <item x="300"/>
        <item x="18"/>
        <item x="334"/>
        <item x="512"/>
        <item x="287"/>
        <item x="186"/>
        <item x="634"/>
        <item x="208"/>
        <item x="348"/>
        <item x="289"/>
        <item x="341"/>
        <item x="483"/>
        <item x="312"/>
        <item x="489"/>
        <item x="241"/>
        <item x="154"/>
        <item x="48"/>
        <item x="448"/>
        <item x="539"/>
        <item x="281"/>
        <item x="643"/>
        <item x="91"/>
        <item x="397"/>
        <item x="298"/>
        <item x="216"/>
        <item x="55"/>
        <item x="285"/>
        <item x="361"/>
        <item x="446"/>
        <item x="34"/>
        <item x="558"/>
        <item x="234"/>
        <item x="612"/>
        <item x="151"/>
        <item x="130"/>
        <item x="454"/>
        <item x="174"/>
        <item x="664"/>
        <item x="319"/>
        <item x="161"/>
        <item x="546"/>
        <item x="656"/>
        <item x="259"/>
        <item x="474"/>
        <item x="343"/>
        <item x="214"/>
        <item x="665"/>
        <item x="326"/>
        <item x="277"/>
        <item x="459"/>
        <item x="683"/>
        <item x="411"/>
        <item x="502"/>
        <item x="440"/>
        <item x="165"/>
        <item x="286"/>
        <item x="600"/>
        <item x="673"/>
        <item x="248"/>
        <item x="433"/>
        <item x="395"/>
        <item x="419"/>
        <item x="42"/>
        <item x="52"/>
        <item x="163"/>
        <item x="24"/>
        <item x="538"/>
        <item x="175"/>
        <item x="396"/>
        <item x="407"/>
        <item x="261"/>
        <item x="421"/>
        <item x="316"/>
        <item x="493"/>
        <item x="376"/>
        <item x="274"/>
        <item x="114"/>
        <item x="258"/>
        <item x="667"/>
        <item x="404"/>
        <item x="514"/>
        <item x="41"/>
        <item x="515"/>
        <item x="615"/>
        <item x="141"/>
        <item x="453"/>
        <item x="525"/>
        <item x="681"/>
        <item x="224"/>
        <item x="330"/>
        <item x="320"/>
        <item x="78"/>
        <item x="205"/>
        <item x="125"/>
        <item x="488"/>
        <item x="313"/>
        <item x="430"/>
        <item x="226"/>
        <item x="480"/>
        <item x="490"/>
        <item x="561"/>
        <item x="143"/>
        <item x="7"/>
        <item x="93"/>
        <item x="530"/>
        <item x="408"/>
        <item x="146"/>
        <item x="428"/>
        <item x="247"/>
        <item x="370"/>
        <item x="679"/>
        <item x="227"/>
        <item x="610"/>
        <item x="0"/>
        <item x="184"/>
        <item x="80"/>
        <item x="145"/>
        <item x="61"/>
        <item x="126"/>
        <item x="495"/>
        <item x="412"/>
        <item x="264"/>
        <item x="449"/>
        <item x="403"/>
        <item x="14"/>
        <item x="550"/>
        <item x="510"/>
        <item x="11"/>
        <item x="573"/>
        <item x="4"/>
        <item x="44"/>
        <item x="201"/>
        <item x="631"/>
        <item x="211"/>
        <item x="372"/>
        <item x="670"/>
        <item x="568"/>
        <item x="432"/>
        <item x="462"/>
        <item x="129"/>
        <item x="267"/>
        <item x="622"/>
        <item x="32"/>
        <item x="385"/>
        <item x="505"/>
        <item x="628"/>
        <item x="522"/>
        <item x="77"/>
        <item x="377"/>
        <item x="410"/>
        <item x="435"/>
        <item x="254"/>
        <item x="464"/>
        <item x="444"/>
        <item x="595"/>
        <item x="157"/>
        <item x="110"/>
        <item x="351"/>
        <item x="660"/>
        <item x="51"/>
        <item x="623"/>
        <item x="614"/>
        <item x="89"/>
        <item x="153"/>
        <item x="659"/>
        <item x="577"/>
        <item x="583"/>
        <item x="345"/>
        <item x="136"/>
        <item x="672"/>
        <item x="288"/>
        <item x="648"/>
        <item x="384"/>
        <item x="556"/>
        <item x="194"/>
        <item x="69"/>
        <item x="196"/>
        <item x="225"/>
        <item x="310"/>
        <item x="423"/>
        <item x="12"/>
        <item x="155"/>
        <item x="170"/>
        <item x="327"/>
        <item x="654"/>
        <item x="371"/>
        <item x="113"/>
        <item x="150"/>
        <item x="362"/>
        <item x="56"/>
        <item x="627"/>
        <item x="554"/>
        <item x="94"/>
        <item x="405"/>
        <item x="282"/>
        <item x="22"/>
        <item x="246"/>
        <item x="147"/>
        <item x="497"/>
        <item x="564"/>
        <item x="549"/>
        <item x="356"/>
        <item x="418"/>
        <item x="66"/>
        <item x="79"/>
        <item x="318"/>
        <item x="31"/>
        <item x="637"/>
        <item x="443"/>
        <item x="43"/>
        <item x="197"/>
        <item x="167"/>
        <item x="54"/>
        <item x="501"/>
        <item x="49"/>
        <item x="529"/>
        <item x="71"/>
        <item x="563"/>
        <item x="557"/>
        <item x="519"/>
        <item x="335"/>
        <item x="105"/>
        <item x="365"/>
        <item x="536"/>
        <item x="427"/>
        <item x="560"/>
        <item x="215"/>
        <item x="187"/>
        <item x="450"/>
        <item x="566"/>
        <item x="249"/>
        <item x="509"/>
        <item x="507"/>
        <item x="148"/>
        <item x="481"/>
        <item x="25"/>
        <item x="360"/>
        <item x="487"/>
        <item x="339"/>
        <item x="676"/>
        <item x="368"/>
        <item x="273"/>
        <item x="537"/>
        <item x="278"/>
        <item x="233"/>
        <item x="516"/>
        <item x="133"/>
        <item x="303"/>
        <item x="398"/>
        <item x="661"/>
        <item x="669"/>
        <item x="109"/>
        <item x="349"/>
        <item x="236"/>
        <item x="321"/>
        <item x="494"/>
        <item x="460"/>
        <item x="504"/>
        <item x="581"/>
        <item x="391"/>
        <item x="511"/>
        <item x="209"/>
        <item x="195"/>
        <item x="352"/>
        <item x="364"/>
        <item x="235"/>
        <item x="245"/>
        <item x="221"/>
        <item x="526"/>
        <item x="29"/>
        <item x="358"/>
        <item x="406"/>
        <item x="13"/>
        <item x="50"/>
        <item x="540"/>
        <item x="390"/>
        <item x="652"/>
        <item x="596"/>
        <item x="325"/>
        <item x="535"/>
        <item x="276"/>
        <item x="521"/>
        <item x="465"/>
        <item x="45"/>
        <item x="603"/>
        <item x="373"/>
        <item x="272"/>
        <item x="451"/>
        <item x="591"/>
        <item x="498"/>
        <item x="346"/>
        <item x="198"/>
        <item x="212"/>
        <item x="611"/>
        <item x="386"/>
        <item x="413"/>
        <item x="229"/>
        <item x="178"/>
        <item x="140"/>
        <item x="266"/>
        <item x="336"/>
        <item x="653"/>
        <item x="124"/>
        <item x="616"/>
        <item x="269"/>
        <item x="252"/>
        <item x="328"/>
        <item x="642"/>
        <item x="219"/>
        <item x="65"/>
        <item x="82"/>
        <item x="16"/>
        <item x="199"/>
        <item x="338"/>
        <item x="90"/>
        <item x="625"/>
        <item x="662"/>
        <item x="17"/>
        <item x="638"/>
        <item x="571"/>
        <item x="640"/>
        <item x="220"/>
        <item x="613"/>
        <item x="457"/>
        <item x="189"/>
        <item x="574"/>
        <item x="455"/>
        <item x="127"/>
        <item x="429"/>
        <item x="177"/>
        <item x="482"/>
        <item x="350"/>
        <item x="166"/>
        <item x="308"/>
        <item x="463"/>
        <item x="671"/>
        <item x="86"/>
        <item x="357"/>
        <item x="203"/>
        <item x="240"/>
        <item x="359"/>
        <item x="92"/>
        <item x="255"/>
        <item x="347"/>
        <item x="231"/>
        <item x="3"/>
        <item x="191"/>
        <item x="9"/>
        <item x="646"/>
        <item x="119"/>
        <item x="592"/>
        <item x="315"/>
        <item x="639"/>
        <item x="647"/>
        <item x="388"/>
        <item x="200"/>
        <item x="562"/>
        <item x="210"/>
        <item x="206"/>
        <item x="626"/>
        <item x="401"/>
        <item x="333"/>
        <item x="618"/>
        <item x="122"/>
        <item x="528"/>
        <item x="115"/>
        <item x="629"/>
        <item x="142"/>
        <item x="275"/>
        <item x="222"/>
        <item x="620"/>
        <item x="484"/>
        <item x="202"/>
        <item x="176"/>
        <item x="436"/>
        <item x="414"/>
        <item x="183"/>
        <item x="1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3"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21">
    <i>
      <x v="539"/>
    </i>
    <i>
      <x v="384"/>
    </i>
    <i>
      <x v="214"/>
    </i>
    <i>
      <x v="295"/>
    </i>
    <i>
      <x v="362"/>
    </i>
    <i>
      <x v="494"/>
    </i>
    <i>
      <x v="146"/>
    </i>
    <i>
      <x v="682"/>
    </i>
    <i>
      <x v="504"/>
    </i>
    <i>
      <x v="680"/>
    </i>
    <i>
      <x v="549"/>
    </i>
    <i>
      <x v="249"/>
    </i>
    <i>
      <x v="194"/>
    </i>
    <i>
      <x v="452"/>
    </i>
    <i>
      <x v="636"/>
    </i>
    <i>
      <x v="556"/>
    </i>
    <i>
      <x v="375"/>
    </i>
    <i>
      <x v="430"/>
    </i>
    <i>
      <x v="10"/>
    </i>
    <i>
      <x v="32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_Venda" fld="10" baseField="0" baseItem="0" numFmtId="44"/>
    <dataField name="Soma de Qte_Vendida" fld="11" baseField="0" baseItem="0"/>
  </dataFields>
  <formats count="34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5" type="button" dataOnly="0" labelOnly="1" outline="0" axis="axisRow" fieldPosition="0"/>
    </format>
    <format dxfId="106">
      <pivotArea dataOnly="0" labelOnly="1" fieldPosition="0">
        <references count="1">
          <reference field="5" count="50">
            <x v="10"/>
            <x v="46"/>
            <x v="48"/>
            <x v="96"/>
            <x v="136"/>
            <x v="146"/>
            <x v="162"/>
            <x v="183"/>
            <x v="194"/>
            <x v="214"/>
            <x v="218"/>
            <x v="229"/>
            <x v="247"/>
            <x v="249"/>
            <x v="253"/>
            <x v="263"/>
            <x v="272"/>
            <x v="291"/>
            <x v="295"/>
            <x v="323"/>
            <x v="327"/>
            <x v="342"/>
            <x v="353"/>
            <x v="362"/>
            <x v="375"/>
            <x v="377"/>
            <x v="384"/>
            <x v="399"/>
            <x v="401"/>
            <x v="406"/>
            <x v="427"/>
            <x v="430"/>
            <x v="452"/>
            <x v="494"/>
            <x v="504"/>
            <x v="525"/>
            <x v="539"/>
            <x v="548"/>
            <x v="549"/>
            <x v="556"/>
            <x v="577"/>
            <x v="586"/>
            <x v="587"/>
            <x v="589"/>
            <x v="627"/>
            <x v="636"/>
            <x v="638"/>
            <x v="651"/>
            <x v="680"/>
            <x v="682"/>
          </reference>
        </references>
      </pivotArea>
    </format>
    <format dxfId="105">
      <pivotArea dataOnly="0" labelOnly="1" fieldPosition="0">
        <references count="1">
          <reference field="5" count="50">
            <x v="3"/>
            <x v="44"/>
            <x v="50"/>
            <x v="51"/>
            <x v="73"/>
            <x v="74"/>
            <x v="78"/>
            <x v="85"/>
            <x v="90"/>
            <x v="114"/>
            <x v="121"/>
            <x v="232"/>
            <x v="236"/>
            <x v="240"/>
            <x v="254"/>
            <x v="257"/>
            <x v="259"/>
            <x v="278"/>
            <x v="284"/>
            <x v="308"/>
            <x v="314"/>
            <x v="334"/>
            <x v="335"/>
            <x v="382"/>
            <x v="387"/>
            <x v="389"/>
            <x v="394"/>
            <x v="402"/>
            <x v="403"/>
            <x v="404"/>
            <x v="424"/>
            <x v="438"/>
            <x v="459"/>
            <x v="519"/>
            <x v="546"/>
            <x v="553"/>
            <x v="569"/>
            <x v="570"/>
            <x v="574"/>
            <x v="579"/>
            <x v="580"/>
            <x v="581"/>
            <x v="591"/>
            <x v="594"/>
            <x v="601"/>
            <x v="618"/>
            <x v="635"/>
            <x v="644"/>
            <x v="671"/>
            <x v="684"/>
          </reference>
        </references>
      </pivotArea>
    </format>
    <format dxfId="104">
      <pivotArea dataOnly="0" labelOnly="1" fieldPosition="0">
        <references count="1">
          <reference field="5" count="50">
            <x v="11"/>
            <x v="12"/>
            <x v="26"/>
            <x v="61"/>
            <x v="64"/>
            <x v="93"/>
            <x v="103"/>
            <x v="109"/>
            <x v="122"/>
            <x v="137"/>
            <x v="147"/>
            <x v="151"/>
            <x v="153"/>
            <x v="175"/>
            <x v="200"/>
            <x v="211"/>
            <x v="212"/>
            <x v="216"/>
            <x v="264"/>
            <x v="265"/>
            <x v="266"/>
            <x v="288"/>
            <x v="294"/>
            <x v="299"/>
            <x v="304"/>
            <x v="336"/>
            <x v="337"/>
            <x v="359"/>
            <x v="371"/>
            <x v="432"/>
            <x v="454"/>
            <x v="455"/>
            <x v="463"/>
            <x v="477"/>
            <x v="483"/>
            <x v="484"/>
            <x v="493"/>
            <x v="497"/>
            <x v="521"/>
            <x v="524"/>
            <x v="527"/>
            <x v="533"/>
            <x v="536"/>
            <x v="561"/>
            <x v="612"/>
            <x v="622"/>
            <x v="637"/>
            <x v="650"/>
            <x v="664"/>
            <x v="665"/>
          </reference>
        </references>
      </pivotArea>
    </format>
    <format dxfId="103">
      <pivotArea dataOnly="0" labelOnly="1" fieldPosition="0">
        <references count="1">
          <reference field="5" count="50">
            <x v="1"/>
            <x v="6"/>
            <x v="7"/>
            <x v="33"/>
            <x v="36"/>
            <x v="38"/>
            <x v="86"/>
            <x v="118"/>
            <x v="125"/>
            <x v="129"/>
            <x v="144"/>
            <x v="160"/>
            <x v="172"/>
            <x v="186"/>
            <x v="197"/>
            <x v="205"/>
            <x v="220"/>
            <x v="277"/>
            <x v="287"/>
            <x v="292"/>
            <x v="315"/>
            <x v="322"/>
            <x v="356"/>
            <x v="372"/>
            <x v="388"/>
            <x v="425"/>
            <x v="431"/>
            <x v="433"/>
            <x v="447"/>
            <x v="449"/>
            <x v="465"/>
            <x v="471"/>
            <x v="472"/>
            <x v="482"/>
            <x v="485"/>
            <x v="506"/>
            <x v="515"/>
            <x v="523"/>
            <x v="529"/>
            <x v="541"/>
            <x v="543"/>
            <x v="545"/>
            <x v="568"/>
            <x v="602"/>
            <x v="603"/>
            <x v="613"/>
            <x v="632"/>
            <x v="654"/>
            <x v="657"/>
            <x v="667"/>
          </reference>
        </references>
      </pivotArea>
    </format>
    <format dxfId="102">
      <pivotArea dataOnly="0" labelOnly="1" fieldPosition="0">
        <references count="1">
          <reference field="5" count="50">
            <x v="25"/>
            <x v="42"/>
            <x v="52"/>
            <x v="59"/>
            <x v="60"/>
            <x v="63"/>
            <x v="65"/>
            <x v="72"/>
            <x v="89"/>
            <x v="104"/>
            <x v="131"/>
            <x v="152"/>
            <x v="154"/>
            <x v="161"/>
            <x v="163"/>
            <x v="164"/>
            <x v="168"/>
            <x v="185"/>
            <x v="199"/>
            <x v="215"/>
            <x v="234"/>
            <x v="237"/>
            <x v="255"/>
            <x v="261"/>
            <x v="267"/>
            <x v="275"/>
            <x v="276"/>
            <x v="281"/>
            <x v="283"/>
            <x v="285"/>
            <x v="290"/>
            <x v="306"/>
            <x v="312"/>
            <x v="333"/>
            <x v="341"/>
            <x v="355"/>
            <x v="398"/>
            <x v="413"/>
            <x v="416"/>
            <x v="429"/>
            <x v="445"/>
            <x v="464"/>
            <x v="474"/>
            <x v="476"/>
            <x v="511"/>
            <x v="522"/>
            <x v="551"/>
            <x v="634"/>
            <x v="676"/>
            <x v="683"/>
          </reference>
        </references>
      </pivotArea>
    </format>
    <format dxfId="101">
      <pivotArea dataOnly="0" labelOnly="1" fieldPosition="0">
        <references count="1">
          <reference field="5" count="50">
            <x v="9"/>
            <x v="39"/>
            <x v="40"/>
            <x v="56"/>
            <x v="66"/>
            <x v="94"/>
            <x v="98"/>
            <x v="110"/>
            <x v="112"/>
            <x v="116"/>
            <x v="119"/>
            <x v="120"/>
            <x v="126"/>
            <x v="138"/>
            <x v="140"/>
            <x v="174"/>
            <x v="180"/>
            <x v="193"/>
            <x v="198"/>
            <x v="208"/>
            <x v="210"/>
            <x v="238"/>
            <x v="243"/>
            <x v="248"/>
            <x v="279"/>
            <x v="300"/>
            <x v="305"/>
            <x v="357"/>
            <x v="367"/>
            <x v="374"/>
            <x v="378"/>
            <x v="380"/>
            <x v="393"/>
            <x v="396"/>
            <x v="468"/>
            <x v="496"/>
            <x v="500"/>
            <x v="514"/>
            <x v="520"/>
            <x v="530"/>
            <x v="542"/>
            <x v="576"/>
            <x v="592"/>
            <x v="597"/>
            <x v="600"/>
            <x v="625"/>
            <x v="640"/>
            <x v="653"/>
            <x v="655"/>
            <x v="672"/>
          </reference>
        </references>
      </pivotArea>
    </format>
    <format dxfId="100">
      <pivotArea dataOnly="0" labelOnly="1" fieldPosition="0">
        <references count="1">
          <reference field="5" count="50">
            <x v="2"/>
            <x v="14"/>
            <x v="18"/>
            <x v="20"/>
            <x v="24"/>
            <x v="30"/>
            <x v="62"/>
            <x v="67"/>
            <x v="79"/>
            <x v="99"/>
            <x v="128"/>
            <x v="142"/>
            <x v="155"/>
            <x v="158"/>
            <x v="176"/>
            <x v="181"/>
            <x v="222"/>
            <x v="225"/>
            <x v="226"/>
            <x v="241"/>
            <x v="250"/>
            <x v="252"/>
            <x v="280"/>
            <x v="313"/>
            <x v="321"/>
            <x v="325"/>
            <x v="329"/>
            <x v="330"/>
            <x v="346"/>
            <x v="373"/>
            <x v="411"/>
            <x v="441"/>
            <x v="442"/>
            <x v="453"/>
            <x v="466"/>
            <x v="467"/>
            <x v="499"/>
            <x v="510"/>
            <x v="559"/>
            <x v="560"/>
            <x v="571"/>
            <x v="572"/>
            <x v="617"/>
            <x v="630"/>
            <x v="647"/>
            <x v="661"/>
            <x v="663"/>
            <x v="669"/>
            <x v="677"/>
            <x v="681"/>
          </reference>
        </references>
      </pivotArea>
    </format>
    <format dxfId="99">
      <pivotArea dataOnly="0" labelOnly="1" fieldPosition="0">
        <references count="1">
          <reference field="5" count="50">
            <x v="4"/>
            <x v="31"/>
            <x v="32"/>
            <x v="57"/>
            <x v="76"/>
            <x v="91"/>
            <x v="92"/>
            <x v="123"/>
            <x v="124"/>
            <x v="132"/>
            <x v="150"/>
            <x v="177"/>
            <x v="184"/>
            <x v="188"/>
            <x v="209"/>
            <x v="221"/>
            <x v="233"/>
            <x v="235"/>
            <x v="246"/>
            <x v="301"/>
            <x v="316"/>
            <x v="317"/>
            <x v="352"/>
            <x v="364"/>
            <x v="370"/>
            <x v="386"/>
            <x v="395"/>
            <x v="409"/>
            <x v="410"/>
            <x v="426"/>
            <x v="428"/>
            <x v="437"/>
            <x v="446"/>
            <x v="448"/>
            <x v="470"/>
            <x v="475"/>
            <x v="488"/>
            <x v="502"/>
            <x v="508"/>
            <x v="516"/>
            <x v="528"/>
            <x v="534"/>
            <x v="535"/>
            <x v="552"/>
            <x v="555"/>
            <x v="567"/>
            <x v="614"/>
            <x v="621"/>
            <x v="645"/>
            <x v="662"/>
          </reference>
        </references>
      </pivotArea>
    </format>
    <format dxfId="98">
      <pivotArea dataOnly="0" labelOnly="1" fieldPosition="0">
        <references count="1">
          <reference field="5" count="50">
            <x v="16"/>
            <x v="35"/>
            <x v="43"/>
            <x v="55"/>
            <x v="71"/>
            <x v="83"/>
            <x v="130"/>
            <x v="135"/>
            <x v="157"/>
            <x v="159"/>
            <x v="170"/>
            <x v="206"/>
            <x v="207"/>
            <x v="217"/>
            <x v="244"/>
            <x v="258"/>
            <x v="262"/>
            <x v="268"/>
            <x v="273"/>
            <x v="293"/>
            <x v="297"/>
            <x v="307"/>
            <x v="324"/>
            <x v="328"/>
            <x v="338"/>
            <x v="349"/>
            <x v="350"/>
            <x v="358"/>
            <x v="361"/>
            <x v="368"/>
            <x v="376"/>
            <x v="405"/>
            <x v="412"/>
            <x v="434"/>
            <x v="460"/>
            <x v="481"/>
            <x v="492"/>
            <x v="498"/>
            <x v="557"/>
            <x v="565"/>
            <x v="566"/>
            <x v="573"/>
            <x v="582"/>
            <x v="585"/>
            <x v="588"/>
            <x v="596"/>
            <x v="599"/>
            <x v="610"/>
            <x v="648"/>
            <x v="668"/>
          </reference>
        </references>
      </pivotArea>
    </format>
    <format dxfId="97">
      <pivotArea dataOnly="0" labelOnly="1" fieldPosition="0">
        <references count="1">
          <reference field="5" count="50">
            <x v="0"/>
            <x v="17"/>
            <x v="19"/>
            <x v="23"/>
            <x v="37"/>
            <x v="47"/>
            <x v="75"/>
            <x v="84"/>
            <x v="107"/>
            <x v="117"/>
            <x v="134"/>
            <x v="143"/>
            <x v="149"/>
            <x v="156"/>
            <x v="166"/>
            <x v="169"/>
            <x v="171"/>
            <x v="187"/>
            <x v="191"/>
            <x v="192"/>
            <x v="196"/>
            <x v="245"/>
            <x v="256"/>
            <x v="271"/>
            <x v="274"/>
            <x v="282"/>
            <x v="296"/>
            <x v="339"/>
            <x v="347"/>
            <x v="385"/>
            <x v="392"/>
            <x v="418"/>
            <x v="420"/>
            <x v="480"/>
            <x v="501"/>
            <x v="505"/>
            <x v="507"/>
            <x v="531"/>
            <x v="540"/>
            <x v="563"/>
            <x v="593"/>
            <x v="598"/>
            <x v="606"/>
            <x v="615"/>
            <x v="616"/>
            <x v="626"/>
            <x v="631"/>
            <x v="646"/>
            <x v="659"/>
            <x v="685"/>
          </reference>
        </references>
      </pivotArea>
    </format>
    <format dxfId="96">
      <pivotArea dataOnly="0" labelOnly="1" fieldPosition="0">
        <references count="1">
          <reference field="5" count="50">
            <x v="28"/>
            <x v="41"/>
            <x v="45"/>
            <x v="70"/>
            <x v="87"/>
            <x v="97"/>
            <x v="102"/>
            <x v="141"/>
            <x v="165"/>
            <x v="178"/>
            <x v="195"/>
            <x v="201"/>
            <x v="203"/>
            <x v="213"/>
            <x v="224"/>
            <x v="228"/>
            <x v="230"/>
            <x v="242"/>
            <x v="286"/>
            <x v="298"/>
            <x v="318"/>
            <x v="319"/>
            <x v="340"/>
            <x v="366"/>
            <x v="369"/>
            <x v="383"/>
            <x v="408"/>
            <x v="415"/>
            <x v="422"/>
            <x v="436"/>
            <x v="439"/>
            <x v="443"/>
            <x v="444"/>
            <x v="451"/>
            <x v="456"/>
            <x v="462"/>
            <x v="473"/>
            <x v="479"/>
            <x v="491"/>
            <x v="495"/>
            <x v="513"/>
            <x v="544"/>
            <x v="583"/>
            <x v="590"/>
            <x v="604"/>
            <x v="608"/>
            <x v="660"/>
            <x v="670"/>
            <x v="673"/>
            <x v="678"/>
          </reference>
        </references>
      </pivotArea>
    </format>
    <format dxfId="95">
      <pivotArea dataOnly="0" labelOnly="1" fieldPosition="0">
        <references count="1">
          <reference field="5" count="50">
            <x v="34"/>
            <x v="49"/>
            <x v="53"/>
            <x v="68"/>
            <x v="100"/>
            <x v="106"/>
            <x v="113"/>
            <x v="133"/>
            <x v="145"/>
            <x v="148"/>
            <x v="167"/>
            <x v="179"/>
            <x v="182"/>
            <x v="202"/>
            <x v="204"/>
            <x v="223"/>
            <x v="227"/>
            <x v="231"/>
            <x v="269"/>
            <x v="302"/>
            <x v="326"/>
            <x v="343"/>
            <x v="351"/>
            <x v="397"/>
            <x v="400"/>
            <x v="407"/>
            <x v="414"/>
            <x v="419"/>
            <x v="423"/>
            <x v="450"/>
            <x v="458"/>
            <x v="486"/>
            <x v="487"/>
            <x v="489"/>
            <x v="503"/>
            <x v="512"/>
            <x v="518"/>
            <x v="538"/>
            <x v="547"/>
            <x v="554"/>
            <x v="564"/>
            <x v="609"/>
            <x v="611"/>
            <x v="619"/>
            <x v="620"/>
            <x v="652"/>
            <x v="666"/>
            <x v="674"/>
            <x v="675"/>
            <x v="679"/>
          </reference>
        </references>
      </pivotArea>
    </format>
    <format dxfId="94">
      <pivotArea dataOnly="0" labelOnly="1" fieldPosition="0">
        <references count="1">
          <reference field="5" count="50">
            <x v="13"/>
            <x v="15"/>
            <x v="21"/>
            <x v="27"/>
            <x v="29"/>
            <x v="58"/>
            <x v="69"/>
            <x v="77"/>
            <x v="80"/>
            <x v="81"/>
            <x v="88"/>
            <x v="95"/>
            <x v="101"/>
            <x v="108"/>
            <x v="111"/>
            <x v="127"/>
            <x v="139"/>
            <x v="173"/>
            <x v="189"/>
            <x v="190"/>
            <x v="219"/>
            <x v="239"/>
            <x v="303"/>
            <x v="309"/>
            <x v="310"/>
            <x v="311"/>
            <x v="331"/>
            <x v="332"/>
            <x v="344"/>
            <x v="345"/>
            <x v="354"/>
            <x v="379"/>
            <x v="381"/>
            <x v="417"/>
            <x v="440"/>
            <x v="461"/>
            <x v="469"/>
            <x v="478"/>
            <x v="526"/>
            <x v="550"/>
            <x v="562"/>
            <x v="578"/>
            <x v="605"/>
            <x v="607"/>
            <x v="628"/>
            <x v="629"/>
            <x v="641"/>
            <x v="642"/>
            <x v="643"/>
            <x v="658"/>
          </reference>
        </references>
      </pivotArea>
    </format>
    <format dxfId="93">
      <pivotArea dataOnly="0" labelOnly="1" fieldPosition="0">
        <references count="1">
          <reference field="5" count="36">
            <x v="5"/>
            <x v="8"/>
            <x v="22"/>
            <x v="54"/>
            <x v="82"/>
            <x v="105"/>
            <x v="115"/>
            <x v="251"/>
            <x v="260"/>
            <x v="270"/>
            <x v="289"/>
            <x v="320"/>
            <x v="348"/>
            <x v="360"/>
            <x v="363"/>
            <x v="365"/>
            <x v="390"/>
            <x v="391"/>
            <x v="421"/>
            <x v="435"/>
            <x v="457"/>
            <x v="490"/>
            <x v="509"/>
            <x v="517"/>
            <x v="532"/>
            <x v="537"/>
            <x v="558"/>
            <x v="575"/>
            <x v="584"/>
            <x v="595"/>
            <x v="623"/>
            <x v="624"/>
            <x v="633"/>
            <x v="639"/>
            <x v="649"/>
            <x v="656"/>
          </reference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field="5" type="button" dataOnly="0" labelOnly="1" outline="0" axis="axisRow" fieldPosition="0"/>
    </format>
    <format dxfId="89">
      <pivotArea dataOnly="0" labelOnly="1" outline="0" axis="axisValues" fieldPosition="0"/>
    </format>
    <format dxfId="88">
      <pivotArea field="5" type="button" dataOnly="0" labelOnly="1" outline="0" axis="axisRow" fieldPosition="0"/>
    </format>
    <format dxfId="87">
      <pivotArea dataOnly="0" labelOnly="1" outline="0" axis="axisValues" fieldPosition="0"/>
    </format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grandRow="1" outline="0" collapsedLevelsAreSubtotals="1" fieldPosition="0"/>
    </format>
    <format dxfId="83">
      <pivotArea dataOnly="0" labelOnly="1" grandRow="1" outline="0" fieldPosition="0"/>
    </format>
    <format dxfId="82">
      <pivotArea grandRow="1" outline="0" collapsedLevelsAreSubtotals="1" fieldPosition="0"/>
    </format>
    <format dxfId="81">
      <pivotArea dataOnly="0" labelOnly="1" grandRow="1" outline="0" fieldPosition="0"/>
    </format>
    <format dxfId="80">
      <pivotArea collapsedLevelsAreSubtotals="1" fieldPosition="0">
        <references count="2">
          <reference field="4294967294" count="1" selected="0">
            <x v="1"/>
          </reference>
          <reference field="5" count="20">
            <x v="10"/>
            <x v="146"/>
            <x v="194"/>
            <x v="214"/>
            <x v="249"/>
            <x v="295"/>
            <x v="323"/>
            <x v="362"/>
            <x v="375"/>
            <x v="384"/>
            <x v="430"/>
            <x v="452"/>
            <x v="494"/>
            <x v="504"/>
            <x v="539"/>
            <x v="549"/>
            <x v="556"/>
            <x v="636"/>
            <x v="680"/>
            <x v="682"/>
          </reference>
        </references>
      </pivotArea>
    </format>
    <format dxfId="79">
      <pivotArea field="5" type="button" dataOnly="0" labelOnly="1" outline="0" axis="axisRow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grandRow="1" outline="0" collapsedLevelsAreSubtotals="1" fieldPosition="0"/>
    </format>
    <format dxfId="76">
      <pivotArea dataOnly="0" labelOnly="1" grandRow="1" outline="0" fieldPosition="0"/>
    </format>
  </formats>
  <pivotTableStyleInfo name="PivotStyleMedium15" showRowHeaders="1" showColHeaders="1" showRowStripes="0" showColStripes="0" showLastColumn="1"/>
  <filters count="1">
    <filter fld="5" type="count" evalOrder="-1" id="3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237E2-9895-49AE-B4EB-DD88F894458A}" name="Tabela dinâ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N26:P47" firstHeaderRow="0" firstDataRow="1" firstDataCol="1"/>
  <pivotFields count="14">
    <pivotField numFmtId="14" showAll="0">
      <items count="8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umFmtId="14" showAll="0"/>
    <pivotField showAll="0"/>
    <pivotField showAll="0"/>
    <pivotField showAll="0"/>
    <pivotField showAll="0">
      <items count="687">
        <item x="21"/>
        <item x="70"/>
        <item x="547"/>
        <item x="379"/>
        <item x="213"/>
        <item x="260"/>
        <item x="545"/>
        <item x="106"/>
        <item x="565"/>
        <item x="296"/>
        <item x="593"/>
        <item x="230"/>
        <item x="578"/>
        <item x="181"/>
        <item x="111"/>
        <item x="68"/>
        <item x="559"/>
        <item x="60"/>
        <item x="40"/>
        <item x="682"/>
        <item x="293"/>
        <item x="58"/>
        <item x="644"/>
        <item x="172"/>
        <item x="102"/>
        <item x="263"/>
        <item x="193"/>
        <item x="479"/>
        <item x="400"/>
        <item x="367"/>
        <item x="302"/>
        <item x="46"/>
        <item x="190"/>
        <item x="279"/>
        <item x="599"/>
        <item x="238"/>
        <item x="506"/>
        <item x="466"/>
        <item x="486"/>
        <item x="382"/>
        <item x="579"/>
        <item x="531"/>
        <item x="311"/>
        <item x="324"/>
        <item x="265"/>
        <item x="520"/>
        <item x="96"/>
        <item x="304"/>
        <item x="62"/>
        <item x="434"/>
        <item x="112"/>
        <item x="134"/>
        <item x="415"/>
        <item x="426"/>
        <item x="663"/>
        <item x="118"/>
        <item x="162"/>
        <item x="15"/>
        <item x="604"/>
        <item x="253"/>
        <item x="314"/>
        <item x="98"/>
        <item x="527"/>
        <item x="331"/>
        <item x="103"/>
        <item x="534"/>
        <item x="132"/>
        <item x="602"/>
        <item x="57"/>
        <item x="585"/>
        <item x="291"/>
        <item x="30"/>
        <item x="472"/>
        <item x="59"/>
        <item x="473"/>
        <item x="607"/>
        <item x="477"/>
        <item x="63"/>
        <item x="601"/>
        <item x="306"/>
        <item x="567"/>
        <item x="467"/>
        <item x="678"/>
        <item x="675"/>
        <item x="149"/>
        <item x="73"/>
        <item x="677"/>
        <item x="609"/>
        <item x="569"/>
        <item x="232"/>
        <item x="1"/>
        <item x="551"/>
        <item x="160"/>
        <item x="417"/>
        <item x="471"/>
        <item x="650"/>
        <item x="84"/>
        <item x="633"/>
        <item x="337"/>
        <item x="121"/>
        <item x="532"/>
        <item x="292"/>
        <item x="389"/>
        <item x="544"/>
        <item x="378"/>
        <item x="576"/>
        <item x="270"/>
        <item x="425"/>
        <item x="387"/>
        <item x="83"/>
        <item x="299"/>
        <item x="570"/>
        <item x="256"/>
        <item x="594"/>
        <item x="366"/>
        <item x="329"/>
        <item x="518"/>
        <item x="294"/>
        <item x="251"/>
        <item x="657"/>
        <item x="123"/>
        <item x="108"/>
        <item x="584"/>
        <item x="619"/>
        <item x="380"/>
        <item x="394"/>
        <item x="469"/>
        <item x="575"/>
        <item x="420"/>
        <item x="33"/>
        <item x="674"/>
        <item x="608"/>
        <item x="685"/>
        <item x="81"/>
        <item x="492"/>
        <item x="340"/>
        <item x="508"/>
        <item x="589"/>
        <item x="164"/>
        <item x="456"/>
        <item x="541"/>
        <item x="85"/>
        <item x="72"/>
        <item x="36"/>
        <item x="323"/>
        <item x="624"/>
        <item x="104"/>
        <item x="572"/>
        <item x="262"/>
        <item x="553"/>
        <item x="354"/>
        <item x="409"/>
        <item x="375"/>
        <item x="476"/>
        <item x="23"/>
        <item x="342"/>
        <item x="243"/>
        <item x="353"/>
        <item x="8"/>
        <item x="524"/>
        <item x="35"/>
        <item x="548"/>
        <item x="468"/>
        <item x="635"/>
        <item x="552"/>
        <item x="383"/>
        <item x="37"/>
        <item x="244"/>
        <item x="442"/>
        <item x="355"/>
        <item x="424"/>
        <item x="478"/>
        <item x="101"/>
        <item x="499"/>
        <item x="19"/>
        <item x="283"/>
        <item x="284"/>
        <item x="503"/>
        <item x="369"/>
        <item x="173"/>
        <item x="363"/>
        <item x="2"/>
        <item x="496"/>
        <item x="26"/>
        <item x="76"/>
        <item x="204"/>
        <item x="10"/>
        <item x="658"/>
        <item x="402"/>
        <item x="588"/>
        <item x="668"/>
        <item x="680"/>
        <item x="217"/>
        <item x="438"/>
        <item x="97"/>
        <item x="242"/>
        <item x="297"/>
        <item x="533"/>
        <item x="452"/>
        <item x="513"/>
        <item x="523"/>
        <item x="649"/>
        <item x="617"/>
        <item x="517"/>
        <item x="38"/>
        <item x="169"/>
        <item x="441"/>
        <item x="645"/>
        <item x="651"/>
        <item x="228"/>
        <item x="182"/>
        <item x="99"/>
        <item x="6"/>
        <item x="470"/>
        <item x="53"/>
        <item x="28"/>
        <item x="332"/>
        <item x="271"/>
        <item x="295"/>
        <item x="447"/>
        <item x="207"/>
        <item x="128"/>
        <item x="555"/>
        <item x="485"/>
        <item x="344"/>
        <item x="392"/>
        <item x="458"/>
        <item x="74"/>
        <item x="239"/>
        <item x="156"/>
        <item x="500"/>
        <item x="632"/>
        <item x="171"/>
        <item x="422"/>
        <item x="307"/>
        <item x="188"/>
        <item x="107"/>
        <item x="20"/>
        <item x="168"/>
        <item x="87"/>
        <item x="152"/>
        <item x="381"/>
        <item x="655"/>
        <item x="47"/>
        <item x="137"/>
        <item x="586"/>
        <item x="237"/>
        <item x="179"/>
        <item x="597"/>
        <item x="290"/>
        <item x="580"/>
        <item x="587"/>
        <item x="100"/>
        <item x="88"/>
        <item x="257"/>
        <item x="144"/>
        <item x="131"/>
        <item x="309"/>
        <item x="374"/>
        <item x="606"/>
        <item x="218"/>
        <item x="621"/>
        <item x="117"/>
        <item x="95"/>
        <item x="192"/>
        <item x="67"/>
        <item x="543"/>
        <item x="461"/>
        <item x="39"/>
        <item x="280"/>
        <item x="684"/>
        <item x="64"/>
        <item x="223"/>
        <item x="431"/>
        <item x="305"/>
        <item x="416"/>
        <item x="439"/>
        <item x="180"/>
        <item x="598"/>
        <item x="158"/>
        <item x="393"/>
        <item x="75"/>
        <item x="139"/>
        <item x="322"/>
        <item x="5"/>
        <item x="437"/>
        <item x="185"/>
        <item x="120"/>
        <item x="159"/>
        <item x="475"/>
        <item x="116"/>
        <item x="445"/>
        <item x="268"/>
        <item x="590"/>
        <item x="666"/>
        <item x="542"/>
        <item x="641"/>
        <item x="636"/>
        <item x="135"/>
        <item x="250"/>
        <item x="27"/>
        <item x="491"/>
        <item x="605"/>
        <item x="582"/>
        <item x="399"/>
        <item x="301"/>
        <item x="630"/>
        <item x="317"/>
        <item x="300"/>
        <item x="18"/>
        <item x="334"/>
        <item x="512"/>
        <item x="287"/>
        <item x="186"/>
        <item x="634"/>
        <item x="208"/>
        <item x="348"/>
        <item x="289"/>
        <item x="341"/>
        <item x="483"/>
        <item x="312"/>
        <item x="489"/>
        <item x="241"/>
        <item x="154"/>
        <item x="48"/>
        <item x="448"/>
        <item x="539"/>
        <item x="281"/>
        <item x="643"/>
        <item x="91"/>
        <item x="397"/>
        <item x="298"/>
        <item x="216"/>
        <item x="55"/>
        <item x="285"/>
        <item x="361"/>
        <item x="446"/>
        <item x="34"/>
        <item x="558"/>
        <item x="234"/>
        <item x="612"/>
        <item x="151"/>
        <item x="130"/>
        <item x="454"/>
        <item x="174"/>
        <item x="664"/>
        <item x="319"/>
        <item x="161"/>
        <item x="546"/>
        <item x="656"/>
        <item x="259"/>
        <item x="474"/>
        <item x="343"/>
        <item x="214"/>
        <item x="665"/>
        <item x="326"/>
        <item x="277"/>
        <item x="459"/>
        <item x="683"/>
        <item x="411"/>
        <item x="502"/>
        <item x="440"/>
        <item x="165"/>
        <item x="286"/>
        <item x="600"/>
        <item x="673"/>
        <item x="248"/>
        <item x="433"/>
        <item x="395"/>
        <item x="419"/>
        <item x="42"/>
        <item x="52"/>
        <item x="163"/>
        <item x="24"/>
        <item x="538"/>
        <item x="175"/>
        <item x="396"/>
        <item x="407"/>
        <item x="261"/>
        <item x="421"/>
        <item x="316"/>
        <item x="493"/>
        <item x="376"/>
        <item x="274"/>
        <item x="114"/>
        <item x="258"/>
        <item x="667"/>
        <item x="404"/>
        <item x="514"/>
        <item x="41"/>
        <item x="515"/>
        <item x="615"/>
        <item x="141"/>
        <item x="453"/>
        <item x="525"/>
        <item x="681"/>
        <item x="224"/>
        <item x="330"/>
        <item x="320"/>
        <item x="78"/>
        <item x="205"/>
        <item x="125"/>
        <item x="488"/>
        <item x="313"/>
        <item x="430"/>
        <item x="226"/>
        <item x="480"/>
        <item x="490"/>
        <item x="561"/>
        <item x="143"/>
        <item x="7"/>
        <item x="93"/>
        <item x="530"/>
        <item x="408"/>
        <item x="146"/>
        <item x="428"/>
        <item x="247"/>
        <item x="370"/>
        <item x="679"/>
        <item x="227"/>
        <item x="610"/>
        <item x="0"/>
        <item x="184"/>
        <item x="80"/>
        <item x="145"/>
        <item x="61"/>
        <item x="126"/>
        <item x="495"/>
        <item x="412"/>
        <item x="264"/>
        <item x="449"/>
        <item x="403"/>
        <item x="14"/>
        <item x="550"/>
        <item x="510"/>
        <item x="11"/>
        <item x="573"/>
        <item x="4"/>
        <item x="44"/>
        <item x="201"/>
        <item x="631"/>
        <item x="211"/>
        <item x="372"/>
        <item x="670"/>
        <item x="568"/>
        <item x="432"/>
        <item x="462"/>
        <item x="129"/>
        <item x="267"/>
        <item x="622"/>
        <item x="32"/>
        <item x="385"/>
        <item x="505"/>
        <item x="628"/>
        <item x="522"/>
        <item x="77"/>
        <item x="377"/>
        <item x="410"/>
        <item x="435"/>
        <item x="254"/>
        <item x="464"/>
        <item x="444"/>
        <item x="595"/>
        <item x="157"/>
        <item x="110"/>
        <item x="351"/>
        <item x="660"/>
        <item x="51"/>
        <item x="623"/>
        <item x="614"/>
        <item x="89"/>
        <item x="153"/>
        <item x="659"/>
        <item x="577"/>
        <item x="583"/>
        <item x="345"/>
        <item x="136"/>
        <item x="672"/>
        <item x="288"/>
        <item x="648"/>
        <item x="384"/>
        <item x="556"/>
        <item x="194"/>
        <item x="69"/>
        <item x="196"/>
        <item x="225"/>
        <item x="310"/>
        <item x="423"/>
        <item x="12"/>
        <item x="155"/>
        <item x="170"/>
        <item x="327"/>
        <item x="654"/>
        <item x="371"/>
        <item x="113"/>
        <item x="150"/>
        <item x="362"/>
        <item x="56"/>
        <item x="627"/>
        <item x="554"/>
        <item x="94"/>
        <item x="405"/>
        <item x="282"/>
        <item x="22"/>
        <item x="246"/>
        <item x="147"/>
        <item x="497"/>
        <item x="564"/>
        <item x="549"/>
        <item x="356"/>
        <item x="418"/>
        <item x="66"/>
        <item x="79"/>
        <item x="318"/>
        <item x="31"/>
        <item x="637"/>
        <item x="443"/>
        <item x="43"/>
        <item x="197"/>
        <item x="167"/>
        <item x="54"/>
        <item x="501"/>
        <item x="49"/>
        <item x="529"/>
        <item x="71"/>
        <item x="563"/>
        <item x="557"/>
        <item x="519"/>
        <item x="335"/>
        <item x="105"/>
        <item x="365"/>
        <item x="536"/>
        <item x="427"/>
        <item x="560"/>
        <item x="215"/>
        <item x="187"/>
        <item x="450"/>
        <item x="566"/>
        <item x="249"/>
        <item x="509"/>
        <item x="507"/>
        <item x="148"/>
        <item x="481"/>
        <item x="25"/>
        <item x="360"/>
        <item x="487"/>
        <item x="339"/>
        <item x="676"/>
        <item x="368"/>
        <item x="273"/>
        <item x="537"/>
        <item x="278"/>
        <item x="233"/>
        <item x="516"/>
        <item x="133"/>
        <item x="303"/>
        <item x="398"/>
        <item x="661"/>
        <item x="669"/>
        <item x="109"/>
        <item x="349"/>
        <item x="236"/>
        <item x="321"/>
        <item x="494"/>
        <item x="460"/>
        <item x="504"/>
        <item x="581"/>
        <item x="391"/>
        <item x="511"/>
        <item x="209"/>
        <item x="195"/>
        <item x="352"/>
        <item x="364"/>
        <item x="235"/>
        <item x="245"/>
        <item x="221"/>
        <item x="526"/>
        <item x="29"/>
        <item x="358"/>
        <item x="406"/>
        <item x="13"/>
        <item x="50"/>
        <item x="540"/>
        <item x="390"/>
        <item x="652"/>
        <item x="596"/>
        <item x="325"/>
        <item x="535"/>
        <item x="276"/>
        <item x="521"/>
        <item x="465"/>
        <item x="45"/>
        <item x="603"/>
        <item x="373"/>
        <item x="272"/>
        <item x="451"/>
        <item x="591"/>
        <item x="498"/>
        <item x="346"/>
        <item x="198"/>
        <item x="212"/>
        <item x="611"/>
        <item x="386"/>
        <item x="413"/>
        <item x="229"/>
        <item x="178"/>
        <item x="140"/>
        <item x="266"/>
        <item x="336"/>
        <item x="653"/>
        <item x="124"/>
        <item x="616"/>
        <item x="269"/>
        <item x="252"/>
        <item x="328"/>
        <item x="642"/>
        <item x="219"/>
        <item x="65"/>
        <item x="82"/>
        <item x="16"/>
        <item x="199"/>
        <item x="338"/>
        <item x="90"/>
        <item x="625"/>
        <item x="662"/>
        <item x="17"/>
        <item x="638"/>
        <item x="571"/>
        <item x="640"/>
        <item x="220"/>
        <item x="613"/>
        <item x="457"/>
        <item x="189"/>
        <item x="574"/>
        <item x="455"/>
        <item x="127"/>
        <item x="429"/>
        <item x="177"/>
        <item x="482"/>
        <item x="350"/>
        <item x="166"/>
        <item x="308"/>
        <item x="463"/>
        <item x="671"/>
        <item x="86"/>
        <item x="357"/>
        <item x="203"/>
        <item x="240"/>
        <item x="359"/>
        <item x="92"/>
        <item x="255"/>
        <item x="347"/>
        <item x="231"/>
        <item x="3"/>
        <item x="191"/>
        <item x="9"/>
        <item x="646"/>
        <item x="119"/>
        <item x="592"/>
        <item x="315"/>
        <item x="639"/>
        <item x="647"/>
        <item x="388"/>
        <item x="200"/>
        <item x="562"/>
        <item x="210"/>
        <item x="206"/>
        <item x="626"/>
        <item x="401"/>
        <item x="333"/>
        <item x="618"/>
        <item x="122"/>
        <item x="528"/>
        <item x="115"/>
        <item x="629"/>
        <item x="142"/>
        <item x="275"/>
        <item x="222"/>
        <item x="620"/>
        <item x="484"/>
        <item x="202"/>
        <item x="176"/>
        <item x="436"/>
        <item x="414"/>
        <item x="183"/>
        <item x="138"/>
        <item t="default"/>
      </items>
    </pivotField>
    <pivotField showAll="0"/>
    <pivotField showAll="0"/>
    <pivotField showAll="0"/>
    <pivotField axis="axisRow" showAll="0" measureFilter="1">
      <items count="1504">
        <item x="1459"/>
        <item x="766"/>
        <item x="368"/>
        <item x="1413"/>
        <item x="333"/>
        <item x="916"/>
        <item x="1467"/>
        <item x="881"/>
        <item x="1100"/>
        <item x="774"/>
        <item x="1409"/>
        <item x="934"/>
        <item x="1384"/>
        <item x="1024"/>
        <item x="1475"/>
        <item x="1214"/>
        <item x="907"/>
        <item x="1200"/>
        <item x="617"/>
        <item x="668"/>
        <item x="3"/>
        <item x="437"/>
        <item x="1099"/>
        <item x="786"/>
        <item x="616"/>
        <item x="1329"/>
        <item x="1472"/>
        <item x="601"/>
        <item x="481"/>
        <item x="1323"/>
        <item x="1354"/>
        <item x="952"/>
        <item x="571"/>
        <item x="909"/>
        <item x="1162"/>
        <item x="1371"/>
        <item x="734"/>
        <item x="812"/>
        <item x="1500"/>
        <item x="736"/>
        <item x="1179"/>
        <item x="505"/>
        <item x="1202"/>
        <item x="195"/>
        <item x="114"/>
        <item x="979"/>
        <item x="702"/>
        <item x="857"/>
        <item x="495"/>
        <item x="304"/>
        <item x="1489"/>
        <item x="497"/>
        <item x="1092"/>
        <item x="621"/>
        <item x="778"/>
        <item x="1367"/>
        <item x="1025"/>
        <item x="707"/>
        <item x="108"/>
        <item x="383"/>
        <item x="640"/>
        <item x="447"/>
        <item x="295"/>
        <item x="128"/>
        <item x="593"/>
        <item x="1471"/>
        <item x="780"/>
        <item x="1434"/>
        <item x="223"/>
        <item x="1390"/>
        <item x="484"/>
        <item x="1171"/>
        <item x="543"/>
        <item x="216"/>
        <item x="816"/>
        <item x="276"/>
        <item x="309"/>
        <item x="171"/>
        <item x="457"/>
        <item x="1319"/>
        <item x="242"/>
        <item x="992"/>
        <item x="355"/>
        <item x="1426"/>
        <item x="411"/>
        <item x="501"/>
        <item x="1150"/>
        <item x="1283"/>
        <item x="761"/>
        <item x="1159"/>
        <item x="754"/>
        <item x="489"/>
        <item x="833"/>
        <item x="105"/>
        <item x="254"/>
        <item x="545"/>
        <item x="1093"/>
        <item x="522"/>
        <item x="701"/>
        <item x="246"/>
        <item x="1483"/>
        <item x="879"/>
        <item x="828"/>
        <item x="89"/>
        <item x="555"/>
        <item x="147"/>
        <item x="671"/>
        <item x="846"/>
        <item x="1270"/>
        <item x="1070"/>
        <item x="1451"/>
        <item x="1126"/>
        <item x="1101"/>
        <item x="1044"/>
        <item x="1453"/>
        <item x="901"/>
        <item x="1397"/>
        <item x="1346"/>
        <item x="948"/>
        <item x="1088"/>
        <item x="1466"/>
        <item x="454"/>
        <item x="956"/>
        <item x="224"/>
        <item x="1078"/>
        <item x="684"/>
        <item x="1134"/>
        <item x="250"/>
        <item x="97"/>
        <item x="944"/>
        <item x="1094"/>
        <item x="1083"/>
        <item x="217"/>
        <item x="410"/>
        <item x="1294"/>
        <item x="94"/>
        <item x="67"/>
        <item x="102"/>
        <item x="969"/>
        <item x="725"/>
        <item x="919"/>
        <item x="1052"/>
        <item x="537"/>
        <item x="1029"/>
        <item x="1205"/>
        <item x="1225"/>
        <item x="577"/>
        <item x="1030"/>
        <item x="745"/>
        <item x="408"/>
        <item x="652"/>
        <item x="551"/>
        <item x="1314"/>
        <item x="1416"/>
        <item x="386"/>
        <item x="1011"/>
        <item x="1365"/>
        <item x="878"/>
        <item x="575"/>
        <item x="1032"/>
        <item x="1103"/>
        <item x="714"/>
        <item x="479"/>
        <item x="182"/>
        <item x="69"/>
        <item x="499"/>
        <item x="1262"/>
        <item x="255"/>
        <item x="116"/>
        <item x="1036"/>
        <item x="927"/>
        <item x="1295"/>
        <item x="326"/>
        <item x="1154"/>
        <item x="563"/>
        <item x="664"/>
        <item x="790"/>
        <item x="1406"/>
        <item x="854"/>
        <item x="802"/>
        <item x="946"/>
        <item x="880"/>
        <item x="836"/>
        <item x="1454"/>
        <item x="720"/>
        <item x="362"/>
        <item x="899"/>
        <item x="1421"/>
        <item x="294"/>
        <item x="1303"/>
        <item x="76"/>
        <item x="364"/>
        <item x="1183"/>
        <item x="1395"/>
        <item x="912"/>
        <item x="993"/>
        <item x="645"/>
        <item x="572"/>
        <item x="1139"/>
        <item x="18"/>
        <item x="1087"/>
        <item x="384"/>
        <item x="732"/>
        <item x="884"/>
        <item x="398"/>
        <item x="550"/>
        <item x="269"/>
        <item x="721"/>
        <item x="184"/>
        <item x="174"/>
        <item x="44"/>
        <item x="1444"/>
        <item x="261"/>
        <item x="296"/>
        <item x="1402"/>
        <item x="77"/>
        <item x="379"/>
        <item x="891"/>
        <item x="1002"/>
        <item x="390"/>
        <item x="1380"/>
        <item x="859"/>
        <item x="966"/>
        <item x="806"/>
        <item x="168"/>
        <item x="85"/>
        <item x="434"/>
        <item x="566"/>
        <item x="1502"/>
        <item x="800"/>
        <item x="1244"/>
        <item x="13"/>
        <item x="1086"/>
        <item x="1074"/>
        <item x="742"/>
        <item x="672"/>
        <item x="1437"/>
        <item x="1219"/>
        <item x="636"/>
        <item x="1127"/>
        <item x="963"/>
        <item x="540"/>
        <item x="24"/>
        <item x="1428"/>
        <item x="1485"/>
        <item x="154"/>
        <item x="466"/>
        <item x="100"/>
        <item x="974"/>
        <item x="1176"/>
        <item x="1366"/>
        <item x="1330"/>
        <item x="441"/>
        <item x="954"/>
        <item x="510"/>
        <item x="90"/>
        <item x="444"/>
        <item x="32"/>
        <item x="455"/>
        <item x="377"/>
        <item x="360"/>
        <item x="192"/>
        <item x="415"/>
        <item x="113"/>
        <item x="61"/>
        <item x="864"/>
        <item x="176"/>
        <item x="1477"/>
        <item x="87"/>
        <item x="1463"/>
        <item x="561"/>
        <item x="665"/>
        <item x="1498"/>
        <item x="104"/>
        <item x="1281"/>
        <item x="1218"/>
        <item x="1224"/>
        <item x="894"/>
        <item x="265"/>
        <item x="1098"/>
        <item x="1325"/>
        <item x="356"/>
        <item x="318"/>
        <item x="1215"/>
        <item x="1181"/>
        <item x="629"/>
        <item x="1412"/>
        <item x="1288"/>
        <item x="744"/>
        <item x="866"/>
        <item x="366"/>
        <item x="84"/>
        <item x="247"/>
        <item x="293"/>
        <item x="41"/>
        <item x="1315"/>
        <item x="233"/>
        <item x="234"/>
        <item x="1031"/>
        <item x="765"/>
        <item x="1089"/>
        <item x="509"/>
        <item x="1049"/>
        <item x="924"/>
        <item x="1493"/>
        <item x="1353"/>
        <item x="597"/>
        <item x="870"/>
        <item x="450"/>
        <item x="906"/>
        <item x="787"/>
        <item x="1035"/>
        <item x="50"/>
        <item x="1494"/>
        <item x="980"/>
        <item x="885"/>
        <item x="1136"/>
        <item x="988"/>
        <item x="1313"/>
        <item x="678"/>
        <item x="1249"/>
        <item x="1285"/>
        <item x="1326"/>
        <item x="582"/>
        <item x="332"/>
        <item x="609"/>
        <item x="589"/>
        <item x="1447"/>
        <item x="416"/>
        <item x="177"/>
        <item x="708"/>
        <item x="1165"/>
        <item x="1376"/>
        <item x="844"/>
        <item x="516"/>
        <item x="1458"/>
        <item x="35"/>
        <item x="46"/>
        <item x="837"/>
        <item x="406"/>
        <item x="452"/>
        <item x="36"/>
        <item x="1166"/>
        <item x="1077"/>
        <item x="492"/>
        <item x="1407"/>
        <item x="78"/>
        <item x="155"/>
        <item x="947"/>
        <item x="1393"/>
        <item x="1344"/>
        <item x="822"/>
        <item x="1000"/>
        <item x="288"/>
        <item x="931"/>
        <item x="1206"/>
        <item x="1019"/>
        <item x="278"/>
        <item x="256"/>
        <item x="524"/>
        <item x="200"/>
        <item x="405"/>
        <item x="1286"/>
        <item x="922"/>
        <item x="81"/>
        <item x="978"/>
        <item x="1284"/>
        <item x="1490"/>
        <item x="1309"/>
        <item x="824"/>
        <item x="439"/>
        <item x="25"/>
        <item x="1391"/>
        <item x="381"/>
        <item x="921"/>
        <item x="528"/>
        <item x="1443"/>
        <item x="1479"/>
        <item x="821"/>
        <item x="38"/>
        <item x="938"/>
        <item x="1085"/>
        <item x="1106"/>
        <item x="212"/>
        <item x="1296"/>
        <item x="637"/>
        <item x="1065"/>
        <item x="251"/>
        <item x="850"/>
        <item x="1291"/>
        <item x="1396"/>
        <item x="1440"/>
        <item x="1442"/>
        <item x="57"/>
        <item x="674"/>
        <item x="371"/>
        <item x="939"/>
        <item x="1253"/>
        <item x="656"/>
        <item x="503"/>
        <item x="1182"/>
        <item x="1306"/>
        <item x="1411"/>
        <item x="763"/>
        <item x="889"/>
        <item x="323"/>
        <item x="1227"/>
        <item x="306"/>
        <item x="562"/>
        <item x="272"/>
        <item x="581"/>
        <item x="746"/>
        <item x="1368"/>
        <item x="789"/>
        <item x="158"/>
        <item x="829"/>
        <item x="588"/>
        <item x="1497"/>
        <item x="670"/>
        <item x="1274"/>
        <item x="920"/>
        <item x="159"/>
        <item x="583"/>
        <item x="14"/>
        <item x="370"/>
        <item x="1297"/>
        <item x="1470"/>
        <item x="606"/>
        <item x="344"/>
        <item x="818"/>
        <item x="1462"/>
        <item x="1161"/>
        <item x="342"/>
        <item x="153"/>
        <item x="735"/>
        <item x="549"/>
        <item x="409"/>
        <item x="1415"/>
        <item x="59"/>
        <item x="42"/>
        <item x="1272"/>
        <item x="55"/>
        <item x="133"/>
        <item x="673"/>
        <item x="445"/>
        <item x="676"/>
        <item x="1369"/>
        <item x="282"/>
        <item x="1063"/>
        <item x="1335"/>
        <item x="1307"/>
        <item x="511"/>
        <item x="1305"/>
        <item x="1257"/>
        <item x="791"/>
        <item x="51"/>
        <item x="1169"/>
        <item x="542"/>
        <item x="252"/>
        <item x="747"/>
        <item x="1491"/>
        <item x="10"/>
        <item x="1107"/>
        <item x="596"/>
        <item x="433"/>
        <item x="150"/>
        <item x="1146"/>
        <item x="845"/>
        <item x="307"/>
        <item x="193"/>
        <item x="312"/>
        <item x="1061"/>
        <item x="512"/>
        <item x="1308"/>
        <item x="262"/>
        <item x="210"/>
        <item x="396"/>
        <item x="313"/>
        <item x="1474"/>
        <item x="810"/>
        <item x="118"/>
        <item x="741"/>
        <item x="93"/>
        <item x="1355"/>
        <item x="831"/>
        <item x="163"/>
        <item x="1124"/>
        <item x="1400"/>
        <item x="687"/>
        <item x="515"/>
        <item x="753"/>
        <item x="1175"/>
        <item x="918"/>
        <item x="75"/>
        <item x="1220"/>
        <item x="1113"/>
        <item x="1324"/>
        <item x="1468"/>
        <item x="959"/>
        <item x="552"/>
        <item x="314"/>
        <item x="106"/>
        <item x="161"/>
        <item x="518"/>
        <item x="1450"/>
        <item x="1003"/>
        <item x="1357"/>
        <item x="1317"/>
        <item x="490"/>
        <item x="898"/>
        <item x="72"/>
        <item x="1040"/>
        <item x="860"/>
        <item x="1265"/>
        <item x="554"/>
        <item x="1282"/>
        <item x="559"/>
        <item x="630"/>
        <item x="853"/>
        <item x="1208"/>
        <item x="4"/>
        <item x="350"/>
        <item x="977"/>
        <item x="141"/>
        <item x="1118"/>
        <item x="1389"/>
        <item x="442"/>
        <item x="219"/>
        <item x="1020"/>
        <item x="997"/>
        <item x="838"/>
        <item x="982"/>
        <item x="1320"/>
        <item x="1068"/>
        <item x="130"/>
        <item x="353"/>
        <item x="248"/>
        <item x="400"/>
        <item x="491"/>
        <item x="338"/>
        <item x="519"/>
        <item x="1062"/>
        <item x="1071"/>
        <item x="1060"/>
        <item x="719"/>
        <item x="1239"/>
        <item x="615"/>
        <item x="1464"/>
        <item x="486"/>
        <item x="1273"/>
        <item x="1332"/>
        <item x="604"/>
        <item x="1501"/>
        <item x="71"/>
        <item x="546"/>
        <item x="813"/>
        <item x="165"/>
        <item x="1211"/>
        <item x="1299"/>
        <item x="270"/>
        <item x="591"/>
        <item x="1499"/>
        <item x="1108"/>
        <item x="905"/>
        <item x="274"/>
        <item x="92"/>
        <item x="1039"/>
        <item x="784"/>
        <item x="635"/>
        <item x="1241"/>
        <item x="983"/>
        <item x="315"/>
        <item x="1242"/>
        <item x="19"/>
        <item x="363"/>
        <item x="779"/>
        <item x="352"/>
        <item x="5"/>
        <item x="146"/>
        <item x="1461"/>
        <item x="1056"/>
        <item x="639"/>
        <item x="391"/>
        <item x="686"/>
        <item x="772"/>
        <item x="1172"/>
        <item x="1363"/>
        <item x="45"/>
        <item x="941"/>
        <item x="520"/>
        <item x="107"/>
        <item x="733"/>
        <item x="189"/>
        <item x="1034"/>
        <item x="843"/>
        <item x="929"/>
        <item x="456"/>
        <item x="1420"/>
        <item x="1001"/>
        <item x="436"/>
        <item x="1235"/>
        <item x="647"/>
        <item x="967"/>
        <item x="179"/>
        <item x="31"/>
        <item x="942"/>
        <item x="541"/>
        <item x="361"/>
        <item x="558"/>
        <item x="374"/>
        <item x="1383"/>
        <item x="709"/>
        <item x="1230"/>
        <item x="815"/>
        <item x="22"/>
        <item x="788"/>
        <item x="965"/>
        <item x="470"/>
        <item x="40"/>
        <item x="1190"/>
        <item x="1210"/>
        <item x="1055"/>
        <item x="530"/>
        <item x="1037"/>
        <item x="33"/>
        <item x="971"/>
        <item x="999"/>
        <item x="767"/>
        <item x="1168"/>
        <item x="207"/>
        <item x="535"/>
        <item x="244"/>
        <item x="1217"/>
        <item x="1096"/>
        <item x="1203"/>
        <item x="1431"/>
        <item x="340"/>
        <item x="1386"/>
        <item x="1185"/>
        <item x="259"/>
        <item x="494"/>
        <item x="145"/>
        <item x="65"/>
        <item x="680"/>
        <item x="112"/>
        <item x="962"/>
        <item x="1379"/>
        <item x="567"/>
        <item x="825"/>
        <item x="1115"/>
        <item x="1488"/>
        <item x="1212"/>
        <item x="940"/>
        <item x="1045"/>
        <item x="975"/>
        <item x="729"/>
        <item x="418"/>
        <item x="220"/>
        <item x="1372"/>
        <item x="1059"/>
        <item x="1199"/>
        <item x="777"/>
        <item x="119"/>
        <item x="298"/>
        <item x="865"/>
        <item x="1012"/>
        <item x="225"/>
        <item x="180"/>
        <item x="325"/>
        <item x="208"/>
        <item x="172"/>
        <item x="693"/>
        <item x="961"/>
        <item x="1066"/>
        <item x="1482"/>
        <item x="188"/>
        <item x="565"/>
        <item x="578"/>
        <item x="611"/>
        <item x="984"/>
        <item x="1047"/>
        <item x="302"/>
        <item x="149"/>
        <item x="1141"/>
        <item x="760"/>
        <item x="473"/>
        <item x="692"/>
        <item x="851"/>
        <item x="1348"/>
        <item x="508"/>
        <item x="139"/>
        <item x="129"/>
        <item x="1398"/>
        <item x="580"/>
        <item x="1041"/>
        <item x="1155"/>
        <item x="1403"/>
        <item x="841"/>
        <item x="1301"/>
        <item x="1236"/>
        <item x="1073"/>
        <item x="624"/>
        <item x="236"/>
        <item x="205"/>
        <item x="586"/>
        <item x="1054"/>
        <item x="1177"/>
        <item x="1300"/>
        <item x="101"/>
        <item x="679"/>
        <item x="458"/>
        <item x="1351"/>
        <item x="1072"/>
        <item x="737"/>
        <item x="1191"/>
        <item x="1197"/>
        <item x="1258"/>
        <item x="764"/>
        <item x="556"/>
        <item x="785"/>
        <item x="487"/>
        <item x="175"/>
        <item x="303"/>
        <item x="1233"/>
        <item x="144"/>
        <item x="968"/>
        <item x="1105"/>
        <item x="1144"/>
        <item x="525"/>
        <item x="258"/>
        <item x="17"/>
        <item x="329"/>
        <item x="1120"/>
        <item x="705"/>
        <item x="904"/>
        <item x="643"/>
        <item x="241"/>
        <item x="1033"/>
        <item x="1240"/>
        <item x="132"/>
        <item x="618"/>
        <item x="300"/>
        <item x="1069"/>
        <item x="1188"/>
        <item x="1269"/>
        <item x="599"/>
        <item x="1009"/>
        <item x="47"/>
        <item x="1213"/>
        <item x="218"/>
        <item x="937"/>
        <item x="134"/>
        <item x="834"/>
        <item x="60"/>
        <item x="365"/>
        <item x="925"/>
        <item x="608"/>
        <item x="1051"/>
        <item x="723"/>
        <item x="367"/>
        <item x="1414"/>
        <item x="373"/>
        <item x="560"/>
        <item x="835"/>
        <item x="429"/>
        <item x="1457"/>
        <item x="257"/>
        <item x="685"/>
        <item x="873"/>
        <item x="1204"/>
        <item x="985"/>
        <item x="654"/>
        <item x="762"/>
        <item x="111"/>
        <item x="1021"/>
        <item x="462"/>
        <item x="1153"/>
        <item x="1356"/>
        <item x="169"/>
        <item x="1167"/>
        <item x="292"/>
        <item x="148"/>
        <item x="140"/>
        <item x="359"/>
        <item x="79"/>
        <item x="1422"/>
        <item x="1116"/>
        <item x="156"/>
        <item x="607"/>
        <item x="689"/>
        <item x="631"/>
        <item x="341"/>
        <item x="1432"/>
        <item x="459"/>
        <item x="1245"/>
        <item x="357"/>
        <item x="534"/>
        <item x="397"/>
        <item x="1302"/>
        <item x="727"/>
        <item x="125"/>
        <item x="1057"/>
        <item x="1337"/>
        <item x="892"/>
        <item x="1452"/>
        <item x="1147"/>
        <item x="773"/>
        <item x="529"/>
        <item x="628"/>
        <item x="970"/>
        <item x="245"/>
        <item x="1252"/>
        <item x="827"/>
        <item x="695"/>
        <item x="527"/>
        <item x="933"/>
        <item x="23"/>
        <item x="769"/>
        <item x="908"/>
        <item x="227"/>
        <item x="820"/>
        <item x="887"/>
        <item x="1424"/>
        <item x="935"/>
        <item x="472"/>
        <item x="823"/>
        <item x="666"/>
        <item x="1173"/>
        <item x="1275"/>
        <item x="91"/>
        <item x="896"/>
        <item x="143"/>
        <item x="297"/>
        <item x="644"/>
        <item x="380"/>
        <item x="1401"/>
        <item x="1318"/>
        <item x="446"/>
        <item x="1148"/>
        <item x="667"/>
        <item x="351"/>
        <item x="819"/>
        <item x="1109"/>
        <item x="669"/>
        <item x="431"/>
        <item x="346"/>
        <item x="1014"/>
        <item x="1082"/>
        <item x="1043"/>
        <item x="923"/>
        <item x="1180"/>
        <item x="1243"/>
        <item x="1007"/>
        <item x="1278"/>
        <item x="612"/>
        <item x="1260"/>
        <item x="1050"/>
        <item x="902"/>
        <item x="21"/>
        <item x="888"/>
        <item x="1492"/>
        <item x="949"/>
        <item x="928"/>
        <item x="202"/>
        <item x="1333"/>
        <item x="796"/>
        <item x="402"/>
        <item x="1382"/>
        <item x="553"/>
        <item x="1133"/>
        <item x="485"/>
        <item x="430"/>
        <item x="603"/>
        <item x="228"/>
        <item x="726"/>
        <item x="874"/>
        <item x="1469"/>
        <item x="1008"/>
        <item x="95"/>
        <item x="738"/>
        <item x="876"/>
        <item x="20"/>
        <item x="29"/>
        <item x="1438"/>
        <item x="903"/>
        <item x="482"/>
        <item x="770"/>
        <item x="1216"/>
        <item x="215"/>
        <item x="830"/>
        <item x="1264"/>
        <item x="958"/>
        <item x="152"/>
        <item x="1280"/>
        <item x="711"/>
        <item x="122"/>
        <item x="438"/>
        <item x="1410"/>
        <item x="781"/>
        <item x="700"/>
        <item x="404"/>
        <item x="1194"/>
        <item x="590"/>
        <item x="1256"/>
        <item x="620"/>
        <item x="213"/>
        <item x="793"/>
        <item x="138"/>
        <item x="990"/>
        <item x="63"/>
        <item x="1287"/>
        <item x="526"/>
        <item x="569"/>
        <item x="657"/>
        <item x="1223"/>
        <item x="317"/>
        <item x="1331"/>
        <item x="642"/>
        <item x="1310"/>
        <item x="801"/>
        <item x="209"/>
        <item x="913"/>
        <item x="646"/>
        <item x="151"/>
        <item x="757"/>
        <item x="214"/>
        <item x="403"/>
        <item x="886"/>
        <item x="1495"/>
        <item x="1359"/>
        <item x="238"/>
        <item x="1423"/>
        <item x="34"/>
        <item x="533"/>
        <item x="842"/>
        <item x="206"/>
        <item x="1496"/>
        <item x="716"/>
        <item x="1178"/>
        <item x="1254"/>
        <item x="334"/>
        <item x="287"/>
        <item x="419"/>
        <item x="1399"/>
        <item x="633"/>
        <item x="712"/>
        <item x="115"/>
        <item x="204"/>
        <item x="58"/>
        <item x="1321"/>
        <item x="103"/>
        <item x="1193"/>
        <item x="37"/>
        <item x="1081"/>
        <item x="1336"/>
        <item x="1375"/>
        <item x="1017"/>
        <item x="331"/>
        <item x="271"/>
        <item x="799"/>
        <item x="464"/>
        <item x="688"/>
        <item x="1123"/>
        <item x="917"/>
        <item x="199"/>
        <item x="794"/>
        <item x="475"/>
        <item x="506"/>
        <item x="703"/>
        <item x="1160"/>
        <item x="1456"/>
        <item x="194"/>
        <item x="54"/>
        <item x="1480"/>
        <item x="521"/>
        <item x="39"/>
        <item x="1145"/>
        <item x="1091"/>
        <item x="1405"/>
        <item x="164"/>
        <item x="681"/>
        <item x="814"/>
        <item x="1418"/>
        <item x="420"/>
        <item x="308"/>
        <item x="1164"/>
        <item x="1157"/>
        <item x="706"/>
        <item x="1361"/>
        <item x="957"/>
        <item x="56"/>
        <item x="722"/>
        <item x="943"/>
        <item x="1345"/>
        <item x="8"/>
        <item x="1121"/>
        <item x="1248"/>
        <item x="2"/>
        <item x="70"/>
        <item x="662"/>
        <item x="1445"/>
        <item x="809"/>
        <item x="449"/>
        <item x="638"/>
        <item x="1053"/>
        <item x="1192"/>
        <item x="422"/>
        <item x="1449"/>
        <item x="932"/>
        <item x="1481"/>
        <item x="991"/>
        <item x="1016"/>
        <item x="1232"/>
        <item x="239"/>
        <item x="1347"/>
        <item x="387"/>
        <item x="1268"/>
        <item x="557"/>
        <item x="803"/>
        <item x="1246"/>
        <item x="1058"/>
        <item x="465"/>
        <item x="1373"/>
        <item x="305"/>
        <item x="1237"/>
        <item x="468"/>
        <item x="1417"/>
        <item x="1404"/>
        <item x="849"/>
        <item x="1387"/>
        <item x="183"/>
        <item x="448"/>
        <item x="768"/>
        <item x="750"/>
        <item x="1342"/>
        <item x="775"/>
        <item x="856"/>
        <item x="771"/>
        <item x="299"/>
        <item x="173"/>
        <item x="131"/>
        <item x="1339"/>
        <item x="623"/>
        <item x="166"/>
        <item x="683"/>
        <item x="1189"/>
        <item x="1392"/>
        <item x="142"/>
        <item x="804"/>
        <item x="622"/>
        <item x="915"/>
        <item x="320"/>
        <item x="407"/>
        <item x="900"/>
        <item x="389"/>
        <item x="697"/>
        <item x="995"/>
        <item x="811"/>
        <item x="336"/>
        <item x="619"/>
        <item x="1184"/>
        <item x="414"/>
        <item x="817"/>
        <item x="1381"/>
        <item x="286"/>
        <item x="285"/>
        <item x="989"/>
        <item x="301"/>
        <item x="185"/>
        <item x="413"/>
        <item x="395"/>
        <item x="996"/>
        <item x="1130"/>
        <item x="1080"/>
        <item x="49"/>
        <item x="375"/>
        <item x="1076"/>
        <item x="73"/>
        <item x="26"/>
        <item x="783"/>
        <item x="704"/>
        <item x="650"/>
        <item x="99"/>
        <item x="1238"/>
        <item x="96"/>
        <item x="682"/>
        <item x="752"/>
        <item x="1408"/>
        <item x="86"/>
        <item x="1436"/>
        <item x="1149"/>
        <item x="953"/>
        <item x="634"/>
        <item x="388"/>
        <item x="469"/>
        <item x="427"/>
        <item x="1132"/>
        <item x="998"/>
        <item x="893"/>
        <item x="98"/>
        <item x="12"/>
        <item x="595"/>
        <item x="1084"/>
        <item x="751"/>
        <item x="955"/>
        <item x="1142"/>
        <item x="798"/>
        <item x="277"/>
        <item x="324"/>
        <item x="1441"/>
        <item x="319"/>
        <item x="1327"/>
        <item x="1340"/>
        <item x="972"/>
        <item x="1201"/>
        <item x="610"/>
        <item x="598"/>
        <item x="1027"/>
        <item x="994"/>
        <item x="1064"/>
        <item x="1263"/>
        <item x="641"/>
        <item x="231"/>
        <item x="532"/>
        <item x="424"/>
        <item x="190"/>
        <item x="945"/>
        <item x="230"/>
        <item x="467"/>
        <item x="211"/>
        <item x="739"/>
        <item x="1487"/>
        <item x="632"/>
        <item x="795"/>
        <item x="1231"/>
        <item x="584"/>
        <item x="1140"/>
        <item x="240"/>
        <item x="117"/>
        <item x="1229"/>
        <item x="426"/>
        <item x="435"/>
        <item x="1129"/>
        <item x="713"/>
        <item x="496"/>
        <item x="1473"/>
        <item x="412"/>
        <item x="283"/>
        <item x="1222"/>
        <item x="498"/>
        <item x="62"/>
        <item x="253"/>
        <item x="263"/>
        <item x="1137"/>
        <item x="911"/>
        <item x="1228"/>
        <item x="1465"/>
        <item x="1111"/>
        <item x="1388"/>
        <item x="792"/>
        <item x="273"/>
        <item x="847"/>
        <item x="480"/>
        <item x="694"/>
        <item x="718"/>
        <item x="15"/>
        <item x="1067"/>
        <item x="1112"/>
        <item x="699"/>
        <item x="136"/>
        <item x="425"/>
        <item x="960"/>
        <item x="536"/>
        <item x="592"/>
        <item x="663"/>
        <item x="191"/>
        <item x="1125"/>
        <item x="394"/>
        <item x="1221"/>
        <item x="743"/>
        <item x="266"/>
        <item x="1316"/>
        <item x="758"/>
        <item x="808"/>
        <item x="249"/>
        <item x="1341"/>
        <item x="914"/>
        <item x="1207"/>
        <item x="861"/>
        <item x="281"/>
        <item x="585"/>
        <item x="66"/>
        <item x="576"/>
        <item x="863"/>
        <item x="1430"/>
        <item x="378"/>
        <item x="538"/>
        <item x="862"/>
        <item x="123"/>
        <item x="1186"/>
        <item x="1005"/>
        <item x="376"/>
        <item x="432"/>
        <item x="659"/>
        <item x="1427"/>
        <item x="126"/>
        <item x="883"/>
        <item x="1151"/>
        <item x="1255"/>
        <item x="451"/>
        <item x="170"/>
        <item x="382"/>
        <item x="579"/>
        <item x="1362"/>
        <item x="852"/>
        <item x="517"/>
        <item x="547"/>
        <item x="1486"/>
        <item x="493"/>
        <item x="875"/>
        <item x="74"/>
        <item x="328"/>
        <item x="48"/>
        <item x="157"/>
        <item x="221"/>
        <item x="121"/>
        <item x="16"/>
        <item x="162"/>
        <item x="349"/>
        <item x="1292"/>
        <item x="730"/>
        <item x="68"/>
        <item x="354"/>
        <item x="358"/>
        <item x="347"/>
        <item x="728"/>
        <item x="1022"/>
        <item x="124"/>
        <item x="1117"/>
        <item x="1234"/>
        <item x="756"/>
        <item x="260"/>
        <item x="1378"/>
        <item x="1312"/>
        <item x="52"/>
        <item x="1311"/>
        <item x="1158"/>
        <item x="1135"/>
        <item x="80"/>
        <item x="1010"/>
        <item x="392"/>
        <item x="1394"/>
        <item x="1261"/>
        <item x="1097"/>
        <item x="1425"/>
        <item x="661"/>
        <item x="1484"/>
        <item x="110"/>
        <item x="840"/>
        <item x="1358"/>
        <item x="1"/>
        <item x="339"/>
        <item x="1439"/>
        <item x="871"/>
        <item x="1122"/>
        <item x="401"/>
        <item x="1250"/>
        <item x="651"/>
        <item x="626"/>
        <item x="1338"/>
        <item x="226"/>
        <item x="1226"/>
        <item x="1079"/>
        <item x="1322"/>
        <item x="88"/>
        <item x="1110"/>
        <item x="30"/>
        <item x="6"/>
        <item x="950"/>
        <item x="1006"/>
        <item x="1478"/>
        <item x="461"/>
        <item x="423"/>
        <item x="782"/>
        <item x="731"/>
        <item x="1350"/>
        <item x="267"/>
        <item x="187"/>
        <item x="1360"/>
        <item x="1114"/>
        <item x="7"/>
        <item x="316"/>
        <item x="872"/>
        <item x="710"/>
        <item x="655"/>
        <item x="826"/>
        <item x="1013"/>
        <item x="832"/>
        <item x="1328"/>
        <item x="1289"/>
        <item x="1102"/>
        <item x="1448"/>
        <item x="322"/>
        <item x="1304"/>
        <item x="264"/>
        <item x="178"/>
        <item x="605"/>
        <item x="393"/>
        <item x="137"/>
        <item x="1429"/>
        <item x="372"/>
        <item x="229"/>
        <item x="310"/>
        <item x="369"/>
        <item x="539"/>
        <item x="964"/>
        <item x="1377"/>
        <item x="1028"/>
        <item x="1095"/>
        <item x="235"/>
        <item x="1023"/>
        <item x="1271"/>
        <item x="514"/>
        <item x="523"/>
        <item x="127"/>
        <item x="167"/>
        <item x="848"/>
        <item x="936"/>
        <item x="1247"/>
        <item x="951"/>
        <item x="197"/>
        <item x="232"/>
        <item x="696"/>
        <item x="477"/>
        <item x="1209"/>
        <item x="1455"/>
        <item x="289"/>
        <item x="868"/>
        <item x="759"/>
        <item x="1170"/>
        <item x="64"/>
        <item x="181"/>
        <item x="120"/>
        <item x="568"/>
        <item x="1015"/>
        <item x="483"/>
        <item x="337"/>
        <item x="327"/>
        <item x="1446"/>
        <item x="594"/>
        <item x="1460"/>
        <item x="471"/>
        <item x="755"/>
        <item x="201"/>
        <item x="1374"/>
        <item x="9"/>
        <item x="587"/>
        <item x="513"/>
        <item x="602"/>
        <item x="574"/>
        <item x="1435"/>
        <item x="660"/>
        <item x="1042"/>
        <item x="1277"/>
        <item x="1195"/>
        <item x="855"/>
        <item x="460"/>
        <item x="196"/>
        <item x="109"/>
        <item x="1156"/>
        <item x="476"/>
        <item x="658"/>
        <item x="463"/>
        <item x="690"/>
        <item x="198"/>
        <item x="807"/>
        <item x="691"/>
        <item x="627"/>
        <item x="910"/>
        <item x="330"/>
        <item x="625"/>
        <item x="1128"/>
        <item x="1352"/>
        <item x="1266"/>
        <item x="160"/>
        <item x="717"/>
        <item x="987"/>
        <item x="428"/>
        <item x="243"/>
        <item x="805"/>
        <item x="748"/>
        <item x="776"/>
        <item x="385"/>
        <item x="345"/>
        <item x="1196"/>
        <item x="1004"/>
        <item x="675"/>
        <item x="976"/>
        <item x="1267"/>
        <item x="268"/>
        <item x="544"/>
        <item x="740"/>
        <item x="930"/>
        <item x="1143"/>
        <item x="895"/>
        <item x="279"/>
        <item x="890"/>
        <item x="488"/>
        <item x="237"/>
        <item x="1385"/>
        <item x="1343"/>
        <item x="83"/>
        <item x="290"/>
        <item x="453"/>
        <item x="311"/>
        <item x="858"/>
        <item x="1119"/>
        <item x="1104"/>
        <item x="1018"/>
        <item x="1259"/>
        <item x="926"/>
        <item x="11"/>
        <item x="53"/>
        <item x="399"/>
        <item x="649"/>
        <item x="531"/>
        <item x="570"/>
        <item x="797"/>
        <item x="321"/>
        <item x="648"/>
        <item x="502"/>
        <item x="203"/>
        <item x="222"/>
        <item x="186"/>
        <item x="1293"/>
        <item x="478"/>
        <item x="335"/>
        <item x="43"/>
        <item x="614"/>
        <item x="443"/>
        <item x="1290"/>
        <item x="275"/>
        <item x="600"/>
        <item x="1090"/>
        <item x="440"/>
        <item x="548"/>
        <item x="1138"/>
        <item x="973"/>
        <item x="1419"/>
        <item x="291"/>
        <item x="504"/>
        <item x="280"/>
        <item x="564"/>
        <item x="1433"/>
        <item x="421"/>
        <item x="1174"/>
        <item x="867"/>
        <item x="135"/>
        <item x="474"/>
        <item x="877"/>
        <item x="1048"/>
        <item x="417"/>
        <item x="1334"/>
        <item x="1038"/>
        <item x="839"/>
        <item x="27"/>
        <item x="986"/>
        <item x="1476"/>
        <item x="715"/>
        <item x="613"/>
        <item x="82"/>
        <item x="1251"/>
        <item x="897"/>
        <item x="1279"/>
        <item x="1349"/>
        <item x="749"/>
        <item x="343"/>
        <item x="882"/>
        <item x="869"/>
        <item x="573"/>
        <item x="28"/>
        <item x="1370"/>
        <item x="1187"/>
        <item x="348"/>
        <item x="0"/>
        <item x="724"/>
        <item x="981"/>
        <item x="698"/>
        <item x="1163"/>
        <item x="284"/>
        <item x="1276"/>
        <item x="677"/>
        <item x="500"/>
        <item x="1298"/>
        <item x="1026"/>
        <item x="507"/>
        <item x="1198"/>
        <item x="1152"/>
        <item x="1075"/>
        <item x="1131"/>
        <item x="653"/>
        <item x="1364"/>
        <item x="1046"/>
        <item t="default"/>
      </items>
    </pivotField>
    <pivotField dataField="1" numFmtId="43" showAll="0">
      <items count="2385">
        <item x="2173"/>
        <item x="903"/>
        <item x="2376"/>
        <item x="403"/>
        <item x="1477"/>
        <item x="2147"/>
        <item x="1833"/>
        <item x="1335"/>
        <item x="615"/>
        <item x="786"/>
        <item x="1077"/>
        <item x="2133"/>
        <item x="812"/>
        <item x="89"/>
        <item x="1257"/>
        <item x="2218"/>
        <item x="986"/>
        <item x="1309"/>
        <item x="243"/>
        <item x="1061"/>
        <item x="2100"/>
        <item x="1891"/>
        <item x="190"/>
        <item x="1416"/>
        <item x="440"/>
        <item x="2264"/>
        <item x="405"/>
        <item x="2383"/>
        <item x="830"/>
        <item x="1220"/>
        <item x="1343"/>
        <item x="1031"/>
        <item x="2191"/>
        <item x="802"/>
        <item x="64"/>
        <item x="774"/>
        <item x="45"/>
        <item x="457"/>
        <item x="640"/>
        <item x="589"/>
        <item x="1880"/>
        <item x="937"/>
        <item x="1511"/>
        <item x="1693"/>
        <item x="2186"/>
        <item x="2374"/>
        <item x="2144"/>
        <item x="1902"/>
        <item x="1060"/>
        <item x="1219"/>
        <item x="311"/>
        <item x="1444"/>
        <item x="563"/>
        <item x="1521"/>
        <item x="836"/>
        <item x="2363"/>
        <item x="1532"/>
        <item x="1564"/>
        <item x="1672"/>
        <item x="285"/>
        <item x="1924"/>
        <item x="177"/>
        <item x="822"/>
        <item x="1039"/>
        <item x="504"/>
        <item x="1402"/>
        <item x="1561"/>
        <item x="979"/>
        <item x="1963"/>
        <item x="268"/>
        <item x="904"/>
        <item x="754"/>
        <item x="1173"/>
        <item x="373"/>
        <item x="371"/>
        <item x="1272"/>
        <item x="842"/>
        <item x="1271"/>
        <item x="1015"/>
        <item x="1718"/>
        <item x="1904"/>
        <item x="763"/>
        <item x="1098"/>
        <item x="981"/>
        <item x="1453"/>
        <item x="815"/>
        <item x="831"/>
        <item x="1292"/>
        <item x="1554"/>
        <item x="550"/>
        <item x="472"/>
        <item x="333"/>
        <item x="626"/>
        <item x="1936"/>
        <item x="766"/>
        <item x="1208"/>
        <item x="195"/>
        <item x="2066"/>
        <item x="1881"/>
        <item x="339"/>
        <item x="2222"/>
        <item x="2221"/>
        <item x="320"/>
        <item x="1229"/>
        <item x="943"/>
        <item x="124"/>
        <item x="700"/>
        <item x="1643"/>
        <item x="312"/>
        <item x="771"/>
        <item x="1249"/>
        <item x="2062"/>
        <item x="267"/>
        <item x="2354"/>
        <item x="1805"/>
        <item x="205"/>
        <item x="1199"/>
        <item x="366"/>
        <item x="2049"/>
        <item x="169"/>
        <item x="1420"/>
        <item x="1560"/>
        <item x="290"/>
        <item x="1344"/>
        <item x="799"/>
        <item x="1692"/>
        <item x="530"/>
        <item x="231"/>
        <item x="59"/>
        <item x="2056"/>
        <item x="484"/>
        <item x="804"/>
        <item x="732"/>
        <item x="2045"/>
        <item x="2035"/>
        <item x="1500"/>
        <item x="435"/>
        <item x="1225"/>
        <item x="2289"/>
        <item x="284"/>
        <item x="1101"/>
        <item x="2120"/>
        <item x="1557"/>
        <item x="1885"/>
        <item x="1280"/>
        <item x="978"/>
        <item x="824"/>
        <item x="338"/>
        <item x="80"/>
        <item x="157"/>
        <item x="322"/>
        <item x="507"/>
        <item x="163"/>
        <item x="740"/>
        <item x="2375"/>
        <item x="2199"/>
        <item x="501"/>
        <item x="744"/>
        <item x="2053"/>
        <item x="1412"/>
        <item x="394"/>
        <item x="1973"/>
        <item x="196"/>
        <item x="1306"/>
        <item x="1868"/>
        <item x="462"/>
        <item x="2238"/>
        <item x="1462"/>
        <item x="2075"/>
        <item x="593"/>
        <item x="968"/>
        <item x="1703"/>
        <item x="876"/>
        <item x="1118"/>
        <item x="1104"/>
        <item x="1995"/>
        <item x="43"/>
        <item x="1952"/>
        <item x="137"/>
        <item x="1088"/>
        <item x="222"/>
        <item x="176"/>
        <item x="723"/>
        <item x="1037"/>
        <item x="289"/>
        <item x="1211"/>
        <item x="1501"/>
        <item x="2093"/>
        <item x="2044"/>
        <item x="872"/>
        <item x="570"/>
        <item x="1790"/>
        <item x="2189"/>
        <item x="296"/>
        <item x="1722"/>
        <item x="316"/>
        <item x="2271"/>
        <item x="526"/>
        <item x="1234"/>
        <item x="207"/>
        <item x="363"/>
        <item x="1281"/>
        <item x="1319"/>
        <item x="1996"/>
        <item x="2207"/>
        <item x="708"/>
        <item x="1836"/>
        <item x="1436"/>
        <item x="547"/>
        <item x="1059"/>
        <item x="1823"/>
        <item x="2270"/>
        <item x="2297"/>
        <item x="384"/>
        <item x="1699"/>
        <item x="793"/>
        <item x="755"/>
        <item x="2249"/>
        <item x="224"/>
        <item x="741"/>
        <item x="1519"/>
        <item x="1759"/>
        <item x="181"/>
        <item x="1210"/>
        <item x="2164"/>
        <item x="269"/>
        <item x="2057"/>
        <item x="372"/>
        <item x="787"/>
        <item x="1744"/>
        <item x="2178"/>
        <item x="1854"/>
        <item x="748"/>
        <item x="94"/>
        <item x="1017"/>
        <item x="2196"/>
        <item x="2328"/>
        <item x="1158"/>
        <item x="956"/>
        <item x="848"/>
        <item x="1705"/>
        <item x="1740"/>
        <item x="1566"/>
        <item x="665"/>
        <item x="994"/>
        <item x="1581"/>
        <item x="341"/>
        <item x="1555"/>
        <item x="1983"/>
        <item x="368"/>
        <item x="2299"/>
        <item x="2105"/>
        <item x="468"/>
        <item x="2291"/>
        <item x="1384"/>
        <item x="818"/>
        <item x="2312"/>
        <item x="534"/>
        <item x="1667"/>
        <item x="1421"/>
        <item x="2281"/>
        <item x="1466"/>
        <item x="44"/>
        <item x="1747"/>
        <item x="1153"/>
        <item x="2322"/>
        <item x="685"/>
        <item x="107"/>
        <item x="1572"/>
        <item x="721"/>
        <item x="2243"/>
        <item x="1789"/>
        <item x="653"/>
        <item x="797"/>
        <item x="916"/>
        <item x="471"/>
        <item x="592"/>
        <item x="452"/>
        <item x="917"/>
        <item x="1422"/>
        <item x="173"/>
        <item x="76"/>
        <item x="2083"/>
        <item x="1741"/>
        <item x="1263"/>
        <item x="201"/>
        <item x="1937"/>
        <item x="1684"/>
        <item x="418"/>
        <item x="1543"/>
        <item x="1655"/>
        <item x="217"/>
        <item x="1826"/>
        <item x="590"/>
        <item x="108"/>
        <item x="1130"/>
        <item x="1832"/>
        <item x="868"/>
        <item x="2060"/>
        <item x="1510"/>
        <item x="573"/>
        <item x="1359"/>
        <item x="935"/>
        <item x="913"/>
        <item x="1720"/>
        <item x="1669"/>
        <item x="588"/>
        <item x="1800"/>
        <item x="753"/>
        <item x="212"/>
        <item x="1473"/>
        <item x="1820"/>
        <item x="492"/>
        <item x="625"/>
        <item x="704"/>
        <item x="121"/>
        <item x="1433"/>
        <item x="270"/>
        <item x="16"/>
        <item x="426"/>
        <item x="1329"/>
        <item x="1305"/>
        <item x="902"/>
        <item x="546"/>
        <item x="1356"/>
        <item x="758"/>
        <item x="119"/>
        <item x="1116"/>
        <item x="2111"/>
        <item x="1371"/>
        <item x="1724"/>
        <item x="375"/>
        <item x="1390"/>
        <item x="1334"/>
        <item x="673"/>
        <item x="591"/>
        <item x="679"/>
        <item x="1545"/>
        <item x="28"/>
        <item x="1149"/>
        <item x="2342"/>
        <item x="1792"/>
        <item x="106"/>
        <item x="1066"/>
        <item x="249"/>
        <item x="1197"/>
        <item x="1445"/>
        <item x="2357"/>
        <item x="18"/>
        <item x="2069"/>
        <item x="300"/>
        <item x="2359"/>
        <item x="1616"/>
        <item x="1252"/>
        <item x="404"/>
        <item x="2368"/>
        <item x="1654"/>
        <item x="1899"/>
        <item x="1443"/>
        <item x="1998"/>
        <item x="711"/>
        <item x="1615"/>
        <item x="532"/>
        <item x="1042"/>
        <item x="1835"/>
        <item x="2014"/>
        <item x="694"/>
        <item x="582"/>
        <item x="1014"/>
        <item x="2251"/>
        <item x="1689"/>
        <item x="1110"/>
        <item x="321"/>
        <item x="1409"/>
        <item x="955"/>
        <item x="948"/>
        <item x="193"/>
        <item x="400"/>
        <item x="844"/>
        <item x="2104"/>
        <item x="380"/>
        <item x="168"/>
        <item x="22"/>
        <item x="357"/>
        <item x="715"/>
        <item x="556"/>
        <item x="1782"/>
        <item x="1030"/>
        <item x="1912"/>
        <item x="730"/>
        <item x="957"/>
        <item x="1648"/>
        <item x="1631"/>
        <item x="1544"/>
        <item x="60"/>
        <item x="395"/>
        <item x="880"/>
        <item x="505"/>
        <item x="879"/>
        <item x="1256"/>
        <item x="310"/>
        <item x="1761"/>
        <item x="2318"/>
        <item x="1984"/>
        <item x="521"/>
        <item x="1417"/>
        <item x="1531"/>
        <item x="1978"/>
        <item x="1419"/>
        <item x="1089"/>
        <item x="1760"/>
        <item x="1515"/>
        <item x="387"/>
        <item x="376"/>
        <item x="1242"/>
        <item x="1386"/>
        <item x="954"/>
        <item x="898"/>
        <item x="232"/>
        <item x="1362"/>
        <item x="283"/>
        <item x="347"/>
        <item x="1911"/>
        <item x="1065"/>
        <item x="988"/>
        <item x="1370"/>
        <item x="738"/>
        <item x="254"/>
        <item x="2160"/>
        <item x="69"/>
        <item x="1917"/>
        <item x="1383"/>
        <item x="2292"/>
        <item x="1663"/>
        <item x="420"/>
        <item x="635"/>
        <item x="386"/>
        <item x="930"/>
        <item x="1994"/>
        <item x="1972"/>
        <item x="2316"/>
        <item x="1976"/>
        <item x="253"/>
        <item x="246"/>
        <item x="884"/>
        <item x="111"/>
        <item x="1454"/>
        <item x="1697"/>
        <item x="1926"/>
        <item x="2315"/>
        <item x="1592"/>
        <item x="2110"/>
        <item x="1322"/>
        <item x="643"/>
        <item x="1178"/>
        <item x="869"/>
        <item x="2223"/>
        <item x="1157"/>
        <item x="1183"/>
        <item x="1503"/>
        <item x="75"/>
        <item x="1105"/>
        <item x="2023"/>
        <item x="21"/>
        <item x="2259"/>
        <item x="1236"/>
        <item x="962"/>
        <item x="1136"/>
        <item x="2157"/>
        <item x="886"/>
        <item x="1906"/>
        <item x="650"/>
        <item x="1526"/>
        <item x="1849"/>
        <item x="1182"/>
        <item x="1294"/>
        <item x="1685"/>
        <item x="277"/>
        <item x="170"/>
        <item x="1472"/>
        <item x="34"/>
        <item x="165"/>
        <item x="100"/>
        <item x="1490"/>
        <item x="2114"/>
        <item x="1960"/>
        <item x="1828"/>
        <item x="117"/>
        <item x="2216"/>
        <item x="2365"/>
        <item x="779"/>
        <item x="159"/>
        <item x="871"/>
        <item x="1150"/>
        <item x="1660"/>
        <item x="1397"/>
        <item x="2267"/>
        <item x="1683"/>
        <item x="67"/>
        <item x="1966"/>
        <item x="1364"/>
        <item x="79"/>
        <item x="2353"/>
        <item x="1464"/>
        <item x="90"/>
        <item x="1837"/>
        <item x="803"/>
        <item x="1870"/>
        <item x="727"/>
        <item x="422"/>
        <item x="10"/>
        <item x="352"/>
        <item x="9"/>
        <item x="1777"/>
        <item x="0"/>
        <item x="1009"/>
        <item x="1565"/>
        <item x="2381"/>
        <item x="2261"/>
        <item x="221"/>
        <item x="241"/>
        <item x="2078"/>
        <item x="702"/>
        <item x="1779"/>
        <item x="1799"/>
        <item x="3"/>
        <item x="667"/>
        <item x="183"/>
        <item x="1113"/>
        <item x="1499"/>
        <item x="1317"/>
        <item x="960"/>
        <item x="2051"/>
        <item x="441"/>
        <item x="406"/>
        <item x="1431"/>
        <item x="1687"/>
        <item x="344"/>
        <item x="731"/>
        <item x="580"/>
        <item x="1427"/>
        <item x="470"/>
        <item x="306"/>
        <item x="37"/>
        <item x="1274"/>
        <item x="1423"/>
        <item x="2382"/>
        <item x="2276"/>
        <item x="1177"/>
        <item x="1333"/>
        <item x="263"/>
        <item x="2187"/>
        <item x="250"/>
        <item x="1358"/>
        <item x="769"/>
        <item x="600"/>
        <item x="1652"/>
        <item x="1853"/>
        <item x="2372"/>
        <item x="1734"/>
        <item x="695"/>
        <item x="27"/>
        <item x="396"/>
        <item x="118"/>
        <item x="1449"/>
        <item x="1349"/>
        <item x="1264"/>
        <item x="1117"/>
        <item x="1822"/>
        <item x="342"/>
        <item x="317"/>
        <item x="1295"/>
        <item x="2229"/>
        <item x="487"/>
        <item x="1389"/>
        <item x="1605"/>
        <item x="1299"/>
        <item x="438"/>
        <item x="2119"/>
        <item x="480"/>
        <item x="2255"/>
        <item x="1267"/>
        <item x="1013"/>
        <item x="2084"/>
        <item x="1742"/>
        <item x="2335"/>
        <item x="1289"/>
        <item x="557"/>
        <item x="1255"/>
        <item x="2155"/>
        <item x="327"/>
        <item x="298"/>
        <item x="2034"/>
        <item x="2349"/>
        <item x="30"/>
        <item x="1670"/>
        <item x="210"/>
        <item x="773"/>
        <item x="1493"/>
        <item x="2052"/>
        <item x="1847"/>
        <item x="272"/>
        <item x="464"/>
        <item x="1595"/>
        <item x="164"/>
        <item x="1754"/>
        <item x="2246"/>
        <item x="794"/>
        <item x="1852"/>
        <item x="1957"/>
        <item x="1191"/>
        <item x="883"/>
        <item x="1843"/>
        <item x="1635"/>
        <item x="1023"/>
        <item x="2013"/>
        <item x="2314"/>
        <item x="490"/>
        <item x="1212"/>
        <item x="1396"/>
        <item x="2107"/>
        <item x="671"/>
        <item x="2205"/>
        <item x="496"/>
        <item x="192"/>
        <item x="605"/>
        <item x="581"/>
        <item x="1831"/>
        <item x="1011"/>
        <item x="1710"/>
        <item x="1399"/>
        <item x="2352"/>
        <item x="2185"/>
        <item x="870"/>
        <item x="1076"/>
        <item x="1931"/>
        <item x="860"/>
        <item x="1188"/>
        <item x="1598"/>
        <item x="1331"/>
        <item x="1582"/>
        <item x="2317"/>
        <item x="1129"/>
        <item x="599"/>
        <item x="1486"/>
        <item x="2209"/>
        <item x="862"/>
        <item x="1050"/>
        <item x="1811"/>
        <item x="2203"/>
        <item x="2076"/>
        <item x="174"/>
        <item x="1900"/>
        <item x="1155"/>
        <item x="1311"/>
        <item x="62"/>
        <item x="2103"/>
        <item x="714"/>
        <item x="1082"/>
        <item x="399"/>
        <item x="1027"/>
        <item x="2287"/>
        <item x="1719"/>
        <item x="292"/>
        <item x="443"/>
        <item x="2080"/>
        <item x="1975"/>
        <item x="1139"/>
        <item x="1866"/>
        <item x="1981"/>
        <item x="1987"/>
        <item x="1377"/>
        <item x="854"/>
        <item x="519"/>
        <item x="1801"/>
        <item x="1803"/>
        <item x="497"/>
        <item x="1160"/>
        <item x="920"/>
        <item x="722"/>
        <item x="2326"/>
        <item x="2118"/>
        <item x="1465"/>
        <item x="1475"/>
        <item x="305"/>
        <item x="1785"/>
        <item x="587"/>
        <item x="150"/>
        <item x="1541"/>
        <item x="1073"/>
        <item x="1238"/>
        <item x="2278"/>
        <item x="1688"/>
        <item x="1579"/>
        <item x="529"/>
        <item x="1314"/>
        <item x="2250"/>
        <item x="65"/>
        <item x="1690"/>
        <item x="1824"/>
        <item x="1169"/>
        <item x="2329"/>
        <item x="1571"/>
        <item x="2188"/>
        <item x="1214"/>
        <item x="1664"/>
        <item x="849"/>
        <item x="66"/>
        <item x="2240"/>
        <item x="1205"/>
        <item x="619"/>
        <item x="1534"/>
        <item x="1085"/>
        <item x="1090"/>
        <item x="382"/>
        <item x="1282"/>
        <item x="654"/>
        <item x="2121"/>
        <item x="1221"/>
        <item x="1874"/>
        <item x="74"/>
        <item x="614"/>
        <item x="964"/>
        <item x="1556"/>
        <item x="2332"/>
        <item x="958"/>
        <item x="1460"/>
        <item x="336"/>
        <item x="2356"/>
        <item x="996"/>
        <item x="776"/>
        <item x="488"/>
        <item x="816"/>
        <item x="1186"/>
        <item x="1261"/>
        <item x="328"/>
        <item x="513"/>
        <item x="459"/>
        <item x="1165"/>
        <item x="1791"/>
        <item x="1328"/>
        <item x="1767"/>
        <item x="1406"/>
        <item x="1784"/>
        <item x="1730"/>
        <item x="1636"/>
        <item x="560"/>
        <item x="1008"/>
        <item x="287"/>
        <item x="2000"/>
        <item x="2288"/>
        <item x="2320"/>
        <item x="1152"/>
        <item x="1668"/>
        <item x="845"/>
        <item x="2184"/>
        <item x="1559"/>
        <item x="809"/>
        <item x="1185"/>
        <item x="140"/>
        <item x="1147"/>
        <item x="392"/>
        <item x="1578"/>
        <item x="2266"/>
        <item x="1373"/>
        <item x="1745"/>
        <item x="1020"/>
        <item x="5"/>
        <item x="2086"/>
        <item x="182"/>
        <item x="185"/>
        <item x="1795"/>
        <item x="1058"/>
        <item x="2134"/>
        <item x="1258"/>
        <item x="29"/>
        <item x="828"/>
        <item x="1403"/>
        <item x="46"/>
        <item x="84"/>
        <item x="2032"/>
        <item x="606"/>
        <item x="651"/>
        <item x="662"/>
        <item x="1376"/>
        <item x="1318"/>
        <item x="1580"/>
        <item x="1307"/>
        <item x="1026"/>
        <item x="1339"/>
        <item x="1597"/>
        <item x="82"/>
        <item x="1619"/>
        <item x="2282"/>
        <item x="20"/>
        <item x="1093"/>
        <item x="411"/>
        <item x="1845"/>
        <item x="1125"/>
        <item x="701"/>
        <item x="538"/>
        <item x="1794"/>
        <item x="2245"/>
        <item x="1894"/>
        <item x="706"/>
        <item x="1625"/>
        <item x="882"/>
        <item x="1908"/>
        <item x="2171"/>
        <item x="686"/>
        <item x="1156"/>
        <item x="330"/>
        <item x="1189"/>
        <item x="1898"/>
        <item x="1429"/>
        <item x="1481"/>
        <item x="1678"/>
        <item x="633"/>
        <item x="479"/>
        <item x="1934"/>
        <item x="1496"/>
        <item x="1610"/>
        <item x="878"/>
        <item x="1341"/>
        <item x="2169"/>
        <item x="2011"/>
        <item x="1087"/>
        <item x="817"/>
        <item x="1882"/>
        <item x="410"/>
        <item x="1049"/>
        <item x="14"/>
        <item x="839"/>
        <item x="1007"/>
        <item x="747"/>
        <item x="2358"/>
        <item x="908"/>
        <item x="630"/>
        <item x="991"/>
        <item x="1989"/>
        <item x="1248"/>
        <item x="595"/>
        <item x="1350"/>
        <item x="705"/>
        <item x="167"/>
        <item x="1542"/>
        <item x="1368"/>
        <item x="1865"/>
        <item x="681"/>
        <item x="1721"/>
        <item x="1024"/>
        <item x="1569"/>
        <item x="1301"/>
        <item x="334"/>
        <item x="1524"/>
        <item x="1695"/>
        <item x="2234"/>
        <item x="350"/>
        <item x="1259"/>
        <item x="1051"/>
        <item x="535"/>
        <item x="1840"/>
        <item x="1410"/>
        <item x="102"/>
        <item x="1674"/>
        <item x="1591"/>
        <item x="456"/>
        <item x="1415"/>
        <item x="453"/>
        <item x="2130"/>
        <item x="775"/>
        <item x="130"/>
        <item x="1207"/>
        <item x="2300"/>
        <item x="11"/>
        <item x="652"/>
        <item x="335"/>
        <item x="751"/>
        <item x="1596"/>
        <item x="58"/>
        <item x="506"/>
        <item x="1243"/>
        <item x="354"/>
        <item x="226"/>
        <item x="2272"/>
        <item x="676"/>
        <item x="825"/>
        <item x="271"/>
        <item x="132"/>
        <item x="835"/>
        <item x="2212"/>
        <item x="508"/>
        <item x="1222"/>
        <item x="1230"/>
        <item x="1447"/>
        <item x="628"/>
        <item x="1815"/>
        <item x="303"/>
        <item x="191"/>
        <item x="211"/>
        <item x="1446"/>
        <item x="976"/>
        <item x="1875"/>
        <item x="2337"/>
        <item x="1025"/>
        <item x="1202"/>
        <item x="208"/>
        <item x="1382"/>
        <item x="1484"/>
        <item x="645"/>
        <item x="370"/>
        <item x="900"/>
        <item x="545"/>
        <item x="1516"/>
        <item x="2213"/>
        <item x="901"/>
        <item x="699"/>
        <item x="1517"/>
        <item x="129"/>
        <item x="510"/>
        <item x="2348"/>
        <item x="2197"/>
        <item x="343"/>
        <item x="1312"/>
        <item x="1563"/>
        <item x="70"/>
        <item x="551"/>
        <item x="864"/>
        <item x="1457"/>
        <item x="1626"/>
        <item x="2195"/>
        <item x="1323"/>
        <item x="227"/>
        <item x="1680"/>
        <item x="1659"/>
        <item x="1038"/>
        <item x="924"/>
        <item x="61"/>
        <item x="874"/>
        <item x="536"/>
        <item x="1114"/>
        <item x="1354"/>
        <item x="255"/>
        <item x="1776"/>
        <item x="852"/>
        <item x="1286"/>
        <item x="2179"/>
        <item x="432"/>
        <item x="278"/>
        <item x="1772"/>
        <item x="1391"/>
        <item x="2141"/>
        <item x="712"/>
        <item x="2008"/>
        <item x="1293"/>
        <item x="1728"/>
        <item x="966"/>
        <item x="388"/>
        <item x="658"/>
        <item x="1388"/>
        <item x="2232"/>
        <item x="907"/>
        <item x="1611"/>
        <item x="562"/>
        <item x="2313"/>
        <item x="1375"/>
        <item x="1593"/>
        <item x="2073"/>
        <item x="1528"/>
        <item x="1682"/>
        <item x="1923"/>
        <item x="2123"/>
        <item x="514"/>
        <item x="1195"/>
        <item x="144"/>
        <item x="1141"/>
        <item x="1440"/>
        <item x="1426"/>
        <item x="33"/>
        <item x="1606"/>
        <item x="293"/>
        <item x="156"/>
        <item x="112"/>
        <item x="326"/>
        <item x="2345"/>
        <item x="520"/>
        <item x="412"/>
        <item x="1573"/>
        <item x="1509"/>
        <item x="1890"/>
        <item x="282"/>
        <item x="2304"/>
        <item x="91"/>
        <item x="308"/>
        <item x="1091"/>
        <item x="2324"/>
        <item x="1019"/>
        <item x="1641"/>
        <item x="1930"/>
        <item x="698"/>
        <item x="1138"/>
        <item x="808"/>
        <item x="1508"/>
        <item x="498"/>
        <item x="598"/>
        <item x="1746"/>
        <item x="1171"/>
        <item x="1097"/>
        <item x="594"/>
        <item x="855"/>
        <item x="1262"/>
        <item x="1991"/>
        <item x="2275"/>
        <item x="566"/>
        <item x="757"/>
        <item x="1069"/>
        <item x="531"/>
        <item x="675"/>
        <item x="434"/>
        <item x="73"/>
        <item x="918"/>
        <item x="455"/>
        <item x="1535"/>
        <item x="666"/>
        <item x="523"/>
        <item x="914"/>
        <item x="228"/>
        <item x="486"/>
        <item x="302"/>
        <item x="1686"/>
        <item x="1276"/>
        <item x="2068"/>
        <item x="2136"/>
        <item x="1469"/>
        <item x="680"/>
        <item x="1990"/>
        <item x="1232"/>
        <item x="2005"/>
        <item x="1070"/>
        <item x="1244"/>
        <item x="1092"/>
        <item x="1408"/>
        <item x="1041"/>
        <item x="85"/>
        <item x="134"/>
        <item x="2001"/>
        <item x="2117"/>
        <item x="203"/>
        <item x="2330"/>
        <item x="1340"/>
        <item x="6"/>
        <item x="613"/>
        <item x="1040"/>
        <item x="139"/>
        <item x="1645"/>
        <item x="1988"/>
        <item x="309"/>
        <item x="2094"/>
        <item x="1143"/>
        <item x="12"/>
        <item x="2306"/>
        <item x="149"/>
        <item x="911"/>
        <item x="2284"/>
        <item x="1547"/>
        <item x="122"/>
        <item x="1969"/>
        <item x="329"/>
        <item x="1068"/>
        <item x="516"/>
        <item x="1265"/>
        <item x="837"/>
        <item x="735"/>
        <item x="304"/>
        <item x="1179"/>
        <item x="349"/>
        <item x="1599"/>
        <item x="152"/>
        <item x="110"/>
        <item x="821"/>
        <item x="2227"/>
        <item x="1949"/>
        <item x="1135"/>
        <item x="951"/>
        <item x="1452"/>
        <item x="1488"/>
        <item x="939"/>
        <item x="892"/>
        <item x="1303"/>
        <item x="873"/>
        <item x="1108"/>
        <item x="1701"/>
        <item x="632"/>
        <item x="1577"/>
        <item x="1574"/>
        <item x="1266"/>
        <item x="1552"/>
        <item x="877"/>
        <item x="611"/>
        <item x="2148"/>
        <item x="402"/>
        <item x="49"/>
        <item x="365"/>
        <item x="454"/>
        <item x="77"/>
        <item x="2252"/>
        <item x="709"/>
        <item x="449"/>
        <item x="2286"/>
        <item x="977"/>
        <item x="578"/>
        <item x="1448"/>
        <item x="390"/>
        <item x="2231"/>
        <item x="2159"/>
        <item x="413"/>
        <item x="696"/>
        <item x="993"/>
        <item x="693"/>
        <item x="896"/>
        <item x="1873"/>
        <item x="421"/>
        <item x="4"/>
        <item x="1888"/>
        <item x="1187"/>
        <item x="1624"/>
        <item x="87"/>
        <item x="1437"/>
        <item x="1483"/>
        <item x="1394"/>
        <item x="1021"/>
        <item x="1245"/>
        <item x="921"/>
        <item x="63"/>
        <item x="1829"/>
        <item x="983"/>
        <item x="1864"/>
        <item x="1665"/>
        <item x="2364"/>
        <item x="1404"/>
        <item x="1549"/>
        <item x="1762"/>
        <item x="126"/>
        <item x="1575"/>
        <item x="2308"/>
        <item x="1474"/>
        <item x="1442"/>
        <item x="1915"/>
        <item x="1889"/>
        <item x="1120"/>
        <item x="1748"/>
        <item x="944"/>
        <item x="1348"/>
        <item x="281"/>
        <item x="2334"/>
        <item x="1332"/>
        <item x="1067"/>
        <item x="1128"/>
        <item x="616"/>
        <item x="811"/>
        <item x="1774"/>
        <item x="604"/>
        <item x="2293"/>
        <item x="1148"/>
        <item x="86"/>
        <item x="2269"/>
        <item x="1935"/>
        <item x="1227"/>
        <item x="2089"/>
        <item x="1489"/>
        <item x="180"/>
        <item x="2131"/>
        <item x="1965"/>
        <item x="1974"/>
        <item x="1962"/>
        <item x="1750"/>
        <item x="1218"/>
        <item x="567"/>
        <item x="2115"/>
        <item x="2200"/>
        <item x="1537"/>
        <item x="1176"/>
        <item x="891"/>
        <item x="1658"/>
        <item x="1010"/>
        <item x="2139"/>
        <item x="2161"/>
        <item x="2127"/>
        <item x="1209"/>
        <item x="663"/>
        <item x="153"/>
        <item x="1838"/>
        <item x="428"/>
        <item x="2257"/>
        <item x="340"/>
        <item x="2058"/>
        <item x="54"/>
        <item x="931"/>
        <item x="1121"/>
        <item x="1958"/>
        <item x="756"/>
        <item x="1946"/>
        <item x="683"/>
        <item x="256"/>
        <item x="109"/>
        <item x="1482"/>
        <item x="2206"/>
        <item x="2310"/>
        <item x="2137"/>
        <item x="893"/>
        <item x="1439"/>
        <item x="617"/>
        <item x="926"/>
        <item x="230"/>
        <item x="2360"/>
        <item x="1216"/>
        <item x="348"/>
        <item x="586"/>
        <item x="166"/>
        <item x="941"/>
        <item x="319"/>
        <item x="537"/>
        <item x="2298"/>
        <item x="1028"/>
        <item x="2172"/>
        <item x="987"/>
        <item x="1062"/>
        <item x="2167"/>
        <item x="2091"/>
        <item x="473"/>
        <item x="2116"/>
        <item x="1858"/>
        <item x="1627"/>
        <item x="419"/>
        <item x="736"/>
        <item x="1004"/>
        <item x="47"/>
        <item x="1861"/>
        <item x="2146"/>
        <item x="1538"/>
        <item x="2350"/>
        <item x="906"/>
        <item x="1751"/>
        <item x="25"/>
        <item x="361"/>
        <item x="1587"/>
        <item x="749"/>
        <item x="2063"/>
        <item x="48"/>
        <item x="19"/>
        <item x="1513"/>
        <item x="1425"/>
        <item x="42"/>
        <item x="1642"/>
        <item x="660"/>
        <item x="1939"/>
        <item x="2010"/>
        <item x="17"/>
        <item x="2029"/>
        <item x="307"/>
        <item x="142"/>
        <item x="2268"/>
        <item x="1857"/>
        <item x="1175"/>
        <item x="1540"/>
        <item x="1713"/>
        <item x="1072"/>
        <item x="274"/>
        <item x="1345"/>
        <item x="1726"/>
        <item x="890"/>
        <item x="1057"/>
        <item x="1716"/>
        <item x="1959"/>
        <item x="95"/>
        <item x="1650"/>
        <item x="612"/>
        <item x="631"/>
        <item x="668"/>
        <item x="1240"/>
        <item x="1184"/>
        <item x="953"/>
        <item x="549"/>
        <item x="1916"/>
        <item x="2072"/>
        <item x="703"/>
        <item x="2285"/>
        <item x="692"/>
        <item x="607"/>
        <item x="1907"/>
        <item x="2112"/>
        <item x="1018"/>
        <item x="209"/>
        <item x="975"/>
        <item x="1855"/>
        <item x="548"/>
        <item x="2336"/>
        <item x="1131"/>
        <item x="1768"/>
        <item x="1778"/>
        <item x="1479"/>
        <item x="997"/>
        <item x="541"/>
        <item x="1033"/>
        <item x="984"/>
        <item x="2145"/>
        <item x="83"/>
        <item x="301"/>
        <item x="1830"/>
        <item x="276"/>
        <item x="1100"/>
        <item x="1144"/>
        <item x="244"/>
        <item x="1507"/>
        <item x="1476"/>
        <item x="1298"/>
        <item x="1231"/>
        <item x="1807"/>
        <item x="1395"/>
        <item x="450"/>
        <item x="485"/>
        <item x="291"/>
        <item x="2156"/>
        <item x="381"/>
        <item x="1324"/>
        <item x="2193"/>
        <item x="1932"/>
        <item x="2265"/>
        <item x="261"/>
        <item x="1717"/>
        <item x="2235"/>
        <item x="1401"/>
        <item x="971"/>
        <item x="1878"/>
        <item x="2351"/>
        <item x="2142"/>
        <item x="719"/>
        <item x="1470"/>
        <item x="2140"/>
        <item x="1080"/>
        <item x="1893"/>
        <item x="1378"/>
        <item x="777"/>
        <item x="214"/>
        <item x="2098"/>
        <item x="1567"/>
        <item x="1781"/>
        <item x="92"/>
        <item x="1107"/>
        <item x="2042"/>
        <item x="1712"/>
        <item x="1993"/>
        <item x="1268"/>
        <item x="383"/>
        <item x="148"/>
        <item x="1461"/>
        <item x="539"/>
        <item x="1681"/>
        <item x="2380"/>
        <item x="2106"/>
        <item x="2174"/>
        <item x="1502"/>
        <item x="2361"/>
        <item x="465"/>
        <item x="515"/>
        <item x="2311"/>
        <item x="990"/>
        <item x="2021"/>
        <item x="1819"/>
        <item x="1920"/>
        <item x="2168"/>
        <item x="1095"/>
        <item x="533"/>
        <item x="1600"/>
        <item x="810"/>
        <item x="1239"/>
        <item x="1162"/>
        <item x="2151"/>
        <item x="1527"/>
        <item x="725"/>
        <item x="206"/>
        <item x="655"/>
        <item x="1363"/>
        <item x="96"/>
        <item x="826"/>
        <item x="1111"/>
        <item x="857"/>
        <item x="103"/>
        <item x="1737"/>
        <item x="36"/>
        <item x="2025"/>
        <item x="125"/>
        <item x="1035"/>
        <item x="1321"/>
        <item x="1387"/>
        <item x="2150"/>
        <item x="7"/>
        <item x="2099"/>
        <item x="2226"/>
        <item x="1739"/>
        <item x="1142"/>
        <item x="1134"/>
        <item x="299"/>
        <item x="1702"/>
        <item x="1048"/>
        <item x="1326"/>
        <item x="1074"/>
        <item x="251"/>
        <item x="51"/>
        <item x="2241"/>
        <item x="1223"/>
        <item x="1602"/>
        <item x="237"/>
        <item x="1287"/>
        <item x="1112"/>
        <item x="2152"/>
        <item x="460"/>
        <item x="1661"/>
        <item x="1495"/>
        <item x="2247"/>
        <item x="1192"/>
        <item x="1036"/>
        <item x="1432"/>
        <item x="829"/>
        <item x="2303"/>
        <item x="1124"/>
        <item x="160"/>
        <item x="691"/>
        <item x="1986"/>
        <item x="1400"/>
        <item x="1518"/>
        <item x="2027"/>
        <item x="972"/>
        <item x="408"/>
        <item x="325"/>
        <item x="2378"/>
        <item x="1012"/>
        <item x="1346"/>
        <item x="1629"/>
        <item x="194"/>
        <item x="985"/>
        <item x="894"/>
        <item x="2260"/>
        <item x="1637"/>
        <item x="742"/>
        <item x="1233"/>
        <item x="1052"/>
        <item x="2040"/>
        <item x="919"/>
        <item x="494"/>
        <item x="444"/>
        <item x="1480"/>
        <item x="260"/>
        <item x="2244"/>
        <item x="1808"/>
        <item x="728"/>
        <item x="1954"/>
        <item x="1365"/>
        <item x="379"/>
        <item x="1639"/>
        <item x="718"/>
        <item x="1913"/>
        <item x="200"/>
        <item x="442"/>
        <item x="463"/>
        <item x="1992"/>
        <item x="2362"/>
        <item x="897"/>
        <item x="762"/>
        <item x="761"/>
        <item x="1941"/>
        <item x="2077"/>
        <item x="781"/>
        <item x="318"/>
        <item x="2166"/>
        <item x="2333"/>
        <item x="1723"/>
        <item x="1953"/>
        <item x="846"/>
        <item x="23"/>
        <item x="1550"/>
        <item x="1945"/>
        <item x="1254"/>
        <item x="861"/>
        <item x="946"/>
        <item x="2263"/>
        <item x="1883"/>
        <item x="807"/>
        <item x="235"/>
        <item x="1083"/>
        <item x="1647"/>
        <item x="1380"/>
        <item x="1099"/>
        <item x="1903"/>
        <item x="1355"/>
        <item x="624"/>
        <item x="151"/>
        <item x="331"/>
        <item x="481"/>
        <item x="1727"/>
        <item x="909"/>
        <item x="1841"/>
        <item x="172"/>
        <item x="2211"/>
        <item x="2258"/>
        <item x="511"/>
        <item x="806"/>
        <item x="746"/>
        <item x="1775"/>
        <item x="123"/>
        <item x="1967"/>
        <item x="417"/>
        <item x="888"/>
        <item x="641"/>
        <item x="574"/>
        <item x="378"/>
        <item x="286"/>
        <item x="1204"/>
        <item x="2092"/>
        <item x="767"/>
        <item x="385"/>
        <item x="805"/>
        <item x="324"/>
        <item x="358"/>
        <item x="1016"/>
        <item x="923"/>
        <item x="478"/>
        <item x="1405"/>
        <item x="424"/>
        <item x="945"/>
        <item x="407"/>
        <item x="899"/>
        <item x="1424"/>
        <item x="2135"/>
        <item x="1862"/>
        <item x="2043"/>
        <item x="2343"/>
        <item x="933"/>
        <item x="2198"/>
        <item x="337"/>
        <item x="2048"/>
        <item x="2109"/>
        <item x="135"/>
        <item x="1194"/>
        <item x="2273"/>
        <item x="1327"/>
        <item x="491"/>
        <item x="2181"/>
        <item x="275"/>
        <item x="1856"/>
        <item x="1623"/>
        <item x="1132"/>
        <item x="1700"/>
        <item x="1494"/>
        <item x="1164"/>
        <item x="564"/>
        <item x="1928"/>
        <item x="1548"/>
        <item x="431"/>
        <item x="1608"/>
        <item x="1167"/>
        <item x="128"/>
        <item x="248"/>
        <item x="1844"/>
        <item x="1694"/>
        <item x="1435"/>
        <item x="2082"/>
        <item x="1997"/>
        <item x="998"/>
        <item x="78"/>
        <item x="1154"/>
        <item x="2220"/>
        <item x="867"/>
        <item x="1709"/>
        <item x="2124"/>
        <item x="1369"/>
        <item x="1297"/>
        <item x="1296"/>
        <item x="1827"/>
        <item x="1441"/>
        <item x="1842"/>
        <item x="1806"/>
        <item x="528"/>
        <item x="1367"/>
        <item x="2283"/>
        <item x="661"/>
        <item x="483"/>
        <item x="1078"/>
        <item x="734"/>
        <item x="1260"/>
        <item x="792"/>
        <item x="1180"/>
        <item x="2143"/>
        <item x="518"/>
        <item x="127"/>
        <item x="1738"/>
        <item x="1961"/>
        <item x="1707"/>
        <item x="1706"/>
        <item x="353"/>
        <item x="1478"/>
        <item x="2262"/>
        <item x="866"/>
        <item x="220"/>
        <item x="236"/>
        <item x="1765"/>
        <item x="1892"/>
        <item x="644"/>
        <item x="2321"/>
        <item x="576"/>
        <item x="1921"/>
        <item x="2009"/>
        <item x="1797"/>
        <item x="295"/>
        <item x="1487"/>
        <item x="2190"/>
        <item x="1273"/>
        <item x="184"/>
        <item x="2088"/>
        <item x="2302"/>
        <item x="2325"/>
        <item x="401"/>
        <item x="1522"/>
        <item x="2122"/>
        <item x="186"/>
        <item x="858"/>
        <item x="8"/>
        <item x="2366"/>
        <item x="620"/>
        <item x="332"/>
        <item x="1656"/>
        <item x="1848"/>
        <item x="636"/>
        <item x="1215"/>
        <item x="1235"/>
        <item x="1279"/>
        <item x="1798"/>
        <item x="905"/>
        <item x="1145"/>
        <item x="759"/>
        <item x="104"/>
        <item x="2340"/>
        <item x="2194"/>
        <item x="1613"/>
        <item x="2355"/>
        <item x="980"/>
        <item x="851"/>
        <item x="713"/>
        <item x="602"/>
        <item x="1927"/>
        <item x="657"/>
        <item x="1525"/>
        <item x="2050"/>
        <item x="1198"/>
        <item x="1468"/>
        <item x="279"/>
        <item x="1310"/>
        <item x="784"/>
        <item x="1813"/>
        <item x="1896"/>
        <item x="1817"/>
        <item x="189"/>
        <item x="175"/>
        <item x="1756"/>
        <item x="1172"/>
        <item x="493"/>
        <item x="1055"/>
        <item x="1955"/>
        <item x="875"/>
        <item x="2214"/>
        <item x="2129"/>
        <item x="2319"/>
        <item x="1814"/>
        <item x="677"/>
        <item x="323"/>
        <item x="1505"/>
        <item x="2347"/>
        <item x="764"/>
        <item x="141"/>
        <item x="1168"/>
        <item x="2028"/>
        <item x="947"/>
        <item x="627"/>
        <item x="1562"/>
        <item x="1733"/>
        <item x="362"/>
        <item x="768"/>
        <item x="38"/>
        <item x="1947"/>
        <item x="71"/>
        <item x="1818"/>
        <item x="1054"/>
        <item x="2162"/>
        <item x="1764"/>
        <item x="2002"/>
        <item x="863"/>
        <item x="1634"/>
        <item x="649"/>
        <item x="2138"/>
        <item x="1523"/>
        <item x="796"/>
        <item x="2176"/>
        <item x="1867"/>
        <item x="2036"/>
        <item x="1729"/>
        <item x="950"/>
        <item x="2125"/>
        <item x="559"/>
        <item x="1793"/>
        <item x="356"/>
        <item x="664"/>
        <item x="297"/>
        <item x="398"/>
        <item x="1769"/>
        <item x="1918"/>
        <item x="1315"/>
        <item x="1743"/>
        <item x="1393"/>
        <item x="97"/>
        <item x="765"/>
        <item x="2154"/>
        <item x="2067"/>
        <item x="585"/>
        <item x="242"/>
        <item x="265"/>
        <item x="1053"/>
        <item x="1290"/>
        <item x="1876"/>
        <item x="2016"/>
        <item x="569"/>
        <item x="1063"/>
        <item x="1247"/>
        <item x="447"/>
        <item x="288"/>
        <item x="2280"/>
        <item x="1753"/>
        <item x="143"/>
        <item x="1006"/>
        <item x="752"/>
        <item x="2024"/>
        <item x="1673"/>
        <item x="622"/>
        <item x="2163"/>
        <item x="116"/>
        <item x="584"/>
        <item x="377"/>
        <item x="1304"/>
        <item x="138"/>
        <item x="1982"/>
        <item x="1064"/>
        <item x="219"/>
        <item x="2059"/>
        <item x="1459"/>
        <item x="2033"/>
        <item x="238"/>
        <item x="847"/>
        <item x="1539"/>
        <item x="26"/>
        <item x="989"/>
        <item x="2022"/>
        <item x="1288"/>
        <item x="889"/>
        <item x="670"/>
        <item x="2236"/>
        <item x="2170"/>
        <item x="24"/>
        <item x="840"/>
        <item x="351"/>
        <item x="934"/>
        <item x="2242"/>
        <item x="477"/>
        <item x="552"/>
        <item x="2149"/>
        <item x="1498"/>
        <item x="568"/>
        <item x="2007"/>
        <item x="35"/>
        <item x="1851"/>
        <item x="1628"/>
        <item x="2081"/>
        <item x="2219"/>
        <item x="1812"/>
        <item x="1224"/>
        <item x="345"/>
        <item x="1056"/>
        <item x="1612"/>
        <item x="1086"/>
        <item x="927"/>
        <item x="198"/>
        <item x="522"/>
        <item x="1217"/>
        <item x="425"/>
        <item x="819"/>
        <item x="940"/>
        <item x="1676"/>
        <item x="1372"/>
        <item x="544"/>
        <item x="1347"/>
        <item x="389"/>
        <item x="199"/>
        <item x="133"/>
        <item x="1206"/>
        <item x="760"/>
        <item x="682"/>
        <item x="204"/>
        <item x="1407"/>
        <item x="1253"/>
        <item x="179"/>
        <item x="859"/>
        <item x="1787"/>
        <item x="795"/>
        <item x="1604"/>
        <item x="527"/>
        <item x="1679"/>
        <item x="929"/>
        <item x="912"/>
        <item x="2373"/>
        <item x="114"/>
        <item x="1047"/>
        <item x="1614"/>
        <item x="1897"/>
        <item x="1438"/>
        <item x="1590"/>
        <item x="778"/>
        <item x="216"/>
        <item x="1094"/>
        <item x="1430"/>
        <item x="1621"/>
        <item x="603"/>
        <item x="1825"/>
        <item x="524"/>
        <item x="239"/>
        <item x="1964"/>
        <item x="1411"/>
        <item x="801"/>
        <item x="136"/>
        <item x="2074"/>
        <item x="1910"/>
        <item x="1914"/>
        <item x="1237"/>
        <item x="2055"/>
        <item x="1034"/>
        <item x="2064"/>
        <item x="1869"/>
        <item x="1863"/>
        <item x="1763"/>
        <item x="1123"/>
        <item x="105"/>
        <item x="1770"/>
        <item x="280"/>
        <item x="15"/>
        <item x="1922"/>
        <item x="922"/>
        <item x="575"/>
        <item x="850"/>
        <item x="2101"/>
        <item x="1226"/>
        <item x="1081"/>
        <item x="88"/>
        <item x="2006"/>
        <item x="583"/>
        <item x="1630"/>
        <item x="1850"/>
        <item x="68"/>
        <item x="1357"/>
        <item x="113"/>
        <item x="314"/>
        <item x="770"/>
        <item x="1001"/>
        <item x="1003"/>
        <item x="1137"/>
        <item x="474"/>
        <item x="887"/>
        <item x="833"/>
        <item x="2182"/>
        <item x="1491"/>
        <item x="101"/>
        <item x="359"/>
        <item x="697"/>
        <item x="1366"/>
        <item x="1944"/>
        <item x="814"/>
        <item x="55"/>
        <item x="1520"/>
        <item x="2054"/>
        <item x="1632"/>
        <item x="374"/>
        <item x="608"/>
        <item x="495"/>
        <item x="409"/>
        <item x="1622"/>
        <item x="2037"/>
        <item x="739"/>
        <item x="963"/>
        <item x="687"/>
        <item x="2346"/>
        <item x="1022"/>
        <item x="259"/>
        <item x="56"/>
        <item x="1414"/>
        <item x="13"/>
        <item x="445"/>
        <item x="2"/>
        <item x="1338"/>
        <item x="540"/>
        <item x="710"/>
        <item x="992"/>
        <item x="252"/>
        <item x="2377"/>
        <item x="446"/>
        <item x="1886"/>
        <item x="1877"/>
        <item x="475"/>
        <item x="1839"/>
        <item x="391"/>
        <item x="1075"/>
        <item x="1126"/>
        <item x="202"/>
        <item x="1620"/>
        <item x="856"/>
        <item x="1732"/>
        <item x="745"/>
        <item x="1755"/>
        <item x="146"/>
        <item x="1046"/>
        <item x="1711"/>
        <item x="1504"/>
        <item x="1079"/>
        <item x="1570"/>
        <item x="577"/>
        <item x="925"/>
        <item x="1980"/>
        <item x="433"/>
        <item x="895"/>
        <item x="1638"/>
        <item x="2279"/>
        <item x="750"/>
        <item x="932"/>
        <item x="1071"/>
        <item x="1029"/>
        <item x="2158"/>
        <item x="2096"/>
        <item x="672"/>
        <item x="1731"/>
        <item x="982"/>
        <item x="1251"/>
        <item x="2323"/>
        <item x="1662"/>
        <item x="1127"/>
        <item x="1325"/>
        <item x="1786"/>
        <item x="489"/>
        <item x="1644"/>
        <item x="1200"/>
        <item x="414"/>
        <item x="1933"/>
        <item x="1919"/>
        <item x="1749"/>
        <item x="1492"/>
        <item x="2030"/>
        <item x="1277"/>
        <item x="791"/>
        <item x="2379"/>
        <item x="553"/>
        <item x="961"/>
        <item x="1708"/>
        <item x="93"/>
        <item x="247"/>
        <item x="2239"/>
        <item x="1181"/>
        <item x="1633"/>
        <item x="423"/>
        <item x="2290"/>
        <item x="2087"/>
        <item x="1607"/>
        <item x="2108"/>
        <item x="509"/>
        <item x="2277"/>
        <item x="1002"/>
        <item x="2012"/>
        <item x="2341"/>
        <item x="1342"/>
        <item x="1859"/>
        <item x="2071"/>
        <item x="262"/>
        <item x="1458"/>
        <item x="967"/>
        <item x="959"/>
        <item x="1330"/>
        <item x="1940"/>
        <item x="2026"/>
        <item x="1609"/>
        <item x="393"/>
        <item x="1140"/>
        <item x="638"/>
        <item x="2175"/>
        <item x="355"/>
        <item x="39"/>
        <item x="1617"/>
        <item x="503"/>
        <item x="99"/>
        <item x="2230"/>
        <item x="952"/>
        <item x="1872"/>
        <item x="780"/>
        <item x="430"/>
        <item x="2338"/>
        <item x="258"/>
        <item x="178"/>
        <item x="970"/>
        <item x="565"/>
        <item x="439"/>
        <item x="1151"/>
        <item x="2225"/>
        <item x="1506"/>
        <item x="1558"/>
        <item x="2210"/>
        <item x="646"/>
        <item x="938"/>
        <item x="1032"/>
        <item x="2079"/>
        <item x="1666"/>
        <item x="31"/>
        <item x="618"/>
        <item x="1418"/>
        <item x="1551"/>
        <item x="1968"/>
        <item x="2113"/>
        <item x="1696"/>
        <item x="2367"/>
        <item x="610"/>
        <item x="1895"/>
        <item x="1270"/>
        <item x="1455"/>
        <item x="187"/>
        <item x="225"/>
        <item x="1536"/>
        <item x="684"/>
        <item x="1757"/>
        <item x="1546"/>
        <item x="1456"/>
        <item x="1766"/>
        <item x="415"/>
        <item x="1691"/>
        <item x="40"/>
        <item x="1809"/>
        <item x="1291"/>
        <item x="827"/>
        <item x="1250"/>
        <item x="315"/>
        <item x="2217"/>
        <item x="1361"/>
        <item x="561"/>
        <item x="1084"/>
        <item x="188"/>
        <item x="915"/>
        <item x="2128"/>
        <item x="2305"/>
        <item x="717"/>
        <item x="2180"/>
        <item x="1450"/>
        <item x="2061"/>
        <item x="973"/>
        <item x="1360"/>
        <item x="1909"/>
        <item x="154"/>
        <item x="1884"/>
        <item x="785"/>
        <item x="2309"/>
        <item x="2233"/>
        <item x="2097"/>
        <item x="1381"/>
        <item x="1802"/>
        <item x="213"/>
        <item x="634"/>
        <item x="499"/>
        <item x="733"/>
        <item x="2294"/>
        <item x="629"/>
        <item x="2004"/>
        <item x="820"/>
        <item x="1948"/>
        <item x="609"/>
        <item x="1834"/>
        <item x="841"/>
        <item x="1190"/>
        <item x="1146"/>
        <item x="800"/>
        <item x="2296"/>
        <item x="1585"/>
        <item x="458"/>
        <item x="789"/>
        <item x="2254"/>
        <item x="1451"/>
        <item x="1651"/>
        <item x="1649"/>
        <item x="145"/>
        <item x="1398"/>
        <item x="2047"/>
        <item x="572"/>
        <item x="2031"/>
        <item x="910"/>
        <item x="437"/>
        <item x="512"/>
        <item x="461"/>
        <item x="2192"/>
        <item x="1657"/>
        <item x="1193"/>
        <item x="942"/>
        <item x="558"/>
        <item x="155"/>
        <item x="823"/>
        <item x="1109"/>
        <item x="2208"/>
        <item x="1337"/>
        <item x="2126"/>
        <item x="1576"/>
        <item x="1589"/>
        <item x="1283"/>
        <item x="2183"/>
        <item x="451"/>
        <item x="360"/>
        <item x="57"/>
        <item x="1725"/>
        <item x="2202"/>
        <item x="416"/>
        <item x="772"/>
        <item x="790"/>
        <item x="32"/>
        <item x="554"/>
        <item x="467"/>
        <item x="1530"/>
        <item x="2295"/>
        <item x="41"/>
        <item x="1196"/>
        <item x="674"/>
        <item x="1529"/>
        <item x="81"/>
        <item x="1780"/>
        <item x="1583"/>
        <item x="1773"/>
        <item x="1320"/>
        <item x="707"/>
        <item x="436"/>
        <item x="1119"/>
        <item x="502"/>
        <item x="853"/>
        <item x="2248"/>
        <item x="72"/>
        <item x="234"/>
        <item x="1102"/>
        <item x="1163"/>
        <item x="1879"/>
        <item x="995"/>
        <item x="364"/>
        <item x="1533"/>
        <item x="2046"/>
        <item x="1000"/>
        <item x="1783"/>
        <item x="197"/>
        <item x="783"/>
        <item x="1471"/>
        <item x="448"/>
        <item x="788"/>
        <item x="1999"/>
        <item x="678"/>
        <item x="1351"/>
        <item x="218"/>
        <item x="949"/>
        <item x="1553"/>
        <item x="720"/>
        <item x="500"/>
        <item x="1788"/>
        <item x="1485"/>
        <item x="834"/>
        <item x="482"/>
        <item x="476"/>
        <item x="427"/>
        <item x="2228"/>
        <item x="1846"/>
        <item x="542"/>
        <item x="601"/>
        <item x="1166"/>
        <item x="469"/>
        <item x="1603"/>
        <item x="726"/>
        <item x="1005"/>
        <item x="688"/>
        <item x="1956"/>
        <item x="637"/>
        <item x="1804"/>
        <item x="1736"/>
        <item x="215"/>
        <item x="1971"/>
        <item x="273"/>
        <item x="369"/>
        <item x="2256"/>
        <item x="579"/>
        <item x="1379"/>
        <item x="2039"/>
        <item x="936"/>
        <item x="2371"/>
        <item x="1671"/>
        <item x="2017"/>
        <item x="729"/>
        <item x="1336"/>
        <item x="1467"/>
        <item x="1300"/>
        <item x="1352"/>
        <item x="1938"/>
        <item x="2038"/>
        <item x="999"/>
        <item x="1434"/>
        <item x="1752"/>
        <item x="1640"/>
        <item x="669"/>
        <item x="832"/>
        <item x="1704"/>
        <item x="1816"/>
        <item x="2339"/>
        <item x="2237"/>
        <item x="1096"/>
        <item x="1278"/>
        <item x="2307"/>
        <item x="158"/>
        <item x="162"/>
        <item x="233"/>
        <item x="865"/>
        <item x="642"/>
        <item x="1929"/>
        <item x="2132"/>
        <item x="1201"/>
        <item x="596"/>
        <item x="690"/>
        <item x="843"/>
        <item x="1735"/>
        <item x="313"/>
        <item x="743"/>
        <item x="597"/>
        <item x="1392"/>
        <item x="2020"/>
        <item x="1463"/>
        <item x="2369"/>
        <item x="2327"/>
        <item x="798"/>
        <item x="294"/>
        <item x="1133"/>
        <item x="1568"/>
        <item x="223"/>
        <item x="969"/>
        <item x="1353"/>
        <item x="2274"/>
        <item x="885"/>
        <item x="1241"/>
        <item x="1758"/>
        <item x="98"/>
        <item x="1512"/>
        <item x="245"/>
        <item x="264"/>
        <item x="1901"/>
        <item x="1514"/>
        <item x="1594"/>
        <item x="517"/>
        <item x="147"/>
        <item x="1646"/>
        <item x="1285"/>
        <item x="2165"/>
        <item x="716"/>
        <item x="639"/>
        <item x="1203"/>
        <item x="1887"/>
        <item x="1715"/>
        <item x="1428"/>
        <item x="2041"/>
        <item x="1985"/>
        <item x="881"/>
        <item x="2301"/>
        <item x="1970"/>
        <item x="50"/>
        <item x="1115"/>
        <item x="257"/>
        <item x="974"/>
        <item x="1925"/>
        <item x="1586"/>
        <item x="647"/>
        <item x="525"/>
        <item x="1103"/>
        <item x="1213"/>
        <item x="1313"/>
        <item x="52"/>
        <item x="1942"/>
        <item x="2102"/>
        <item x="1284"/>
        <item x="1943"/>
        <item x="965"/>
        <item x="397"/>
        <item x="2065"/>
        <item x="571"/>
        <item x="1"/>
        <item x="1771"/>
        <item x="1275"/>
        <item x="2331"/>
        <item x="782"/>
        <item x="1174"/>
        <item x="240"/>
        <item x="1871"/>
        <item x="555"/>
        <item x="737"/>
        <item x="1618"/>
        <item x="131"/>
        <item x="689"/>
        <item x="2090"/>
        <item x="2003"/>
        <item x="2070"/>
        <item x="115"/>
        <item x="656"/>
        <item x="2018"/>
        <item x="1905"/>
        <item x="1308"/>
        <item x="838"/>
        <item x="2153"/>
        <item x="1385"/>
        <item x="1106"/>
        <item x="1977"/>
        <item x="928"/>
        <item x="1601"/>
        <item x="2344"/>
        <item x="2215"/>
        <item x="120"/>
        <item x="1584"/>
        <item x="1228"/>
        <item x="1951"/>
        <item x="2201"/>
        <item x="161"/>
        <item x="1677"/>
        <item x="346"/>
        <item x="53"/>
        <item x="813"/>
        <item x="1044"/>
        <item x="623"/>
        <item x="429"/>
        <item x="1653"/>
        <item x="1043"/>
        <item x="1698"/>
        <item x="466"/>
        <item x="2224"/>
        <item x="2085"/>
        <item x="266"/>
        <item x="367"/>
        <item x="2095"/>
        <item x="1950"/>
        <item x="1246"/>
        <item x="1979"/>
        <item x="2253"/>
        <item x="2015"/>
        <item x="1122"/>
        <item x="1821"/>
        <item x="1675"/>
        <item x="2204"/>
        <item x="1045"/>
        <item x="2019"/>
        <item x="1316"/>
        <item x="621"/>
        <item x="2370"/>
        <item x="1374"/>
        <item x="724"/>
        <item x="1714"/>
        <item x="1269"/>
        <item x="648"/>
        <item x="171"/>
        <item x="1413"/>
        <item x="1161"/>
        <item x="1860"/>
        <item x="659"/>
        <item x="1588"/>
        <item x="543"/>
        <item x="1159"/>
        <item x="1302"/>
        <item x="1497"/>
        <item x="1810"/>
        <item x="1170"/>
        <item x="2177"/>
        <item x="229"/>
        <item x="1796"/>
        <item t="default"/>
      </items>
    </pivotField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21">
    <i>
      <x v="30"/>
    </i>
    <i>
      <x v="34"/>
    </i>
    <i>
      <x v="183"/>
    </i>
    <i>
      <x v="184"/>
    </i>
    <i>
      <x v="222"/>
    </i>
    <i>
      <x v="228"/>
    </i>
    <i>
      <x v="368"/>
    </i>
    <i>
      <x v="417"/>
    </i>
    <i>
      <x v="483"/>
    </i>
    <i>
      <x v="908"/>
    </i>
    <i>
      <x v="922"/>
    </i>
    <i>
      <x v="1031"/>
    </i>
    <i>
      <x v="1087"/>
    </i>
    <i>
      <x v="1108"/>
    </i>
    <i>
      <x v="1156"/>
    </i>
    <i>
      <x v="1232"/>
    </i>
    <i>
      <x v="1236"/>
    </i>
    <i>
      <x v="1317"/>
    </i>
    <i>
      <x v="1332"/>
    </i>
    <i>
      <x v="137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e_Vendida" fld="11" baseField="0" baseItem="0"/>
    <dataField name="Soma de Valor_Venda" fld="10" baseField="0" baseItem="0" numFmtId="43"/>
  </dataFields>
  <formats count="14">
    <format dxfId="47">
      <pivotArea field="9" type="button" dataOnly="0" labelOnly="1" outline="0" axis="axisRow" fieldPosition="0"/>
    </format>
    <format dxfId="48">
      <pivotArea dataOnly="0" labelOnly="1" outline="0" axis="axisValues" fieldPosition="0"/>
    </format>
    <format dxfId="49">
      <pivotArea field="9" type="button" dataOnly="0" labelOnly="1" outline="0" axis="axisRow" fieldPosition="0"/>
    </format>
    <format dxfId="50">
      <pivotArea dataOnly="0" labelOnly="1" outline="0" axis="axisValues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9" type="button" dataOnly="0" labelOnly="1" outline="0" axis="axisRow" fieldPosition="0"/>
    </format>
    <format dxfId="54">
      <pivotArea dataOnly="0" labelOnly="1" fieldPosition="0">
        <references count="1">
          <reference field="9" count="24">
            <x v="20"/>
            <x v="255"/>
            <x v="301"/>
            <x v="328"/>
            <x v="387"/>
            <x v="436"/>
            <x v="481"/>
            <x v="485"/>
            <x v="523"/>
            <x v="546"/>
            <x v="644"/>
            <x v="837"/>
            <x v="873"/>
            <x v="935"/>
            <x v="994"/>
            <x v="1099"/>
            <x v="1123"/>
            <x v="1220"/>
            <x v="1226"/>
            <x v="1227"/>
            <x v="1305"/>
            <x v="1329"/>
            <x v="1340"/>
            <x v="1484"/>
          </reference>
        </references>
      </pivotArea>
    </format>
    <format dxfId="55">
      <pivotArea dataOnly="0" labelOnly="1" grandRow="1" outline="0" fieldPosition="0"/>
    </format>
    <format dxfId="56">
      <pivotArea dataOnly="0" labelOnly="1" outline="0" axis="axisValues" fieldPosition="0"/>
    </format>
    <format dxfId="6">
      <pivotArea field="9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grandRow="1" outline="0" collapsedLevelsAreSubtotals="1" fieldPosition="0"/>
    </format>
    <format dxfId="1">
      <pivotArea dataOnly="0" labelOnly="1" grandRow="1" outline="0" fieldPosition="0"/>
    </format>
  </formats>
  <pivotTableStyleInfo name="PivotStyleMedium15" showRowHeaders="1" showColHeaders="1" showRowStripes="0" showColStripes="0" showLastColumn="1"/>
  <filters count="1">
    <filter fld="9" type="count" evalOrder="-1" id="11" iMeasureFld="1">
      <autoFilter ref="A1">
        <filterColumn colId="0">
          <top10 top="0"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3F539841-66F1-1F41-8F17-4AF17F797BED}" sourceName="Categoria">
  <pivotTables>
    <pivotTable tabId="12" name="Tabela dinâmica19"/>
  </pivotTables>
  <data>
    <tabular pivotCacheId="1843579348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C6844073-FA0F-4817-A7EE-7E2484B50A0D}" sourceName="Categoria">
  <pivotTables>
    <pivotTable tabId="7" name="Tabela dinâmica18"/>
  </pivotTables>
  <data>
    <tabular pivotCacheId="48426066">
      <items count="4">
        <i x="1" s="1"/>
        <i x="0" s="1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12714507-C328-EE4A-8824-D32EC7478D7A}" cache="SegmentaçãodeDados_Categoria1" caption="Categoria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9665CBCA-4BBC-48D3-B092-0BA2813891F4}" cache="SegmentaçãodeDados_Categoria" caption="Categoria" style="SlicerStyleOther1" rowHeight="23495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Pedido" xr10:uid="{49DA4E9A-8248-F647-AC33-08DCA68A5156}" sourceName="Data_Pedido">
  <pivotTables>
    <pivotTable tabId="7" name="Tabela dinâmica14"/>
    <pivotTable tabId="12" name="Tabela dinâmica11"/>
    <pivotTable tabId="12" name="Tabela dinâmica19"/>
  </pivotTables>
  <state minimalRefreshVersion="6" lastRefreshVersion="6" pivotCacheId="1843579348" filterType="dateBetween">
    <selection startDate="2014-01-01T00:00:00" endDate="2014-12-31T00:00:00"/>
    <bounds startDate="2013-01-01T00:00:00" endDate="2021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Pedido1" xr10:uid="{BB69AC25-1877-4783-B4C5-5FDBDB1A4419}" sourceName="Data_Pedido">
  <pivotTables>
    <pivotTable tabId="13" name="Tabela dinâmica4"/>
  </pivotTables>
  <state minimalRefreshVersion="6" lastRefreshVersion="6" pivotCacheId="1843579348" filterType="unknown">
    <bounds startDate="2013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_Pedido" xr10:uid="{EF90A221-C2F2-C04A-9A52-0DCBBED4189F}" cache="NativeTimeline_Data_Pedido" caption="Data_Pedido" level="0" selectionLevel="0" scrollPosition="2013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_Pedido 1" xr10:uid="{F635A605-2DE7-4329-B786-77B0C13404FA}" cache="NativeTimeline_Data_Pedido1" caption="Data_Pedido" level="2" selectionLevel="2" scrollPosition="2016-05-08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_Pedido 2" xr10:uid="{B5C4E3F3-2E1D-4627-A21D-9A405A1B9B04}" cache="NativeTimeline_Data_Pedido1" caption="Data_Pedido" level="1" selectionLevel="2" scrollPosition="2015-10-03T00:00:00" style="Estilo de Linha do Tempo 1"/>
</timeline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microsoft.com/office/2011/relationships/timeline" Target="../timelines/timeline3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05"/>
  <sheetViews>
    <sheetView workbookViewId="0">
      <selection sqref="A1:K3204"/>
    </sheetView>
  </sheetViews>
  <sheetFormatPr defaultColWidth="8.77734375" defaultRowHeight="14.4" x14ac:dyDescent="0.3"/>
  <cols>
    <col min="1" max="1" width="14.109375" bestFit="1" customWidth="1"/>
    <col min="2" max="2" width="15" bestFit="1" customWidth="1"/>
    <col min="3" max="3" width="14.44140625" bestFit="1" customWidth="1"/>
    <col min="4" max="4" width="12.109375" bestFit="1" customWidth="1"/>
    <col min="5" max="5" width="19.33203125" bestFit="1" customWidth="1"/>
    <col min="6" max="6" width="10.33203125" bestFit="1" customWidth="1"/>
    <col min="7" max="7" width="12.109375" bestFit="1" customWidth="1"/>
    <col min="8" max="8" width="15.109375" bestFit="1" customWidth="1"/>
    <col min="9" max="9" width="84" bestFit="1" customWidth="1"/>
    <col min="10" max="10" width="15.44140625" style="2" bestFit="1" customWidth="1"/>
    <col min="11" max="11" width="14.33203125" bestFit="1" customWidth="1"/>
  </cols>
  <sheetData>
    <row r="1" spans="1:14" ht="15.6" x14ac:dyDescent="0.3">
      <c r="A1" s="5" t="s">
        <v>2915</v>
      </c>
      <c r="B1" s="5" t="s">
        <v>2916</v>
      </c>
      <c r="C1" s="5" t="s">
        <v>2914</v>
      </c>
      <c r="D1" s="5" t="s">
        <v>2917</v>
      </c>
      <c r="E1" s="5" t="s">
        <v>2918</v>
      </c>
      <c r="F1" s="5" t="s">
        <v>2919</v>
      </c>
      <c r="G1" s="5" t="s">
        <v>2912</v>
      </c>
      <c r="H1" s="5" t="s">
        <v>2913</v>
      </c>
      <c r="I1" s="5" t="s">
        <v>2920</v>
      </c>
      <c r="J1" s="6" t="s">
        <v>2910</v>
      </c>
      <c r="K1" s="5" t="s">
        <v>2911</v>
      </c>
    </row>
    <row r="2" spans="1:14" x14ac:dyDescent="0.3">
      <c r="A2" s="1">
        <v>41280</v>
      </c>
      <c r="B2" s="1">
        <v>41282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2">
        <v>19.440000000000001</v>
      </c>
      <c r="K2">
        <v>3</v>
      </c>
      <c r="M2" s="3"/>
      <c r="N2" s="3"/>
    </row>
    <row r="3" spans="1:14" x14ac:dyDescent="0.3">
      <c r="A3" s="1">
        <v>41287</v>
      </c>
      <c r="B3" s="1">
        <v>41292</v>
      </c>
      <c r="C3" t="s">
        <v>7</v>
      </c>
      <c r="D3" t="s">
        <v>8</v>
      </c>
      <c r="E3" t="s">
        <v>9</v>
      </c>
      <c r="F3" t="s">
        <v>3</v>
      </c>
      <c r="G3" t="s">
        <v>4</v>
      </c>
      <c r="H3" t="s">
        <v>10</v>
      </c>
      <c r="I3" t="s">
        <v>11</v>
      </c>
      <c r="J3" s="2">
        <v>1325.8500000000001</v>
      </c>
      <c r="K3">
        <v>5</v>
      </c>
    </row>
    <row r="4" spans="1:14" x14ac:dyDescent="0.3">
      <c r="A4" s="1">
        <v>41287</v>
      </c>
      <c r="B4" s="1">
        <v>41292</v>
      </c>
      <c r="C4" t="s">
        <v>7</v>
      </c>
      <c r="D4" t="s">
        <v>8</v>
      </c>
      <c r="E4" t="s">
        <v>9</v>
      </c>
      <c r="F4" t="s">
        <v>3</v>
      </c>
      <c r="G4" t="s">
        <v>12</v>
      </c>
      <c r="H4" t="s">
        <v>13</v>
      </c>
      <c r="I4" t="s">
        <v>14</v>
      </c>
      <c r="J4" s="2">
        <v>333.99899999999997</v>
      </c>
      <c r="K4">
        <v>3</v>
      </c>
    </row>
    <row r="5" spans="1:14" x14ac:dyDescent="0.3">
      <c r="A5" s="1">
        <v>41287</v>
      </c>
      <c r="B5" s="1">
        <v>41292</v>
      </c>
      <c r="C5" t="s">
        <v>7</v>
      </c>
      <c r="D5" t="s">
        <v>8</v>
      </c>
      <c r="E5" t="s">
        <v>9</v>
      </c>
      <c r="F5" t="s">
        <v>3</v>
      </c>
      <c r="G5" t="s">
        <v>4</v>
      </c>
      <c r="H5" t="s">
        <v>15</v>
      </c>
      <c r="I5" t="s">
        <v>16</v>
      </c>
      <c r="J5" s="2">
        <v>19.899999999999999</v>
      </c>
      <c r="K5">
        <v>5</v>
      </c>
    </row>
    <row r="6" spans="1:14" x14ac:dyDescent="0.3">
      <c r="A6" s="1">
        <v>41292</v>
      </c>
      <c r="B6" s="1">
        <v>41295</v>
      </c>
      <c r="C6" t="s">
        <v>0</v>
      </c>
      <c r="D6" t="s">
        <v>17</v>
      </c>
      <c r="E6" t="s">
        <v>18</v>
      </c>
      <c r="F6" t="s">
        <v>19</v>
      </c>
      <c r="G6" t="s">
        <v>4</v>
      </c>
      <c r="H6" t="s">
        <v>20</v>
      </c>
      <c r="I6" t="s">
        <v>21</v>
      </c>
      <c r="J6" s="2">
        <v>64.864000000000004</v>
      </c>
      <c r="K6">
        <v>4</v>
      </c>
    </row>
    <row r="7" spans="1:14" x14ac:dyDescent="0.3">
      <c r="A7" s="1">
        <v>41293</v>
      </c>
      <c r="B7" s="1">
        <v>41294</v>
      </c>
      <c r="C7" t="s">
        <v>22</v>
      </c>
      <c r="D7" t="s">
        <v>23</v>
      </c>
      <c r="E7" t="s">
        <v>24</v>
      </c>
      <c r="F7" t="s">
        <v>25</v>
      </c>
      <c r="G7" t="s">
        <v>4</v>
      </c>
      <c r="H7" t="s">
        <v>26</v>
      </c>
      <c r="I7" t="s">
        <v>27</v>
      </c>
      <c r="J7" s="2">
        <v>32.340000000000003</v>
      </c>
      <c r="K7">
        <v>10</v>
      </c>
    </row>
    <row r="8" spans="1:14" x14ac:dyDescent="0.3">
      <c r="A8" s="1">
        <v>41293</v>
      </c>
      <c r="B8" s="1">
        <v>41294</v>
      </c>
      <c r="C8" t="s">
        <v>22</v>
      </c>
      <c r="D8" t="s">
        <v>23</v>
      </c>
      <c r="E8" t="s">
        <v>24</v>
      </c>
      <c r="F8" t="s">
        <v>25</v>
      </c>
      <c r="G8" t="s">
        <v>4</v>
      </c>
      <c r="H8" t="s">
        <v>5</v>
      </c>
      <c r="I8" t="s">
        <v>28</v>
      </c>
      <c r="J8" s="2">
        <v>56.064</v>
      </c>
      <c r="K8">
        <v>4</v>
      </c>
    </row>
    <row r="9" spans="1:14" x14ac:dyDescent="0.3">
      <c r="A9" s="1">
        <v>41293</v>
      </c>
      <c r="B9" s="1">
        <v>41294</v>
      </c>
      <c r="C9" t="s">
        <v>22</v>
      </c>
      <c r="D9" t="s">
        <v>23</v>
      </c>
      <c r="E9" t="s">
        <v>24</v>
      </c>
      <c r="F9" t="s">
        <v>25</v>
      </c>
      <c r="G9" t="s">
        <v>4</v>
      </c>
      <c r="H9" t="s">
        <v>29</v>
      </c>
      <c r="I9" t="s">
        <v>30</v>
      </c>
      <c r="J9" s="2">
        <v>108.72</v>
      </c>
      <c r="K9">
        <v>5</v>
      </c>
    </row>
    <row r="10" spans="1:14" x14ac:dyDescent="0.3">
      <c r="A10" s="1">
        <v>41293</v>
      </c>
      <c r="B10" s="1">
        <v>41294</v>
      </c>
      <c r="C10" t="s">
        <v>22</v>
      </c>
      <c r="D10" t="s">
        <v>23</v>
      </c>
      <c r="E10" t="s">
        <v>24</v>
      </c>
      <c r="F10" t="s">
        <v>25</v>
      </c>
      <c r="G10" t="s">
        <v>12</v>
      </c>
      <c r="H10" t="s">
        <v>13</v>
      </c>
      <c r="I10" t="s">
        <v>31</v>
      </c>
      <c r="J10" s="2">
        <v>181.47000000000003</v>
      </c>
      <c r="K10">
        <v>5</v>
      </c>
    </row>
    <row r="11" spans="1:14" x14ac:dyDescent="0.3">
      <c r="A11" s="1">
        <v>41294</v>
      </c>
      <c r="B11" s="1">
        <v>41299</v>
      </c>
      <c r="C11" t="s">
        <v>7</v>
      </c>
      <c r="D11" t="s">
        <v>32</v>
      </c>
      <c r="E11" t="s">
        <v>33</v>
      </c>
      <c r="F11" t="s">
        <v>3</v>
      </c>
      <c r="G11" t="s">
        <v>4</v>
      </c>
      <c r="H11" t="s">
        <v>5</v>
      </c>
      <c r="I11" t="s">
        <v>34</v>
      </c>
      <c r="J11" s="2">
        <v>19.36</v>
      </c>
      <c r="K11">
        <v>2</v>
      </c>
    </row>
    <row r="12" spans="1:14" x14ac:dyDescent="0.3">
      <c r="A12" s="1">
        <v>41294</v>
      </c>
      <c r="B12" s="1">
        <v>41299</v>
      </c>
      <c r="C12" t="s">
        <v>7</v>
      </c>
      <c r="D12" t="s">
        <v>32</v>
      </c>
      <c r="E12" t="s">
        <v>33</v>
      </c>
      <c r="F12" t="s">
        <v>3</v>
      </c>
      <c r="G12" t="s">
        <v>12</v>
      </c>
      <c r="H12" t="s">
        <v>35</v>
      </c>
      <c r="I12" t="s">
        <v>36</v>
      </c>
      <c r="J12" s="2">
        <v>19.3</v>
      </c>
      <c r="K12">
        <v>2</v>
      </c>
    </row>
    <row r="13" spans="1:14" x14ac:dyDescent="0.3">
      <c r="A13" s="1">
        <v>41297</v>
      </c>
      <c r="B13" s="1">
        <v>41302</v>
      </c>
      <c r="C13" t="s">
        <v>7</v>
      </c>
      <c r="D13" t="s">
        <v>37</v>
      </c>
      <c r="E13" t="s">
        <v>38</v>
      </c>
      <c r="F13" t="s">
        <v>39</v>
      </c>
      <c r="G13" t="s">
        <v>4</v>
      </c>
      <c r="H13" t="s">
        <v>5</v>
      </c>
      <c r="I13" t="s">
        <v>40</v>
      </c>
      <c r="J13" s="2">
        <v>40.08</v>
      </c>
      <c r="K13">
        <v>6</v>
      </c>
      <c r="L13" s="4"/>
    </row>
    <row r="14" spans="1:14" x14ac:dyDescent="0.3">
      <c r="A14" s="1">
        <v>41301</v>
      </c>
      <c r="B14" s="1">
        <v>41307</v>
      </c>
      <c r="C14" t="s">
        <v>7</v>
      </c>
      <c r="D14" t="s">
        <v>41</v>
      </c>
      <c r="E14" t="s">
        <v>42</v>
      </c>
      <c r="F14" t="s">
        <v>3</v>
      </c>
      <c r="G14" t="s">
        <v>4</v>
      </c>
      <c r="H14" t="s">
        <v>10</v>
      </c>
      <c r="I14" t="s">
        <v>43</v>
      </c>
      <c r="J14" s="2">
        <v>57.23</v>
      </c>
      <c r="K14">
        <v>1</v>
      </c>
      <c r="L14" s="4"/>
    </row>
    <row r="15" spans="1:14" x14ac:dyDescent="0.3">
      <c r="A15" s="1">
        <v>41301</v>
      </c>
      <c r="B15" s="1">
        <v>41307</v>
      </c>
      <c r="C15" t="s">
        <v>7</v>
      </c>
      <c r="D15" t="s">
        <v>41</v>
      </c>
      <c r="E15" t="s">
        <v>42</v>
      </c>
      <c r="F15" t="s">
        <v>3</v>
      </c>
      <c r="G15" t="s">
        <v>12</v>
      </c>
      <c r="H15" t="s">
        <v>44</v>
      </c>
      <c r="I15" t="s">
        <v>45</v>
      </c>
      <c r="J15" s="2">
        <v>333</v>
      </c>
      <c r="K15">
        <v>3</v>
      </c>
      <c r="L15" s="4"/>
    </row>
    <row r="16" spans="1:14" x14ac:dyDescent="0.3">
      <c r="A16" s="1">
        <v>41301</v>
      </c>
      <c r="B16" s="1">
        <v>41307</v>
      </c>
      <c r="C16" t="s">
        <v>7</v>
      </c>
      <c r="D16" t="s">
        <v>41</v>
      </c>
      <c r="E16" t="s">
        <v>42</v>
      </c>
      <c r="F16" t="s">
        <v>3</v>
      </c>
      <c r="G16" t="s">
        <v>4</v>
      </c>
      <c r="H16" t="s">
        <v>15</v>
      </c>
      <c r="I16" t="s">
        <v>46</v>
      </c>
      <c r="J16" s="2">
        <v>36.44</v>
      </c>
      <c r="K16">
        <v>4</v>
      </c>
      <c r="L16" s="4"/>
    </row>
    <row r="17" spans="1:12" x14ac:dyDescent="0.3">
      <c r="A17" s="1">
        <v>41305</v>
      </c>
      <c r="B17" s="1">
        <v>41307</v>
      </c>
      <c r="C17" t="s">
        <v>22</v>
      </c>
      <c r="D17" t="s">
        <v>47</v>
      </c>
      <c r="E17" t="s">
        <v>48</v>
      </c>
      <c r="F17" t="s">
        <v>3</v>
      </c>
      <c r="G17" t="s">
        <v>12</v>
      </c>
      <c r="H17" t="s">
        <v>13</v>
      </c>
      <c r="I17" t="s">
        <v>49</v>
      </c>
      <c r="J17" s="2">
        <v>290.666</v>
      </c>
      <c r="K17">
        <v>2</v>
      </c>
      <c r="L17" s="4"/>
    </row>
    <row r="18" spans="1:12" x14ac:dyDescent="0.3">
      <c r="A18" s="1">
        <v>41307</v>
      </c>
      <c r="B18" s="1">
        <v>41311</v>
      </c>
      <c r="C18" t="s">
        <v>7</v>
      </c>
      <c r="D18" t="s">
        <v>50</v>
      </c>
      <c r="E18" t="s">
        <v>51</v>
      </c>
      <c r="F18" t="s">
        <v>3</v>
      </c>
      <c r="G18" t="s">
        <v>4</v>
      </c>
      <c r="H18" t="s">
        <v>52</v>
      </c>
      <c r="I18" t="s">
        <v>53</v>
      </c>
      <c r="J18" s="2">
        <v>12.350000000000001</v>
      </c>
      <c r="K18">
        <v>5</v>
      </c>
      <c r="L18" s="4"/>
    </row>
    <row r="19" spans="1:12" x14ac:dyDescent="0.3">
      <c r="A19" s="1">
        <v>41308</v>
      </c>
      <c r="B19" s="1">
        <v>41311</v>
      </c>
      <c r="C19" t="s">
        <v>0</v>
      </c>
      <c r="D19" t="s">
        <v>54</v>
      </c>
      <c r="E19" t="s">
        <v>55</v>
      </c>
      <c r="F19" t="s">
        <v>56</v>
      </c>
      <c r="G19" t="s">
        <v>4</v>
      </c>
      <c r="H19" t="s">
        <v>26</v>
      </c>
      <c r="I19" t="s">
        <v>57</v>
      </c>
      <c r="J19" s="2">
        <v>83.84</v>
      </c>
      <c r="K19">
        <v>2</v>
      </c>
      <c r="L19" s="4"/>
    </row>
    <row r="20" spans="1:12" x14ac:dyDescent="0.3">
      <c r="A20" s="1">
        <v>41308</v>
      </c>
      <c r="B20" s="1">
        <v>41311</v>
      </c>
      <c r="C20" t="s">
        <v>0</v>
      </c>
      <c r="D20" t="s">
        <v>54</v>
      </c>
      <c r="E20" t="s">
        <v>55</v>
      </c>
      <c r="F20" t="s">
        <v>56</v>
      </c>
      <c r="G20" t="s">
        <v>4</v>
      </c>
      <c r="H20" t="s">
        <v>26</v>
      </c>
      <c r="I20" t="s">
        <v>58</v>
      </c>
      <c r="J20" s="2">
        <v>13.272000000000002</v>
      </c>
      <c r="K20">
        <v>3</v>
      </c>
      <c r="L20" s="4"/>
    </row>
    <row r="21" spans="1:12" x14ac:dyDescent="0.3">
      <c r="A21" s="1">
        <v>41309</v>
      </c>
      <c r="B21" s="1">
        <v>41313</v>
      </c>
      <c r="C21" t="s">
        <v>7</v>
      </c>
      <c r="D21" t="s">
        <v>59</v>
      </c>
      <c r="E21" t="s">
        <v>60</v>
      </c>
      <c r="F21" t="s">
        <v>3</v>
      </c>
      <c r="G21" t="s">
        <v>4</v>
      </c>
      <c r="H21" t="s">
        <v>26</v>
      </c>
      <c r="I21" t="s">
        <v>61</v>
      </c>
      <c r="J21" s="2">
        <v>82.896000000000001</v>
      </c>
      <c r="K21">
        <v>3</v>
      </c>
      <c r="L21" s="4"/>
    </row>
    <row r="22" spans="1:12" x14ac:dyDescent="0.3">
      <c r="A22" s="1">
        <v>41309</v>
      </c>
      <c r="B22" s="1">
        <v>41313</v>
      </c>
      <c r="C22" t="s">
        <v>7</v>
      </c>
      <c r="D22" t="s">
        <v>59</v>
      </c>
      <c r="E22" t="s">
        <v>60</v>
      </c>
      <c r="F22" t="s">
        <v>3</v>
      </c>
      <c r="G22" t="s">
        <v>4</v>
      </c>
      <c r="H22" t="s">
        <v>5</v>
      </c>
      <c r="I22" t="s">
        <v>62</v>
      </c>
      <c r="J22" s="2">
        <v>34.24</v>
      </c>
      <c r="K22">
        <v>4</v>
      </c>
      <c r="L22" s="4"/>
    </row>
    <row r="23" spans="1:12" x14ac:dyDescent="0.3">
      <c r="A23" s="1">
        <v>41309</v>
      </c>
      <c r="B23" s="1">
        <v>41313</v>
      </c>
      <c r="C23" t="s">
        <v>0</v>
      </c>
      <c r="D23" t="s">
        <v>63</v>
      </c>
      <c r="E23" t="s">
        <v>64</v>
      </c>
      <c r="F23" t="s">
        <v>3</v>
      </c>
      <c r="G23" t="s">
        <v>4</v>
      </c>
      <c r="H23" t="s">
        <v>26</v>
      </c>
      <c r="I23" t="s">
        <v>27</v>
      </c>
      <c r="J23" s="2">
        <v>17.248000000000001</v>
      </c>
      <c r="K23">
        <v>2</v>
      </c>
      <c r="L23" s="4"/>
    </row>
    <row r="24" spans="1:12" x14ac:dyDescent="0.3">
      <c r="A24" s="1">
        <v>41313</v>
      </c>
      <c r="B24" s="1">
        <v>41314</v>
      </c>
      <c r="C24" t="s">
        <v>22</v>
      </c>
      <c r="D24" t="s">
        <v>65</v>
      </c>
      <c r="E24" t="s">
        <v>66</v>
      </c>
      <c r="F24" t="s">
        <v>39</v>
      </c>
      <c r="G24" t="s">
        <v>12</v>
      </c>
      <c r="H24" t="s">
        <v>35</v>
      </c>
      <c r="I24" t="s">
        <v>67</v>
      </c>
      <c r="J24" s="2">
        <v>14.56</v>
      </c>
      <c r="K24">
        <v>2</v>
      </c>
      <c r="L24" s="4"/>
    </row>
    <row r="25" spans="1:12" x14ac:dyDescent="0.3">
      <c r="A25" s="1">
        <v>41317</v>
      </c>
      <c r="B25" s="1">
        <v>41323</v>
      </c>
      <c r="C25" t="s">
        <v>7</v>
      </c>
      <c r="D25" t="s">
        <v>68</v>
      </c>
      <c r="E25" t="s">
        <v>69</v>
      </c>
      <c r="F25" t="s">
        <v>3</v>
      </c>
      <c r="G25" t="s">
        <v>12</v>
      </c>
      <c r="H25" t="s">
        <v>70</v>
      </c>
      <c r="I25" t="s">
        <v>71</v>
      </c>
      <c r="J25" s="2">
        <v>129.56800000000001</v>
      </c>
      <c r="K25">
        <v>2</v>
      </c>
      <c r="L25" s="4"/>
    </row>
    <row r="26" spans="1:12" x14ac:dyDescent="0.3">
      <c r="A26" s="1">
        <v>41319</v>
      </c>
      <c r="B26" s="1">
        <v>41323</v>
      </c>
      <c r="C26" t="s">
        <v>7</v>
      </c>
      <c r="D26" t="s">
        <v>72</v>
      </c>
      <c r="E26" t="s">
        <v>73</v>
      </c>
      <c r="F26" t="s">
        <v>56</v>
      </c>
      <c r="G26" t="s">
        <v>74</v>
      </c>
      <c r="H26" t="s">
        <v>75</v>
      </c>
      <c r="I26" t="s">
        <v>76</v>
      </c>
      <c r="J26" s="2">
        <v>239.96999999999997</v>
      </c>
      <c r="K26">
        <v>3</v>
      </c>
      <c r="L26" s="4"/>
    </row>
    <row r="27" spans="1:12" x14ac:dyDescent="0.3">
      <c r="A27" s="1">
        <v>41319</v>
      </c>
      <c r="B27" s="1">
        <v>41323</v>
      </c>
      <c r="C27" t="s">
        <v>7</v>
      </c>
      <c r="D27" t="s">
        <v>72</v>
      </c>
      <c r="E27" t="s">
        <v>73</v>
      </c>
      <c r="F27" t="s">
        <v>56</v>
      </c>
      <c r="G27" t="s">
        <v>4</v>
      </c>
      <c r="H27" t="s">
        <v>20</v>
      </c>
      <c r="I27" t="s">
        <v>77</v>
      </c>
      <c r="J27" s="2">
        <v>81.96</v>
      </c>
      <c r="K27">
        <v>2</v>
      </c>
      <c r="L27" s="4"/>
    </row>
    <row r="28" spans="1:12" x14ac:dyDescent="0.3">
      <c r="A28" s="1">
        <v>41319</v>
      </c>
      <c r="B28" s="1">
        <v>41323</v>
      </c>
      <c r="C28" t="s">
        <v>7</v>
      </c>
      <c r="D28" t="s">
        <v>72</v>
      </c>
      <c r="E28" t="s">
        <v>73</v>
      </c>
      <c r="F28" t="s">
        <v>56</v>
      </c>
      <c r="G28" t="s">
        <v>4</v>
      </c>
      <c r="H28" t="s">
        <v>78</v>
      </c>
      <c r="I28" t="s">
        <v>79</v>
      </c>
      <c r="J28" s="2">
        <v>238.62</v>
      </c>
      <c r="K28">
        <v>2</v>
      </c>
      <c r="L28" s="4"/>
    </row>
    <row r="29" spans="1:12" x14ac:dyDescent="0.3">
      <c r="A29" s="1">
        <v>41320</v>
      </c>
      <c r="B29" s="1">
        <v>41324</v>
      </c>
      <c r="C29" t="s">
        <v>7</v>
      </c>
      <c r="D29" t="s">
        <v>80</v>
      </c>
      <c r="E29" t="s">
        <v>81</v>
      </c>
      <c r="F29" t="s">
        <v>56</v>
      </c>
      <c r="G29" t="s">
        <v>4</v>
      </c>
      <c r="H29" t="s">
        <v>26</v>
      </c>
      <c r="I29" t="s">
        <v>82</v>
      </c>
      <c r="J29" s="2">
        <v>21.36</v>
      </c>
      <c r="K29">
        <v>5</v>
      </c>
      <c r="L29" s="4"/>
    </row>
    <row r="30" spans="1:12" x14ac:dyDescent="0.3">
      <c r="A30" s="1">
        <v>41325</v>
      </c>
      <c r="B30" s="1">
        <v>41329</v>
      </c>
      <c r="C30" t="s">
        <v>7</v>
      </c>
      <c r="D30" t="s">
        <v>83</v>
      </c>
      <c r="E30" t="s">
        <v>84</v>
      </c>
      <c r="F30" t="s">
        <v>3</v>
      </c>
      <c r="G30" t="s">
        <v>4</v>
      </c>
      <c r="H30" t="s">
        <v>5</v>
      </c>
      <c r="I30" t="s">
        <v>85</v>
      </c>
      <c r="J30" s="2">
        <v>12.96</v>
      </c>
      <c r="K30">
        <v>2</v>
      </c>
      <c r="L30" s="4"/>
    </row>
    <row r="31" spans="1:12" x14ac:dyDescent="0.3">
      <c r="A31" s="1">
        <v>41327</v>
      </c>
      <c r="B31" s="1">
        <v>41329</v>
      </c>
      <c r="C31" t="s">
        <v>22</v>
      </c>
      <c r="D31" t="s">
        <v>86</v>
      </c>
      <c r="E31" t="s">
        <v>87</v>
      </c>
      <c r="F31" t="s">
        <v>3</v>
      </c>
      <c r="G31" t="s">
        <v>4</v>
      </c>
      <c r="H31" t="s">
        <v>5</v>
      </c>
      <c r="I31" t="s">
        <v>88</v>
      </c>
      <c r="J31" s="2">
        <v>19.440000000000001</v>
      </c>
      <c r="K31">
        <v>3</v>
      </c>
      <c r="L31" s="4"/>
    </row>
    <row r="32" spans="1:12" x14ac:dyDescent="0.3">
      <c r="A32" s="1">
        <v>41329</v>
      </c>
      <c r="B32" s="1">
        <v>41335</v>
      </c>
      <c r="C32" t="s">
        <v>7</v>
      </c>
      <c r="D32" t="s">
        <v>89</v>
      </c>
      <c r="E32" t="s">
        <v>90</v>
      </c>
      <c r="F32" t="s">
        <v>19</v>
      </c>
      <c r="G32" t="s">
        <v>4</v>
      </c>
      <c r="H32" t="s">
        <v>5</v>
      </c>
      <c r="I32" t="s">
        <v>91</v>
      </c>
      <c r="J32" s="2">
        <v>32.896000000000001</v>
      </c>
      <c r="K32">
        <v>4</v>
      </c>
      <c r="L32" s="4"/>
    </row>
    <row r="33" spans="1:12" x14ac:dyDescent="0.3">
      <c r="A33" s="1">
        <v>41329</v>
      </c>
      <c r="B33" s="1">
        <v>41335</v>
      </c>
      <c r="C33" t="s">
        <v>7</v>
      </c>
      <c r="D33" t="s">
        <v>89</v>
      </c>
      <c r="E33" t="s">
        <v>90</v>
      </c>
      <c r="F33" t="s">
        <v>19</v>
      </c>
      <c r="G33" t="s">
        <v>4</v>
      </c>
      <c r="H33" t="s">
        <v>5</v>
      </c>
      <c r="I33" t="s">
        <v>92</v>
      </c>
      <c r="J33" s="2">
        <v>22.776000000000003</v>
      </c>
      <c r="K33">
        <v>3</v>
      </c>
      <c r="L33" s="4"/>
    </row>
    <row r="34" spans="1:12" x14ac:dyDescent="0.3">
      <c r="A34" s="1">
        <v>41334</v>
      </c>
      <c r="B34" s="1">
        <v>41339</v>
      </c>
      <c r="C34" t="s">
        <v>0</v>
      </c>
      <c r="D34" t="s">
        <v>93</v>
      </c>
      <c r="E34" t="s">
        <v>94</v>
      </c>
      <c r="F34" t="s">
        <v>56</v>
      </c>
      <c r="G34" t="s">
        <v>12</v>
      </c>
      <c r="H34" t="s">
        <v>70</v>
      </c>
      <c r="I34" t="s">
        <v>95</v>
      </c>
      <c r="J34" s="2">
        <v>457.56800000000004</v>
      </c>
      <c r="K34">
        <v>2</v>
      </c>
      <c r="L34" s="4"/>
    </row>
    <row r="35" spans="1:12" x14ac:dyDescent="0.3">
      <c r="A35" s="1">
        <v>41336</v>
      </c>
      <c r="B35" s="1">
        <v>41340</v>
      </c>
      <c r="C35" t="s">
        <v>7</v>
      </c>
      <c r="D35" t="s">
        <v>96</v>
      </c>
      <c r="E35" t="s">
        <v>97</v>
      </c>
      <c r="F35" t="s">
        <v>3</v>
      </c>
      <c r="G35" t="s">
        <v>12</v>
      </c>
      <c r="H35" t="s">
        <v>44</v>
      </c>
      <c r="I35" t="s">
        <v>98</v>
      </c>
      <c r="J35" s="2">
        <v>626.35200000000009</v>
      </c>
      <c r="K35">
        <v>3</v>
      </c>
      <c r="L35" s="4"/>
    </row>
    <row r="36" spans="1:12" x14ac:dyDescent="0.3">
      <c r="A36" s="1">
        <v>41340</v>
      </c>
      <c r="B36" s="1">
        <v>41341</v>
      </c>
      <c r="C36" t="s">
        <v>22</v>
      </c>
      <c r="D36" t="s">
        <v>99</v>
      </c>
      <c r="E36" t="s">
        <v>100</v>
      </c>
      <c r="F36" t="s">
        <v>56</v>
      </c>
      <c r="G36" t="s">
        <v>12</v>
      </c>
      <c r="H36" t="s">
        <v>70</v>
      </c>
      <c r="I36" t="s">
        <v>101</v>
      </c>
      <c r="J36" s="2">
        <v>48.712000000000003</v>
      </c>
      <c r="K36">
        <v>1</v>
      </c>
      <c r="L36" s="4"/>
    </row>
    <row r="37" spans="1:12" x14ac:dyDescent="0.3">
      <c r="A37" s="1">
        <v>41340</v>
      </c>
      <c r="B37" s="1">
        <v>41341</v>
      </c>
      <c r="C37" t="s">
        <v>22</v>
      </c>
      <c r="D37" t="s">
        <v>99</v>
      </c>
      <c r="E37" t="s">
        <v>100</v>
      </c>
      <c r="F37" t="s">
        <v>56</v>
      </c>
      <c r="G37" t="s">
        <v>4</v>
      </c>
      <c r="H37" t="s">
        <v>15</v>
      </c>
      <c r="I37" t="s">
        <v>102</v>
      </c>
      <c r="J37" s="2">
        <v>17.940000000000001</v>
      </c>
      <c r="K37">
        <v>3</v>
      </c>
      <c r="L37" s="4"/>
    </row>
    <row r="38" spans="1:12" x14ac:dyDescent="0.3">
      <c r="A38" s="1">
        <v>41340</v>
      </c>
      <c r="B38" s="1">
        <v>41341</v>
      </c>
      <c r="C38" t="s">
        <v>22</v>
      </c>
      <c r="D38" t="s">
        <v>99</v>
      </c>
      <c r="E38" t="s">
        <v>100</v>
      </c>
      <c r="F38" t="s">
        <v>56</v>
      </c>
      <c r="G38" t="s">
        <v>4</v>
      </c>
      <c r="H38" t="s">
        <v>10</v>
      </c>
      <c r="I38" t="s">
        <v>103</v>
      </c>
      <c r="J38" s="2">
        <v>242.94</v>
      </c>
      <c r="K38">
        <v>3</v>
      </c>
      <c r="L38" s="4"/>
    </row>
    <row r="39" spans="1:12" x14ac:dyDescent="0.3">
      <c r="A39" s="1">
        <v>41340</v>
      </c>
      <c r="B39" s="1">
        <v>41344</v>
      </c>
      <c r="C39" t="s">
        <v>0</v>
      </c>
      <c r="D39" t="s">
        <v>104</v>
      </c>
      <c r="E39" t="s">
        <v>105</v>
      </c>
      <c r="F39" t="s">
        <v>56</v>
      </c>
      <c r="G39" t="s">
        <v>4</v>
      </c>
      <c r="H39" t="s">
        <v>26</v>
      </c>
      <c r="I39" t="s">
        <v>106</v>
      </c>
      <c r="J39" s="2">
        <v>107.64800000000001</v>
      </c>
      <c r="K39">
        <v>2</v>
      </c>
      <c r="L39" s="4"/>
    </row>
    <row r="40" spans="1:12" x14ac:dyDescent="0.3">
      <c r="A40" s="1">
        <v>41340</v>
      </c>
      <c r="B40" s="1">
        <v>41345</v>
      </c>
      <c r="C40" t="s">
        <v>7</v>
      </c>
      <c r="D40" t="s">
        <v>107</v>
      </c>
      <c r="E40" t="s">
        <v>108</v>
      </c>
      <c r="F40" t="s">
        <v>56</v>
      </c>
      <c r="G40" t="s">
        <v>4</v>
      </c>
      <c r="H40" t="s">
        <v>15</v>
      </c>
      <c r="I40" t="s">
        <v>109</v>
      </c>
      <c r="J40" s="2">
        <v>20.65</v>
      </c>
      <c r="K40">
        <v>5</v>
      </c>
      <c r="L40" s="4"/>
    </row>
    <row r="41" spans="1:12" x14ac:dyDescent="0.3">
      <c r="A41" s="1">
        <v>41340</v>
      </c>
      <c r="B41" s="1">
        <v>41345</v>
      </c>
      <c r="C41" t="s">
        <v>7</v>
      </c>
      <c r="D41" t="s">
        <v>107</v>
      </c>
      <c r="E41" t="s">
        <v>108</v>
      </c>
      <c r="F41" t="s">
        <v>56</v>
      </c>
      <c r="G41" t="s">
        <v>4</v>
      </c>
      <c r="H41" t="s">
        <v>10</v>
      </c>
      <c r="I41" t="s">
        <v>110</v>
      </c>
      <c r="J41" s="2">
        <v>204.89999999999998</v>
      </c>
      <c r="K41">
        <v>5</v>
      </c>
      <c r="L41" s="4"/>
    </row>
    <row r="42" spans="1:12" x14ac:dyDescent="0.3">
      <c r="A42" s="1">
        <v>41340</v>
      </c>
      <c r="B42" s="1">
        <v>41345</v>
      </c>
      <c r="C42" t="s">
        <v>7</v>
      </c>
      <c r="D42" t="s">
        <v>107</v>
      </c>
      <c r="E42" t="s">
        <v>108</v>
      </c>
      <c r="F42" t="s">
        <v>56</v>
      </c>
      <c r="G42" t="s">
        <v>12</v>
      </c>
      <c r="H42" t="s">
        <v>70</v>
      </c>
      <c r="I42" t="s">
        <v>111</v>
      </c>
      <c r="J42" s="2">
        <v>436.70400000000006</v>
      </c>
      <c r="K42">
        <v>6</v>
      </c>
      <c r="L42" s="4"/>
    </row>
    <row r="43" spans="1:12" x14ac:dyDescent="0.3">
      <c r="A43" s="1">
        <v>41340</v>
      </c>
      <c r="B43" s="1">
        <v>41345</v>
      </c>
      <c r="C43" t="s">
        <v>7</v>
      </c>
      <c r="D43" t="s">
        <v>107</v>
      </c>
      <c r="E43" t="s">
        <v>108</v>
      </c>
      <c r="F43" t="s">
        <v>56</v>
      </c>
      <c r="G43" t="s">
        <v>12</v>
      </c>
      <c r="H43" t="s">
        <v>70</v>
      </c>
      <c r="I43" t="s">
        <v>112</v>
      </c>
      <c r="J43" s="2">
        <v>481.56800000000004</v>
      </c>
      <c r="K43">
        <v>2</v>
      </c>
      <c r="L43" s="4"/>
    </row>
    <row r="44" spans="1:12" x14ac:dyDescent="0.3">
      <c r="A44" s="1">
        <v>41343</v>
      </c>
      <c r="B44" s="1">
        <v>41350</v>
      </c>
      <c r="C44" t="s">
        <v>7</v>
      </c>
      <c r="D44" t="s">
        <v>113</v>
      </c>
      <c r="E44" t="s">
        <v>114</v>
      </c>
      <c r="F44" t="s">
        <v>115</v>
      </c>
      <c r="G44" t="s">
        <v>4</v>
      </c>
      <c r="H44" t="s">
        <v>10</v>
      </c>
      <c r="I44" t="s">
        <v>11</v>
      </c>
      <c r="J44" s="2">
        <v>636.40800000000013</v>
      </c>
      <c r="K44">
        <v>3</v>
      </c>
      <c r="L44" s="4"/>
    </row>
    <row r="45" spans="1:12" x14ac:dyDescent="0.3">
      <c r="A45" s="1">
        <v>41343</v>
      </c>
      <c r="B45" s="1">
        <v>41350</v>
      </c>
      <c r="C45" t="s">
        <v>7</v>
      </c>
      <c r="D45" t="s">
        <v>113</v>
      </c>
      <c r="E45" t="s">
        <v>114</v>
      </c>
      <c r="F45" t="s">
        <v>115</v>
      </c>
      <c r="G45" t="s">
        <v>4</v>
      </c>
      <c r="H45" t="s">
        <v>15</v>
      </c>
      <c r="I45" t="s">
        <v>116</v>
      </c>
      <c r="J45" s="2">
        <v>83.168000000000006</v>
      </c>
      <c r="K45">
        <v>4</v>
      </c>
      <c r="L45" s="4"/>
    </row>
    <row r="46" spans="1:12" x14ac:dyDescent="0.3">
      <c r="A46" s="1">
        <v>41344</v>
      </c>
      <c r="B46" s="1">
        <v>41348</v>
      </c>
      <c r="C46" t="s">
        <v>7</v>
      </c>
      <c r="D46" t="s">
        <v>117</v>
      </c>
      <c r="E46" t="s">
        <v>118</v>
      </c>
      <c r="F46" t="s">
        <v>3</v>
      </c>
      <c r="G46" t="s">
        <v>4</v>
      </c>
      <c r="H46" t="s">
        <v>15</v>
      </c>
      <c r="I46" t="s">
        <v>119</v>
      </c>
      <c r="J46" s="2">
        <v>7.98</v>
      </c>
      <c r="K46">
        <v>3</v>
      </c>
      <c r="L46" s="4"/>
    </row>
    <row r="47" spans="1:12" x14ac:dyDescent="0.3">
      <c r="A47" s="1">
        <v>41347</v>
      </c>
      <c r="B47" s="1">
        <v>41351</v>
      </c>
      <c r="C47" t="s">
        <v>7</v>
      </c>
      <c r="D47" t="s">
        <v>120</v>
      </c>
      <c r="E47" t="s">
        <v>121</v>
      </c>
      <c r="F47" t="s">
        <v>3</v>
      </c>
      <c r="G47" t="s">
        <v>4</v>
      </c>
      <c r="H47" t="s">
        <v>5</v>
      </c>
      <c r="I47" t="s">
        <v>122</v>
      </c>
      <c r="J47" s="2">
        <v>10.56</v>
      </c>
      <c r="K47">
        <v>2</v>
      </c>
      <c r="L47" s="4"/>
    </row>
    <row r="48" spans="1:12" x14ac:dyDescent="0.3">
      <c r="A48" s="1">
        <v>41347</v>
      </c>
      <c r="B48" s="1">
        <v>41351</v>
      </c>
      <c r="C48" t="s">
        <v>7</v>
      </c>
      <c r="D48" t="s">
        <v>120</v>
      </c>
      <c r="E48" t="s">
        <v>121</v>
      </c>
      <c r="F48" t="s">
        <v>3</v>
      </c>
      <c r="G48" t="s">
        <v>4</v>
      </c>
      <c r="H48" t="s">
        <v>15</v>
      </c>
      <c r="I48" t="s">
        <v>123</v>
      </c>
      <c r="J48" s="2">
        <v>3.38</v>
      </c>
      <c r="K48">
        <v>1</v>
      </c>
      <c r="L48" s="4"/>
    </row>
    <row r="49" spans="1:12" x14ac:dyDescent="0.3">
      <c r="A49" s="1">
        <v>41347</v>
      </c>
      <c r="B49" s="1">
        <v>41352</v>
      </c>
      <c r="C49" t="s">
        <v>7</v>
      </c>
      <c r="D49" t="s">
        <v>124</v>
      </c>
      <c r="E49" t="s">
        <v>125</v>
      </c>
      <c r="F49" t="s">
        <v>126</v>
      </c>
      <c r="G49" t="s">
        <v>4</v>
      </c>
      <c r="H49" t="s">
        <v>26</v>
      </c>
      <c r="I49" t="s">
        <v>127</v>
      </c>
      <c r="J49" s="2">
        <v>33.088000000000001</v>
      </c>
      <c r="K49">
        <v>4</v>
      </c>
      <c r="L49" s="4"/>
    </row>
    <row r="50" spans="1:12" x14ac:dyDescent="0.3">
      <c r="A50" s="1">
        <v>41347</v>
      </c>
      <c r="B50" s="1">
        <v>41352</v>
      </c>
      <c r="C50" t="s">
        <v>7</v>
      </c>
      <c r="D50" t="s">
        <v>124</v>
      </c>
      <c r="E50" t="s">
        <v>125</v>
      </c>
      <c r="F50" t="s">
        <v>126</v>
      </c>
      <c r="G50" t="s">
        <v>4</v>
      </c>
      <c r="H50" t="s">
        <v>10</v>
      </c>
      <c r="I50" t="s">
        <v>128</v>
      </c>
      <c r="J50" s="2">
        <v>80.98</v>
      </c>
      <c r="K50">
        <v>1</v>
      </c>
      <c r="L50" s="4"/>
    </row>
    <row r="51" spans="1:12" x14ac:dyDescent="0.3">
      <c r="A51" s="1">
        <v>41347</v>
      </c>
      <c r="B51" s="1">
        <v>41352</v>
      </c>
      <c r="C51" t="s">
        <v>7</v>
      </c>
      <c r="D51" t="s">
        <v>124</v>
      </c>
      <c r="E51" t="s">
        <v>125</v>
      </c>
      <c r="F51" t="s">
        <v>126</v>
      </c>
      <c r="G51" t="s">
        <v>74</v>
      </c>
      <c r="H51" t="s">
        <v>75</v>
      </c>
      <c r="I51" t="s">
        <v>129</v>
      </c>
      <c r="J51" s="2">
        <v>82.800000000000011</v>
      </c>
      <c r="K51">
        <v>12</v>
      </c>
      <c r="L51" s="4"/>
    </row>
    <row r="52" spans="1:12" x14ac:dyDescent="0.3">
      <c r="A52" s="1">
        <v>41347</v>
      </c>
      <c r="B52" s="1">
        <v>41352</v>
      </c>
      <c r="C52" t="s">
        <v>7</v>
      </c>
      <c r="D52" t="s">
        <v>124</v>
      </c>
      <c r="E52" t="s">
        <v>125</v>
      </c>
      <c r="F52" t="s">
        <v>126</v>
      </c>
      <c r="G52" t="s">
        <v>4</v>
      </c>
      <c r="H52" t="s">
        <v>10</v>
      </c>
      <c r="I52" t="s">
        <v>130</v>
      </c>
      <c r="J52" s="2">
        <v>21.36</v>
      </c>
      <c r="K52">
        <v>2</v>
      </c>
      <c r="L52" s="4"/>
    </row>
    <row r="53" spans="1:12" x14ac:dyDescent="0.3">
      <c r="A53" s="1">
        <v>41347</v>
      </c>
      <c r="B53" s="1">
        <v>41352</v>
      </c>
      <c r="C53" t="s">
        <v>7</v>
      </c>
      <c r="D53" t="s">
        <v>124</v>
      </c>
      <c r="E53" t="s">
        <v>125</v>
      </c>
      <c r="F53" t="s">
        <v>126</v>
      </c>
      <c r="G53" t="s">
        <v>4</v>
      </c>
      <c r="H53" t="s">
        <v>26</v>
      </c>
      <c r="I53" t="s">
        <v>131</v>
      </c>
      <c r="J53" s="2">
        <v>62.048000000000002</v>
      </c>
      <c r="K53">
        <v>2</v>
      </c>
      <c r="L53" s="4"/>
    </row>
    <row r="54" spans="1:12" x14ac:dyDescent="0.3">
      <c r="A54" s="1">
        <v>41351</v>
      </c>
      <c r="B54" s="1">
        <v>41354</v>
      </c>
      <c r="C54" t="s">
        <v>0</v>
      </c>
      <c r="D54" t="s">
        <v>132</v>
      </c>
      <c r="E54" t="s">
        <v>133</v>
      </c>
      <c r="F54" t="s">
        <v>3</v>
      </c>
      <c r="G54" t="s">
        <v>12</v>
      </c>
      <c r="H54" t="s">
        <v>13</v>
      </c>
      <c r="I54" t="s">
        <v>134</v>
      </c>
      <c r="J54" s="2">
        <v>1198.33</v>
      </c>
      <c r="K54">
        <v>10</v>
      </c>
      <c r="L54" s="4"/>
    </row>
    <row r="55" spans="1:12" x14ac:dyDescent="0.3">
      <c r="A55" s="1">
        <v>41351</v>
      </c>
      <c r="B55" s="1">
        <v>41357</v>
      </c>
      <c r="C55" t="s">
        <v>7</v>
      </c>
      <c r="D55" t="s">
        <v>135</v>
      </c>
      <c r="E55" t="s">
        <v>136</v>
      </c>
      <c r="F55" t="s">
        <v>3</v>
      </c>
      <c r="G55" t="s">
        <v>12</v>
      </c>
      <c r="H55" t="s">
        <v>35</v>
      </c>
      <c r="I55" t="s">
        <v>137</v>
      </c>
      <c r="J55" s="2">
        <v>111</v>
      </c>
      <c r="K55">
        <v>2</v>
      </c>
      <c r="L55" s="4"/>
    </row>
    <row r="56" spans="1:12" x14ac:dyDescent="0.3">
      <c r="A56" s="1">
        <v>41351</v>
      </c>
      <c r="B56" s="1">
        <v>41357</v>
      </c>
      <c r="C56" t="s">
        <v>7</v>
      </c>
      <c r="D56" t="s">
        <v>135</v>
      </c>
      <c r="E56" t="s">
        <v>136</v>
      </c>
      <c r="F56" t="s">
        <v>3</v>
      </c>
      <c r="G56" t="s">
        <v>74</v>
      </c>
      <c r="H56" t="s">
        <v>138</v>
      </c>
      <c r="I56" t="s">
        <v>139</v>
      </c>
      <c r="J56" s="2">
        <v>1279.9680000000001</v>
      </c>
      <c r="K56">
        <v>4</v>
      </c>
      <c r="L56" s="4"/>
    </row>
    <row r="57" spans="1:12" x14ac:dyDescent="0.3">
      <c r="A57" s="1">
        <v>41351</v>
      </c>
      <c r="B57" s="1">
        <v>41357</v>
      </c>
      <c r="C57" t="s">
        <v>7</v>
      </c>
      <c r="D57" t="s">
        <v>135</v>
      </c>
      <c r="E57" t="s">
        <v>136</v>
      </c>
      <c r="F57" t="s">
        <v>3</v>
      </c>
      <c r="G57" t="s">
        <v>4</v>
      </c>
      <c r="H57" t="s">
        <v>10</v>
      </c>
      <c r="I57" t="s">
        <v>11</v>
      </c>
      <c r="J57" s="2">
        <v>1856.19</v>
      </c>
      <c r="K57">
        <v>7</v>
      </c>
      <c r="L57" s="4"/>
    </row>
    <row r="58" spans="1:12" x14ac:dyDescent="0.3">
      <c r="A58" s="1">
        <v>41355</v>
      </c>
      <c r="B58" s="1">
        <v>41359</v>
      </c>
      <c r="C58" t="s">
        <v>7</v>
      </c>
      <c r="D58" t="s">
        <v>140</v>
      </c>
      <c r="E58" t="s">
        <v>141</v>
      </c>
      <c r="F58" t="s">
        <v>25</v>
      </c>
      <c r="G58" t="s">
        <v>4</v>
      </c>
      <c r="H58" t="s">
        <v>5</v>
      </c>
      <c r="I58" t="s">
        <v>142</v>
      </c>
      <c r="J58" s="2">
        <v>74.352000000000004</v>
      </c>
      <c r="K58">
        <v>3</v>
      </c>
      <c r="L58" s="4"/>
    </row>
    <row r="59" spans="1:12" x14ac:dyDescent="0.3">
      <c r="A59" s="1">
        <v>41355</v>
      </c>
      <c r="B59" s="1">
        <v>41359</v>
      </c>
      <c r="C59" t="s">
        <v>7</v>
      </c>
      <c r="D59" t="s">
        <v>140</v>
      </c>
      <c r="E59" t="s">
        <v>141</v>
      </c>
      <c r="F59" t="s">
        <v>25</v>
      </c>
      <c r="G59" t="s">
        <v>12</v>
      </c>
      <c r="H59" t="s">
        <v>70</v>
      </c>
      <c r="I59" t="s">
        <v>143</v>
      </c>
      <c r="J59" s="2">
        <v>314.35199999999998</v>
      </c>
      <c r="K59">
        <v>3</v>
      </c>
      <c r="L59" s="4"/>
    </row>
    <row r="60" spans="1:12" x14ac:dyDescent="0.3">
      <c r="A60" s="1">
        <v>41356</v>
      </c>
      <c r="B60" s="1">
        <v>41359</v>
      </c>
      <c r="C60" t="s">
        <v>0</v>
      </c>
      <c r="D60" t="s">
        <v>144</v>
      </c>
      <c r="E60" t="s">
        <v>145</v>
      </c>
      <c r="F60" t="s">
        <v>3</v>
      </c>
      <c r="G60" t="s">
        <v>4</v>
      </c>
      <c r="H60" t="s">
        <v>10</v>
      </c>
      <c r="I60" t="s">
        <v>146</v>
      </c>
      <c r="J60" s="2">
        <v>330.4</v>
      </c>
      <c r="K60">
        <v>2</v>
      </c>
      <c r="L60" s="4"/>
    </row>
    <row r="61" spans="1:12" x14ac:dyDescent="0.3">
      <c r="A61" s="1">
        <v>41356</v>
      </c>
      <c r="B61" s="1">
        <v>41359</v>
      </c>
      <c r="C61" t="s">
        <v>0</v>
      </c>
      <c r="D61" t="s">
        <v>144</v>
      </c>
      <c r="E61" t="s">
        <v>145</v>
      </c>
      <c r="F61" t="s">
        <v>3</v>
      </c>
      <c r="G61" t="s">
        <v>74</v>
      </c>
      <c r="H61" t="s">
        <v>147</v>
      </c>
      <c r="I61" t="s">
        <v>148</v>
      </c>
      <c r="J61" s="2">
        <v>604.75199999999995</v>
      </c>
      <c r="K61">
        <v>6</v>
      </c>
      <c r="L61" s="4"/>
    </row>
    <row r="62" spans="1:12" x14ac:dyDescent="0.3">
      <c r="A62" s="1">
        <v>41357</v>
      </c>
      <c r="B62" s="1">
        <v>41362</v>
      </c>
      <c r="C62" t="s">
        <v>0</v>
      </c>
      <c r="D62" t="s">
        <v>149</v>
      </c>
      <c r="E62" t="s">
        <v>150</v>
      </c>
      <c r="F62" t="s">
        <v>3</v>
      </c>
      <c r="G62" t="s">
        <v>12</v>
      </c>
      <c r="H62" t="s">
        <v>35</v>
      </c>
      <c r="I62" t="s">
        <v>151</v>
      </c>
      <c r="J62" s="2">
        <v>40.479999999999997</v>
      </c>
      <c r="K62">
        <v>2</v>
      </c>
      <c r="L62" s="4"/>
    </row>
    <row r="63" spans="1:12" x14ac:dyDescent="0.3">
      <c r="A63" s="1">
        <v>41358</v>
      </c>
      <c r="B63" s="1">
        <v>41363</v>
      </c>
      <c r="C63" t="s">
        <v>7</v>
      </c>
      <c r="D63" t="s">
        <v>152</v>
      </c>
      <c r="E63" t="s">
        <v>153</v>
      </c>
      <c r="F63" t="s">
        <v>3</v>
      </c>
      <c r="G63" t="s">
        <v>4</v>
      </c>
      <c r="H63" t="s">
        <v>15</v>
      </c>
      <c r="I63" t="s">
        <v>154</v>
      </c>
      <c r="J63" s="2">
        <v>6.56</v>
      </c>
      <c r="K63">
        <v>2</v>
      </c>
      <c r="L63" s="4"/>
    </row>
    <row r="64" spans="1:12" x14ac:dyDescent="0.3">
      <c r="A64" s="1">
        <v>41358</v>
      </c>
      <c r="B64" s="1">
        <v>41363</v>
      </c>
      <c r="C64" t="s">
        <v>7</v>
      </c>
      <c r="D64" t="s">
        <v>152</v>
      </c>
      <c r="E64" t="s">
        <v>153</v>
      </c>
      <c r="F64" t="s">
        <v>3</v>
      </c>
      <c r="G64" t="s">
        <v>4</v>
      </c>
      <c r="H64" t="s">
        <v>15</v>
      </c>
      <c r="I64" t="s">
        <v>155</v>
      </c>
      <c r="J64" s="2">
        <v>14.88</v>
      </c>
      <c r="K64">
        <v>2</v>
      </c>
      <c r="L64" s="4"/>
    </row>
    <row r="65" spans="1:12" x14ac:dyDescent="0.3">
      <c r="A65" s="1">
        <v>41358</v>
      </c>
      <c r="B65" s="1">
        <v>41363</v>
      </c>
      <c r="C65" t="s">
        <v>7</v>
      </c>
      <c r="D65" t="s">
        <v>152</v>
      </c>
      <c r="E65" t="s">
        <v>153</v>
      </c>
      <c r="F65" t="s">
        <v>3</v>
      </c>
      <c r="G65" t="s">
        <v>74</v>
      </c>
      <c r="H65" t="s">
        <v>75</v>
      </c>
      <c r="I65" t="s">
        <v>156</v>
      </c>
      <c r="J65" s="2">
        <v>45.48</v>
      </c>
      <c r="K65">
        <v>4</v>
      </c>
      <c r="L65" s="4"/>
    </row>
    <row r="66" spans="1:12" x14ac:dyDescent="0.3">
      <c r="A66" s="1">
        <v>41358</v>
      </c>
      <c r="B66" s="1">
        <v>41363</v>
      </c>
      <c r="C66" t="s">
        <v>7</v>
      </c>
      <c r="D66" t="s">
        <v>152</v>
      </c>
      <c r="E66" t="s">
        <v>153</v>
      </c>
      <c r="F66" t="s">
        <v>3</v>
      </c>
      <c r="G66" t="s">
        <v>4</v>
      </c>
      <c r="H66" t="s">
        <v>15</v>
      </c>
      <c r="I66" t="s">
        <v>157</v>
      </c>
      <c r="J66" s="2">
        <v>25.44</v>
      </c>
      <c r="K66">
        <v>6</v>
      </c>
      <c r="L66" s="4"/>
    </row>
    <row r="67" spans="1:12" x14ac:dyDescent="0.3">
      <c r="A67" s="1">
        <v>41359</v>
      </c>
      <c r="B67" s="1">
        <v>41363</v>
      </c>
      <c r="C67" t="s">
        <v>7</v>
      </c>
      <c r="D67" t="s">
        <v>158</v>
      </c>
      <c r="E67" t="s">
        <v>159</v>
      </c>
      <c r="F67" t="s">
        <v>3</v>
      </c>
      <c r="G67" t="s">
        <v>74</v>
      </c>
      <c r="H67" t="s">
        <v>75</v>
      </c>
      <c r="I67" t="s">
        <v>160</v>
      </c>
      <c r="J67" s="2">
        <v>66.300000000000011</v>
      </c>
      <c r="K67">
        <v>3</v>
      </c>
      <c r="L67" s="4"/>
    </row>
    <row r="68" spans="1:12" x14ac:dyDescent="0.3">
      <c r="A68" s="1">
        <v>41359</v>
      </c>
      <c r="B68" s="1">
        <v>41364</v>
      </c>
      <c r="C68" t="s">
        <v>0</v>
      </c>
      <c r="D68" t="s">
        <v>161</v>
      </c>
      <c r="E68" t="s">
        <v>162</v>
      </c>
      <c r="F68" t="s">
        <v>3</v>
      </c>
      <c r="G68" t="s">
        <v>4</v>
      </c>
      <c r="H68" t="s">
        <v>15</v>
      </c>
      <c r="I68" t="s">
        <v>163</v>
      </c>
      <c r="J68" s="2">
        <v>3.36</v>
      </c>
      <c r="K68">
        <v>2</v>
      </c>
      <c r="L68" s="4"/>
    </row>
    <row r="69" spans="1:12" x14ac:dyDescent="0.3">
      <c r="A69" s="1">
        <v>41359</v>
      </c>
      <c r="B69" s="1">
        <v>41364</v>
      </c>
      <c r="C69" t="s">
        <v>0</v>
      </c>
      <c r="D69" t="s">
        <v>161</v>
      </c>
      <c r="E69" t="s">
        <v>162</v>
      </c>
      <c r="F69" t="s">
        <v>3</v>
      </c>
      <c r="G69" t="s">
        <v>4</v>
      </c>
      <c r="H69" t="s">
        <v>26</v>
      </c>
      <c r="I69" t="s">
        <v>164</v>
      </c>
      <c r="J69" s="2">
        <v>27.936000000000003</v>
      </c>
      <c r="K69">
        <v>4</v>
      </c>
      <c r="L69" s="4"/>
    </row>
    <row r="70" spans="1:12" x14ac:dyDescent="0.3">
      <c r="A70" s="1">
        <v>41359</v>
      </c>
      <c r="B70" s="1">
        <v>41364</v>
      </c>
      <c r="C70" t="s">
        <v>0</v>
      </c>
      <c r="D70" t="s">
        <v>161</v>
      </c>
      <c r="E70" t="s">
        <v>162</v>
      </c>
      <c r="F70" t="s">
        <v>3</v>
      </c>
      <c r="G70" t="s">
        <v>74</v>
      </c>
      <c r="H70" t="s">
        <v>147</v>
      </c>
      <c r="I70" t="s">
        <v>165</v>
      </c>
      <c r="J70" s="2">
        <v>28.783999999999999</v>
      </c>
      <c r="K70">
        <v>2</v>
      </c>
      <c r="L70" s="4"/>
    </row>
    <row r="71" spans="1:12" x14ac:dyDescent="0.3">
      <c r="A71" s="1">
        <v>41359</v>
      </c>
      <c r="B71" s="1">
        <v>41363</v>
      </c>
      <c r="C71" t="s">
        <v>0</v>
      </c>
      <c r="D71" t="s">
        <v>166</v>
      </c>
      <c r="E71" t="s">
        <v>167</v>
      </c>
      <c r="F71" t="s">
        <v>3</v>
      </c>
      <c r="G71" t="s">
        <v>4</v>
      </c>
      <c r="H71" t="s">
        <v>168</v>
      </c>
      <c r="I71" t="s">
        <v>169</v>
      </c>
      <c r="J71" s="2">
        <v>18.75</v>
      </c>
      <c r="K71">
        <v>5</v>
      </c>
      <c r="L71" s="4"/>
    </row>
    <row r="72" spans="1:12" x14ac:dyDescent="0.3">
      <c r="A72" s="1">
        <v>41361</v>
      </c>
      <c r="B72" s="1">
        <v>41365</v>
      </c>
      <c r="C72" t="s">
        <v>7</v>
      </c>
      <c r="D72" t="s">
        <v>170</v>
      </c>
      <c r="E72" t="s">
        <v>171</v>
      </c>
      <c r="F72" t="s">
        <v>172</v>
      </c>
      <c r="G72" t="s">
        <v>74</v>
      </c>
      <c r="H72" t="s">
        <v>147</v>
      </c>
      <c r="I72" t="s">
        <v>173</v>
      </c>
      <c r="J72" s="2">
        <v>302.37599999999998</v>
      </c>
      <c r="K72">
        <v>3</v>
      </c>
      <c r="L72" s="4"/>
    </row>
    <row r="73" spans="1:12" x14ac:dyDescent="0.3">
      <c r="A73" s="1">
        <v>41363</v>
      </c>
      <c r="B73" s="1">
        <v>41368</v>
      </c>
      <c r="C73" t="s">
        <v>7</v>
      </c>
      <c r="D73" t="s">
        <v>174</v>
      </c>
      <c r="E73" t="s">
        <v>175</v>
      </c>
      <c r="F73" t="s">
        <v>56</v>
      </c>
      <c r="G73" t="s">
        <v>4</v>
      </c>
      <c r="H73" t="s">
        <v>10</v>
      </c>
      <c r="I73" t="s">
        <v>176</v>
      </c>
      <c r="J73" s="2">
        <v>15.84</v>
      </c>
      <c r="K73">
        <v>3</v>
      </c>
      <c r="L73" s="4"/>
    </row>
    <row r="74" spans="1:12" x14ac:dyDescent="0.3">
      <c r="A74" s="1">
        <v>41363</v>
      </c>
      <c r="B74" s="1">
        <v>41368</v>
      </c>
      <c r="C74" t="s">
        <v>7</v>
      </c>
      <c r="D74" t="s">
        <v>174</v>
      </c>
      <c r="E74" t="s">
        <v>175</v>
      </c>
      <c r="F74" t="s">
        <v>56</v>
      </c>
      <c r="G74" t="s">
        <v>4</v>
      </c>
      <c r="H74" t="s">
        <v>168</v>
      </c>
      <c r="I74" t="s">
        <v>177</v>
      </c>
      <c r="J74" s="2">
        <v>44.400000000000006</v>
      </c>
      <c r="K74">
        <v>3</v>
      </c>
      <c r="L74" s="4"/>
    </row>
    <row r="75" spans="1:12" x14ac:dyDescent="0.3">
      <c r="A75" s="1">
        <v>41363</v>
      </c>
      <c r="B75" s="1">
        <v>41368</v>
      </c>
      <c r="C75" t="s">
        <v>7</v>
      </c>
      <c r="D75" t="s">
        <v>178</v>
      </c>
      <c r="E75" t="s">
        <v>179</v>
      </c>
      <c r="F75" t="s">
        <v>3</v>
      </c>
      <c r="G75" t="s">
        <v>12</v>
      </c>
      <c r="H75" t="s">
        <v>13</v>
      </c>
      <c r="I75" t="s">
        <v>180</v>
      </c>
      <c r="J75" s="2">
        <v>205.666</v>
      </c>
      <c r="K75">
        <v>2</v>
      </c>
      <c r="L75" s="4"/>
    </row>
    <row r="76" spans="1:12" x14ac:dyDescent="0.3">
      <c r="A76" s="1">
        <v>41364</v>
      </c>
      <c r="B76" s="1">
        <v>41369</v>
      </c>
      <c r="C76" t="s">
        <v>7</v>
      </c>
      <c r="D76" t="s">
        <v>181</v>
      </c>
      <c r="E76" t="s">
        <v>182</v>
      </c>
      <c r="F76" t="s">
        <v>3</v>
      </c>
      <c r="G76" t="s">
        <v>4</v>
      </c>
      <c r="H76" t="s">
        <v>26</v>
      </c>
      <c r="I76" t="s">
        <v>183</v>
      </c>
      <c r="J76" s="2">
        <v>673.5680000000001</v>
      </c>
      <c r="K76">
        <v>2</v>
      </c>
      <c r="L76" s="4"/>
    </row>
    <row r="77" spans="1:12" x14ac:dyDescent="0.3">
      <c r="A77" s="1">
        <v>41364</v>
      </c>
      <c r="B77" s="1">
        <v>41369</v>
      </c>
      <c r="C77" t="s">
        <v>7</v>
      </c>
      <c r="D77" t="s">
        <v>181</v>
      </c>
      <c r="E77" t="s">
        <v>182</v>
      </c>
      <c r="F77" t="s">
        <v>3</v>
      </c>
      <c r="G77" t="s">
        <v>4</v>
      </c>
      <c r="H77" t="s">
        <v>20</v>
      </c>
      <c r="I77" t="s">
        <v>184</v>
      </c>
      <c r="J77" s="2">
        <v>52.98</v>
      </c>
      <c r="K77">
        <v>2</v>
      </c>
      <c r="L77" s="4"/>
    </row>
    <row r="78" spans="1:12" x14ac:dyDescent="0.3">
      <c r="A78" s="1">
        <v>41365</v>
      </c>
      <c r="B78" s="1">
        <v>41370</v>
      </c>
      <c r="C78" t="s">
        <v>0</v>
      </c>
      <c r="D78" t="s">
        <v>185</v>
      </c>
      <c r="E78" t="s">
        <v>186</v>
      </c>
      <c r="F78" t="s">
        <v>3</v>
      </c>
      <c r="G78" t="s">
        <v>4</v>
      </c>
      <c r="H78" t="s">
        <v>168</v>
      </c>
      <c r="I78" t="s">
        <v>177</v>
      </c>
      <c r="J78" s="2">
        <v>29.6</v>
      </c>
      <c r="K78">
        <v>2</v>
      </c>
      <c r="L78" s="4"/>
    </row>
    <row r="79" spans="1:12" x14ac:dyDescent="0.3">
      <c r="A79" s="1">
        <v>41365</v>
      </c>
      <c r="B79" s="1">
        <v>41370</v>
      </c>
      <c r="C79" t="s">
        <v>0</v>
      </c>
      <c r="D79" t="s">
        <v>185</v>
      </c>
      <c r="E79" t="s">
        <v>186</v>
      </c>
      <c r="F79" t="s">
        <v>3</v>
      </c>
      <c r="G79" t="s">
        <v>4</v>
      </c>
      <c r="H79" t="s">
        <v>26</v>
      </c>
      <c r="I79" t="s">
        <v>187</v>
      </c>
      <c r="J79" s="2">
        <v>17.088000000000001</v>
      </c>
      <c r="K79">
        <v>4</v>
      </c>
      <c r="L79" s="4"/>
    </row>
    <row r="80" spans="1:12" x14ac:dyDescent="0.3">
      <c r="A80" s="1">
        <v>41367</v>
      </c>
      <c r="B80" s="1">
        <v>41372</v>
      </c>
      <c r="C80" t="s">
        <v>7</v>
      </c>
      <c r="D80" t="s">
        <v>188</v>
      </c>
      <c r="E80" t="s">
        <v>189</v>
      </c>
      <c r="F80" t="s">
        <v>3</v>
      </c>
      <c r="G80" t="s">
        <v>4</v>
      </c>
      <c r="H80" t="s">
        <v>29</v>
      </c>
      <c r="I80" t="s">
        <v>190</v>
      </c>
      <c r="J80" s="2">
        <v>11.16</v>
      </c>
      <c r="K80">
        <v>2</v>
      </c>
      <c r="L80" s="4"/>
    </row>
    <row r="81" spans="1:12" x14ac:dyDescent="0.3">
      <c r="A81" s="1">
        <v>41367</v>
      </c>
      <c r="B81" s="1">
        <v>41372</v>
      </c>
      <c r="C81" t="s">
        <v>7</v>
      </c>
      <c r="D81" t="s">
        <v>188</v>
      </c>
      <c r="E81" t="s">
        <v>189</v>
      </c>
      <c r="F81" t="s">
        <v>3</v>
      </c>
      <c r="G81" t="s">
        <v>74</v>
      </c>
      <c r="H81" t="s">
        <v>75</v>
      </c>
      <c r="I81" t="s">
        <v>191</v>
      </c>
      <c r="J81" s="2">
        <v>62.31</v>
      </c>
      <c r="K81">
        <v>3</v>
      </c>
      <c r="L81" s="4"/>
    </row>
    <row r="82" spans="1:12" x14ac:dyDescent="0.3">
      <c r="A82" s="1">
        <v>41367</v>
      </c>
      <c r="B82" s="1">
        <v>41372</v>
      </c>
      <c r="C82" t="s">
        <v>7</v>
      </c>
      <c r="D82" t="s">
        <v>188</v>
      </c>
      <c r="E82" t="s">
        <v>189</v>
      </c>
      <c r="F82" t="s">
        <v>3</v>
      </c>
      <c r="G82" t="s">
        <v>74</v>
      </c>
      <c r="H82" t="s">
        <v>75</v>
      </c>
      <c r="I82" t="s">
        <v>76</v>
      </c>
      <c r="J82" s="2">
        <v>159.97999999999999</v>
      </c>
      <c r="K82">
        <v>2</v>
      </c>
      <c r="L82" s="4"/>
    </row>
    <row r="83" spans="1:12" x14ac:dyDescent="0.3">
      <c r="A83" s="1">
        <v>41368</v>
      </c>
      <c r="B83" s="1">
        <v>41373</v>
      </c>
      <c r="C83" t="s">
        <v>7</v>
      </c>
      <c r="D83" t="s">
        <v>192</v>
      </c>
      <c r="E83" t="s">
        <v>193</v>
      </c>
      <c r="F83" t="s">
        <v>3</v>
      </c>
      <c r="G83" t="s">
        <v>4</v>
      </c>
      <c r="H83" t="s">
        <v>168</v>
      </c>
      <c r="I83" t="s">
        <v>194</v>
      </c>
      <c r="J83" s="2">
        <v>18.899999999999999</v>
      </c>
      <c r="K83">
        <v>6</v>
      </c>
      <c r="L83" s="4"/>
    </row>
    <row r="84" spans="1:12" x14ac:dyDescent="0.3">
      <c r="A84" s="1">
        <v>41368</v>
      </c>
      <c r="B84" s="1">
        <v>41369</v>
      </c>
      <c r="C84" t="s">
        <v>22</v>
      </c>
      <c r="D84" t="s">
        <v>195</v>
      </c>
      <c r="E84" t="s">
        <v>196</v>
      </c>
      <c r="F84" t="s">
        <v>3</v>
      </c>
      <c r="G84" t="s">
        <v>4</v>
      </c>
      <c r="H84" t="s">
        <v>26</v>
      </c>
      <c r="I84" t="s">
        <v>197</v>
      </c>
      <c r="J84" s="2">
        <v>7.1840000000000011</v>
      </c>
      <c r="K84">
        <v>2</v>
      </c>
      <c r="L84" s="4"/>
    </row>
    <row r="85" spans="1:12" x14ac:dyDescent="0.3">
      <c r="A85" s="1">
        <v>41370</v>
      </c>
      <c r="B85" s="1">
        <v>41376</v>
      </c>
      <c r="C85" t="s">
        <v>7</v>
      </c>
      <c r="D85" t="s">
        <v>198</v>
      </c>
      <c r="E85" t="s">
        <v>199</v>
      </c>
      <c r="F85" t="s">
        <v>56</v>
      </c>
      <c r="G85" t="s">
        <v>12</v>
      </c>
      <c r="H85" t="s">
        <v>44</v>
      </c>
      <c r="I85" t="s">
        <v>200</v>
      </c>
      <c r="J85" s="2">
        <v>653.54999999999995</v>
      </c>
      <c r="K85">
        <v>3</v>
      </c>
      <c r="L85" s="4"/>
    </row>
    <row r="86" spans="1:12" x14ac:dyDescent="0.3">
      <c r="A86" s="1">
        <v>41370</v>
      </c>
      <c r="B86" s="1">
        <v>41376</v>
      </c>
      <c r="C86" t="s">
        <v>7</v>
      </c>
      <c r="D86" t="s">
        <v>198</v>
      </c>
      <c r="E86" t="s">
        <v>199</v>
      </c>
      <c r="F86" t="s">
        <v>56</v>
      </c>
      <c r="G86" t="s">
        <v>74</v>
      </c>
      <c r="H86" t="s">
        <v>75</v>
      </c>
      <c r="I86" t="s">
        <v>201</v>
      </c>
      <c r="J86" s="2">
        <v>33.9</v>
      </c>
      <c r="K86">
        <v>2</v>
      </c>
      <c r="L86" s="4"/>
    </row>
    <row r="87" spans="1:12" x14ac:dyDescent="0.3">
      <c r="A87" s="1">
        <v>41370</v>
      </c>
      <c r="B87" s="1">
        <v>41376</v>
      </c>
      <c r="C87" t="s">
        <v>7</v>
      </c>
      <c r="D87" t="s">
        <v>202</v>
      </c>
      <c r="E87" t="s">
        <v>203</v>
      </c>
      <c r="F87" t="s">
        <v>3</v>
      </c>
      <c r="G87" t="s">
        <v>12</v>
      </c>
      <c r="H87" t="s">
        <v>35</v>
      </c>
      <c r="I87" t="s">
        <v>204</v>
      </c>
      <c r="J87" s="2">
        <v>91.96</v>
      </c>
      <c r="K87">
        <v>2</v>
      </c>
      <c r="L87" s="4"/>
    </row>
    <row r="88" spans="1:12" x14ac:dyDescent="0.3">
      <c r="A88" s="1">
        <v>41370</v>
      </c>
      <c r="B88" s="1">
        <v>41376</v>
      </c>
      <c r="C88" t="s">
        <v>7</v>
      </c>
      <c r="D88" t="s">
        <v>202</v>
      </c>
      <c r="E88" t="s">
        <v>203</v>
      </c>
      <c r="F88" t="s">
        <v>3</v>
      </c>
      <c r="G88" t="s">
        <v>12</v>
      </c>
      <c r="H88" t="s">
        <v>35</v>
      </c>
      <c r="I88" t="s">
        <v>205</v>
      </c>
      <c r="J88" s="2">
        <v>33.11</v>
      </c>
      <c r="K88">
        <v>7</v>
      </c>
      <c r="L88" s="4"/>
    </row>
    <row r="89" spans="1:12" x14ac:dyDescent="0.3">
      <c r="A89" s="1">
        <v>41370</v>
      </c>
      <c r="B89" s="1">
        <v>41376</v>
      </c>
      <c r="C89" t="s">
        <v>7</v>
      </c>
      <c r="D89" t="s">
        <v>202</v>
      </c>
      <c r="E89" t="s">
        <v>203</v>
      </c>
      <c r="F89" t="s">
        <v>3</v>
      </c>
      <c r="G89" t="s">
        <v>4</v>
      </c>
      <c r="H89" t="s">
        <v>5</v>
      </c>
      <c r="I89" t="s">
        <v>206</v>
      </c>
      <c r="J89" s="2">
        <v>19.440000000000001</v>
      </c>
      <c r="K89">
        <v>3</v>
      </c>
      <c r="L89" s="4"/>
    </row>
    <row r="90" spans="1:12" x14ac:dyDescent="0.3">
      <c r="A90" s="1">
        <v>41370</v>
      </c>
      <c r="B90" s="1">
        <v>41376</v>
      </c>
      <c r="C90" t="s">
        <v>7</v>
      </c>
      <c r="D90" t="s">
        <v>202</v>
      </c>
      <c r="E90" t="s">
        <v>203</v>
      </c>
      <c r="F90" t="s">
        <v>3</v>
      </c>
      <c r="G90" t="s">
        <v>4</v>
      </c>
      <c r="H90" t="s">
        <v>5</v>
      </c>
      <c r="I90" t="s">
        <v>207</v>
      </c>
      <c r="J90" s="2">
        <v>55.48</v>
      </c>
      <c r="K90">
        <v>1</v>
      </c>
      <c r="L90" s="4"/>
    </row>
    <row r="91" spans="1:12" x14ac:dyDescent="0.3">
      <c r="A91" s="1">
        <v>41370</v>
      </c>
      <c r="B91" s="1">
        <v>41374</v>
      </c>
      <c r="C91" t="s">
        <v>0</v>
      </c>
      <c r="D91" t="s">
        <v>208</v>
      </c>
      <c r="E91" t="s">
        <v>209</v>
      </c>
      <c r="F91" t="s">
        <v>3</v>
      </c>
      <c r="G91" t="s">
        <v>4</v>
      </c>
      <c r="H91" t="s">
        <v>15</v>
      </c>
      <c r="I91" t="s">
        <v>210</v>
      </c>
      <c r="J91" s="2">
        <v>70.949999999999989</v>
      </c>
      <c r="K91">
        <v>3</v>
      </c>
      <c r="L91" s="4"/>
    </row>
    <row r="92" spans="1:12" x14ac:dyDescent="0.3">
      <c r="A92" s="1">
        <v>41370</v>
      </c>
      <c r="B92" s="1">
        <v>41374</v>
      </c>
      <c r="C92" t="s">
        <v>0</v>
      </c>
      <c r="D92" t="s">
        <v>208</v>
      </c>
      <c r="E92" t="s">
        <v>209</v>
      </c>
      <c r="F92" t="s">
        <v>3</v>
      </c>
      <c r="G92" t="s">
        <v>4</v>
      </c>
      <c r="H92" t="s">
        <v>26</v>
      </c>
      <c r="I92" t="s">
        <v>211</v>
      </c>
      <c r="J92" s="2">
        <v>65.567999999999998</v>
      </c>
      <c r="K92">
        <v>2</v>
      </c>
      <c r="L92" s="4"/>
    </row>
    <row r="93" spans="1:12" x14ac:dyDescent="0.3">
      <c r="A93" s="1">
        <v>41370</v>
      </c>
      <c r="B93" s="1">
        <v>41374</v>
      </c>
      <c r="C93" t="s">
        <v>0</v>
      </c>
      <c r="D93" t="s">
        <v>208</v>
      </c>
      <c r="E93" t="s">
        <v>209</v>
      </c>
      <c r="F93" t="s">
        <v>3</v>
      </c>
      <c r="G93" t="s">
        <v>74</v>
      </c>
      <c r="H93" t="s">
        <v>75</v>
      </c>
      <c r="I93" t="s">
        <v>212</v>
      </c>
      <c r="J93" s="2">
        <v>299.96999999999997</v>
      </c>
      <c r="K93">
        <v>3</v>
      </c>
      <c r="L93" s="4"/>
    </row>
    <row r="94" spans="1:12" x14ac:dyDescent="0.3">
      <c r="A94" s="1">
        <v>41372</v>
      </c>
      <c r="B94" s="1">
        <v>41379</v>
      </c>
      <c r="C94" t="s">
        <v>7</v>
      </c>
      <c r="D94" t="s">
        <v>213</v>
      </c>
      <c r="E94" t="s">
        <v>214</v>
      </c>
      <c r="F94" t="s">
        <v>25</v>
      </c>
      <c r="G94" t="s">
        <v>4</v>
      </c>
      <c r="H94" t="s">
        <v>52</v>
      </c>
      <c r="I94" t="s">
        <v>215</v>
      </c>
      <c r="J94" s="2">
        <v>2.3679999999999999</v>
      </c>
      <c r="K94">
        <v>2</v>
      </c>
      <c r="L94" s="4"/>
    </row>
    <row r="95" spans="1:12" x14ac:dyDescent="0.3">
      <c r="A95" s="1">
        <v>41372</v>
      </c>
      <c r="B95" s="1">
        <v>41379</v>
      </c>
      <c r="C95" t="s">
        <v>7</v>
      </c>
      <c r="D95" t="s">
        <v>213</v>
      </c>
      <c r="E95" t="s">
        <v>214</v>
      </c>
      <c r="F95" t="s">
        <v>25</v>
      </c>
      <c r="G95" t="s">
        <v>4</v>
      </c>
      <c r="H95" t="s">
        <v>5</v>
      </c>
      <c r="I95" t="s">
        <v>216</v>
      </c>
      <c r="J95" s="2">
        <v>19.008000000000003</v>
      </c>
      <c r="K95">
        <v>3</v>
      </c>
      <c r="L95" s="4"/>
    </row>
    <row r="96" spans="1:12" x14ac:dyDescent="0.3">
      <c r="A96" s="1">
        <v>41372</v>
      </c>
      <c r="B96" s="1">
        <v>41377</v>
      </c>
      <c r="C96" t="s">
        <v>7</v>
      </c>
      <c r="D96" t="s">
        <v>217</v>
      </c>
      <c r="E96" t="s">
        <v>218</v>
      </c>
      <c r="F96" t="s">
        <v>25</v>
      </c>
      <c r="G96" t="s">
        <v>4</v>
      </c>
      <c r="H96" t="s">
        <v>52</v>
      </c>
      <c r="I96" t="s">
        <v>219</v>
      </c>
      <c r="J96" s="2">
        <v>49.792000000000002</v>
      </c>
      <c r="K96">
        <v>8</v>
      </c>
      <c r="L96" s="4"/>
    </row>
    <row r="97" spans="1:12" x14ac:dyDescent="0.3">
      <c r="A97" s="1">
        <v>41372</v>
      </c>
      <c r="B97" s="1">
        <v>41376</v>
      </c>
      <c r="C97" t="s">
        <v>7</v>
      </c>
      <c r="D97" t="s">
        <v>65</v>
      </c>
      <c r="E97" t="s">
        <v>66</v>
      </c>
      <c r="F97" t="s">
        <v>3</v>
      </c>
      <c r="G97" t="s">
        <v>12</v>
      </c>
      <c r="H97" t="s">
        <v>44</v>
      </c>
      <c r="I97" t="s">
        <v>220</v>
      </c>
      <c r="J97" s="2">
        <v>99.591999999999999</v>
      </c>
      <c r="K97">
        <v>1</v>
      </c>
      <c r="L97" s="4"/>
    </row>
    <row r="98" spans="1:12" x14ac:dyDescent="0.3">
      <c r="A98" s="1">
        <v>41372</v>
      </c>
      <c r="B98" s="1">
        <v>41376</v>
      </c>
      <c r="C98" t="s">
        <v>7</v>
      </c>
      <c r="D98" t="s">
        <v>65</v>
      </c>
      <c r="E98" t="s">
        <v>66</v>
      </c>
      <c r="F98" t="s">
        <v>3</v>
      </c>
      <c r="G98" t="s">
        <v>74</v>
      </c>
      <c r="H98" t="s">
        <v>75</v>
      </c>
      <c r="I98" t="s">
        <v>221</v>
      </c>
      <c r="J98" s="2">
        <v>399.96</v>
      </c>
      <c r="K98">
        <v>4</v>
      </c>
      <c r="L98" s="4"/>
    </row>
    <row r="99" spans="1:12" x14ac:dyDescent="0.3">
      <c r="A99" s="1">
        <v>41375</v>
      </c>
      <c r="B99" s="1">
        <v>41380</v>
      </c>
      <c r="C99" t="s">
        <v>7</v>
      </c>
      <c r="D99" t="s">
        <v>222</v>
      </c>
      <c r="E99" t="s">
        <v>223</v>
      </c>
      <c r="F99" t="s">
        <v>224</v>
      </c>
      <c r="G99" t="s">
        <v>4</v>
      </c>
      <c r="H99" t="s">
        <v>26</v>
      </c>
      <c r="I99" t="s">
        <v>225</v>
      </c>
      <c r="J99" s="2">
        <v>9.5840000000000014</v>
      </c>
      <c r="K99">
        <v>1</v>
      </c>
      <c r="L99" s="4"/>
    </row>
    <row r="100" spans="1:12" x14ac:dyDescent="0.3">
      <c r="A100" s="1">
        <v>41375</v>
      </c>
      <c r="B100" s="1">
        <v>41382</v>
      </c>
      <c r="C100" t="s">
        <v>7</v>
      </c>
      <c r="D100" t="s">
        <v>226</v>
      </c>
      <c r="E100" t="s">
        <v>227</v>
      </c>
      <c r="F100" t="s">
        <v>228</v>
      </c>
      <c r="G100" t="s">
        <v>4</v>
      </c>
      <c r="H100" t="s">
        <v>10</v>
      </c>
      <c r="I100" t="s">
        <v>229</v>
      </c>
      <c r="J100" s="2">
        <v>87.08</v>
      </c>
      <c r="K100">
        <v>7</v>
      </c>
      <c r="L100" s="4"/>
    </row>
    <row r="101" spans="1:12" x14ac:dyDescent="0.3">
      <c r="A101" s="1">
        <v>41375</v>
      </c>
      <c r="B101" s="1">
        <v>41382</v>
      </c>
      <c r="C101" t="s">
        <v>7</v>
      </c>
      <c r="D101" t="s">
        <v>226</v>
      </c>
      <c r="E101" t="s">
        <v>227</v>
      </c>
      <c r="F101" t="s">
        <v>228</v>
      </c>
      <c r="G101" t="s">
        <v>74</v>
      </c>
      <c r="H101" t="s">
        <v>147</v>
      </c>
      <c r="I101" t="s">
        <v>230</v>
      </c>
      <c r="J101" s="2">
        <v>105.584</v>
      </c>
      <c r="K101">
        <v>2</v>
      </c>
      <c r="L101" s="4"/>
    </row>
    <row r="102" spans="1:12" x14ac:dyDescent="0.3">
      <c r="A102" s="1">
        <v>41375</v>
      </c>
      <c r="B102" s="1">
        <v>41382</v>
      </c>
      <c r="C102" t="s">
        <v>7</v>
      </c>
      <c r="D102" t="s">
        <v>226</v>
      </c>
      <c r="E102" t="s">
        <v>227</v>
      </c>
      <c r="F102" t="s">
        <v>228</v>
      </c>
      <c r="G102" t="s">
        <v>74</v>
      </c>
      <c r="H102" t="s">
        <v>75</v>
      </c>
      <c r="I102" t="s">
        <v>231</v>
      </c>
      <c r="J102" s="2">
        <v>217.44</v>
      </c>
      <c r="K102">
        <v>6</v>
      </c>
      <c r="L102" s="4"/>
    </row>
    <row r="103" spans="1:12" x14ac:dyDescent="0.3">
      <c r="A103" s="1">
        <v>41376</v>
      </c>
      <c r="B103" s="1">
        <v>41381</v>
      </c>
      <c r="C103" t="s">
        <v>7</v>
      </c>
      <c r="D103" t="s">
        <v>232</v>
      </c>
      <c r="E103" t="s">
        <v>233</v>
      </c>
      <c r="F103" t="s">
        <v>3</v>
      </c>
      <c r="G103" t="s">
        <v>74</v>
      </c>
      <c r="H103" t="s">
        <v>147</v>
      </c>
      <c r="I103" t="s">
        <v>234</v>
      </c>
      <c r="J103" s="2">
        <v>1075.088</v>
      </c>
      <c r="K103">
        <v>14</v>
      </c>
      <c r="L103" s="4"/>
    </row>
    <row r="104" spans="1:12" x14ac:dyDescent="0.3">
      <c r="A104" s="1">
        <v>41376</v>
      </c>
      <c r="B104" s="1">
        <v>41381</v>
      </c>
      <c r="C104" t="s">
        <v>7</v>
      </c>
      <c r="D104" t="s">
        <v>232</v>
      </c>
      <c r="E104" t="s">
        <v>233</v>
      </c>
      <c r="F104" t="s">
        <v>3</v>
      </c>
      <c r="G104" t="s">
        <v>74</v>
      </c>
      <c r="H104" t="s">
        <v>147</v>
      </c>
      <c r="I104" t="s">
        <v>235</v>
      </c>
      <c r="J104" s="2">
        <v>438.36800000000005</v>
      </c>
      <c r="K104">
        <v>4</v>
      </c>
      <c r="L104" s="4"/>
    </row>
    <row r="105" spans="1:12" x14ac:dyDescent="0.3">
      <c r="A105" s="1">
        <v>41376</v>
      </c>
      <c r="B105" s="1">
        <v>41381</v>
      </c>
      <c r="C105" t="s">
        <v>7</v>
      </c>
      <c r="D105" t="s">
        <v>232</v>
      </c>
      <c r="E105" t="s">
        <v>233</v>
      </c>
      <c r="F105" t="s">
        <v>3</v>
      </c>
      <c r="G105" t="s">
        <v>4</v>
      </c>
      <c r="H105" t="s">
        <v>26</v>
      </c>
      <c r="I105" t="s">
        <v>236</v>
      </c>
      <c r="J105" s="2">
        <v>18.088000000000001</v>
      </c>
      <c r="K105">
        <v>7</v>
      </c>
      <c r="L105" s="4"/>
    </row>
    <row r="106" spans="1:12" x14ac:dyDescent="0.3">
      <c r="A106" s="1">
        <v>41376</v>
      </c>
      <c r="B106" s="1">
        <v>41381</v>
      </c>
      <c r="C106" t="s">
        <v>7</v>
      </c>
      <c r="D106" t="s">
        <v>232</v>
      </c>
      <c r="E106" t="s">
        <v>233</v>
      </c>
      <c r="F106" t="s">
        <v>3</v>
      </c>
      <c r="G106" t="s">
        <v>12</v>
      </c>
      <c r="H106" t="s">
        <v>13</v>
      </c>
      <c r="I106" t="s">
        <v>180</v>
      </c>
      <c r="J106" s="2">
        <v>308.49900000000002</v>
      </c>
      <c r="K106">
        <v>3</v>
      </c>
      <c r="L106" s="4"/>
    </row>
    <row r="107" spans="1:12" x14ac:dyDescent="0.3">
      <c r="A107" s="1">
        <v>41376</v>
      </c>
      <c r="B107" s="1">
        <v>41382</v>
      </c>
      <c r="C107" t="s">
        <v>7</v>
      </c>
      <c r="D107" t="s">
        <v>237</v>
      </c>
      <c r="E107" t="s">
        <v>238</v>
      </c>
      <c r="F107" t="s">
        <v>3</v>
      </c>
      <c r="G107" t="s">
        <v>4</v>
      </c>
      <c r="H107" t="s">
        <v>15</v>
      </c>
      <c r="I107" t="s">
        <v>239</v>
      </c>
      <c r="J107" s="2">
        <v>39.68</v>
      </c>
      <c r="K107">
        <v>2</v>
      </c>
      <c r="L107" s="4"/>
    </row>
    <row r="108" spans="1:12" x14ac:dyDescent="0.3">
      <c r="A108" s="1">
        <v>41379</v>
      </c>
      <c r="B108" s="1">
        <v>41379</v>
      </c>
      <c r="C108" t="s">
        <v>240</v>
      </c>
      <c r="D108" t="s">
        <v>241</v>
      </c>
      <c r="E108" t="s">
        <v>242</v>
      </c>
      <c r="F108" t="s">
        <v>3</v>
      </c>
      <c r="G108" t="s">
        <v>4</v>
      </c>
      <c r="H108" t="s">
        <v>20</v>
      </c>
      <c r="I108" t="s">
        <v>243</v>
      </c>
      <c r="J108" s="2">
        <v>106.96</v>
      </c>
      <c r="K108">
        <v>2</v>
      </c>
      <c r="L108" s="4"/>
    </row>
    <row r="109" spans="1:12" x14ac:dyDescent="0.3">
      <c r="A109" s="1">
        <v>41379</v>
      </c>
      <c r="B109" s="1">
        <v>41379</v>
      </c>
      <c r="C109" t="s">
        <v>240</v>
      </c>
      <c r="D109" t="s">
        <v>241</v>
      </c>
      <c r="E109" t="s">
        <v>242</v>
      </c>
      <c r="F109" t="s">
        <v>3</v>
      </c>
      <c r="G109" t="s">
        <v>12</v>
      </c>
      <c r="H109" t="s">
        <v>35</v>
      </c>
      <c r="I109" t="s">
        <v>244</v>
      </c>
      <c r="J109" s="2">
        <v>187.76</v>
      </c>
      <c r="K109">
        <v>4</v>
      </c>
      <c r="L109" s="4"/>
    </row>
    <row r="110" spans="1:12" x14ac:dyDescent="0.3">
      <c r="A110" s="1">
        <v>41382</v>
      </c>
      <c r="B110" s="1">
        <v>41387</v>
      </c>
      <c r="C110" t="s">
        <v>7</v>
      </c>
      <c r="D110" t="s">
        <v>245</v>
      </c>
      <c r="E110" t="s">
        <v>246</v>
      </c>
      <c r="F110" t="s">
        <v>3</v>
      </c>
      <c r="G110" t="s">
        <v>74</v>
      </c>
      <c r="H110" t="s">
        <v>138</v>
      </c>
      <c r="I110" t="s">
        <v>247</v>
      </c>
      <c r="J110" s="2">
        <v>287.96800000000002</v>
      </c>
      <c r="K110">
        <v>4</v>
      </c>
      <c r="L110" s="4"/>
    </row>
    <row r="111" spans="1:12" x14ac:dyDescent="0.3">
      <c r="A111" s="1">
        <v>41382</v>
      </c>
      <c r="B111" s="1">
        <v>41387</v>
      </c>
      <c r="C111" t="s">
        <v>7</v>
      </c>
      <c r="D111" t="s">
        <v>245</v>
      </c>
      <c r="E111" t="s">
        <v>246</v>
      </c>
      <c r="F111" t="s">
        <v>3</v>
      </c>
      <c r="G111" t="s">
        <v>4</v>
      </c>
      <c r="H111" t="s">
        <v>15</v>
      </c>
      <c r="I111" t="s">
        <v>248</v>
      </c>
      <c r="J111" s="2">
        <v>13.12</v>
      </c>
      <c r="K111">
        <v>4</v>
      </c>
      <c r="L111" s="4"/>
    </row>
    <row r="112" spans="1:12" x14ac:dyDescent="0.3">
      <c r="A112" s="1">
        <v>41382</v>
      </c>
      <c r="B112" s="1">
        <v>41387</v>
      </c>
      <c r="C112" t="s">
        <v>7</v>
      </c>
      <c r="D112" t="s">
        <v>245</v>
      </c>
      <c r="E112" t="s">
        <v>246</v>
      </c>
      <c r="F112" t="s">
        <v>3</v>
      </c>
      <c r="G112" t="s">
        <v>4</v>
      </c>
      <c r="H112" t="s">
        <v>15</v>
      </c>
      <c r="I112" t="s">
        <v>249</v>
      </c>
      <c r="J112" s="2">
        <v>10.75</v>
      </c>
      <c r="K112">
        <v>5</v>
      </c>
      <c r="L112" s="4"/>
    </row>
    <row r="113" spans="1:12" x14ac:dyDescent="0.3">
      <c r="A113" s="1">
        <v>41382</v>
      </c>
      <c r="B113" s="1">
        <v>41387</v>
      </c>
      <c r="C113" t="s">
        <v>7</v>
      </c>
      <c r="D113" t="s">
        <v>245</v>
      </c>
      <c r="E113" t="s">
        <v>246</v>
      </c>
      <c r="F113" t="s">
        <v>3</v>
      </c>
      <c r="G113" t="s">
        <v>4</v>
      </c>
      <c r="H113" t="s">
        <v>52</v>
      </c>
      <c r="I113" t="s">
        <v>250</v>
      </c>
      <c r="J113" s="2">
        <v>11.62</v>
      </c>
      <c r="K113">
        <v>2</v>
      </c>
      <c r="L113" s="4"/>
    </row>
    <row r="114" spans="1:12" x14ac:dyDescent="0.3">
      <c r="A114" s="1">
        <v>41383</v>
      </c>
      <c r="B114" s="1">
        <v>41385</v>
      </c>
      <c r="C114" t="s">
        <v>0</v>
      </c>
      <c r="D114" t="s">
        <v>251</v>
      </c>
      <c r="E114" t="s">
        <v>252</v>
      </c>
      <c r="F114" t="s">
        <v>3</v>
      </c>
      <c r="G114" t="s">
        <v>12</v>
      </c>
      <c r="H114" t="s">
        <v>35</v>
      </c>
      <c r="I114" t="s">
        <v>253</v>
      </c>
      <c r="J114" s="2">
        <v>76.14</v>
      </c>
      <c r="K114">
        <v>3</v>
      </c>
      <c r="L114" s="4"/>
    </row>
    <row r="115" spans="1:12" x14ac:dyDescent="0.3">
      <c r="A115" s="1">
        <v>41384</v>
      </c>
      <c r="B115" s="1">
        <v>41389</v>
      </c>
      <c r="C115" t="s">
        <v>7</v>
      </c>
      <c r="D115" t="s">
        <v>254</v>
      </c>
      <c r="E115" t="s">
        <v>255</v>
      </c>
      <c r="F115" t="s">
        <v>3</v>
      </c>
      <c r="G115" t="s">
        <v>12</v>
      </c>
      <c r="H115" t="s">
        <v>35</v>
      </c>
      <c r="I115" t="s">
        <v>256</v>
      </c>
      <c r="J115" s="2">
        <v>59.92</v>
      </c>
      <c r="K115">
        <v>4</v>
      </c>
      <c r="L115" s="4"/>
    </row>
    <row r="116" spans="1:12" x14ac:dyDescent="0.3">
      <c r="A116" s="1">
        <v>41385</v>
      </c>
      <c r="B116" s="1">
        <v>41389</v>
      </c>
      <c r="C116" t="s">
        <v>7</v>
      </c>
      <c r="D116" t="s">
        <v>257</v>
      </c>
      <c r="E116" t="s">
        <v>258</v>
      </c>
      <c r="F116" t="s">
        <v>3</v>
      </c>
      <c r="G116" t="s">
        <v>4</v>
      </c>
      <c r="H116" t="s">
        <v>26</v>
      </c>
      <c r="I116" t="s">
        <v>259</v>
      </c>
      <c r="J116" s="2">
        <v>16.520000000000003</v>
      </c>
      <c r="K116">
        <v>5</v>
      </c>
      <c r="L116" s="4"/>
    </row>
    <row r="117" spans="1:12" x14ac:dyDescent="0.3">
      <c r="A117" s="1">
        <v>41387</v>
      </c>
      <c r="B117" s="1">
        <v>41390</v>
      </c>
      <c r="C117" t="s">
        <v>0</v>
      </c>
      <c r="D117" t="s">
        <v>65</v>
      </c>
      <c r="E117" t="s">
        <v>66</v>
      </c>
      <c r="F117" t="s">
        <v>3</v>
      </c>
      <c r="G117" t="s">
        <v>4</v>
      </c>
      <c r="H117" t="s">
        <v>5</v>
      </c>
      <c r="I117" t="s">
        <v>260</v>
      </c>
      <c r="J117" s="2">
        <v>48.91</v>
      </c>
      <c r="K117">
        <v>1</v>
      </c>
      <c r="L117" s="4"/>
    </row>
    <row r="118" spans="1:12" x14ac:dyDescent="0.3">
      <c r="A118" s="1">
        <v>41389</v>
      </c>
      <c r="B118" s="1">
        <v>41394</v>
      </c>
      <c r="C118" t="s">
        <v>7</v>
      </c>
      <c r="D118" t="s">
        <v>261</v>
      </c>
      <c r="E118" t="s">
        <v>262</v>
      </c>
      <c r="F118" t="s">
        <v>3</v>
      </c>
      <c r="G118" t="s">
        <v>12</v>
      </c>
      <c r="H118" t="s">
        <v>35</v>
      </c>
      <c r="I118" t="s">
        <v>263</v>
      </c>
      <c r="J118" s="2">
        <v>303.25</v>
      </c>
      <c r="K118">
        <v>5</v>
      </c>
      <c r="L118" s="4"/>
    </row>
    <row r="119" spans="1:12" x14ac:dyDescent="0.3">
      <c r="A119" s="1">
        <v>41389</v>
      </c>
      <c r="B119" s="1">
        <v>41394</v>
      </c>
      <c r="C119" t="s">
        <v>7</v>
      </c>
      <c r="D119" t="s">
        <v>261</v>
      </c>
      <c r="E119" t="s">
        <v>262</v>
      </c>
      <c r="F119" t="s">
        <v>3</v>
      </c>
      <c r="G119" t="s">
        <v>4</v>
      </c>
      <c r="H119" t="s">
        <v>20</v>
      </c>
      <c r="I119" t="s">
        <v>264</v>
      </c>
      <c r="J119" s="2">
        <v>270.71999999999997</v>
      </c>
      <c r="K119">
        <v>3</v>
      </c>
      <c r="L119" s="4"/>
    </row>
    <row r="120" spans="1:12" x14ac:dyDescent="0.3">
      <c r="A120" s="1">
        <v>41389</v>
      </c>
      <c r="B120" s="1">
        <v>41394</v>
      </c>
      <c r="C120" t="s">
        <v>7</v>
      </c>
      <c r="D120" t="s">
        <v>261</v>
      </c>
      <c r="E120" t="s">
        <v>262</v>
      </c>
      <c r="F120" t="s">
        <v>3</v>
      </c>
      <c r="G120" t="s">
        <v>12</v>
      </c>
      <c r="H120" t="s">
        <v>70</v>
      </c>
      <c r="I120" t="s">
        <v>265</v>
      </c>
      <c r="J120" s="2">
        <v>1487.04</v>
      </c>
      <c r="K120">
        <v>5</v>
      </c>
      <c r="L120" s="4"/>
    </row>
    <row r="121" spans="1:12" x14ac:dyDescent="0.3">
      <c r="A121" s="1">
        <v>41390</v>
      </c>
      <c r="B121" s="1">
        <v>41397</v>
      </c>
      <c r="C121" t="s">
        <v>7</v>
      </c>
      <c r="D121" t="s">
        <v>266</v>
      </c>
      <c r="E121" t="s">
        <v>267</v>
      </c>
      <c r="F121" t="s">
        <v>3</v>
      </c>
      <c r="G121" t="s">
        <v>12</v>
      </c>
      <c r="H121" t="s">
        <v>70</v>
      </c>
      <c r="I121" t="s">
        <v>268</v>
      </c>
      <c r="J121" s="2">
        <v>230.28000000000003</v>
      </c>
      <c r="K121">
        <v>3</v>
      </c>
      <c r="L121" s="4"/>
    </row>
    <row r="122" spans="1:12" x14ac:dyDescent="0.3">
      <c r="A122" s="1">
        <v>41390</v>
      </c>
      <c r="B122" s="1">
        <v>41397</v>
      </c>
      <c r="C122" t="s">
        <v>7</v>
      </c>
      <c r="D122" t="s">
        <v>266</v>
      </c>
      <c r="E122" t="s">
        <v>267</v>
      </c>
      <c r="F122" t="s">
        <v>3</v>
      </c>
      <c r="G122" t="s">
        <v>4</v>
      </c>
      <c r="H122" t="s">
        <v>26</v>
      </c>
      <c r="I122" t="s">
        <v>269</v>
      </c>
      <c r="J122" s="2">
        <v>18.288</v>
      </c>
      <c r="K122">
        <v>6</v>
      </c>
      <c r="L122" s="4"/>
    </row>
    <row r="123" spans="1:12" x14ac:dyDescent="0.3">
      <c r="A123" s="1">
        <v>41390</v>
      </c>
      <c r="B123" s="1">
        <v>41394</v>
      </c>
      <c r="C123" t="s">
        <v>7</v>
      </c>
      <c r="D123" t="s">
        <v>270</v>
      </c>
      <c r="E123" t="s">
        <v>271</v>
      </c>
      <c r="F123" t="s">
        <v>3</v>
      </c>
      <c r="G123" t="s">
        <v>4</v>
      </c>
      <c r="H123" t="s">
        <v>15</v>
      </c>
      <c r="I123" t="s">
        <v>272</v>
      </c>
      <c r="J123" s="2">
        <v>21.400000000000002</v>
      </c>
      <c r="K123">
        <v>5</v>
      </c>
      <c r="L123" s="4"/>
    </row>
    <row r="124" spans="1:12" x14ac:dyDescent="0.3">
      <c r="A124" s="1">
        <v>41390</v>
      </c>
      <c r="B124" s="1">
        <v>41394</v>
      </c>
      <c r="C124" t="s">
        <v>7</v>
      </c>
      <c r="D124" t="s">
        <v>270</v>
      </c>
      <c r="E124" t="s">
        <v>271</v>
      </c>
      <c r="F124" t="s">
        <v>3</v>
      </c>
      <c r="G124" t="s">
        <v>4</v>
      </c>
      <c r="H124" t="s">
        <v>168</v>
      </c>
      <c r="I124" t="s">
        <v>273</v>
      </c>
      <c r="J124" s="2">
        <v>12.6</v>
      </c>
      <c r="K124">
        <v>2</v>
      </c>
      <c r="L124" s="4"/>
    </row>
    <row r="125" spans="1:12" x14ac:dyDescent="0.3">
      <c r="A125" s="1">
        <v>41392</v>
      </c>
      <c r="B125" s="1">
        <v>41394</v>
      </c>
      <c r="C125" t="s">
        <v>22</v>
      </c>
      <c r="D125" t="s">
        <v>274</v>
      </c>
      <c r="E125" t="s">
        <v>275</v>
      </c>
      <c r="F125" t="s">
        <v>3</v>
      </c>
      <c r="G125" t="s">
        <v>74</v>
      </c>
      <c r="H125" t="s">
        <v>147</v>
      </c>
      <c r="I125" t="s">
        <v>276</v>
      </c>
      <c r="J125" s="2">
        <v>1679.96</v>
      </c>
      <c r="K125">
        <v>5</v>
      </c>
      <c r="L125" s="4"/>
    </row>
    <row r="126" spans="1:12" x14ac:dyDescent="0.3">
      <c r="A126" s="1">
        <v>41398</v>
      </c>
      <c r="B126" s="1">
        <v>41401</v>
      </c>
      <c r="C126" t="s">
        <v>22</v>
      </c>
      <c r="D126" t="s">
        <v>277</v>
      </c>
      <c r="E126" t="s">
        <v>278</v>
      </c>
      <c r="F126" t="s">
        <v>56</v>
      </c>
      <c r="G126" t="s">
        <v>12</v>
      </c>
      <c r="H126" t="s">
        <v>35</v>
      </c>
      <c r="I126" t="s">
        <v>279</v>
      </c>
      <c r="J126" s="2">
        <v>12.18</v>
      </c>
      <c r="K126">
        <v>7</v>
      </c>
      <c r="L126" s="4"/>
    </row>
    <row r="127" spans="1:12" x14ac:dyDescent="0.3">
      <c r="A127" s="1">
        <v>41398</v>
      </c>
      <c r="B127" s="1">
        <v>41401</v>
      </c>
      <c r="C127" t="s">
        <v>22</v>
      </c>
      <c r="D127" t="s">
        <v>277</v>
      </c>
      <c r="E127" t="s">
        <v>278</v>
      </c>
      <c r="F127" t="s">
        <v>56</v>
      </c>
      <c r="G127" t="s">
        <v>4</v>
      </c>
      <c r="H127" t="s">
        <v>20</v>
      </c>
      <c r="I127" t="s">
        <v>280</v>
      </c>
      <c r="J127" s="2">
        <v>57.68</v>
      </c>
      <c r="K127">
        <v>4</v>
      </c>
      <c r="L127" s="4"/>
    </row>
    <row r="128" spans="1:12" x14ac:dyDescent="0.3">
      <c r="A128" s="1">
        <v>41400</v>
      </c>
      <c r="B128" s="1">
        <v>41404</v>
      </c>
      <c r="C128" t="s">
        <v>7</v>
      </c>
      <c r="D128" t="s">
        <v>281</v>
      </c>
      <c r="E128" t="s">
        <v>282</v>
      </c>
      <c r="F128" t="s">
        <v>3</v>
      </c>
      <c r="G128" t="s">
        <v>4</v>
      </c>
      <c r="H128" t="s">
        <v>26</v>
      </c>
      <c r="I128" t="s">
        <v>283</v>
      </c>
      <c r="J128" s="2">
        <v>140.73599999999999</v>
      </c>
      <c r="K128">
        <v>8</v>
      </c>
      <c r="L128" s="4"/>
    </row>
    <row r="129" spans="1:12" x14ac:dyDescent="0.3">
      <c r="A129" s="1">
        <v>41400</v>
      </c>
      <c r="B129" s="1">
        <v>41405</v>
      </c>
      <c r="C129" t="s">
        <v>7</v>
      </c>
      <c r="D129" t="s">
        <v>284</v>
      </c>
      <c r="E129" t="s">
        <v>285</v>
      </c>
      <c r="F129" t="s">
        <v>3</v>
      </c>
      <c r="G129" t="s">
        <v>4</v>
      </c>
      <c r="H129" t="s">
        <v>168</v>
      </c>
      <c r="I129" t="s">
        <v>286</v>
      </c>
      <c r="J129" s="2">
        <v>5.78</v>
      </c>
      <c r="K129">
        <v>2</v>
      </c>
      <c r="L129" s="4"/>
    </row>
    <row r="130" spans="1:12" x14ac:dyDescent="0.3">
      <c r="A130" s="1">
        <v>41400</v>
      </c>
      <c r="B130" s="1">
        <v>41405</v>
      </c>
      <c r="C130" t="s">
        <v>7</v>
      </c>
      <c r="D130" t="s">
        <v>284</v>
      </c>
      <c r="E130" t="s">
        <v>285</v>
      </c>
      <c r="F130" t="s">
        <v>3</v>
      </c>
      <c r="G130" t="s">
        <v>4</v>
      </c>
      <c r="H130" t="s">
        <v>15</v>
      </c>
      <c r="I130" t="s">
        <v>287</v>
      </c>
      <c r="J130" s="2">
        <v>107.94</v>
      </c>
      <c r="K130">
        <v>6</v>
      </c>
      <c r="L130" s="4"/>
    </row>
    <row r="131" spans="1:12" x14ac:dyDescent="0.3">
      <c r="A131" s="1">
        <v>41403</v>
      </c>
      <c r="B131" s="1">
        <v>41409</v>
      </c>
      <c r="C131" t="s">
        <v>7</v>
      </c>
      <c r="D131" t="s">
        <v>288</v>
      </c>
      <c r="E131" t="s">
        <v>289</v>
      </c>
      <c r="F131" t="s">
        <v>3</v>
      </c>
      <c r="G131" t="s">
        <v>74</v>
      </c>
      <c r="H131" t="s">
        <v>75</v>
      </c>
      <c r="I131" t="s">
        <v>201</v>
      </c>
      <c r="J131" s="2">
        <v>67.8</v>
      </c>
      <c r="K131">
        <v>4</v>
      </c>
      <c r="L131" s="4"/>
    </row>
    <row r="132" spans="1:12" x14ac:dyDescent="0.3">
      <c r="A132" s="1">
        <v>41403</v>
      </c>
      <c r="B132" s="1">
        <v>41409</v>
      </c>
      <c r="C132" t="s">
        <v>7</v>
      </c>
      <c r="D132" t="s">
        <v>288</v>
      </c>
      <c r="E132" t="s">
        <v>289</v>
      </c>
      <c r="F132" t="s">
        <v>3</v>
      </c>
      <c r="G132" t="s">
        <v>74</v>
      </c>
      <c r="H132" t="s">
        <v>75</v>
      </c>
      <c r="I132" t="s">
        <v>290</v>
      </c>
      <c r="J132" s="2">
        <v>167.97</v>
      </c>
      <c r="K132">
        <v>3</v>
      </c>
      <c r="L132" s="4"/>
    </row>
    <row r="133" spans="1:12" x14ac:dyDescent="0.3">
      <c r="A133" s="1">
        <v>41404</v>
      </c>
      <c r="B133" s="1">
        <v>41409</v>
      </c>
      <c r="C133" t="s">
        <v>7</v>
      </c>
      <c r="D133" t="s">
        <v>274</v>
      </c>
      <c r="E133" t="s">
        <v>275</v>
      </c>
      <c r="F133" t="s">
        <v>56</v>
      </c>
      <c r="G133" t="s">
        <v>4</v>
      </c>
      <c r="H133" t="s">
        <v>29</v>
      </c>
      <c r="I133" t="s">
        <v>291</v>
      </c>
      <c r="J133" s="2">
        <v>158.13</v>
      </c>
      <c r="K133">
        <v>3</v>
      </c>
      <c r="L133" s="4"/>
    </row>
    <row r="134" spans="1:12" x14ac:dyDescent="0.3">
      <c r="A134" s="1">
        <v>41404</v>
      </c>
      <c r="B134" s="1">
        <v>41409</v>
      </c>
      <c r="C134" t="s">
        <v>7</v>
      </c>
      <c r="D134" t="s">
        <v>274</v>
      </c>
      <c r="E134" t="s">
        <v>275</v>
      </c>
      <c r="F134" t="s">
        <v>56</v>
      </c>
      <c r="G134" t="s">
        <v>74</v>
      </c>
      <c r="H134" t="s">
        <v>147</v>
      </c>
      <c r="I134" t="s">
        <v>292</v>
      </c>
      <c r="J134" s="2">
        <v>43.6</v>
      </c>
      <c r="K134">
        <v>5</v>
      </c>
      <c r="L134" s="4"/>
    </row>
    <row r="135" spans="1:12" x14ac:dyDescent="0.3">
      <c r="A135" s="1">
        <v>41404</v>
      </c>
      <c r="B135" s="1">
        <v>41409</v>
      </c>
      <c r="C135" t="s">
        <v>7</v>
      </c>
      <c r="D135" t="s">
        <v>293</v>
      </c>
      <c r="E135" t="s">
        <v>294</v>
      </c>
      <c r="F135" t="s">
        <v>3</v>
      </c>
      <c r="G135" t="s">
        <v>4</v>
      </c>
      <c r="H135" t="s">
        <v>5</v>
      </c>
      <c r="I135" t="s">
        <v>295</v>
      </c>
      <c r="J135" s="2">
        <v>39.96</v>
      </c>
      <c r="K135">
        <v>2</v>
      </c>
      <c r="L135" s="4"/>
    </row>
    <row r="136" spans="1:12" x14ac:dyDescent="0.3">
      <c r="A136" s="1">
        <v>41404</v>
      </c>
      <c r="B136" s="1">
        <v>41409</v>
      </c>
      <c r="C136" t="s">
        <v>7</v>
      </c>
      <c r="D136" t="s">
        <v>293</v>
      </c>
      <c r="E136" t="s">
        <v>294</v>
      </c>
      <c r="F136" t="s">
        <v>3</v>
      </c>
      <c r="G136" t="s">
        <v>74</v>
      </c>
      <c r="H136" t="s">
        <v>147</v>
      </c>
      <c r="I136" t="s">
        <v>296</v>
      </c>
      <c r="J136" s="2">
        <v>1432.0000000000002</v>
      </c>
      <c r="K136">
        <v>5</v>
      </c>
      <c r="L136" s="4"/>
    </row>
    <row r="137" spans="1:12" x14ac:dyDescent="0.3">
      <c r="A137" s="1">
        <v>41404</v>
      </c>
      <c r="B137" s="1">
        <v>41409</v>
      </c>
      <c r="C137" t="s">
        <v>7</v>
      </c>
      <c r="D137" t="s">
        <v>293</v>
      </c>
      <c r="E137" t="s">
        <v>294</v>
      </c>
      <c r="F137" t="s">
        <v>3</v>
      </c>
      <c r="G137" t="s">
        <v>4</v>
      </c>
      <c r="H137" t="s">
        <v>78</v>
      </c>
      <c r="I137" t="s">
        <v>297</v>
      </c>
      <c r="J137" s="2">
        <v>41.04</v>
      </c>
      <c r="K137">
        <v>6</v>
      </c>
      <c r="L137" s="4"/>
    </row>
    <row r="138" spans="1:12" x14ac:dyDescent="0.3">
      <c r="A138" s="1">
        <v>41404</v>
      </c>
      <c r="B138" s="1">
        <v>41409</v>
      </c>
      <c r="C138" t="s">
        <v>7</v>
      </c>
      <c r="D138" t="s">
        <v>293</v>
      </c>
      <c r="E138" t="s">
        <v>294</v>
      </c>
      <c r="F138" t="s">
        <v>3</v>
      </c>
      <c r="G138" t="s">
        <v>12</v>
      </c>
      <c r="H138" t="s">
        <v>70</v>
      </c>
      <c r="I138" t="s">
        <v>298</v>
      </c>
      <c r="J138" s="2">
        <v>256.78400000000005</v>
      </c>
      <c r="K138">
        <v>1</v>
      </c>
      <c r="L138" s="4"/>
    </row>
    <row r="139" spans="1:12" x14ac:dyDescent="0.3">
      <c r="A139" s="1">
        <v>41407</v>
      </c>
      <c r="B139" s="1">
        <v>41409</v>
      </c>
      <c r="C139" t="s">
        <v>0</v>
      </c>
      <c r="D139" t="s">
        <v>299</v>
      </c>
      <c r="E139" t="s">
        <v>300</v>
      </c>
      <c r="F139" t="s">
        <v>126</v>
      </c>
      <c r="G139" t="s">
        <v>4</v>
      </c>
      <c r="H139" t="s">
        <v>10</v>
      </c>
      <c r="I139" t="s">
        <v>301</v>
      </c>
      <c r="J139" s="2">
        <v>55.5</v>
      </c>
      <c r="K139">
        <v>2</v>
      </c>
      <c r="L139" s="4"/>
    </row>
    <row r="140" spans="1:12" x14ac:dyDescent="0.3">
      <c r="A140" s="1">
        <v>41407</v>
      </c>
      <c r="B140" s="1">
        <v>41411</v>
      </c>
      <c r="C140" t="s">
        <v>7</v>
      </c>
      <c r="D140" t="s">
        <v>302</v>
      </c>
      <c r="E140" t="s">
        <v>303</v>
      </c>
      <c r="F140" t="s">
        <v>3</v>
      </c>
      <c r="G140" t="s">
        <v>74</v>
      </c>
      <c r="H140" t="s">
        <v>75</v>
      </c>
      <c r="I140" t="s">
        <v>304</v>
      </c>
      <c r="J140" s="2">
        <v>149.97</v>
      </c>
      <c r="K140">
        <v>3</v>
      </c>
      <c r="L140" s="4"/>
    </row>
    <row r="141" spans="1:12" x14ac:dyDescent="0.3">
      <c r="A141" s="1">
        <v>41407</v>
      </c>
      <c r="B141" s="1">
        <v>41413</v>
      </c>
      <c r="C141" t="s">
        <v>7</v>
      </c>
      <c r="D141" t="s">
        <v>305</v>
      </c>
      <c r="E141" t="s">
        <v>306</v>
      </c>
      <c r="F141" t="s">
        <v>3</v>
      </c>
      <c r="G141" t="s">
        <v>12</v>
      </c>
      <c r="H141" t="s">
        <v>70</v>
      </c>
      <c r="I141" t="s">
        <v>307</v>
      </c>
      <c r="J141" s="2">
        <v>279.45600000000002</v>
      </c>
      <c r="K141">
        <v>6</v>
      </c>
      <c r="L141" s="4"/>
    </row>
    <row r="142" spans="1:12" x14ac:dyDescent="0.3">
      <c r="A142" s="1">
        <v>41407</v>
      </c>
      <c r="B142" s="1">
        <v>41413</v>
      </c>
      <c r="C142" t="s">
        <v>7</v>
      </c>
      <c r="D142" t="s">
        <v>305</v>
      </c>
      <c r="E142" t="s">
        <v>306</v>
      </c>
      <c r="F142" t="s">
        <v>3</v>
      </c>
      <c r="G142" t="s">
        <v>4</v>
      </c>
      <c r="H142" t="s">
        <v>5</v>
      </c>
      <c r="I142" t="s">
        <v>308</v>
      </c>
      <c r="J142" s="2">
        <v>8</v>
      </c>
      <c r="K142">
        <v>2</v>
      </c>
      <c r="L142" s="4"/>
    </row>
    <row r="143" spans="1:12" x14ac:dyDescent="0.3">
      <c r="A143" s="1">
        <v>41410</v>
      </c>
      <c r="B143" s="1">
        <v>41417</v>
      </c>
      <c r="C143" t="s">
        <v>7</v>
      </c>
      <c r="D143" t="s">
        <v>309</v>
      </c>
      <c r="E143" t="s">
        <v>310</v>
      </c>
      <c r="F143" t="s">
        <v>3</v>
      </c>
      <c r="G143" t="s">
        <v>12</v>
      </c>
      <c r="H143" t="s">
        <v>70</v>
      </c>
      <c r="I143" t="s">
        <v>307</v>
      </c>
      <c r="J143" s="2">
        <v>232.88</v>
      </c>
      <c r="K143">
        <v>5</v>
      </c>
      <c r="L143" s="4"/>
    </row>
    <row r="144" spans="1:12" x14ac:dyDescent="0.3">
      <c r="A144" s="1">
        <v>41410</v>
      </c>
      <c r="B144" s="1">
        <v>41414</v>
      </c>
      <c r="C144" t="s">
        <v>7</v>
      </c>
      <c r="D144" t="s">
        <v>311</v>
      </c>
      <c r="E144" t="s">
        <v>312</v>
      </c>
      <c r="F144" t="s">
        <v>3</v>
      </c>
      <c r="G144" t="s">
        <v>74</v>
      </c>
      <c r="H144" t="s">
        <v>75</v>
      </c>
      <c r="I144" t="s">
        <v>313</v>
      </c>
      <c r="J144" s="2">
        <v>56.400000000000006</v>
      </c>
      <c r="K144">
        <v>3</v>
      </c>
      <c r="L144" s="4"/>
    </row>
    <row r="145" spans="1:12" x14ac:dyDescent="0.3">
      <c r="A145" s="1">
        <v>41415</v>
      </c>
      <c r="B145" s="1">
        <v>41419</v>
      </c>
      <c r="C145" t="s">
        <v>7</v>
      </c>
      <c r="D145" t="s">
        <v>314</v>
      </c>
      <c r="E145" t="s">
        <v>315</v>
      </c>
      <c r="F145" t="s">
        <v>3</v>
      </c>
      <c r="G145" t="s">
        <v>4</v>
      </c>
      <c r="H145" t="s">
        <v>15</v>
      </c>
      <c r="I145" t="s">
        <v>16</v>
      </c>
      <c r="J145" s="2">
        <v>31.84</v>
      </c>
      <c r="K145">
        <v>8</v>
      </c>
      <c r="L145" s="4"/>
    </row>
    <row r="146" spans="1:12" x14ac:dyDescent="0.3">
      <c r="A146" s="1">
        <v>41417</v>
      </c>
      <c r="B146" s="1">
        <v>41421</v>
      </c>
      <c r="C146" t="s">
        <v>7</v>
      </c>
      <c r="D146" t="s">
        <v>316</v>
      </c>
      <c r="E146" t="s">
        <v>317</v>
      </c>
      <c r="F146" t="s">
        <v>56</v>
      </c>
      <c r="G146" t="s">
        <v>4</v>
      </c>
      <c r="H146" t="s">
        <v>5</v>
      </c>
      <c r="I146" t="s">
        <v>318</v>
      </c>
      <c r="J146" s="2">
        <v>12.96</v>
      </c>
      <c r="K146">
        <v>2</v>
      </c>
      <c r="L146" s="4"/>
    </row>
    <row r="147" spans="1:12" x14ac:dyDescent="0.3">
      <c r="A147" s="1">
        <v>41420</v>
      </c>
      <c r="B147" s="1">
        <v>41424</v>
      </c>
      <c r="C147" t="s">
        <v>7</v>
      </c>
      <c r="D147" t="s">
        <v>72</v>
      </c>
      <c r="E147" t="s">
        <v>73</v>
      </c>
      <c r="F147" t="s">
        <v>3</v>
      </c>
      <c r="G147" t="s">
        <v>12</v>
      </c>
      <c r="H147" t="s">
        <v>13</v>
      </c>
      <c r="I147" t="s">
        <v>319</v>
      </c>
      <c r="J147" s="2">
        <v>290.666</v>
      </c>
      <c r="K147">
        <v>2</v>
      </c>
      <c r="L147" s="4"/>
    </row>
    <row r="148" spans="1:12" x14ac:dyDescent="0.3">
      <c r="A148" s="1">
        <v>41420</v>
      </c>
      <c r="B148" s="1">
        <v>41424</v>
      </c>
      <c r="C148" t="s">
        <v>7</v>
      </c>
      <c r="D148" t="s">
        <v>72</v>
      </c>
      <c r="E148" t="s">
        <v>73</v>
      </c>
      <c r="F148" t="s">
        <v>3</v>
      </c>
      <c r="G148" t="s">
        <v>74</v>
      </c>
      <c r="H148" t="s">
        <v>147</v>
      </c>
      <c r="I148" t="s">
        <v>320</v>
      </c>
      <c r="J148" s="2">
        <v>201.584</v>
      </c>
      <c r="K148">
        <v>2</v>
      </c>
      <c r="L148" s="4"/>
    </row>
    <row r="149" spans="1:12" x14ac:dyDescent="0.3">
      <c r="A149" s="1">
        <v>41420</v>
      </c>
      <c r="B149" s="1">
        <v>41424</v>
      </c>
      <c r="C149" t="s">
        <v>7</v>
      </c>
      <c r="D149" t="s">
        <v>72</v>
      </c>
      <c r="E149" t="s">
        <v>73</v>
      </c>
      <c r="F149" t="s">
        <v>3</v>
      </c>
      <c r="G149" t="s">
        <v>74</v>
      </c>
      <c r="H149" t="s">
        <v>147</v>
      </c>
      <c r="I149" t="s">
        <v>321</v>
      </c>
      <c r="J149" s="2">
        <v>83.984000000000009</v>
      </c>
      <c r="K149">
        <v>2</v>
      </c>
      <c r="L149" s="4"/>
    </row>
    <row r="150" spans="1:12" x14ac:dyDescent="0.3">
      <c r="A150" s="1">
        <v>41420</v>
      </c>
      <c r="B150" s="1">
        <v>41424</v>
      </c>
      <c r="C150" t="s">
        <v>7</v>
      </c>
      <c r="D150" t="s">
        <v>322</v>
      </c>
      <c r="E150" t="s">
        <v>323</v>
      </c>
      <c r="F150" t="s">
        <v>3</v>
      </c>
      <c r="G150" t="s">
        <v>12</v>
      </c>
      <c r="H150" t="s">
        <v>70</v>
      </c>
      <c r="I150" t="s">
        <v>324</v>
      </c>
      <c r="J150" s="2">
        <v>225.29600000000002</v>
      </c>
      <c r="K150">
        <v>2</v>
      </c>
      <c r="L150" s="4"/>
    </row>
    <row r="151" spans="1:12" x14ac:dyDescent="0.3">
      <c r="A151" s="1">
        <v>41420</v>
      </c>
      <c r="B151" s="1">
        <v>41423</v>
      </c>
      <c r="C151" t="s">
        <v>22</v>
      </c>
      <c r="D151" t="s">
        <v>325</v>
      </c>
      <c r="E151" t="s">
        <v>326</v>
      </c>
      <c r="F151" t="s">
        <v>126</v>
      </c>
      <c r="G151" t="s">
        <v>4</v>
      </c>
      <c r="H151" t="s">
        <v>5</v>
      </c>
      <c r="I151" t="s">
        <v>34</v>
      </c>
      <c r="J151" s="2">
        <v>48.4</v>
      </c>
      <c r="K151">
        <v>5</v>
      </c>
      <c r="L151" s="4"/>
    </row>
    <row r="152" spans="1:12" x14ac:dyDescent="0.3">
      <c r="A152" s="1">
        <v>41421</v>
      </c>
      <c r="B152" s="1">
        <v>41421</v>
      </c>
      <c r="C152" t="s">
        <v>240</v>
      </c>
      <c r="D152" t="s">
        <v>327</v>
      </c>
      <c r="E152" t="s">
        <v>328</v>
      </c>
      <c r="F152" t="s">
        <v>3</v>
      </c>
      <c r="G152" t="s">
        <v>12</v>
      </c>
      <c r="H152" t="s">
        <v>44</v>
      </c>
      <c r="I152" t="s">
        <v>329</v>
      </c>
      <c r="J152" s="2">
        <v>567.12</v>
      </c>
      <c r="K152">
        <v>10</v>
      </c>
      <c r="L152" s="4"/>
    </row>
    <row r="153" spans="1:12" x14ac:dyDescent="0.3">
      <c r="A153" s="1">
        <v>41421</v>
      </c>
      <c r="B153" s="1">
        <v>41421</v>
      </c>
      <c r="C153" t="s">
        <v>240</v>
      </c>
      <c r="D153" t="s">
        <v>327</v>
      </c>
      <c r="E153" t="s">
        <v>328</v>
      </c>
      <c r="F153" t="s">
        <v>3</v>
      </c>
      <c r="G153" t="s">
        <v>4</v>
      </c>
      <c r="H153" t="s">
        <v>10</v>
      </c>
      <c r="I153" t="s">
        <v>330</v>
      </c>
      <c r="J153" s="2">
        <v>359.32</v>
      </c>
      <c r="K153">
        <v>4</v>
      </c>
      <c r="L153" s="4"/>
    </row>
    <row r="154" spans="1:12" x14ac:dyDescent="0.3">
      <c r="A154" s="1">
        <v>41421</v>
      </c>
      <c r="B154" s="1">
        <v>41426</v>
      </c>
      <c r="C154" t="s">
        <v>0</v>
      </c>
      <c r="D154" t="s">
        <v>331</v>
      </c>
      <c r="E154" t="s">
        <v>332</v>
      </c>
      <c r="F154" t="s">
        <v>3</v>
      </c>
      <c r="G154" t="s">
        <v>74</v>
      </c>
      <c r="H154" t="s">
        <v>147</v>
      </c>
      <c r="I154" t="s">
        <v>333</v>
      </c>
      <c r="J154" s="2">
        <v>1113.5039999999999</v>
      </c>
      <c r="K154">
        <v>12</v>
      </c>
      <c r="L154" s="4"/>
    </row>
    <row r="155" spans="1:12" x14ac:dyDescent="0.3">
      <c r="A155" s="1">
        <v>41421</v>
      </c>
      <c r="B155" s="1">
        <v>41426</v>
      </c>
      <c r="C155" t="s">
        <v>0</v>
      </c>
      <c r="D155" t="s">
        <v>331</v>
      </c>
      <c r="E155" t="s">
        <v>332</v>
      </c>
      <c r="F155" t="s">
        <v>3</v>
      </c>
      <c r="G155" t="s">
        <v>74</v>
      </c>
      <c r="H155" t="s">
        <v>75</v>
      </c>
      <c r="I155" t="s">
        <v>334</v>
      </c>
      <c r="J155" s="2">
        <v>99.99</v>
      </c>
      <c r="K155">
        <v>1</v>
      </c>
      <c r="L155" s="4"/>
    </row>
    <row r="156" spans="1:12" x14ac:dyDescent="0.3">
      <c r="A156" s="1">
        <v>41422</v>
      </c>
      <c r="B156" s="1">
        <v>41427</v>
      </c>
      <c r="C156" t="s">
        <v>7</v>
      </c>
      <c r="D156" t="s">
        <v>335</v>
      </c>
      <c r="E156" t="s">
        <v>336</v>
      </c>
      <c r="F156" t="s">
        <v>56</v>
      </c>
      <c r="G156" t="s">
        <v>74</v>
      </c>
      <c r="H156" t="s">
        <v>147</v>
      </c>
      <c r="I156" t="s">
        <v>337</v>
      </c>
      <c r="J156" s="2">
        <v>57.408000000000008</v>
      </c>
      <c r="K156">
        <v>6</v>
      </c>
      <c r="L156" s="4"/>
    </row>
    <row r="157" spans="1:12" x14ac:dyDescent="0.3">
      <c r="A157" s="1">
        <v>41422</v>
      </c>
      <c r="B157" s="1">
        <v>41427</v>
      </c>
      <c r="C157" t="s">
        <v>7</v>
      </c>
      <c r="D157" t="s">
        <v>335</v>
      </c>
      <c r="E157" t="s">
        <v>336</v>
      </c>
      <c r="F157" t="s">
        <v>56</v>
      </c>
      <c r="G157" t="s">
        <v>74</v>
      </c>
      <c r="H157" t="s">
        <v>75</v>
      </c>
      <c r="I157" t="s">
        <v>129</v>
      </c>
      <c r="J157" s="2">
        <v>27.6</v>
      </c>
      <c r="K157">
        <v>4</v>
      </c>
      <c r="L157" s="4"/>
    </row>
    <row r="158" spans="1:12" x14ac:dyDescent="0.3">
      <c r="A158" s="1">
        <v>41422</v>
      </c>
      <c r="B158" s="1">
        <v>41426</v>
      </c>
      <c r="C158" t="s">
        <v>7</v>
      </c>
      <c r="D158" t="s">
        <v>338</v>
      </c>
      <c r="E158" t="s">
        <v>339</v>
      </c>
      <c r="F158" t="s">
        <v>56</v>
      </c>
      <c r="G158" t="s">
        <v>4</v>
      </c>
      <c r="H158" t="s">
        <v>26</v>
      </c>
      <c r="I158" t="s">
        <v>340</v>
      </c>
      <c r="J158" s="2">
        <v>136.96</v>
      </c>
      <c r="K158">
        <v>4</v>
      </c>
      <c r="L158" s="4"/>
    </row>
    <row r="159" spans="1:12" x14ac:dyDescent="0.3">
      <c r="A159" s="1">
        <v>41427</v>
      </c>
      <c r="B159" s="1">
        <v>41432</v>
      </c>
      <c r="C159" t="s">
        <v>7</v>
      </c>
      <c r="D159" t="s">
        <v>341</v>
      </c>
      <c r="E159" t="s">
        <v>342</v>
      </c>
      <c r="F159" t="s">
        <v>126</v>
      </c>
      <c r="G159" t="s">
        <v>4</v>
      </c>
      <c r="H159" t="s">
        <v>26</v>
      </c>
      <c r="I159" t="s">
        <v>343</v>
      </c>
      <c r="J159" s="2">
        <v>59.808000000000007</v>
      </c>
      <c r="K159">
        <v>3</v>
      </c>
      <c r="L159" s="4"/>
    </row>
    <row r="160" spans="1:12" x14ac:dyDescent="0.3">
      <c r="A160" s="1">
        <v>41427</v>
      </c>
      <c r="B160" s="1">
        <v>41432</v>
      </c>
      <c r="C160" t="s">
        <v>7</v>
      </c>
      <c r="D160" t="s">
        <v>341</v>
      </c>
      <c r="E160" t="s">
        <v>342</v>
      </c>
      <c r="F160" t="s">
        <v>126</v>
      </c>
      <c r="G160" t="s">
        <v>12</v>
      </c>
      <c r="H160" t="s">
        <v>35</v>
      </c>
      <c r="I160" t="s">
        <v>344</v>
      </c>
      <c r="J160" s="2">
        <v>73.320000000000007</v>
      </c>
      <c r="K160">
        <v>6</v>
      </c>
      <c r="L160" s="4"/>
    </row>
    <row r="161" spans="1:12" x14ac:dyDescent="0.3">
      <c r="A161" s="1">
        <v>41428</v>
      </c>
      <c r="B161" s="1">
        <v>41432</v>
      </c>
      <c r="C161" t="s">
        <v>0</v>
      </c>
      <c r="D161" t="s">
        <v>345</v>
      </c>
      <c r="E161" t="s">
        <v>346</v>
      </c>
      <c r="F161" t="s">
        <v>56</v>
      </c>
      <c r="G161" t="s">
        <v>12</v>
      </c>
      <c r="H161" t="s">
        <v>44</v>
      </c>
      <c r="I161" t="s">
        <v>347</v>
      </c>
      <c r="J161" s="2">
        <v>515.88</v>
      </c>
      <c r="K161">
        <v>6</v>
      </c>
      <c r="L161" s="4"/>
    </row>
    <row r="162" spans="1:12" x14ac:dyDescent="0.3">
      <c r="A162" s="1">
        <v>41433</v>
      </c>
      <c r="B162" s="1">
        <v>41439</v>
      </c>
      <c r="C162" t="s">
        <v>7</v>
      </c>
      <c r="D162" t="s">
        <v>348</v>
      </c>
      <c r="E162" t="s">
        <v>349</v>
      </c>
      <c r="F162" t="s">
        <v>56</v>
      </c>
      <c r="G162" t="s">
        <v>12</v>
      </c>
      <c r="H162" t="s">
        <v>70</v>
      </c>
      <c r="I162" t="s">
        <v>350</v>
      </c>
      <c r="J162" s="2">
        <v>585.55200000000002</v>
      </c>
      <c r="K162">
        <v>3</v>
      </c>
      <c r="L162" s="4"/>
    </row>
    <row r="163" spans="1:12" x14ac:dyDescent="0.3">
      <c r="A163" s="1">
        <v>41434</v>
      </c>
      <c r="B163" s="1">
        <v>41439</v>
      </c>
      <c r="C163" t="s">
        <v>7</v>
      </c>
      <c r="D163" t="s">
        <v>351</v>
      </c>
      <c r="E163" t="s">
        <v>352</v>
      </c>
      <c r="F163" t="s">
        <v>3</v>
      </c>
      <c r="G163" t="s">
        <v>12</v>
      </c>
      <c r="H163" t="s">
        <v>35</v>
      </c>
      <c r="I163" t="s">
        <v>353</v>
      </c>
      <c r="J163" s="2">
        <v>48.86</v>
      </c>
      <c r="K163">
        <v>7</v>
      </c>
      <c r="L163" s="4"/>
    </row>
    <row r="164" spans="1:12" x14ac:dyDescent="0.3">
      <c r="A164" s="1">
        <v>41434</v>
      </c>
      <c r="B164" s="1">
        <v>41439</v>
      </c>
      <c r="C164" t="s">
        <v>7</v>
      </c>
      <c r="D164" t="s">
        <v>351</v>
      </c>
      <c r="E164" t="s">
        <v>352</v>
      </c>
      <c r="F164" t="s">
        <v>3</v>
      </c>
      <c r="G164" t="s">
        <v>4</v>
      </c>
      <c r="H164" t="s">
        <v>15</v>
      </c>
      <c r="I164" t="s">
        <v>354</v>
      </c>
      <c r="J164" s="2">
        <v>7.28</v>
      </c>
      <c r="K164">
        <v>4</v>
      </c>
      <c r="L164" s="4"/>
    </row>
    <row r="165" spans="1:12" x14ac:dyDescent="0.3">
      <c r="A165" s="1">
        <v>41434</v>
      </c>
      <c r="B165" s="1">
        <v>41439</v>
      </c>
      <c r="C165" t="s">
        <v>7</v>
      </c>
      <c r="D165" t="s">
        <v>351</v>
      </c>
      <c r="E165" t="s">
        <v>352</v>
      </c>
      <c r="F165" t="s">
        <v>3</v>
      </c>
      <c r="G165" t="s">
        <v>74</v>
      </c>
      <c r="H165" t="s">
        <v>147</v>
      </c>
      <c r="I165" t="s">
        <v>355</v>
      </c>
      <c r="J165" s="2">
        <v>907.15200000000004</v>
      </c>
      <c r="K165">
        <v>6</v>
      </c>
      <c r="L165" s="4"/>
    </row>
    <row r="166" spans="1:12" x14ac:dyDescent="0.3">
      <c r="A166" s="1">
        <v>41434</v>
      </c>
      <c r="B166" s="1">
        <v>41439</v>
      </c>
      <c r="C166" t="s">
        <v>7</v>
      </c>
      <c r="D166" t="s">
        <v>351</v>
      </c>
      <c r="E166" t="s">
        <v>352</v>
      </c>
      <c r="F166" t="s">
        <v>3</v>
      </c>
      <c r="G166" t="s">
        <v>4</v>
      </c>
      <c r="H166" t="s">
        <v>26</v>
      </c>
      <c r="I166" t="s">
        <v>356</v>
      </c>
      <c r="J166" s="2">
        <v>18.504000000000001</v>
      </c>
      <c r="K166">
        <v>3</v>
      </c>
      <c r="L166" s="4"/>
    </row>
    <row r="167" spans="1:12" x14ac:dyDescent="0.3">
      <c r="A167" s="1">
        <v>41434</v>
      </c>
      <c r="B167" s="1">
        <v>41439</v>
      </c>
      <c r="C167" t="s">
        <v>7</v>
      </c>
      <c r="D167" t="s">
        <v>351</v>
      </c>
      <c r="E167" t="s">
        <v>352</v>
      </c>
      <c r="F167" t="s">
        <v>3</v>
      </c>
      <c r="G167" t="s">
        <v>4</v>
      </c>
      <c r="H167" t="s">
        <v>20</v>
      </c>
      <c r="I167" t="s">
        <v>357</v>
      </c>
      <c r="J167" s="2">
        <v>114.9</v>
      </c>
      <c r="K167">
        <v>5</v>
      </c>
      <c r="L167" s="4"/>
    </row>
    <row r="168" spans="1:12" x14ac:dyDescent="0.3">
      <c r="A168" s="1">
        <v>41434</v>
      </c>
      <c r="B168" s="1">
        <v>41439</v>
      </c>
      <c r="C168" t="s">
        <v>7</v>
      </c>
      <c r="D168" t="s">
        <v>351</v>
      </c>
      <c r="E168" t="s">
        <v>352</v>
      </c>
      <c r="F168" t="s">
        <v>3</v>
      </c>
      <c r="G168" t="s">
        <v>12</v>
      </c>
      <c r="H168" t="s">
        <v>44</v>
      </c>
      <c r="I168" t="s">
        <v>358</v>
      </c>
      <c r="J168" s="2">
        <v>1706.1840000000002</v>
      </c>
      <c r="K168">
        <v>9</v>
      </c>
      <c r="L168" s="4"/>
    </row>
    <row r="169" spans="1:12" x14ac:dyDescent="0.3">
      <c r="A169" s="1">
        <v>41434</v>
      </c>
      <c r="B169" s="1">
        <v>41439</v>
      </c>
      <c r="C169" t="s">
        <v>7</v>
      </c>
      <c r="D169" t="s">
        <v>351</v>
      </c>
      <c r="E169" t="s">
        <v>352</v>
      </c>
      <c r="F169" t="s">
        <v>3</v>
      </c>
      <c r="G169" t="s">
        <v>74</v>
      </c>
      <c r="H169" t="s">
        <v>147</v>
      </c>
      <c r="I169" t="s">
        <v>359</v>
      </c>
      <c r="J169" s="2">
        <v>911.42399999999998</v>
      </c>
      <c r="K169">
        <v>4</v>
      </c>
      <c r="L169" s="4"/>
    </row>
    <row r="170" spans="1:12" x14ac:dyDescent="0.3">
      <c r="A170" s="1">
        <v>41434</v>
      </c>
      <c r="B170" s="1">
        <v>41441</v>
      </c>
      <c r="C170" t="s">
        <v>7</v>
      </c>
      <c r="D170" t="s">
        <v>360</v>
      </c>
      <c r="E170" t="s">
        <v>361</v>
      </c>
      <c r="F170" t="s">
        <v>3</v>
      </c>
      <c r="G170" t="s">
        <v>4</v>
      </c>
      <c r="H170" t="s">
        <v>78</v>
      </c>
      <c r="I170" t="s">
        <v>362</v>
      </c>
      <c r="J170" s="2">
        <v>7.36</v>
      </c>
      <c r="K170">
        <v>2</v>
      </c>
      <c r="L170" s="4"/>
    </row>
    <row r="171" spans="1:12" x14ac:dyDescent="0.3">
      <c r="A171" s="1">
        <v>41434</v>
      </c>
      <c r="B171" s="1">
        <v>41441</v>
      </c>
      <c r="C171" t="s">
        <v>7</v>
      </c>
      <c r="D171" t="s">
        <v>360</v>
      </c>
      <c r="E171" t="s">
        <v>361</v>
      </c>
      <c r="F171" t="s">
        <v>3</v>
      </c>
      <c r="G171" t="s">
        <v>4</v>
      </c>
      <c r="H171" t="s">
        <v>15</v>
      </c>
      <c r="I171" t="s">
        <v>363</v>
      </c>
      <c r="J171" s="2">
        <v>23.1</v>
      </c>
      <c r="K171">
        <v>2</v>
      </c>
      <c r="L171" s="4"/>
    </row>
    <row r="172" spans="1:12" x14ac:dyDescent="0.3">
      <c r="A172" s="1">
        <v>41434</v>
      </c>
      <c r="B172" s="1">
        <v>41438</v>
      </c>
      <c r="C172" t="s">
        <v>0</v>
      </c>
      <c r="D172" t="s">
        <v>364</v>
      </c>
      <c r="E172" t="s">
        <v>365</v>
      </c>
      <c r="F172" t="s">
        <v>39</v>
      </c>
      <c r="G172" t="s">
        <v>4</v>
      </c>
      <c r="H172" t="s">
        <v>15</v>
      </c>
      <c r="I172" t="s">
        <v>366</v>
      </c>
      <c r="J172" s="2">
        <v>18.060000000000002</v>
      </c>
      <c r="K172">
        <v>7</v>
      </c>
      <c r="L172" s="4"/>
    </row>
    <row r="173" spans="1:12" x14ac:dyDescent="0.3">
      <c r="A173" s="1">
        <v>41434</v>
      </c>
      <c r="B173" s="1">
        <v>41438</v>
      </c>
      <c r="C173" t="s">
        <v>0</v>
      </c>
      <c r="D173" t="s">
        <v>364</v>
      </c>
      <c r="E173" t="s">
        <v>365</v>
      </c>
      <c r="F173" t="s">
        <v>39</v>
      </c>
      <c r="G173" t="s">
        <v>4</v>
      </c>
      <c r="H173" t="s">
        <v>5</v>
      </c>
      <c r="I173" t="s">
        <v>367</v>
      </c>
      <c r="J173" s="2">
        <v>79.14</v>
      </c>
      <c r="K173">
        <v>3</v>
      </c>
      <c r="L173" s="4"/>
    </row>
    <row r="174" spans="1:12" x14ac:dyDescent="0.3">
      <c r="A174" s="1">
        <v>41434</v>
      </c>
      <c r="B174" s="1">
        <v>41438</v>
      </c>
      <c r="C174" t="s">
        <v>0</v>
      </c>
      <c r="D174" t="s">
        <v>364</v>
      </c>
      <c r="E174" t="s">
        <v>365</v>
      </c>
      <c r="F174" t="s">
        <v>39</v>
      </c>
      <c r="G174" t="s">
        <v>12</v>
      </c>
      <c r="H174" t="s">
        <v>35</v>
      </c>
      <c r="I174" t="s">
        <v>368</v>
      </c>
      <c r="J174" s="2">
        <v>37.4</v>
      </c>
      <c r="K174">
        <v>2</v>
      </c>
      <c r="L174" s="4"/>
    </row>
    <row r="175" spans="1:12" x14ac:dyDescent="0.3">
      <c r="A175" s="1">
        <v>41438</v>
      </c>
      <c r="B175" s="1">
        <v>41442</v>
      </c>
      <c r="C175" t="s">
        <v>7</v>
      </c>
      <c r="D175" t="s">
        <v>369</v>
      </c>
      <c r="E175" t="s">
        <v>370</v>
      </c>
      <c r="F175" t="s">
        <v>3</v>
      </c>
      <c r="G175" t="s">
        <v>4</v>
      </c>
      <c r="H175" t="s">
        <v>15</v>
      </c>
      <c r="I175" t="s">
        <v>371</v>
      </c>
      <c r="J175" s="2">
        <v>14.52</v>
      </c>
      <c r="K175">
        <v>3</v>
      </c>
      <c r="L175" s="4"/>
    </row>
    <row r="176" spans="1:12" x14ac:dyDescent="0.3">
      <c r="A176" s="1">
        <v>41442</v>
      </c>
      <c r="B176" s="1">
        <v>41446</v>
      </c>
      <c r="C176" t="s">
        <v>7</v>
      </c>
      <c r="D176" t="s">
        <v>372</v>
      </c>
      <c r="E176" t="s">
        <v>373</v>
      </c>
      <c r="F176" t="s">
        <v>56</v>
      </c>
      <c r="G176" t="s">
        <v>12</v>
      </c>
      <c r="H176" t="s">
        <v>35</v>
      </c>
      <c r="I176" t="s">
        <v>374</v>
      </c>
      <c r="J176" s="2">
        <v>6.24</v>
      </c>
      <c r="K176">
        <v>3</v>
      </c>
      <c r="L176" s="4"/>
    </row>
    <row r="177" spans="1:12" x14ac:dyDescent="0.3">
      <c r="A177" s="1">
        <v>41442</v>
      </c>
      <c r="B177" s="1">
        <v>41446</v>
      </c>
      <c r="C177" t="s">
        <v>7</v>
      </c>
      <c r="D177" t="s">
        <v>372</v>
      </c>
      <c r="E177" t="s">
        <v>373</v>
      </c>
      <c r="F177" t="s">
        <v>56</v>
      </c>
      <c r="G177" t="s">
        <v>4</v>
      </c>
      <c r="H177" t="s">
        <v>52</v>
      </c>
      <c r="I177" t="s">
        <v>375</v>
      </c>
      <c r="J177" s="2">
        <v>17.899999999999999</v>
      </c>
      <c r="K177">
        <v>5</v>
      </c>
      <c r="L177" s="4"/>
    </row>
    <row r="178" spans="1:12" x14ac:dyDescent="0.3">
      <c r="A178" s="1">
        <v>41442</v>
      </c>
      <c r="B178" s="1">
        <v>41446</v>
      </c>
      <c r="C178" t="s">
        <v>7</v>
      </c>
      <c r="D178" t="s">
        <v>372</v>
      </c>
      <c r="E178" t="s">
        <v>373</v>
      </c>
      <c r="F178" t="s">
        <v>56</v>
      </c>
      <c r="G178" t="s">
        <v>4</v>
      </c>
      <c r="H178" t="s">
        <v>26</v>
      </c>
      <c r="I178" t="s">
        <v>376</v>
      </c>
      <c r="J178" s="2">
        <v>3266.3760000000002</v>
      </c>
      <c r="K178">
        <v>3</v>
      </c>
      <c r="L178" s="4"/>
    </row>
    <row r="179" spans="1:12" x14ac:dyDescent="0.3">
      <c r="A179" s="1">
        <v>41443</v>
      </c>
      <c r="B179" s="1">
        <v>41448</v>
      </c>
      <c r="C179" t="s">
        <v>7</v>
      </c>
      <c r="D179" t="s">
        <v>377</v>
      </c>
      <c r="E179" t="s">
        <v>378</v>
      </c>
      <c r="F179" t="s">
        <v>3</v>
      </c>
      <c r="G179" t="s">
        <v>74</v>
      </c>
      <c r="H179" t="s">
        <v>147</v>
      </c>
      <c r="I179" t="s">
        <v>379</v>
      </c>
      <c r="J179" s="2">
        <v>139.80000000000001</v>
      </c>
      <c r="K179">
        <v>5</v>
      </c>
      <c r="L179" s="4"/>
    </row>
    <row r="180" spans="1:12" x14ac:dyDescent="0.3">
      <c r="A180" s="1">
        <v>41446</v>
      </c>
      <c r="B180" s="1">
        <v>41446</v>
      </c>
      <c r="C180" t="s">
        <v>240</v>
      </c>
      <c r="D180" t="s">
        <v>380</v>
      </c>
      <c r="E180" t="s">
        <v>381</v>
      </c>
      <c r="F180" t="s">
        <v>115</v>
      </c>
      <c r="G180" t="s">
        <v>4</v>
      </c>
      <c r="H180" t="s">
        <v>26</v>
      </c>
      <c r="I180" t="s">
        <v>382</v>
      </c>
      <c r="J180" s="2">
        <v>11.088000000000003</v>
      </c>
      <c r="K180">
        <v>7</v>
      </c>
      <c r="L180" s="4"/>
    </row>
    <row r="181" spans="1:12" x14ac:dyDescent="0.3">
      <c r="A181" s="1">
        <v>41446</v>
      </c>
      <c r="B181" s="1">
        <v>41446</v>
      </c>
      <c r="C181" t="s">
        <v>240</v>
      </c>
      <c r="D181" t="s">
        <v>380</v>
      </c>
      <c r="E181" t="s">
        <v>381</v>
      </c>
      <c r="F181" t="s">
        <v>115</v>
      </c>
      <c r="G181" t="s">
        <v>4</v>
      </c>
      <c r="H181" t="s">
        <v>26</v>
      </c>
      <c r="I181" t="s">
        <v>383</v>
      </c>
      <c r="J181" s="2">
        <v>25.164000000000001</v>
      </c>
      <c r="K181">
        <v>2</v>
      </c>
      <c r="L181" s="4"/>
    </row>
    <row r="182" spans="1:12" x14ac:dyDescent="0.3">
      <c r="A182" s="1">
        <v>41447</v>
      </c>
      <c r="B182" s="1">
        <v>41450</v>
      </c>
      <c r="C182" t="s">
        <v>22</v>
      </c>
      <c r="D182" t="s">
        <v>384</v>
      </c>
      <c r="E182" t="s">
        <v>385</v>
      </c>
      <c r="F182" t="s">
        <v>115</v>
      </c>
      <c r="G182" t="s">
        <v>74</v>
      </c>
      <c r="H182" t="s">
        <v>75</v>
      </c>
      <c r="I182" t="s">
        <v>386</v>
      </c>
      <c r="J182" s="2">
        <v>196.75200000000001</v>
      </c>
      <c r="K182">
        <v>6</v>
      </c>
      <c r="L182" s="4"/>
    </row>
    <row r="183" spans="1:12" x14ac:dyDescent="0.3">
      <c r="A183" s="1">
        <v>41447</v>
      </c>
      <c r="B183" s="1">
        <v>41447</v>
      </c>
      <c r="C183" t="s">
        <v>240</v>
      </c>
      <c r="D183" t="s">
        <v>387</v>
      </c>
      <c r="E183" t="s">
        <v>388</v>
      </c>
      <c r="F183" t="s">
        <v>25</v>
      </c>
      <c r="G183" t="s">
        <v>4</v>
      </c>
      <c r="H183" t="s">
        <v>26</v>
      </c>
      <c r="I183" t="s">
        <v>389</v>
      </c>
      <c r="J183" s="2">
        <v>8.2260000000000009</v>
      </c>
      <c r="K183">
        <v>3</v>
      </c>
      <c r="L183" s="4"/>
    </row>
    <row r="184" spans="1:12" x14ac:dyDescent="0.3">
      <c r="A184" s="1">
        <v>41449</v>
      </c>
      <c r="B184" s="1">
        <v>41453</v>
      </c>
      <c r="C184" t="s">
        <v>7</v>
      </c>
      <c r="D184" t="s">
        <v>390</v>
      </c>
      <c r="E184" t="s">
        <v>391</v>
      </c>
      <c r="F184" t="s">
        <v>25</v>
      </c>
      <c r="G184" t="s">
        <v>12</v>
      </c>
      <c r="H184" t="s">
        <v>35</v>
      </c>
      <c r="I184" t="s">
        <v>392</v>
      </c>
      <c r="J184" s="2">
        <v>4.2720000000000002</v>
      </c>
      <c r="K184">
        <v>2</v>
      </c>
      <c r="L184" s="4"/>
    </row>
    <row r="185" spans="1:12" x14ac:dyDescent="0.3">
      <c r="A185" s="1">
        <v>41450</v>
      </c>
      <c r="B185" s="1">
        <v>41453</v>
      </c>
      <c r="C185" t="s">
        <v>22</v>
      </c>
      <c r="D185" t="s">
        <v>393</v>
      </c>
      <c r="E185" t="s">
        <v>394</v>
      </c>
      <c r="F185" t="s">
        <v>3</v>
      </c>
      <c r="G185" t="s">
        <v>12</v>
      </c>
      <c r="H185" t="s">
        <v>44</v>
      </c>
      <c r="I185" t="s">
        <v>395</v>
      </c>
      <c r="J185" s="2">
        <v>447.84</v>
      </c>
      <c r="K185">
        <v>5</v>
      </c>
      <c r="L185" s="4"/>
    </row>
    <row r="186" spans="1:12" x14ac:dyDescent="0.3">
      <c r="A186" s="1">
        <v>41450</v>
      </c>
      <c r="B186" s="1">
        <v>41452</v>
      </c>
      <c r="C186" t="s">
        <v>0</v>
      </c>
      <c r="D186" t="s">
        <v>396</v>
      </c>
      <c r="E186" t="s">
        <v>397</v>
      </c>
      <c r="F186" t="s">
        <v>19</v>
      </c>
      <c r="G186" t="s">
        <v>74</v>
      </c>
      <c r="H186" t="s">
        <v>147</v>
      </c>
      <c r="I186" t="s">
        <v>398</v>
      </c>
      <c r="J186" s="2">
        <v>263.96000000000004</v>
      </c>
      <c r="K186">
        <v>5</v>
      </c>
      <c r="L186" s="4"/>
    </row>
    <row r="187" spans="1:12" x14ac:dyDescent="0.3">
      <c r="A187" s="1">
        <v>41450</v>
      </c>
      <c r="B187" s="1">
        <v>41452</v>
      </c>
      <c r="C187" t="s">
        <v>0</v>
      </c>
      <c r="D187" t="s">
        <v>396</v>
      </c>
      <c r="E187" t="s">
        <v>397</v>
      </c>
      <c r="F187" t="s">
        <v>19</v>
      </c>
      <c r="G187" t="s">
        <v>4</v>
      </c>
      <c r="H187" t="s">
        <v>15</v>
      </c>
      <c r="I187" t="s">
        <v>399</v>
      </c>
      <c r="J187" s="2">
        <v>71.632000000000005</v>
      </c>
      <c r="K187">
        <v>11</v>
      </c>
      <c r="L187" s="4"/>
    </row>
    <row r="188" spans="1:12" x14ac:dyDescent="0.3">
      <c r="A188" s="1">
        <v>41450</v>
      </c>
      <c r="B188" s="1">
        <v>41452</v>
      </c>
      <c r="C188" t="s">
        <v>0</v>
      </c>
      <c r="D188" t="s">
        <v>396</v>
      </c>
      <c r="E188" t="s">
        <v>397</v>
      </c>
      <c r="F188" t="s">
        <v>19</v>
      </c>
      <c r="G188" t="s">
        <v>4</v>
      </c>
      <c r="H188" t="s">
        <v>15</v>
      </c>
      <c r="I188" t="s">
        <v>400</v>
      </c>
      <c r="J188" s="2">
        <v>9.3280000000000012</v>
      </c>
      <c r="K188">
        <v>1</v>
      </c>
      <c r="L188" s="4"/>
    </row>
    <row r="189" spans="1:12" x14ac:dyDescent="0.3">
      <c r="A189" s="1">
        <v>41455</v>
      </c>
      <c r="B189" s="1">
        <v>41458</v>
      </c>
      <c r="C189" t="s">
        <v>0</v>
      </c>
      <c r="D189" t="s">
        <v>401</v>
      </c>
      <c r="E189" t="s">
        <v>402</v>
      </c>
      <c r="F189" t="s">
        <v>3</v>
      </c>
      <c r="G189" t="s">
        <v>4</v>
      </c>
      <c r="H189" t="s">
        <v>15</v>
      </c>
      <c r="I189" t="s">
        <v>403</v>
      </c>
      <c r="J189" s="2">
        <v>32.400000000000006</v>
      </c>
      <c r="K189">
        <v>5</v>
      </c>
      <c r="L189" s="4"/>
    </row>
    <row r="190" spans="1:12" x14ac:dyDescent="0.3">
      <c r="A190" s="1">
        <v>41456</v>
      </c>
      <c r="B190" s="1">
        <v>41461</v>
      </c>
      <c r="C190" t="s">
        <v>0</v>
      </c>
      <c r="D190" t="s">
        <v>174</v>
      </c>
      <c r="E190" t="s">
        <v>175</v>
      </c>
      <c r="F190" t="s">
        <v>56</v>
      </c>
      <c r="G190" t="s">
        <v>4</v>
      </c>
      <c r="H190" t="s">
        <v>26</v>
      </c>
      <c r="I190" t="s">
        <v>404</v>
      </c>
      <c r="J190" s="2">
        <v>19.920000000000002</v>
      </c>
      <c r="K190">
        <v>5</v>
      </c>
      <c r="L190" s="4"/>
    </row>
    <row r="191" spans="1:12" x14ac:dyDescent="0.3">
      <c r="A191" s="1">
        <v>41459</v>
      </c>
      <c r="B191" s="1">
        <v>41462</v>
      </c>
      <c r="C191" t="s">
        <v>22</v>
      </c>
      <c r="D191" t="s">
        <v>188</v>
      </c>
      <c r="E191" t="s">
        <v>189</v>
      </c>
      <c r="F191" t="s">
        <v>115</v>
      </c>
      <c r="G191" t="s">
        <v>4</v>
      </c>
      <c r="H191" t="s">
        <v>5</v>
      </c>
      <c r="I191" t="s">
        <v>207</v>
      </c>
      <c r="J191" s="2">
        <v>177.536</v>
      </c>
      <c r="K191">
        <v>4</v>
      </c>
      <c r="L191" s="4"/>
    </row>
    <row r="192" spans="1:12" x14ac:dyDescent="0.3">
      <c r="A192" s="1">
        <v>41459</v>
      </c>
      <c r="B192" s="1">
        <v>41462</v>
      </c>
      <c r="C192" t="s">
        <v>22</v>
      </c>
      <c r="D192" t="s">
        <v>188</v>
      </c>
      <c r="E192" t="s">
        <v>189</v>
      </c>
      <c r="F192" t="s">
        <v>115</v>
      </c>
      <c r="G192" t="s">
        <v>4</v>
      </c>
      <c r="H192" t="s">
        <v>20</v>
      </c>
      <c r="I192" t="s">
        <v>21</v>
      </c>
      <c r="J192" s="2">
        <v>32.432000000000002</v>
      </c>
      <c r="K192">
        <v>2</v>
      </c>
      <c r="L192" s="4"/>
    </row>
    <row r="193" spans="1:12" x14ac:dyDescent="0.3">
      <c r="A193" s="1">
        <v>41460</v>
      </c>
      <c r="B193" s="1">
        <v>41466</v>
      </c>
      <c r="C193" t="s">
        <v>7</v>
      </c>
      <c r="D193" t="s">
        <v>405</v>
      </c>
      <c r="E193" t="s">
        <v>406</v>
      </c>
      <c r="F193" t="s">
        <v>3</v>
      </c>
      <c r="G193" t="s">
        <v>4</v>
      </c>
      <c r="H193" t="s">
        <v>26</v>
      </c>
      <c r="I193" t="s">
        <v>407</v>
      </c>
      <c r="J193" s="2">
        <v>180.96000000000004</v>
      </c>
      <c r="K193">
        <v>6</v>
      </c>
      <c r="L193" s="4"/>
    </row>
    <row r="194" spans="1:12" x14ac:dyDescent="0.3">
      <c r="A194" s="1">
        <v>41461</v>
      </c>
      <c r="B194" s="1">
        <v>41467</v>
      </c>
      <c r="C194" t="s">
        <v>7</v>
      </c>
      <c r="D194" t="s">
        <v>408</v>
      </c>
      <c r="E194" t="s">
        <v>409</v>
      </c>
      <c r="F194" t="s">
        <v>3</v>
      </c>
      <c r="G194" t="s">
        <v>12</v>
      </c>
      <c r="H194" t="s">
        <v>70</v>
      </c>
      <c r="I194" t="s">
        <v>410</v>
      </c>
      <c r="J194" s="2">
        <v>478.48</v>
      </c>
      <c r="K194">
        <v>2</v>
      </c>
      <c r="L194" s="4"/>
    </row>
    <row r="195" spans="1:12" x14ac:dyDescent="0.3">
      <c r="A195" s="1">
        <v>41463</v>
      </c>
      <c r="B195" s="1">
        <v>41467</v>
      </c>
      <c r="C195" t="s">
        <v>7</v>
      </c>
      <c r="D195" t="s">
        <v>411</v>
      </c>
      <c r="E195" t="s">
        <v>412</v>
      </c>
      <c r="F195" t="s">
        <v>3</v>
      </c>
      <c r="G195" t="s">
        <v>12</v>
      </c>
      <c r="H195" t="s">
        <v>44</v>
      </c>
      <c r="I195" t="s">
        <v>413</v>
      </c>
      <c r="J195" s="2">
        <v>502.48800000000006</v>
      </c>
      <c r="K195">
        <v>3</v>
      </c>
      <c r="L195" s="4"/>
    </row>
    <row r="196" spans="1:12" x14ac:dyDescent="0.3">
      <c r="A196" s="1">
        <v>41463</v>
      </c>
      <c r="B196" s="1">
        <v>41467</v>
      </c>
      <c r="C196" t="s">
        <v>7</v>
      </c>
      <c r="D196" t="s">
        <v>411</v>
      </c>
      <c r="E196" t="s">
        <v>412</v>
      </c>
      <c r="F196" t="s">
        <v>3</v>
      </c>
      <c r="G196" t="s">
        <v>4</v>
      </c>
      <c r="H196" t="s">
        <v>26</v>
      </c>
      <c r="I196" t="s">
        <v>414</v>
      </c>
      <c r="J196" s="2">
        <v>196.70400000000001</v>
      </c>
      <c r="K196">
        <v>6</v>
      </c>
      <c r="L196" s="4"/>
    </row>
    <row r="197" spans="1:12" x14ac:dyDescent="0.3">
      <c r="A197" s="1">
        <v>41464</v>
      </c>
      <c r="B197" s="1">
        <v>41468</v>
      </c>
      <c r="C197" t="s">
        <v>7</v>
      </c>
      <c r="D197" t="s">
        <v>415</v>
      </c>
      <c r="E197" t="s">
        <v>416</v>
      </c>
      <c r="F197" t="s">
        <v>3</v>
      </c>
      <c r="G197" t="s">
        <v>4</v>
      </c>
      <c r="H197" t="s">
        <v>168</v>
      </c>
      <c r="I197" t="s">
        <v>417</v>
      </c>
      <c r="J197" s="2">
        <v>2.88</v>
      </c>
      <c r="K197">
        <v>1</v>
      </c>
      <c r="L197" s="4"/>
    </row>
    <row r="198" spans="1:12" x14ac:dyDescent="0.3">
      <c r="A198" s="1">
        <v>41464</v>
      </c>
      <c r="B198" s="1">
        <v>41468</v>
      </c>
      <c r="C198" t="s">
        <v>7</v>
      </c>
      <c r="D198" t="s">
        <v>415</v>
      </c>
      <c r="E198" t="s">
        <v>416</v>
      </c>
      <c r="F198" t="s">
        <v>3</v>
      </c>
      <c r="G198" t="s">
        <v>4</v>
      </c>
      <c r="H198" t="s">
        <v>26</v>
      </c>
      <c r="I198" t="s">
        <v>164</v>
      </c>
      <c r="J198" s="2">
        <v>41.904000000000003</v>
      </c>
      <c r="K198">
        <v>6</v>
      </c>
      <c r="L198" s="4"/>
    </row>
    <row r="199" spans="1:12" x14ac:dyDescent="0.3">
      <c r="A199" s="1">
        <v>41464</v>
      </c>
      <c r="B199" s="1">
        <v>41468</v>
      </c>
      <c r="C199" t="s">
        <v>7</v>
      </c>
      <c r="D199" t="s">
        <v>415</v>
      </c>
      <c r="E199" t="s">
        <v>416</v>
      </c>
      <c r="F199" t="s">
        <v>3</v>
      </c>
      <c r="G199" t="s">
        <v>4</v>
      </c>
      <c r="H199" t="s">
        <v>10</v>
      </c>
      <c r="I199" t="s">
        <v>418</v>
      </c>
      <c r="J199" s="2">
        <v>23.92</v>
      </c>
      <c r="K199">
        <v>4</v>
      </c>
      <c r="L199" s="4"/>
    </row>
    <row r="200" spans="1:12" x14ac:dyDescent="0.3">
      <c r="A200" s="1">
        <v>41464</v>
      </c>
      <c r="B200" s="1">
        <v>41469</v>
      </c>
      <c r="C200" t="s">
        <v>7</v>
      </c>
      <c r="D200" t="s">
        <v>419</v>
      </c>
      <c r="E200" t="s">
        <v>420</v>
      </c>
      <c r="F200" t="s">
        <v>3</v>
      </c>
      <c r="G200" t="s">
        <v>4</v>
      </c>
      <c r="H200" t="s">
        <v>26</v>
      </c>
      <c r="I200" t="s">
        <v>421</v>
      </c>
      <c r="J200" s="2">
        <v>14.303999999999998</v>
      </c>
      <c r="K200">
        <v>6</v>
      </c>
      <c r="L200" s="4"/>
    </row>
    <row r="201" spans="1:12" x14ac:dyDescent="0.3">
      <c r="A201" s="1">
        <v>41464</v>
      </c>
      <c r="B201" s="1">
        <v>41469</v>
      </c>
      <c r="C201" t="s">
        <v>7</v>
      </c>
      <c r="D201" t="s">
        <v>419</v>
      </c>
      <c r="E201" t="s">
        <v>420</v>
      </c>
      <c r="F201" t="s">
        <v>3</v>
      </c>
      <c r="G201" t="s">
        <v>12</v>
      </c>
      <c r="H201" t="s">
        <v>13</v>
      </c>
      <c r="I201" t="s">
        <v>134</v>
      </c>
      <c r="J201" s="2">
        <v>119.83299999999998</v>
      </c>
      <c r="K201">
        <v>1</v>
      </c>
      <c r="L201" s="4"/>
    </row>
    <row r="202" spans="1:12" x14ac:dyDescent="0.3">
      <c r="A202" s="1">
        <v>41464</v>
      </c>
      <c r="B202" s="1">
        <v>41469</v>
      </c>
      <c r="C202" t="s">
        <v>7</v>
      </c>
      <c r="D202" t="s">
        <v>419</v>
      </c>
      <c r="E202" t="s">
        <v>420</v>
      </c>
      <c r="F202" t="s">
        <v>3</v>
      </c>
      <c r="G202" t="s">
        <v>4</v>
      </c>
      <c r="H202" t="s">
        <v>15</v>
      </c>
      <c r="I202" t="s">
        <v>422</v>
      </c>
      <c r="J202" s="2">
        <v>5.56</v>
      </c>
      <c r="K202">
        <v>2</v>
      </c>
      <c r="L202" s="4"/>
    </row>
    <row r="203" spans="1:12" x14ac:dyDescent="0.3">
      <c r="A203" s="1">
        <v>41464</v>
      </c>
      <c r="B203" s="1">
        <v>41469</v>
      </c>
      <c r="C203" t="s">
        <v>7</v>
      </c>
      <c r="D203" t="s">
        <v>419</v>
      </c>
      <c r="E203" t="s">
        <v>420</v>
      </c>
      <c r="F203" t="s">
        <v>3</v>
      </c>
      <c r="G203" t="s">
        <v>4</v>
      </c>
      <c r="H203" t="s">
        <v>5</v>
      </c>
      <c r="I203" t="s">
        <v>423</v>
      </c>
      <c r="J203" s="2">
        <v>32.400000000000006</v>
      </c>
      <c r="K203">
        <v>5</v>
      </c>
      <c r="L203" s="4"/>
    </row>
    <row r="204" spans="1:12" x14ac:dyDescent="0.3">
      <c r="A204" s="1">
        <v>41467</v>
      </c>
      <c r="B204" s="1">
        <v>41472</v>
      </c>
      <c r="C204" t="s">
        <v>7</v>
      </c>
      <c r="D204" t="s">
        <v>424</v>
      </c>
      <c r="E204" t="s">
        <v>425</v>
      </c>
      <c r="F204" t="s">
        <v>3</v>
      </c>
      <c r="G204" t="s">
        <v>4</v>
      </c>
      <c r="H204" t="s">
        <v>26</v>
      </c>
      <c r="I204" t="s">
        <v>426</v>
      </c>
      <c r="J204" s="2">
        <v>7.7120000000000006</v>
      </c>
      <c r="K204">
        <v>2</v>
      </c>
      <c r="L204" s="4"/>
    </row>
    <row r="205" spans="1:12" x14ac:dyDescent="0.3">
      <c r="A205" s="1">
        <v>41467</v>
      </c>
      <c r="B205" s="1">
        <v>41472</v>
      </c>
      <c r="C205" t="s">
        <v>7</v>
      </c>
      <c r="D205" t="s">
        <v>424</v>
      </c>
      <c r="E205" t="s">
        <v>425</v>
      </c>
      <c r="F205" t="s">
        <v>3</v>
      </c>
      <c r="G205" t="s">
        <v>12</v>
      </c>
      <c r="H205" t="s">
        <v>44</v>
      </c>
      <c r="I205" t="s">
        <v>427</v>
      </c>
      <c r="J205" s="2">
        <v>698.35200000000009</v>
      </c>
      <c r="K205">
        <v>3</v>
      </c>
      <c r="L205" s="4"/>
    </row>
    <row r="206" spans="1:12" x14ac:dyDescent="0.3">
      <c r="A206" s="1">
        <v>41467</v>
      </c>
      <c r="B206" s="1">
        <v>41471</v>
      </c>
      <c r="C206" t="s">
        <v>7</v>
      </c>
      <c r="D206" t="s">
        <v>428</v>
      </c>
      <c r="E206" t="s">
        <v>429</v>
      </c>
      <c r="F206" t="s">
        <v>3</v>
      </c>
      <c r="G206" t="s">
        <v>4</v>
      </c>
      <c r="H206" t="s">
        <v>10</v>
      </c>
      <c r="I206" t="s">
        <v>301</v>
      </c>
      <c r="J206" s="2">
        <v>249.75</v>
      </c>
      <c r="K206">
        <v>9</v>
      </c>
      <c r="L206" s="4"/>
    </row>
    <row r="207" spans="1:12" x14ac:dyDescent="0.3">
      <c r="A207" s="1">
        <v>41467</v>
      </c>
      <c r="B207" s="1">
        <v>41471</v>
      </c>
      <c r="C207" t="s">
        <v>7</v>
      </c>
      <c r="D207" t="s">
        <v>428</v>
      </c>
      <c r="E207" t="s">
        <v>429</v>
      </c>
      <c r="F207" t="s">
        <v>3</v>
      </c>
      <c r="G207" t="s">
        <v>74</v>
      </c>
      <c r="H207" t="s">
        <v>147</v>
      </c>
      <c r="I207" t="s">
        <v>430</v>
      </c>
      <c r="J207" s="2">
        <v>255.93600000000004</v>
      </c>
      <c r="K207">
        <v>8</v>
      </c>
      <c r="L207" s="4"/>
    </row>
    <row r="208" spans="1:12" x14ac:dyDescent="0.3">
      <c r="A208" s="1">
        <v>41467</v>
      </c>
      <c r="B208" s="1">
        <v>41473</v>
      </c>
      <c r="C208" t="s">
        <v>7</v>
      </c>
      <c r="D208" t="s">
        <v>431</v>
      </c>
      <c r="E208" t="s">
        <v>432</v>
      </c>
      <c r="F208" t="s">
        <v>56</v>
      </c>
      <c r="G208" t="s">
        <v>12</v>
      </c>
      <c r="H208" t="s">
        <v>70</v>
      </c>
      <c r="I208" t="s">
        <v>433</v>
      </c>
      <c r="J208" s="2">
        <v>123.136</v>
      </c>
      <c r="K208">
        <v>4</v>
      </c>
      <c r="L208" s="4"/>
    </row>
    <row r="209" spans="1:12" x14ac:dyDescent="0.3">
      <c r="A209" s="1">
        <v>41467</v>
      </c>
      <c r="B209" s="1">
        <v>41473</v>
      </c>
      <c r="C209" t="s">
        <v>7</v>
      </c>
      <c r="D209" t="s">
        <v>431</v>
      </c>
      <c r="E209" t="s">
        <v>432</v>
      </c>
      <c r="F209" t="s">
        <v>56</v>
      </c>
      <c r="G209" t="s">
        <v>4</v>
      </c>
      <c r="H209" t="s">
        <v>26</v>
      </c>
      <c r="I209" t="s">
        <v>434</v>
      </c>
      <c r="J209" s="2">
        <v>11.264000000000001</v>
      </c>
      <c r="K209">
        <v>4</v>
      </c>
      <c r="L209" s="4"/>
    </row>
    <row r="210" spans="1:12" x14ac:dyDescent="0.3">
      <c r="A210" s="1">
        <v>41468</v>
      </c>
      <c r="B210" s="1">
        <v>41472</v>
      </c>
      <c r="C210" t="s">
        <v>7</v>
      </c>
      <c r="D210" t="s">
        <v>396</v>
      </c>
      <c r="E210" t="s">
        <v>397</v>
      </c>
      <c r="F210" t="s">
        <v>3</v>
      </c>
      <c r="G210" t="s">
        <v>12</v>
      </c>
      <c r="H210" t="s">
        <v>44</v>
      </c>
      <c r="I210" t="s">
        <v>435</v>
      </c>
      <c r="J210" s="2">
        <v>351.21600000000001</v>
      </c>
      <c r="K210">
        <v>3</v>
      </c>
      <c r="L210" s="4"/>
    </row>
    <row r="211" spans="1:12" x14ac:dyDescent="0.3">
      <c r="A211" s="1">
        <v>41469</v>
      </c>
      <c r="B211" s="1">
        <v>41476</v>
      </c>
      <c r="C211" t="s">
        <v>7</v>
      </c>
      <c r="D211" t="s">
        <v>436</v>
      </c>
      <c r="E211" t="s">
        <v>437</v>
      </c>
      <c r="F211" t="s">
        <v>25</v>
      </c>
      <c r="G211" t="s">
        <v>4</v>
      </c>
      <c r="H211" t="s">
        <v>10</v>
      </c>
      <c r="I211" t="s">
        <v>438</v>
      </c>
      <c r="J211" s="2">
        <v>55.92</v>
      </c>
      <c r="K211">
        <v>5</v>
      </c>
      <c r="L211" s="4"/>
    </row>
    <row r="212" spans="1:12" x14ac:dyDescent="0.3">
      <c r="A212" s="1">
        <v>41473</v>
      </c>
      <c r="B212" s="1">
        <v>41473</v>
      </c>
      <c r="C212" t="s">
        <v>240</v>
      </c>
      <c r="D212" t="s">
        <v>439</v>
      </c>
      <c r="E212" t="s">
        <v>440</v>
      </c>
      <c r="F212" t="s">
        <v>25</v>
      </c>
      <c r="G212" t="s">
        <v>12</v>
      </c>
      <c r="H212" t="s">
        <v>70</v>
      </c>
      <c r="I212" t="s">
        <v>441</v>
      </c>
      <c r="J212" s="2">
        <v>259.13600000000002</v>
      </c>
      <c r="K212">
        <v>4</v>
      </c>
      <c r="L212" s="4"/>
    </row>
    <row r="213" spans="1:12" x14ac:dyDescent="0.3">
      <c r="A213" s="1">
        <v>41474</v>
      </c>
      <c r="B213" s="1">
        <v>41479</v>
      </c>
      <c r="C213" t="s">
        <v>7</v>
      </c>
      <c r="D213" t="s">
        <v>442</v>
      </c>
      <c r="E213" t="s">
        <v>443</v>
      </c>
      <c r="F213" t="s">
        <v>228</v>
      </c>
      <c r="G213" t="s">
        <v>4</v>
      </c>
      <c r="H213" t="s">
        <v>26</v>
      </c>
      <c r="I213" t="s">
        <v>444</v>
      </c>
      <c r="J213" s="2">
        <v>6.0960000000000001</v>
      </c>
      <c r="K213">
        <v>2</v>
      </c>
      <c r="L213" s="4"/>
    </row>
    <row r="214" spans="1:12" x14ac:dyDescent="0.3">
      <c r="A214" s="1">
        <v>41475</v>
      </c>
      <c r="B214" s="1">
        <v>41477</v>
      </c>
      <c r="C214" t="s">
        <v>22</v>
      </c>
      <c r="D214" t="s">
        <v>445</v>
      </c>
      <c r="E214" t="s">
        <v>446</v>
      </c>
      <c r="F214" t="s">
        <v>3</v>
      </c>
      <c r="G214" t="s">
        <v>4</v>
      </c>
      <c r="H214" t="s">
        <v>5</v>
      </c>
      <c r="I214" t="s">
        <v>447</v>
      </c>
      <c r="J214" s="2">
        <v>104.85</v>
      </c>
      <c r="K214">
        <v>1</v>
      </c>
      <c r="L214" s="4"/>
    </row>
    <row r="215" spans="1:12" x14ac:dyDescent="0.3">
      <c r="A215" s="1">
        <v>41475</v>
      </c>
      <c r="B215" s="1">
        <v>41477</v>
      </c>
      <c r="C215" t="s">
        <v>22</v>
      </c>
      <c r="D215" t="s">
        <v>445</v>
      </c>
      <c r="E215" t="s">
        <v>446</v>
      </c>
      <c r="F215" t="s">
        <v>3</v>
      </c>
      <c r="G215" t="s">
        <v>4</v>
      </c>
      <c r="H215" t="s">
        <v>26</v>
      </c>
      <c r="I215" t="s">
        <v>448</v>
      </c>
      <c r="J215" s="2">
        <v>8.7040000000000006</v>
      </c>
      <c r="K215">
        <v>2</v>
      </c>
      <c r="L215" s="4"/>
    </row>
    <row r="216" spans="1:12" x14ac:dyDescent="0.3">
      <c r="A216" s="1">
        <v>41475</v>
      </c>
      <c r="B216" s="1">
        <v>41477</v>
      </c>
      <c r="C216" t="s">
        <v>22</v>
      </c>
      <c r="D216" t="s">
        <v>445</v>
      </c>
      <c r="E216" t="s">
        <v>446</v>
      </c>
      <c r="F216" t="s">
        <v>3</v>
      </c>
      <c r="G216" t="s">
        <v>4</v>
      </c>
      <c r="H216" t="s">
        <v>5</v>
      </c>
      <c r="I216" t="s">
        <v>449</v>
      </c>
      <c r="J216" s="2">
        <v>19.920000000000002</v>
      </c>
      <c r="K216">
        <v>4</v>
      </c>
      <c r="L216" s="4"/>
    </row>
    <row r="217" spans="1:12" x14ac:dyDescent="0.3">
      <c r="A217" s="1">
        <v>41475</v>
      </c>
      <c r="B217" s="1">
        <v>41477</v>
      </c>
      <c r="C217" t="s">
        <v>22</v>
      </c>
      <c r="D217" t="s">
        <v>445</v>
      </c>
      <c r="E217" t="s">
        <v>446</v>
      </c>
      <c r="F217" t="s">
        <v>3</v>
      </c>
      <c r="G217" t="s">
        <v>12</v>
      </c>
      <c r="H217" t="s">
        <v>35</v>
      </c>
      <c r="I217" t="s">
        <v>450</v>
      </c>
      <c r="J217" s="2">
        <v>43.019999999999996</v>
      </c>
      <c r="K217">
        <v>3</v>
      </c>
      <c r="L217" s="4"/>
    </row>
    <row r="218" spans="1:12" x14ac:dyDescent="0.3">
      <c r="A218" s="1">
        <v>41475</v>
      </c>
      <c r="B218" s="1">
        <v>41477</v>
      </c>
      <c r="C218" t="s">
        <v>22</v>
      </c>
      <c r="D218" t="s">
        <v>451</v>
      </c>
      <c r="E218" t="s">
        <v>452</v>
      </c>
      <c r="F218" t="s">
        <v>3</v>
      </c>
      <c r="G218" t="s">
        <v>4</v>
      </c>
      <c r="H218" t="s">
        <v>26</v>
      </c>
      <c r="I218" t="s">
        <v>453</v>
      </c>
      <c r="J218" s="2">
        <v>89.712000000000018</v>
      </c>
      <c r="K218">
        <v>6</v>
      </c>
      <c r="L218" s="4"/>
    </row>
    <row r="219" spans="1:12" x14ac:dyDescent="0.3">
      <c r="A219" s="1">
        <v>41475</v>
      </c>
      <c r="B219" s="1">
        <v>41477</v>
      </c>
      <c r="C219" t="s">
        <v>22</v>
      </c>
      <c r="D219" t="s">
        <v>451</v>
      </c>
      <c r="E219" t="s">
        <v>452</v>
      </c>
      <c r="F219" t="s">
        <v>3</v>
      </c>
      <c r="G219" t="s">
        <v>4</v>
      </c>
      <c r="H219" t="s">
        <v>5</v>
      </c>
      <c r="I219" t="s">
        <v>454</v>
      </c>
      <c r="J219" s="2">
        <v>22.830000000000002</v>
      </c>
      <c r="K219">
        <v>3</v>
      </c>
      <c r="L219" s="4"/>
    </row>
    <row r="220" spans="1:12" x14ac:dyDescent="0.3">
      <c r="A220" s="1">
        <v>41475</v>
      </c>
      <c r="B220" s="1">
        <v>41478</v>
      </c>
      <c r="C220" t="s">
        <v>22</v>
      </c>
      <c r="D220" t="s">
        <v>158</v>
      </c>
      <c r="E220" t="s">
        <v>159</v>
      </c>
      <c r="F220" t="s">
        <v>3</v>
      </c>
      <c r="G220" t="s">
        <v>74</v>
      </c>
      <c r="H220" t="s">
        <v>75</v>
      </c>
      <c r="I220" t="s">
        <v>455</v>
      </c>
      <c r="J220" s="2">
        <v>41.94</v>
      </c>
      <c r="K220">
        <v>2</v>
      </c>
      <c r="L220" s="4"/>
    </row>
    <row r="221" spans="1:12" x14ac:dyDescent="0.3">
      <c r="A221" s="1">
        <v>41475</v>
      </c>
      <c r="B221" s="1">
        <v>41478</v>
      </c>
      <c r="C221" t="s">
        <v>22</v>
      </c>
      <c r="D221" t="s">
        <v>158</v>
      </c>
      <c r="E221" t="s">
        <v>159</v>
      </c>
      <c r="F221" t="s">
        <v>3</v>
      </c>
      <c r="G221" t="s">
        <v>4</v>
      </c>
      <c r="H221" t="s">
        <v>5</v>
      </c>
      <c r="I221" t="s">
        <v>456</v>
      </c>
      <c r="J221" s="2">
        <v>11.96</v>
      </c>
      <c r="K221">
        <v>2</v>
      </c>
      <c r="L221" s="4"/>
    </row>
    <row r="222" spans="1:12" x14ac:dyDescent="0.3">
      <c r="A222" s="1">
        <v>41475</v>
      </c>
      <c r="B222" s="1">
        <v>41478</v>
      </c>
      <c r="C222" t="s">
        <v>22</v>
      </c>
      <c r="D222" t="s">
        <v>158</v>
      </c>
      <c r="E222" t="s">
        <v>159</v>
      </c>
      <c r="F222" t="s">
        <v>3</v>
      </c>
      <c r="G222" t="s">
        <v>4</v>
      </c>
      <c r="H222" t="s">
        <v>15</v>
      </c>
      <c r="I222" t="s">
        <v>457</v>
      </c>
      <c r="J222" s="2">
        <v>13.12</v>
      </c>
      <c r="K222">
        <v>4</v>
      </c>
      <c r="L222" s="4"/>
    </row>
    <row r="223" spans="1:12" x14ac:dyDescent="0.3">
      <c r="A223" s="1">
        <v>41475</v>
      </c>
      <c r="B223" s="1">
        <v>41478</v>
      </c>
      <c r="C223" t="s">
        <v>22</v>
      </c>
      <c r="D223" t="s">
        <v>158</v>
      </c>
      <c r="E223" t="s">
        <v>159</v>
      </c>
      <c r="F223" t="s">
        <v>3</v>
      </c>
      <c r="G223" t="s">
        <v>4</v>
      </c>
      <c r="H223" t="s">
        <v>10</v>
      </c>
      <c r="I223" t="s">
        <v>458</v>
      </c>
      <c r="J223" s="2">
        <v>535.41</v>
      </c>
      <c r="K223">
        <v>3</v>
      </c>
      <c r="L223" s="4"/>
    </row>
    <row r="224" spans="1:12" x14ac:dyDescent="0.3">
      <c r="A224" s="1">
        <v>41476</v>
      </c>
      <c r="B224" s="1">
        <v>41480</v>
      </c>
      <c r="C224" t="s">
        <v>7</v>
      </c>
      <c r="D224" t="s">
        <v>459</v>
      </c>
      <c r="E224" t="s">
        <v>460</v>
      </c>
      <c r="F224" t="s">
        <v>3</v>
      </c>
      <c r="G224" t="s">
        <v>4</v>
      </c>
      <c r="H224" t="s">
        <v>15</v>
      </c>
      <c r="I224" t="s">
        <v>461</v>
      </c>
      <c r="J224" s="2">
        <v>99.2</v>
      </c>
      <c r="K224">
        <v>5</v>
      </c>
      <c r="L224" s="4"/>
    </row>
    <row r="225" spans="1:12" x14ac:dyDescent="0.3">
      <c r="A225" s="1">
        <v>41476</v>
      </c>
      <c r="B225" s="1">
        <v>41480</v>
      </c>
      <c r="C225" t="s">
        <v>7</v>
      </c>
      <c r="D225" t="s">
        <v>459</v>
      </c>
      <c r="E225" t="s">
        <v>460</v>
      </c>
      <c r="F225" t="s">
        <v>3</v>
      </c>
      <c r="G225" t="s">
        <v>12</v>
      </c>
      <c r="H225" t="s">
        <v>70</v>
      </c>
      <c r="I225" t="s">
        <v>462</v>
      </c>
      <c r="J225" s="2">
        <v>801.5680000000001</v>
      </c>
      <c r="K225">
        <v>2</v>
      </c>
      <c r="L225" s="4"/>
    </row>
    <row r="226" spans="1:12" x14ac:dyDescent="0.3">
      <c r="A226" s="1">
        <v>41476</v>
      </c>
      <c r="B226" s="1">
        <v>41480</v>
      </c>
      <c r="C226" t="s">
        <v>7</v>
      </c>
      <c r="D226" t="s">
        <v>459</v>
      </c>
      <c r="E226" t="s">
        <v>460</v>
      </c>
      <c r="F226" t="s">
        <v>3</v>
      </c>
      <c r="G226" t="s">
        <v>12</v>
      </c>
      <c r="H226" t="s">
        <v>44</v>
      </c>
      <c r="I226" t="s">
        <v>463</v>
      </c>
      <c r="J226" s="2">
        <v>272.84800000000001</v>
      </c>
      <c r="K226">
        <v>1</v>
      </c>
      <c r="L226" s="4"/>
    </row>
    <row r="227" spans="1:12" x14ac:dyDescent="0.3">
      <c r="A227" s="1">
        <v>41477</v>
      </c>
      <c r="B227" s="1">
        <v>41479</v>
      </c>
      <c r="C227" t="s">
        <v>0</v>
      </c>
      <c r="D227" t="s">
        <v>302</v>
      </c>
      <c r="E227" t="s">
        <v>303</v>
      </c>
      <c r="F227" t="s">
        <v>3</v>
      </c>
      <c r="G227" t="s">
        <v>4</v>
      </c>
      <c r="H227" t="s">
        <v>15</v>
      </c>
      <c r="I227" t="s">
        <v>464</v>
      </c>
      <c r="J227" s="2">
        <v>11.52</v>
      </c>
      <c r="K227">
        <v>4</v>
      </c>
      <c r="L227" s="4"/>
    </row>
    <row r="228" spans="1:12" x14ac:dyDescent="0.3">
      <c r="A228" s="1">
        <v>41477</v>
      </c>
      <c r="B228" s="1">
        <v>41479</v>
      </c>
      <c r="C228" t="s">
        <v>0</v>
      </c>
      <c r="D228" t="s">
        <v>302</v>
      </c>
      <c r="E228" t="s">
        <v>303</v>
      </c>
      <c r="F228" t="s">
        <v>3</v>
      </c>
      <c r="G228" t="s">
        <v>12</v>
      </c>
      <c r="H228" t="s">
        <v>70</v>
      </c>
      <c r="I228" t="s">
        <v>410</v>
      </c>
      <c r="J228" s="2">
        <v>717.72</v>
      </c>
      <c r="K228">
        <v>3</v>
      </c>
      <c r="L228" s="4"/>
    </row>
    <row r="229" spans="1:12" x14ac:dyDescent="0.3">
      <c r="A229" s="1">
        <v>41477</v>
      </c>
      <c r="B229" s="1">
        <v>41479</v>
      </c>
      <c r="C229" t="s">
        <v>0</v>
      </c>
      <c r="D229" t="s">
        <v>302</v>
      </c>
      <c r="E229" t="s">
        <v>303</v>
      </c>
      <c r="F229" t="s">
        <v>3</v>
      </c>
      <c r="G229" t="s">
        <v>4</v>
      </c>
      <c r="H229" t="s">
        <v>10</v>
      </c>
      <c r="I229" t="s">
        <v>465</v>
      </c>
      <c r="J229" s="2">
        <v>236.5</v>
      </c>
      <c r="K229">
        <v>10</v>
      </c>
      <c r="L229" s="4"/>
    </row>
    <row r="230" spans="1:12" x14ac:dyDescent="0.3">
      <c r="A230" s="1">
        <v>41477</v>
      </c>
      <c r="B230" s="1">
        <v>41479</v>
      </c>
      <c r="C230" t="s">
        <v>0</v>
      </c>
      <c r="D230" t="s">
        <v>302</v>
      </c>
      <c r="E230" t="s">
        <v>303</v>
      </c>
      <c r="F230" t="s">
        <v>3</v>
      </c>
      <c r="G230" t="s">
        <v>12</v>
      </c>
      <c r="H230" t="s">
        <v>44</v>
      </c>
      <c r="I230" t="s">
        <v>466</v>
      </c>
      <c r="J230" s="2">
        <v>170.35200000000003</v>
      </c>
      <c r="K230">
        <v>3</v>
      </c>
      <c r="L230" s="4"/>
    </row>
    <row r="231" spans="1:12" x14ac:dyDescent="0.3">
      <c r="A231" s="1">
        <v>41477</v>
      </c>
      <c r="B231" s="1">
        <v>41483</v>
      </c>
      <c r="C231" t="s">
        <v>7</v>
      </c>
      <c r="D231" t="s">
        <v>467</v>
      </c>
      <c r="E231" t="s">
        <v>468</v>
      </c>
      <c r="F231" t="s">
        <v>3</v>
      </c>
      <c r="G231" t="s">
        <v>4</v>
      </c>
      <c r="H231" t="s">
        <v>15</v>
      </c>
      <c r="I231" t="s">
        <v>469</v>
      </c>
      <c r="J231" s="2">
        <v>19.68</v>
      </c>
      <c r="K231">
        <v>6</v>
      </c>
      <c r="L231" s="4"/>
    </row>
    <row r="232" spans="1:12" x14ac:dyDescent="0.3">
      <c r="A232" s="1">
        <v>41478</v>
      </c>
      <c r="B232" s="1">
        <v>41482</v>
      </c>
      <c r="C232" t="s">
        <v>7</v>
      </c>
      <c r="D232" t="s">
        <v>470</v>
      </c>
      <c r="E232" t="s">
        <v>471</v>
      </c>
      <c r="F232" t="s">
        <v>25</v>
      </c>
      <c r="G232" t="s">
        <v>4</v>
      </c>
      <c r="H232" t="s">
        <v>26</v>
      </c>
      <c r="I232" t="s">
        <v>448</v>
      </c>
      <c r="J232" s="2">
        <v>8.1600000000000019</v>
      </c>
      <c r="K232">
        <v>5</v>
      </c>
      <c r="L232" s="4"/>
    </row>
    <row r="233" spans="1:12" x14ac:dyDescent="0.3">
      <c r="A233" s="1">
        <v>41478</v>
      </c>
      <c r="B233" s="1">
        <v>41482</v>
      </c>
      <c r="C233" t="s">
        <v>7</v>
      </c>
      <c r="D233" t="s">
        <v>470</v>
      </c>
      <c r="E233" t="s">
        <v>471</v>
      </c>
      <c r="F233" t="s">
        <v>25</v>
      </c>
      <c r="G233" t="s">
        <v>74</v>
      </c>
      <c r="H233" t="s">
        <v>75</v>
      </c>
      <c r="I233" t="s">
        <v>472</v>
      </c>
      <c r="J233" s="2">
        <v>1023.9360000000001</v>
      </c>
      <c r="K233">
        <v>8</v>
      </c>
      <c r="L233" s="4"/>
    </row>
    <row r="234" spans="1:12" x14ac:dyDescent="0.3">
      <c r="A234" s="1">
        <v>41478</v>
      </c>
      <c r="B234" s="1">
        <v>41482</v>
      </c>
      <c r="C234" t="s">
        <v>7</v>
      </c>
      <c r="D234" t="s">
        <v>470</v>
      </c>
      <c r="E234" t="s">
        <v>471</v>
      </c>
      <c r="F234" t="s">
        <v>25</v>
      </c>
      <c r="G234" t="s">
        <v>4</v>
      </c>
      <c r="H234" t="s">
        <v>15</v>
      </c>
      <c r="I234" t="s">
        <v>473</v>
      </c>
      <c r="J234" s="2">
        <v>9.24</v>
      </c>
      <c r="K234">
        <v>1</v>
      </c>
      <c r="L234" s="4"/>
    </row>
    <row r="235" spans="1:12" x14ac:dyDescent="0.3">
      <c r="A235" s="1">
        <v>41478</v>
      </c>
      <c r="B235" s="1">
        <v>41482</v>
      </c>
      <c r="C235" t="s">
        <v>7</v>
      </c>
      <c r="D235" t="s">
        <v>470</v>
      </c>
      <c r="E235" t="s">
        <v>471</v>
      </c>
      <c r="F235" t="s">
        <v>25</v>
      </c>
      <c r="G235" t="s">
        <v>74</v>
      </c>
      <c r="H235" t="s">
        <v>75</v>
      </c>
      <c r="I235" t="s">
        <v>474</v>
      </c>
      <c r="J235" s="2">
        <v>479.04</v>
      </c>
      <c r="K235">
        <v>10</v>
      </c>
      <c r="L235" s="4"/>
    </row>
    <row r="236" spans="1:12" x14ac:dyDescent="0.3">
      <c r="A236" s="1">
        <v>41478</v>
      </c>
      <c r="B236" s="1">
        <v>41482</v>
      </c>
      <c r="C236" t="s">
        <v>7</v>
      </c>
      <c r="D236" t="s">
        <v>475</v>
      </c>
      <c r="E236" t="s">
        <v>476</v>
      </c>
      <c r="F236" t="s">
        <v>3</v>
      </c>
      <c r="G236" t="s">
        <v>74</v>
      </c>
      <c r="H236" t="s">
        <v>147</v>
      </c>
      <c r="I236" t="s">
        <v>320</v>
      </c>
      <c r="J236" s="2">
        <v>604.75199999999995</v>
      </c>
      <c r="K236">
        <v>6</v>
      </c>
      <c r="L236" s="4"/>
    </row>
    <row r="237" spans="1:12" x14ac:dyDescent="0.3">
      <c r="A237" s="1">
        <v>41478</v>
      </c>
      <c r="B237" s="1">
        <v>41482</v>
      </c>
      <c r="C237" t="s">
        <v>7</v>
      </c>
      <c r="D237" t="s">
        <v>475</v>
      </c>
      <c r="E237" t="s">
        <v>476</v>
      </c>
      <c r="F237" t="s">
        <v>3</v>
      </c>
      <c r="G237" t="s">
        <v>4</v>
      </c>
      <c r="H237" t="s">
        <v>78</v>
      </c>
      <c r="I237" t="s">
        <v>477</v>
      </c>
      <c r="J237" s="2">
        <v>40.700000000000003</v>
      </c>
      <c r="K237">
        <v>5</v>
      </c>
      <c r="L237" s="4"/>
    </row>
    <row r="238" spans="1:12" x14ac:dyDescent="0.3">
      <c r="A238" s="1">
        <v>41478</v>
      </c>
      <c r="B238" s="1">
        <v>41482</v>
      </c>
      <c r="C238" t="s">
        <v>7</v>
      </c>
      <c r="D238" t="s">
        <v>475</v>
      </c>
      <c r="E238" t="s">
        <v>476</v>
      </c>
      <c r="F238" t="s">
        <v>3</v>
      </c>
      <c r="G238" t="s">
        <v>74</v>
      </c>
      <c r="H238" t="s">
        <v>147</v>
      </c>
      <c r="I238" t="s">
        <v>478</v>
      </c>
      <c r="J238" s="2">
        <v>302.37599999999998</v>
      </c>
      <c r="K238">
        <v>3</v>
      </c>
      <c r="L238" s="4"/>
    </row>
    <row r="239" spans="1:12" x14ac:dyDescent="0.3">
      <c r="A239" s="1">
        <v>41478</v>
      </c>
      <c r="B239" s="1">
        <v>41482</v>
      </c>
      <c r="C239" t="s">
        <v>7</v>
      </c>
      <c r="D239" t="s">
        <v>475</v>
      </c>
      <c r="E239" t="s">
        <v>476</v>
      </c>
      <c r="F239" t="s">
        <v>3</v>
      </c>
      <c r="G239" t="s">
        <v>74</v>
      </c>
      <c r="H239" t="s">
        <v>75</v>
      </c>
      <c r="I239" t="s">
        <v>479</v>
      </c>
      <c r="J239" s="2">
        <v>45</v>
      </c>
      <c r="K239">
        <v>3</v>
      </c>
      <c r="L239" s="4"/>
    </row>
    <row r="240" spans="1:12" x14ac:dyDescent="0.3">
      <c r="A240" s="1">
        <v>41480</v>
      </c>
      <c r="B240" s="1">
        <v>41482</v>
      </c>
      <c r="C240" t="s">
        <v>0</v>
      </c>
      <c r="D240" t="s">
        <v>480</v>
      </c>
      <c r="E240" t="s">
        <v>481</v>
      </c>
      <c r="F240" t="s">
        <v>3</v>
      </c>
      <c r="G240" t="s">
        <v>4</v>
      </c>
      <c r="H240" t="s">
        <v>10</v>
      </c>
      <c r="I240" t="s">
        <v>482</v>
      </c>
      <c r="J240" s="2">
        <v>53.72</v>
      </c>
      <c r="K240">
        <v>4</v>
      </c>
      <c r="L240" s="4"/>
    </row>
    <row r="241" spans="1:12" x14ac:dyDescent="0.3">
      <c r="A241" s="1">
        <v>41480</v>
      </c>
      <c r="B241" s="1">
        <v>41482</v>
      </c>
      <c r="C241" t="s">
        <v>0</v>
      </c>
      <c r="D241" t="s">
        <v>480</v>
      </c>
      <c r="E241" t="s">
        <v>481</v>
      </c>
      <c r="F241" t="s">
        <v>3</v>
      </c>
      <c r="G241" t="s">
        <v>4</v>
      </c>
      <c r="H241" t="s">
        <v>78</v>
      </c>
      <c r="I241" t="s">
        <v>483</v>
      </c>
      <c r="J241" s="2">
        <v>8187.65</v>
      </c>
      <c r="K241">
        <v>5</v>
      </c>
      <c r="L241" s="4"/>
    </row>
    <row r="242" spans="1:12" x14ac:dyDescent="0.3">
      <c r="A242" s="1">
        <v>41480</v>
      </c>
      <c r="B242" s="1">
        <v>41482</v>
      </c>
      <c r="C242" t="s">
        <v>0</v>
      </c>
      <c r="D242" t="s">
        <v>480</v>
      </c>
      <c r="E242" t="s">
        <v>481</v>
      </c>
      <c r="F242" t="s">
        <v>3</v>
      </c>
      <c r="G242" t="s">
        <v>12</v>
      </c>
      <c r="H242" t="s">
        <v>35</v>
      </c>
      <c r="I242" t="s">
        <v>484</v>
      </c>
      <c r="J242" s="2">
        <v>77.92</v>
      </c>
      <c r="K242">
        <v>8</v>
      </c>
      <c r="L242" s="4"/>
    </row>
    <row r="243" spans="1:12" x14ac:dyDescent="0.3">
      <c r="A243" s="1">
        <v>41480</v>
      </c>
      <c r="B243" s="1">
        <v>41482</v>
      </c>
      <c r="C243" t="s">
        <v>0</v>
      </c>
      <c r="D243" t="s">
        <v>485</v>
      </c>
      <c r="E243" t="s">
        <v>486</v>
      </c>
      <c r="F243" t="s">
        <v>3</v>
      </c>
      <c r="G243" t="s">
        <v>4</v>
      </c>
      <c r="H243" t="s">
        <v>5</v>
      </c>
      <c r="I243" t="s">
        <v>487</v>
      </c>
      <c r="J243" s="2">
        <v>6.48</v>
      </c>
      <c r="K243">
        <v>1</v>
      </c>
      <c r="L243" s="4"/>
    </row>
    <row r="244" spans="1:12" x14ac:dyDescent="0.3">
      <c r="A244" s="1">
        <v>41480</v>
      </c>
      <c r="B244" s="1">
        <v>41482</v>
      </c>
      <c r="C244" t="s">
        <v>0</v>
      </c>
      <c r="D244" t="s">
        <v>485</v>
      </c>
      <c r="E244" t="s">
        <v>486</v>
      </c>
      <c r="F244" t="s">
        <v>3</v>
      </c>
      <c r="G244" t="s">
        <v>4</v>
      </c>
      <c r="H244" t="s">
        <v>78</v>
      </c>
      <c r="I244" t="s">
        <v>488</v>
      </c>
      <c r="J244" s="2">
        <v>15.52</v>
      </c>
      <c r="K244">
        <v>4</v>
      </c>
      <c r="L244" s="4"/>
    </row>
    <row r="245" spans="1:12" x14ac:dyDescent="0.3">
      <c r="A245" s="1">
        <v>41481</v>
      </c>
      <c r="B245" s="1">
        <v>41488</v>
      </c>
      <c r="C245" t="s">
        <v>7</v>
      </c>
      <c r="D245" t="s">
        <v>185</v>
      </c>
      <c r="E245" t="s">
        <v>186</v>
      </c>
      <c r="F245" t="s">
        <v>39</v>
      </c>
      <c r="G245" t="s">
        <v>74</v>
      </c>
      <c r="H245" t="s">
        <v>147</v>
      </c>
      <c r="I245" t="s">
        <v>489</v>
      </c>
      <c r="J245" s="2">
        <v>911.98400000000004</v>
      </c>
      <c r="K245">
        <v>2</v>
      </c>
      <c r="L245" s="4"/>
    </row>
    <row r="246" spans="1:12" x14ac:dyDescent="0.3">
      <c r="A246" s="1">
        <v>41481</v>
      </c>
      <c r="B246" s="1">
        <v>41488</v>
      </c>
      <c r="C246" t="s">
        <v>7</v>
      </c>
      <c r="D246" t="s">
        <v>185</v>
      </c>
      <c r="E246" t="s">
        <v>186</v>
      </c>
      <c r="F246" t="s">
        <v>39</v>
      </c>
      <c r="G246" t="s">
        <v>12</v>
      </c>
      <c r="H246" t="s">
        <v>70</v>
      </c>
      <c r="I246" t="s">
        <v>490</v>
      </c>
      <c r="J246" s="2">
        <v>674.35200000000009</v>
      </c>
      <c r="K246">
        <v>3</v>
      </c>
      <c r="L246" s="4"/>
    </row>
    <row r="247" spans="1:12" x14ac:dyDescent="0.3">
      <c r="A247" s="1">
        <v>41481</v>
      </c>
      <c r="B247" s="1">
        <v>41488</v>
      </c>
      <c r="C247" t="s">
        <v>7</v>
      </c>
      <c r="D247" t="s">
        <v>185</v>
      </c>
      <c r="E247" t="s">
        <v>186</v>
      </c>
      <c r="F247" t="s">
        <v>39</v>
      </c>
      <c r="G247" t="s">
        <v>12</v>
      </c>
      <c r="H247" t="s">
        <v>35</v>
      </c>
      <c r="I247" t="s">
        <v>491</v>
      </c>
      <c r="J247" s="2">
        <v>134.01</v>
      </c>
      <c r="K247">
        <v>9</v>
      </c>
      <c r="L247" s="4"/>
    </row>
    <row r="248" spans="1:12" x14ac:dyDescent="0.3">
      <c r="A248" s="1">
        <v>41481</v>
      </c>
      <c r="B248" s="1">
        <v>41488</v>
      </c>
      <c r="C248" t="s">
        <v>7</v>
      </c>
      <c r="D248" t="s">
        <v>185</v>
      </c>
      <c r="E248" t="s">
        <v>186</v>
      </c>
      <c r="F248" t="s">
        <v>39</v>
      </c>
      <c r="G248" t="s">
        <v>74</v>
      </c>
      <c r="H248" t="s">
        <v>75</v>
      </c>
      <c r="I248" t="s">
        <v>492</v>
      </c>
      <c r="J248" s="2">
        <v>170.97</v>
      </c>
      <c r="K248">
        <v>3</v>
      </c>
      <c r="L248" s="4"/>
    </row>
    <row r="249" spans="1:12" x14ac:dyDescent="0.3">
      <c r="A249" s="1">
        <v>41481</v>
      </c>
      <c r="B249" s="1">
        <v>41487</v>
      </c>
      <c r="C249" t="s">
        <v>7</v>
      </c>
      <c r="D249" t="s">
        <v>493</v>
      </c>
      <c r="E249" t="s">
        <v>494</v>
      </c>
      <c r="F249" t="s">
        <v>126</v>
      </c>
      <c r="G249" t="s">
        <v>74</v>
      </c>
      <c r="H249" t="s">
        <v>75</v>
      </c>
      <c r="I249" t="s">
        <v>495</v>
      </c>
      <c r="J249" s="2">
        <v>111.93</v>
      </c>
      <c r="K249">
        <v>7</v>
      </c>
      <c r="L249" s="4"/>
    </row>
    <row r="250" spans="1:12" x14ac:dyDescent="0.3">
      <c r="A250" s="1">
        <v>41482</v>
      </c>
      <c r="B250" s="1">
        <v>41484</v>
      </c>
      <c r="C250" t="s">
        <v>0</v>
      </c>
      <c r="D250" t="s">
        <v>496</v>
      </c>
      <c r="E250" t="s">
        <v>497</v>
      </c>
      <c r="F250" t="s">
        <v>3</v>
      </c>
      <c r="G250" t="s">
        <v>74</v>
      </c>
      <c r="H250" t="s">
        <v>75</v>
      </c>
      <c r="I250" t="s">
        <v>498</v>
      </c>
      <c r="J250" s="2">
        <v>238</v>
      </c>
      <c r="K250">
        <v>2</v>
      </c>
      <c r="L250" s="4"/>
    </row>
    <row r="251" spans="1:12" x14ac:dyDescent="0.3">
      <c r="A251" s="1">
        <v>41482</v>
      </c>
      <c r="B251" s="1">
        <v>41485</v>
      </c>
      <c r="C251" t="s">
        <v>0</v>
      </c>
      <c r="D251" t="s">
        <v>499</v>
      </c>
      <c r="E251" t="s">
        <v>500</v>
      </c>
      <c r="F251" t="s">
        <v>3</v>
      </c>
      <c r="G251" t="s">
        <v>4</v>
      </c>
      <c r="H251" t="s">
        <v>10</v>
      </c>
      <c r="I251" t="s">
        <v>501</v>
      </c>
      <c r="J251" s="2">
        <v>276.27999999999997</v>
      </c>
      <c r="K251">
        <v>2</v>
      </c>
      <c r="L251" s="4"/>
    </row>
    <row r="252" spans="1:12" x14ac:dyDescent="0.3">
      <c r="A252" s="1">
        <v>41485</v>
      </c>
      <c r="B252" s="1">
        <v>41491</v>
      </c>
      <c r="C252" t="s">
        <v>7</v>
      </c>
      <c r="D252" t="s">
        <v>502</v>
      </c>
      <c r="E252" t="s">
        <v>503</v>
      </c>
      <c r="F252" t="s">
        <v>56</v>
      </c>
      <c r="G252" t="s">
        <v>12</v>
      </c>
      <c r="H252" t="s">
        <v>13</v>
      </c>
      <c r="I252" t="s">
        <v>504</v>
      </c>
      <c r="J252" s="2">
        <v>1367.84</v>
      </c>
      <c r="K252">
        <v>8</v>
      </c>
      <c r="L252" s="4"/>
    </row>
    <row r="253" spans="1:12" x14ac:dyDescent="0.3">
      <c r="A253" s="1">
        <v>41487</v>
      </c>
      <c r="B253" s="1">
        <v>41489</v>
      </c>
      <c r="C253" t="s">
        <v>22</v>
      </c>
      <c r="D253" t="s">
        <v>505</v>
      </c>
      <c r="E253" t="s">
        <v>506</v>
      </c>
      <c r="F253" t="s">
        <v>3</v>
      </c>
      <c r="G253" t="s">
        <v>4</v>
      </c>
      <c r="H253" t="s">
        <v>26</v>
      </c>
      <c r="I253" t="s">
        <v>507</v>
      </c>
      <c r="J253" s="2">
        <v>19.752000000000002</v>
      </c>
      <c r="K253">
        <v>3</v>
      </c>
      <c r="L253" s="4"/>
    </row>
    <row r="254" spans="1:12" x14ac:dyDescent="0.3">
      <c r="A254" s="1">
        <v>41489</v>
      </c>
      <c r="B254" s="1">
        <v>41491</v>
      </c>
      <c r="C254" t="s">
        <v>22</v>
      </c>
      <c r="D254" t="s">
        <v>508</v>
      </c>
      <c r="E254" t="s">
        <v>509</v>
      </c>
      <c r="F254" t="s">
        <v>115</v>
      </c>
      <c r="G254" t="s">
        <v>12</v>
      </c>
      <c r="H254" t="s">
        <v>44</v>
      </c>
      <c r="I254" t="s">
        <v>510</v>
      </c>
      <c r="J254" s="2">
        <v>218.75</v>
      </c>
      <c r="K254">
        <v>2</v>
      </c>
      <c r="L254" s="4"/>
    </row>
    <row r="255" spans="1:12" x14ac:dyDescent="0.3">
      <c r="A255" s="1">
        <v>41489</v>
      </c>
      <c r="B255" s="1">
        <v>41491</v>
      </c>
      <c r="C255" t="s">
        <v>22</v>
      </c>
      <c r="D255" t="s">
        <v>508</v>
      </c>
      <c r="E255" t="s">
        <v>509</v>
      </c>
      <c r="F255" t="s">
        <v>115</v>
      </c>
      <c r="G255" t="s">
        <v>4</v>
      </c>
      <c r="H255" t="s">
        <v>20</v>
      </c>
      <c r="I255" t="s">
        <v>511</v>
      </c>
      <c r="J255" s="2">
        <v>2.6</v>
      </c>
      <c r="K255">
        <v>1</v>
      </c>
      <c r="L255" s="4"/>
    </row>
    <row r="256" spans="1:12" x14ac:dyDescent="0.3">
      <c r="A256" s="1">
        <v>41489</v>
      </c>
      <c r="B256" s="1">
        <v>41491</v>
      </c>
      <c r="C256" t="s">
        <v>0</v>
      </c>
      <c r="D256" t="s">
        <v>415</v>
      </c>
      <c r="E256" t="s">
        <v>416</v>
      </c>
      <c r="F256" t="s">
        <v>25</v>
      </c>
      <c r="G256" t="s">
        <v>4</v>
      </c>
      <c r="H256" t="s">
        <v>5</v>
      </c>
      <c r="I256" t="s">
        <v>512</v>
      </c>
      <c r="J256" s="2">
        <v>93.024000000000001</v>
      </c>
      <c r="K256">
        <v>3</v>
      </c>
      <c r="L256" s="4"/>
    </row>
    <row r="257" spans="1:12" x14ac:dyDescent="0.3">
      <c r="A257" s="1">
        <v>41490</v>
      </c>
      <c r="B257" s="1">
        <v>41495</v>
      </c>
      <c r="C257" t="s">
        <v>0</v>
      </c>
      <c r="D257" t="s">
        <v>513</v>
      </c>
      <c r="E257" t="s">
        <v>514</v>
      </c>
      <c r="F257" t="s">
        <v>126</v>
      </c>
      <c r="G257" t="s">
        <v>4</v>
      </c>
      <c r="H257" t="s">
        <v>20</v>
      </c>
      <c r="I257" t="s">
        <v>515</v>
      </c>
      <c r="J257" s="2">
        <v>1089.75</v>
      </c>
      <c r="K257">
        <v>3</v>
      </c>
      <c r="L257" s="4"/>
    </row>
    <row r="258" spans="1:12" x14ac:dyDescent="0.3">
      <c r="A258" s="1">
        <v>41490</v>
      </c>
      <c r="B258" s="1">
        <v>41495</v>
      </c>
      <c r="C258" t="s">
        <v>0</v>
      </c>
      <c r="D258" t="s">
        <v>513</v>
      </c>
      <c r="E258" t="s">
        <v>514</v>
      </c>
      <c r="F258" t="s">
        <v>126</v>
      </c>
      <c r="G258" t="s">
        <v>4</v>
      </c>
      <c r="H258" t="s">
        <v>5</v>
      </c>
      <c r="I258" t="s">
        <v>516</v>
      </c>
      <c r="J258" s="2">
        <v>447.84</v>
      </c>
      <c r="K258">
        <v>8</v>
      </c>
      <c r="L258" s="4"/>
    </row>
    <row r="259" spans="1:12" x14ac:dyDescent="0.3">
      <c r="A259" s="1">
        <v>41490</v>
      </c>
      <c r="B259" s="1">
        <v>41495</v>
      </c>
      <c r="C259" t="s">
        <v>0</v>
      </c>
      <c r="D259" t="s">
        <v>513</v>
      </c>
      <c r="E259" t="s">
        <v>514</v>
      </c>
      <c r="F259" t="s">
        <v>126</v>
      </c>
      <c r="G259" t="s">
        <v>4</v>
      </c>
      <c r="H259" t="s">
        <v>15</v>
      </c>
      <c r="I259" t="s">
        <v>517</v>
      </c>
      <c r="J259" s="2">
        <v>16.399999999999999</v>
      </c>
      <c r="K259">
        <v>5</v>
      </c>
      <c r="L259" s="4"/>
    </row>
    <row r="260" spans="1:12" x14ac:dyDescent="0.3">
      <c r="A260" s="1">
        <v>41490</v>
      </c>
      <c r="B260" s="1">
        <v>41495</v>
      </c>
      <c r="C260" t="s">
        <v>0</v>
      </c>
      <c r="D260" t="s">
        <v>513</v>
      </c>
      <c r="E260" t="s">
        <v>514</v>
      </c>
      <c r="F260" t="s">
        <v>126</v>
      </c>
      <c r="G260" t="s">
        <v>74</v>
      </c>
      <c r="H260" t="s">
        <v>147</v>
      </c>
      <c r="I260" t="s">
        <v>518</v>
      </c>
      <c r="J260" s="2">
        <v>399.96000000000004</v>
      </c>
      <c r="K260">
        <v>5</v>
      </c>
      <c r="L260" s="4"/>
    </row>
    <row r="261" spans="1:12" x14ac:dyDescent="0.3">
      <c r="A261" s="1">
        <v>41490</v>
      </c>
      <c r="B261" s="1">
        <v>41495</v>
      </c>
      <c r="C261" t="s">
        <v>0</v>
      </c>
      <c r="D261" t="s">
        <v>513</v>
      </c>
      <c r="E261" t="s">
        <v>514</v>
      </c>
      <c r="F261" t="s">
        <v>126</v>
      </c>
      <c r="G261" t="s">
        <v>4</v>
      </c>
      <c r="H261" t="s">
        <v>10</v>
      </c>
      <c r="I261" t="s">
        <v>519</v>
      </c>
      <c r="J261" s="2">
        <v>158.9</v>
      </c>
      <c r="K261">
        <v>5</v>
      </c>
      <c r="L261" s="4"/>
    </row>
    <row r="262" spans="1:12" x14ac:dyDescent="0.3">
      <c r="A262" s="1">
        <v>41490</v>
      </c>
      <c r="B262" s="1">
        <v>41495</v>
      </c>
      <c r="C262" t="s">
        <v>0</v>
      </c>
      <c r="D262" t="s">
        <v>513</v>
      </c>
      <c r="E262" t="s">
        <v>514</v>
      </c>
      <c r="F262" t="s">
        <v>126</v>
      </c>
      <c r="G262" t="s">
        <v>4</v>
      </c>
      <c r="H262" t="s">
        <v>26</v>
      </c>
      <c r="I262" t="s">
        <v>520</v>
      </c>
      <c r="J262" s="2">
        <v>13.184000000000001</v>
      </c>
      <c r="K262">
        <v>1</v>
      </c>
      <c r="L262" s="4"/>
    </row>
    <row r="263" spans="1:12" x14ac:dyDescent="0.3">
      <c r="A263" s="1">
        <v>41491</v>
      </c>
      <c r="B263" s="1">
        <v>41495</v>
      </c>
      <c r="C263" t="s">
        <v>7</v>
      </c>
      <c r="D263" t="s">
        <v>521</v>
      </c>
      <c r="E263" t="s">
        <v>522</v>
      </c>
      <c r="F263" t="s">
        <v>3</v>
      </c>
      <c r="G263" t="s">
        <v>4</v>
      </c>
      <c r="H263" t="s">
        <v>5</v>
      </c>
      <c r="I263" t="s">
        <v>523</v>
      </c>
      <c r="J263" s="2">
        <v>20.94</v>
      </c>
      <c r="K263">
        <v>3</v>
      </c>
      <c r="L263" s="4"/>
    </row>
    <row r="264" spans="1:12" x14ac:dyDescent="0.3">
      <c r="A264" s="1">
        <v>41491</v>
      </c>
      <c r="B264" s="1">
        <v>41495</v>
      </c>
      <c r="C264" t="s">
        <v>7</v>
      </c>
      <c r="D264" t="s">
        <v>521</v>
      </c>
      <c r="E264" t="s">
        <v>522</v>
      </c>
      <c r="F264" t="s">
        <v>3</v>
      </c>
      <c r="G264" t="s">
        <v>4</v>
      </c>
      <c r="H264" t="s">
        <v>5</v>
      </c>
      <c r="I264" t="s">
        <v>524</v>
      </c>
      <c r="J264" s="2">
        <v>110.96</v>
      </c>
      <c r="K264">
        <v>2</v>
      </c>
      <c r="L264" s="4"/>
    </row>
    <row r="265" spans="1:12" x14ac:dyDescent="0.3">
      <c r="A265" s="1">
        <v>41491</v>
      </c>
      <c r="B265" s="1">
        <v>41495</v>
      </c>
      <c r="C265" t="s">
        <v>7</v>
      </c>
      <c r="D265" t="s">
        <v>521</v>
      </c>
      <c r="E265" t="s">
        <v>522</v>
      </c>
      <c r="F265" t="s">
        <v>3</v>
      </c>
      <c r="G265" t="s">
        <v>12</v>
      </c>
      <c r="H265" t="s">
        <v>70</v>
      </c>
      <c r="I265" t="s">
        <v>525</v>
      </c>
      <c r="J265" s="2">
        <v>340.14400000000006</v>
      </c>
      <c r="K265">
        <v>7</v>
      </c>
      <c r="L265" s="4"/>
    </row>
    <row r="266" spans="1:12" x14ac:dyDescent="0.3">
      <c r="A266" s="1">
        <v>41491</v>
      </c>
      <c r="B266" s="1">
        <v>41497</v>
      </c>
      <c r="C266" t="s">
        <v>7</v>
      </c>
      <c r="D266" t="s">
        <v>526</v>
      </c>
      <c r="E266" t="s">
        <v>527</v>
      </c>
      <c r="F266" t="s">
        <v>3</v>
      </c>
      <c r="G266" t="s">
        <v>74</v>
      </c>
      <c r="H266" t="s">
        <v>75</v>
      </c>
      <c r="I266" t="s">
        <v>528</v>
      </c>
      <c r="J266" s="2">
        <v>16.36</v>
      </c>
      <c r="K266">
        <v>1</v>
      </c>
      <c r="L266" s="4"/>
    </row>
    <row r="267" spans="1:12" x14ac:dyDescent="0.3">
      <c r="A267" s="1">
        <v>41491</v>
      </c>
      <c r="B267" s="1">
        <v>41497</v>
      </c>
      <c r="C267" t="s">
        <v>7</v>
      </c>
      <c r="D267" t="s">
        <v>526</v>
      </c>
      <c r="E267" t="s">
        <v>527</v>
      </c>
      <c r="F267" t="s">
        <v>3</v>
      </c>
      <c r="G267" t="s">
        <v>4</v>
      </c>
      <c r="H267" t="s">
        <v>10</v>
      </c>
      <c r="I267" t="s">
        <v>529</v>
      </c>
      <c r="J267" s="2">
        <v>15.78</v>
      </c>
      <c r="K267">
        <v>2</v>
      </c>
      <c r="L267" s="4"/>
    </row>
    <row r="268" spans="1:12" x14ac:dyDescent="0.3">
      <c r="A268" s="1">
        <v>41491</v>
      </c>
      <c r="B268" s="1">
        <v>41497</v>
      </c>
      <c r="C268" t="s">
        <v>7</v>
      </c>
      <c r="D268" t="s">
        <v>526</v>
      </c>
      <c r="E268" t="s">
        <v>527</v>
      </c>
      <c r="F268" t="s">
        <v>3</v>
      </c>
      <c r="G268" t="s">
        <v>4</v>
      </c>
      <c r="H268" t="s">
        <v>15</v>
      </c>
      <c r="I268" t="s">
        <v>530</v>
      </c>
      <c r="J268" s="2">
        <v>45.98</v>
      </c>
      <c r="K268">
        <v>2</v>
      </c>
      <c r="L268" s="4"/>
    </row>
    <row r="269" spans="1:12" x14ac:dyDescent="0.3">
      <c r="A269" s="1">
        <v>41494</v>
      </c>
      <c r="B269" s="1">
        <v>41501</v>
      </c>
      <c r="C269" t="s">
        <v>7</v>
      </c>
      <c r="D269" t="s">
        <v>531</v>
      </c>
      <c r="E269" t="s">
        <v>532</v>
      </c>
      <c r="F269" t="s">
        <v>3</v>
      </c>
      <c r="G269" t="s">
        <v>4</v>
      </c>
      <c r="H269" t="s">
        <v>20</v>
      </c>
      <c r="I269" t="s">
        <v>533</v>
      </c>
      <c r="J269" s="2">
        <v>76.12</v>
      </c>
      <c r="K269">
        <v>2</v>
      </c>
      <c r="L269" s="4"/>
    </row>
    <row r="270" spans="1:12" x14ac:dyDescent="0.3">
      <c r="A270" s="1">
        <v>41494</v>
      </c>
      <c r="B270" s="1">
        <v>41501</v>
      </c>
      <c r="C270" t="s">
        <v>7</v>
      </c>
      <c r="D270" t="s">
        <v>531</v>
      </c>
      <c r="E270" t="s">
        <v>532</v>
      </c>
      <c r="F270" t="s">
        <v>3</v>
      </c>
      <c r="G270" t="s">
        <v>74</v>
      </c>
      <c r="H270" t="s">
        <v>534</v>
      </c>
      <c r="I270" t="s">
        <v>535</v>
      </c>
      <c r="J270" s="2">
        <v>1199.9760000000001</v>
      </c>
      <c r="K270">
        <v>3</v>
      </c>
      <c r="L270" s="4"/>
    </row>
    <row r="271" spans="1:12" x14ac:dyDescent="0.3">
      <c r="A271" s="1">
        <v>41494</v>
      </c>
      <c r="B271" s="1">
        <v>41501</v>
      </c>
      <c r="C271" t="s">
        <v>7</v>
      </c>
      <c r="D271" t="s">
        <v>531</v>
      </c>
      <c r="E271" t="s">
        <v>532</v>
      </c>
      <c r="F271" t="s">
        <v>3</v>
      </c>
      <c r="G271" t="s">
        <v>74</v>
      </c>
      <c r="H271" t="s">
        <v>147</v>
      </c>
      <c r="I271" t="s">
        <v>536</v>
      </c>
      <c r="J271" s="2">
        <v>445.96000000000004</v>
      </c>
      <c r="K271">
        <v>5</v>
      </c>
      <c r="L271" s="4"/>
    </row>
    <row r="272" spans="1:12" x14ac:dyDescent="0.3">
      <c r="A272" s="1">
        <v>41494</v>
      </c>
      <c r="B272" s="1">
        <v>41501</v>
      </c>
      <c r="C272" t="s">
        <v>7</v>
      </c>
      <c r="D272" t="s">
        <v>531</v>
      </c>
      <c r="E272" t="s">
        <v>532</v>
      </c>
      <c r="F272" t="s">
        <v>3</v>
      </c>
      <c r="G272" t="s">
        <v>12</v>
      </c>
      <c r="H272" t="s">
        <v>35</v>
      </c>
      <c r="I272" t="s">
        <v>537</v>
      </c>
      <c r="J272" s="2">
        <v>327.76</v>
      </c>
      <c r="K272">
        <v>8</v>
      </c>
      <c r="L272" s="4"/>
    </row>
    <row r="273" spans="1:12" x14ac:dyDescent="0.3">
      <c r="A273" s="1">
        <v>41494</v>
      </c>
      <c r="B273" s="1">
        <v>41500</v>
      </c>
      <c r="C273" t="s">
        <v>7</v>
      </c>
      <c r="D273" t="s">
        <v>538</v>
      </c>
      <c r="E273" t="s">
        <v>539</v>
      </c>
      <c r="F273" t="s">
        <v>25</v>
      </c>
      <c r="G273" t="s">
        <v>12</v>
      </c>
      <c r="H273" t="s">
        <v>35</v>
      </c>
      <c r="I273" t="s">
        <v>540</v>
      </c>
      <c r="J273" s="2">
        <v>121.376</v>
      </c>
      <c r="K273">
        <v>4</v>
      </c>
      <c r="L273" s="4"/>
    </row>
    <row r="274" spans="1:12" x14ac:dyDescent="0.3">
      <c r="A274" s="1">
        <v>41494</v>
      </c>
      <c r="B274" s="1">
        <v>41500</v>
      </c>
      <c r="C274" t="s">
        <v>7</v>
      </c>
      <c r="D274" t="s">
        <v>538</v>
      </c>
      <c r="E274" t="s">
        <v>539</v>
      </c>
      <c r="F274" t="s">
        <v>25</v>
      </c>
      <c r="G274" t="s">
        <v>74</v>
      </c>
      <c r="H274" t="s">
        <v>75</v>
      </c>
      <c r="I274" t="s">
        <v>541</v>
      </c>
      <c r="J274" s="2">
        <v>95.976000000000013</v>
      </c>
      <c r="K274">
        <v>3</v>
      </c>
      <c r="L274" s="4"/>
    </row>
    <row r="275" spans="1:12" x14ac:dyDescent="0.3">
      <c r="A275" s="1">
        <v>41494</v>
      </c>
      <c r="B275" s="1">
        <v>41497</v>
      </c>
      <c r="C275" t="s">
        <v>0</v>
      </c>
      <c r="D275" t="s">
        <v>542</v>
      </c>
      <c r="E275" t="s">
        <v>543</v>
      </c>
      <c r="F275" t="s">
        <v>3</v>
      </c>
      <c r="G275" t="s">
        <v>4</v>
      </c>
      <c r="H275" t="s">
        <v>10</v>
      </c>
      <c r="I275" t="s">
        <v>544</v>
      </c>
      <c r="J275" s="2">
        <v>423.28</v>
      </c>
      <c r="K275">
        <v>11</v>
      </c>
      <c r="L275" s="4"/>
    </row>
    <row r="276" spans="1:12" x14ac:dyDescent="0.3">
      <c r="A276" s="1">
        <v>41495</v>
      </c>
      <c r="B276" s="1">
        <v>41502</v>
      </c>
      <c r="C276" t="s">
        <v>7</v>
      </c>
      <c r="D276" t="s">
        <v>545</v>
      </c>
      <c r="E276" t="s">
        <v>546</v>
      </c>
      <c r="F276" t="s">
        <v>3</v>
      </c>
      <c r="G276" t="s">
        <v>4</v>
      </c>
      <c r="H276" t="s">
        <v>168</v>
      </c>
      <c r="I276" t="s">
        <v>547</v>
      </c>
      <c r="J276" s="2">
        <v>20.88</v>
      </c>
      <c r="K276">
        <v>8</v>
      </c>
      <c r="L276" s="4"/>
    </row>
    <row r="277" spans="1:12" x14ac:dyDescent="0.3">
      <c r="A277" s="1">
        <v>41495</v>
      </c>
      <c r="B277" s="1">
        <v>41499</v>
      </c>
      <c r="C277" t="s">
        <v>7</v>
      </c>
      <c r="D277" t="s">
        <v>548</v>
      </c>
      <c r="E277" t="s">
        <v>549</v>
      </c>
      <c r="F277" t="s">
        <v>56</v>
      </c>
      <c r="G277" t="s">
        <v>74</v>
      </c>
      <c r="H277" t="s">
        <v>147</v>
      </c>
      <c r="I277" t="s">
        <v>550</v>
      </c>
      <c r="J277" s="2">
        <v>1091.1680000000001</v>
      </c>
      <c r="K277">
        <v>4</v>
      </c>
      <c r="L277" s="4"/>
    </row>
    <row r="278" spans="1:12" x14ac:dyDescent="0.3">
      <c r="A278" s="1">
        <v>41495</v>
      </c>
      <c r="B278" s="1">
        <v>41499</v>
      </c>
      <c r="C278" t="s">
        <v>7</v>
      </c>
      <c r="D278" t="s">
        <v>548</v>
      </c>
      <c r="E278" t="s">
        <v>549</v>
      </c>
      <c r="F278" t="s">
        <v>56</v>
      </c>
      <c r="G278" t="s">
        <v>74</v>
      </c>
      <c r="H278" t="s">
        <v>147</v>
      </c>
      <c r="I278" t="s">
        <v>551</v>
      </c>
      <c r="J278" s="2">
        <v>219.16800000000001</v>
      </c>
      <c r="K278">
        <v>2</v>
      </c>
      <c r="L278" s="4"/>
    </row>
    <row r="279" spans="1:12" x14ac:dyDescent="0.3">
      <c r="A279" s="1">
        <v>41495</v>
      </c>
      <c r="B279" s="1">
        <v>41499</v>
      </c>
      <c r="C279" t="s">
        <v>7</v>
      </c>
      <c r="D279" t="s">
        <v>552</v>
      </c>
      <c r="E279" t="s">
        <v>553</v>
      </c>
      <c r="F279" t="s">
        <v>56</v>
      </c>
      <c r="G279" t="s">
        <v>4</v>
      </c>
      <c r="H279" t="s">
        <v>26</v>
      </c>
      <c r="I279" t="s">
        <v>554</v>
      </c>
      <c r="J279" s="2">
        <v>2060.7440000000001</v>
      </c>
      <c r="K279">
        <v>7</v>
      </c>
      <c r="L279" s="4"/>
    </row>
    <row r="280" spans="1:12" x14ac:dyDescent="0.3">
      <c r="A280" s="1">
        <v>41495</v>
      </c>
      <c r="B280" s="1">
        <v>41500</v>
      </c>
      <c r="C280" t="s">
        <v>7</v>
      </c>
      <c r="D280" t="s">
        <v>555</v>
      </c>
      <c r="E280" t="s">
        <v>556</v>
      </c>
      <c r="F280" t="s">
        <v>3</v>
      </c>
      <c r="G280" t="s">
        <v>4</v>
      </c>
      <c r="H280" t="s">
        <v>5</v>
      </c>
      <c r="I280" t="s">
        <v>557</v>
      </c>
      <c r="J280" s="2">
        <v>5.98</v>
      </c>
      <c r="K280">
        <v>1</v>
      </c>
      <c r="L280" s="4"/>
    </row>
    <row r="281" spans="1:12" x14ac:dyDescent="0.3">
      <c r="A281" s="1">
        <v>41495</v>
      </c>
      <c r="B281" s="1">
        <v>41499</v>
      </c>
      <c r="C281" t="s">
        <v>7</v>
      </c>
      <c r="D281" t="s">
        <v>451</v>
      </c>
      <c r="E281" t="s">
        <v>452</v>
      </c>
      <c r="F281" t="s">
        <v>25</v>
      </c>
      <c r="G281" t="s">
        <v>4</v>
      </c>
      <c r="H281" t="s">
        <v>52</v>
      </c>
      <c r="I281" t="s">
        <v>558</v>
      </c>
      <c r="J281" s="2">
        <v>4.4640000000000004</v>
      </c>
      <c r="K281">
        <v>3</v>
      </c>
      <c r="L281" s="4"/>
    </row>
    <row r="282" spans="1:12" x14ac:dyDescent="0.3">
      <c r="A282" s="1">
        <v>41495</v>
      </c>
      <c r="B282" s="1">
        <v>41499</v>
      </c>
      <c r="C282" t="s">
        <v>7</v>
      </c>
      <c r="D282" t="s">
        <v>451</v>
      </c>
      <c r="E282" t="s">
        <v>452</v>
      </c>
      <c r="F282" t="s">
        <v>25</v>
      </c>
      <c r="G282" t="s">
        <v>4</v>
      </c>
      <c r="H282" t="s">
        <v>26</v>
      </c>
      <c r="I282" t="s">
        <v>559</v>
      </c>
      <c r="J282" s="2">
        <v>9.3450000000000024</v>
      </c>
      <c r="K282">
        <v>5</v>
      </c>
      <c r="L282" s="4"/>
    </row>
    <row r="283" spans="1:12" x14ac:dyDescent="0.3">
      <c r="A283" s="1">
        <v>41497</v>
      </c>
      <c r="B283" s="1">
        <v>41501</v>
      </c>
      <c r="C283" t="s">
        <v>7</v>
      </c>
      <c r="D283" t="s">
        <v>293</v>
      </c>
      <c r="E283" t="s">
        <v>294</v>
      </c>
      <c r="F283" t="s">
        <v>56</v>
      </c>
      <c r="G283" t="s">
        <v>12</v>
      </c>
      <c r="H283" t="s">
        <v>35</v>
      </c>
      <c r="I283" t="s">
        <v>560</v>
      </c>
      <c r="J283" s="2">
        <v>12.35</v>
      </c>
      <c r="K283">
        <v>1</v>
      </c>
      <c r="L283" s="4"/>
    </row>
    <row r="284" spans="1:12" x14ac:dyDescent="0.3">
      <c r="A284" s="1">
        <v>41497</v>
      </c>
      <c r="B284" s="1">
        <v>41501</v>
      </c>
      <c r="C284" t="s">
        <v>7</v>
      </c>
      <c r="D284" t="s">
        <v>293</v>
      </c>
      <c r="E284" t="s">
        <v>294</v>
      </c>
      <c r="F284" t="s">
        <v>56</v>
      </c>
      <c r="G284" t="s">
        <v>4</v>
      </c>
      <c r="H284" t="s">
        <v>15</v>
      </c>
      <c r="I284" t="s">
        <v>561</v>
      </c>
      <c r="J284" s="2">
        <v>40.97</v>
      </c>
      <c r="K284">
        <v>1</v>
      </c>
      <c r="L284" s="4"/>
    </row>
    <row r="285" spans="1:12" x14ac:dyDescent="0.3">
      <c r="A285" s="1">
        <v>41497</v>
      </c>
      <c r="B285" s="1">
        <v>41501</v>
      </c>
      <c r="C285" t="s">
        <v>7</v>
      </c>
      <c r="D285" t="s">
        <v>293</v>
      </c>
      <c r="E285" t="s">
        <v>294</v>
      </c>
      <c r="F285" t="s">
        <v>56</v>
      </c>
      <c r="G285" t="s">
        <v>4</v>
      </c>
      <c r="H285" t="s">
        <v>52</v>
      </c>
      <c r="I285" t="s">
        <v>562</v>
      </c>
      <c r="J285" s="2">
        <v>22.96</v>
      </c>
      <c r="K285">
        <v>2</v>
      </c>
      <c r="L285" s="4"/>
    </row>
    <row r="286" spans="1:12" x14ac:dyDescent="0.3">
      <c r="A286" s="1">
        <v>41498</v>
      </c>
      <c r="B286" s="1">
        <v>41502</v>
      </c>
      <c r="C286" t="s">
        <v>7</v>
      </c>
      <c r="D286" t="s">
        <v>563</v>
      </c>
      <c r="E286" t="s">
        <v>564</v>
      </c>
      <c r="F286" t="s">
        <v>3</v>
      </c>
      <c r="G286" t="s">
        <v>74</v>
      </c>
      <c r="H286" t="s">
        <v>147</v>
      </c>
      <c r="I286" t="s">
        <v>565</v>
      </c>
      <c r="J286" s="2">
        <v>806.33600000000001</v>
      </c>
      <c r="K286">
        <v>8</v>
      </c>
      <c r="L286" s="4"/>
    </row>
    <row r="287" spans="1:12" x14ac:dyDescent="0.3">
      <c r="A287" s="1">
        <v>41498</v>
      </c>
      <c r="B287" s="1">
        <v>41502</v>
      </c>
      <c r="C287" t="s">
        <v>7</v>
      </c>
      <c r="D287" t="s">
        <v>563</v>
      </c>
      <c r="E287" t="s">
        <v>564</v>
      </c>
      <c r="F287" t="s">
        <v>3</v>
      </c>
      <c r="G287" t="s">
        <v>12</v>
      </c>
      <c r="H287" t="s">
        <v>35</v>
      </c>
      <c r="I287" t="s">
        <v>566</v>
      </c>
      <c r="J287" s="2">
        <v>85.44</v>
      </c>
      <c r="K287">
        <v>3</v>
      </c>
      <c r="L287" s="4"/>
    </row>
    <row r="288" spans="1:12" x14ac:dyDescent="0.3">
      <c r="A288" s="1">
        <v>41501</v>
      </c>
      <c r="B288" s="1">
        <v>41505</v>
      </c>
      <c r="C288" t="s">
        <v>7</v>
      </c>
      <c r="D288" t="s">
        <v>8</v>
      </c>
      <c r="E288" t="s">
        <v>9</v>
      </c>
      <c r="F288" t="s">
        <v>3</v>
      </c>
      <c r="G288" t="s">
        <v>4</v>
      </c>
      <c r="H288" t="s">
        <v>20</v>
      </c>
      <c r="I288" t="s">
        <v>567</v>
      </c>
      <c r="J288" s="2">
        <v>152.91</v>
      </c>
      <c r="K288">
        <v>3</v>
      </c>
      <c r="L288" s="4"/>
    </row>
    <row r="289" spans="1:12" x14ac:dyDescent="0.3">
      <c r="A289" s="1">
        <v>41501</v>
      </c>
      <c r="B289" s="1">
        <v>41505</v>
      </c>
      <c r="C289" t="s">
        <v>7</v>
      </c>
      <c r="D289" t="s">
        <v>8</v>
      </c>
      <c r="E289" t="s">
        <v>9</v>
      </c>
      <c r="F289" t="s">
        <v>3</v>
      </c>
      <c r="G289" t="s">
        <v>4</v>
      </c>
      <c r="H289" t="s">
        <v>5</v>
      </c>
      <c r="I289" t="s">
        <v>568</v>
      </c>
      <c r="J289" s="2">
        <v>92.94</v>
      </c>
      <c r="K289">
        <v>3</v>
      </c>
      <c r="L289" s="4"/>
    </row>
    <row r="290" spans="1:12" x14ac:dyDescent="0.3">
      <c r="A290" s="1">
        <v>41501</v>
      </c>
      <c r="B290" s="1">
        <v>41505</v>
      </c>
      <c r="C290" t="s">
        <v>7</v>
      </c>
      <c r="D290" t="s">
        <v>8</v>
      </c>
      <c r="E290" t="s">
        <v>9</v>
      </c>
      <c r="F290" t="s">
        <v>3</v>
      </c>
      <c r="G290" t="s">
        <v>4</v>
      </c>
      <c r="H290" t="s">
        <v>26</v>
      </c>
      <c r="I290" t="s">
        <v>569</v>
      </c>
      <c r="J290" s="2">
        <v>17.856000000000002</v>
      </c>
      <c r="K290">
        <v>4</v>
      </c>
      <c r="L290" s="4"/>
    </row>
    <row r="291" spans="1:12" x14ac:dyDescent="0.3">
      <c r="A291" s="1">
        <v>41501</v>
      </c>
      <c r="B291" s="1">
        <v>41505</v>
      </c>
      <c r="C291" t="s">
        <v>7</v>
      </c>
      <c r="D291" t="s">
        <v>8</v>
      </c>
      <c r="E291" t="s">
        <v>9</v>
      </c>
      <c r="F291" t="s">
        <v>3</v>
      </c>
      <c r="G291" t="s">
        <v>4</v>
      </c>
      <c r="H291" t="s">
        <v>26</v>
      </c>
      <c r="I291" t="s">
        <v>570</v>
      </c>
      <c r="J291" s="2">
        <v>46.440000000000005</v>
      </c>
      <c r="K291">
        <v>3</v>
      </c>
      <c r="L291" s="4"/>
    </row>
    <row r="292" spans="1:12" x14ac:dyDescent="0.3">
      <c r="A292" s="1">
        <v>41501</v>
      </c>
      <c r="B292" s="1">
        <v>41505</v>
      </c>
      <c r="C292" t="s">
        <v>7</v>
      </c>
      <c r="D292" t="s">
        <v>8</v>
      </c>
      <c r="E292" t="s">
        <v>9</v>
      </c>
      <c r="F292" t="s">
        <v>3</v>
      </c>
      <c r="G292" t="s">
        <v>12</v>
      </c>
      <c r="H292" t="s">
        <v>70</v>
      </c>
      <c r="I292" t="s">
        <v>571</v>
      </c>
      <c r="J292" s="2">
        <v>195.136</v>
      </c>
      <c r="K292">
        <v>4</v>
      </c>
      <c r="L292" s="4"/>
    </row>
    <row r="293" spans="1:12" x14ac:dyDescent="0.3">
      <c r="A293" s="1">
        <v>41505</v>
      </c>
      <c r="B293" s="1">
        <v>41507</v>
      </c>
      <c r="C293" t="s">
        <v>0</v>
      </c>
      <c r="D293" t="s">
        <v>17</v>
      </c>
      <c r="E293" t="s">
        <v>18</v>
      </c>
      <c r="F293" t="s">
        <v>3</v>
      </c>
      <c r="G293" t="s">
        <v>12</v>
      </c>
      <c r="H293" t="s">
        <v>35</v>
      </c>
      <c r="I293" t="s">
        <v>572</v>
      </c>
      <c r="J293" s="2">
        <v>289.24</v>
      </c>
      <c r="K293">
        <v>7</v>
      </c>
      <c r="L293" s="4"/>
    </row>
    <row r="294" spans="1:12" x14ac:dyDescent="0.3">
      <c r="A294" s="1">
        <v>41505</v>
      </c>
      <c r="B294" s="1">
        <v>41507</v>
      </c>
      <c r="C294" t="s">
        <v>0</v>
      </c>
      <c r="D294" t="s">
        <v>17</v>
      </c>
      <c r="E294" t="s">
        <v>18</v>
      </c>
      <c r="F294" t="s">
        <v>3</v>
      </c>
      <c r="G294" t="s">
        <v>4</v>
      </c>
      <c r="H294" t="s">
        <v>26</v>
      </c>
      <c r="I294" t="s">
        <v>573</v>
      </c>
      <c r="J294" s="2">
        <v>69.456000000000003</v>
      </c>
      <c r="K294">
        <v>2</v>
      </c>
      <c r="L294" s="4"/>
    </row>
    <row r="295" spans="1:12" x14ac:dyDescent="0.3">
      <c r="A295" s="1">
        <v>41509</v>
      </c>
      <c r="B295" s="1">
        <v>41513</v>
      </c>
      <c r="C295" t="s">
        <v>0</v>
      </c>
      <c r="D295" t="s">
        <v>574</v>
      </c>
      <c r="E295" t="s">
        <v>575</v>
      </c>
      <c r="F295" t="s">
        <v>3</v>
      </c>
      <c r="G295" t="s">
        <v>4</v>
      </c>
      <c r="H295" t="s">
        <v>26</v>
      </c>
      <c r="I295" t="s">
        <v>576</v>
      </c>
      <c r="J295" s="2">
        <v>49.568000000000005</v>
      </c>
      <c r="K295">
        <v>2</v>
      </c>
      <c r="L295" s="4"/>
    </row>
    <row r="296" spans="1:12" x14ac:dyDescent="0.3">
      <c r="A296" s="1">
        <v>41509</v>
      </c>
      <c r="B296" s="1">
        <v>41513</v>
      </c>
      <c r="C296" t="s">
        <v>7</v>
      </c>
      <c r="D296" t="s">
        <v>577</v>
      </c>
      <c r="E296" t="s">
        <v>578</v>
      </c>
      <c r="F296" t="s">
        <v>115</v>
      </c>
      <c r="G296" t="s">
        <v>4</v>
      </c>
      <c r="H296" t="s">
        <v>5</v>
      </c>
      <c r="I296" t="s">
        <v>579</v>
      </c>
      <c r="J296" s="2">
        <v>15.552000000000003</v>
      </c>
      <c r="K296">
        <v>3</v>
      </c>
      <c r="L296" s="4"/>
    </row>
    <row r="297" spans="1:12" x14ac:dyDescent="0.3">
      <c r="A297" s="1">
        <v>41509</v>
      </c>
      <c r="B297" s="1">
        <v>41513</v>
      </c>
      <c r="C297" t="s">
        <v>7</v>
      </c>
      <c r="D297" t="s">
        <v>577</v>
      </c>
      <c r="E297" t="s">
        <v>578</v>
      </c>
      <c r="F297" t="s">
        <v>115</v>
      </c>
      <c r="G297" t="s">
        <v>4</v>
      </c>
      <c r="H297" t="s">
        <v>78</v>
      </c>
      <c r="I297" t="s">
        <v>580</v>
      </c>
      <c r="J297" s="2">
        <v>6.8000000000000007</v>
      </c>
      <c r="K297">
        <v>1</v>
      </c>
      <c r="L297" s="4"/>
    </row>
    <row r="298" spans="1:12" x14ac:dyDescent="0.3">
      <c r="A298" s="1">
        <v>41509</v>
      </c>
      <c r="B298" s="1">
        <v>41513</v>
      </c>
      <c r="C298" t="s">
        <v>7</v>
      </c>
      <c r="D298" t="s">
        <v>577</v>
      </c>
      <c r="E298" t="s">
        <v>578</v>
      </c>
      <c r="F298" t="s">
        <v>115</v>
      </c>
      <c r="G298" t="s">
        <v>12</v>
      </c>
      <c r="H298" t="s">
        <v>35</v>
      </c>
      <c r="I298" t="s">
        <v>581</v>
      </c>
      <c r="J298" s="2">
        <v>4.2240000000000002</v>
      </c>
      <c r="K298">
        <v>3</v>
      </c>
      <c r="L298" s="4"/>
    </row>
    <row r="299" spans="1:12" x14ac:dyDescent="0.3">
      <c r="A299" s="1">
        <v>41509</v>
      </c>
      <c r="B299" s="1">
        <v>41513</v>
      </c>
      <c r="C299" t="s">
        <v>7</v>
      </c>
      <c r="D299" t="s">
        <v>577</v>
      </c>
      <c r="E299" t="s">
        <v>578</v>
      </c>
      <c r="F299" t="s">
        <v>115</v>
      </c>
      <c r="G299" t="s">
        <v>74</v>
      </c>
      <c r="H299" t="s">
        <v>147</v>
      </c>
      <c r="I299" t="s">
        <v>582</v>
      </c>
      <c r="J299" s="2">
        <v>143.64000000000001</v>
      </c>
      <c r="K299">
        <v>9</v>
      </c>
      <c r="L299" s="4"/>
    </row>
    <row r="300" spans="1:12" x14ac:dyDescent="0.3">
      <c r="A300" s="1">
        <v>41509</v>
      </c>
      <c r="B300" s="1">
        <v>41513</v>
      </c>
      <c r="C300" t="s">
        <v>7</v>
      </c>
      <c r="D300" t="s">
        <v>577</v>
      </c>
      <c r="E300" t="s">
        <v>578</v>
      </c>
      <c r="F300" t="s">
        <v>115</v>
      </c>
      <c r="G300" t="s">
        <v>4</v>
      </c>
      <c r="H300" t="s">
        <v>5</v>
      </c>
      <c r="I300" t="s">
        <v>583</v>
      </c>
      <c r="J300" s="2">
        <v>31.104000000000006</v>
      </c>
      <c r="K300">
        <v>6</v>
      </c>
      <c r="L300" s="4"/>
    </row>
    <row r="301" spans="1:12" x14ac:dyDescent="0.3">
      <c r="A301" s="1">
        <v>41509</v>
      </c>
      <c r="B301" s="1">
        <v>41513</v>
      </c>
      <c r="C301" t="s">
        <v>7</v>
      </c>
      <c r="D301" t="s">
        <v>577</v>
      </c>
      <c r="E301" t="s">
        <v>578</v>
      </c>
      <c r="F301" t="s">
        <v>115</v>
      </c>
      <c r="G301" t="s">
        <v>4</v>
      </c>
      <c r="H301" t="s">
        <v>5</v>
      </c>
      <c r="I301" t="s">
        <v>584</v>
      </c>
      <c r="J301" s="2">
        <v>223.05600000000001</v>
      </c>
      <c r="K301">
        <v>9</v>
      </c>
      <c r="L301" s="4"/>
    </row>
    <row r="302" spans="1:12" x14ac:dyDescent="0.3">
      <c r="A302" s="1">
        <v>41510</v>
      </c>
      <c r="B302" s="1">
        <v>41510</v>
      </c>
      <c r="C302" t="s">
        <v>240</v>
      </c>
      <c r="D302" t="s">
        <v>574</v>
      </c>
      <c r="E302" t="s">
        <v>575</v>
      </c>
      <c r="F302" t="s">
        <v>228</v>
      </c>
      <c r="G302" t="s">
        <v>4</v>
      </c>
      <c r="H302" t="s">
        <v>26</v>
      </c>
      <c r="I302" t="s">
        <v>585</v>
      </c>
      <c r="J302" s="2">
        <v>8.2880000000000003</v>
      </c>
      <c r="K302">
        <v>2</v>
      </c>
      <c r="L302" s="4"/>
    </row>
    <row r="303" spans="1:12" x14ac:dyDescent="0.3">
      <c r="A303" s="1">
        <v>41511</v>
      </c>
      <c r="B303" s="1">
        <v>41515</v>
      </c>
      <c r="C303" t="s">
        <v>7</v>
      </c>
      <c r="D303" t="s">
        <v>586</v>
      </c>
      <c r="E303" t="s">
        <v>587</v>
      </c>
      <c r="F303" t="s">
        <v>3</v>
      </c>
      <c r="G303" t="s">
        <v>12</v>
      </c>
      <c r="H303" t="s">
        <v>35</v>
      </c>
      <c r="I303" t="s">
        <v>588</v>
      </c>
      <c r="J303" s="2">
        <v>6.28</v>
      </c>
      <c r="K303">
        <v>1</v>
      </c>
      <c r="L303" s="4"/>
    </row>
    <row r="304" spans="1:12" x14ac:dyDescent="0.3">
      <c r="A304" s="1">
        <v>41511</v>
      </c>
      <c r="B304" s="1">
        <v>41515</v>
      </c>
      <c r="C304" t="s">
        <v>7</v>
      </c>
      <c r="D304" t="s">
        <v>586</v>
      </c>
      <c r="E304" t="s">
        <v>587</v>
      </c>
      <c r="F304" t="s">
        <v>3</v>
      </c>
      <c r="G304" t="s">
        <v>74</v>
      </c>
      <c r="H304" t="s">
        <v>75</v>
      </c>
      <c r="I304" t="s">
        <v>589</v>
      </c>
      <c r="J304" s="2">
        <v>95.1</v>
      </c>
      <c r="K304">
        <v>5</v>
      </c>
      <c r="L304" s="4"/>
    </row>
    <row r="305" spans="1:12" x14ac:dyDescent="0.3">
      <c r="A305" s="1">
        <v>41511</v>
      </c>
      <c r="B305" s="1">
        <v>41515</v>
      </c>
      <c r="C305" t="s">
        <v>7</v>
      </c>
      <c r="D305" t="s">
        <v>586</v>
      </c>
      <c r="E305" t="s">
        <v>587</v>
      </c>
      <c r="F305" t="s">
        <v>3</v>
      </c>
      <c r="G305" t="s">
        <v>4</v>
      </c>
      <c r="H305" t="s">
        <v>5</v>
      </c>
      <c r="I305" t="s">
        <v>590</v>
      </c>
      <c r="J305" s="2">
        <v>25.92</v>
      </c>
      <c r="K305">
        <v>4</v>
      </c>
      <c r="L305" s="4"/>
    </row>
    <row r="306" spans="1:12" x14ac:dyDescent="0.3">
      <c r="A306" s="1">
        <v>41511</v>
      </c>
      <c r="B306" s="1">
        <v>41515</v>
      </c>
      <c r="C306" t="s">
        <v>7</v>
      </c>
      <c r="D306" t="s">
        <v>586</v>
      </c>
      <c r="E306" t="s">
        <v>587</v>
      </c>
      <c r="F306" t="s">
        <v>3</v>
      </c>
      <c r="G306" t="s">
        <v>4</v>
      </c>
      <c r="H306" t="s">
        <v>10</v>
      </c>
      <c r="I306" t="s">
        <v>591</v>
      </c>
      <c r="J306" s="2">
        <v>48.84</v>
      </c>
      <c r="K306">
        <v>4</v>
      </c>
      <c r="L306" s="4"/>
    </row>
    <row r="307" spans="1:12" x14ac:dyDescent="0.3">
      <c r="A307" s="1">
        <v>41511</v>
      </c>
      <c r="B307" s="1">
        <v>41516</v>
      </c>
      <c r="C307" t="s">
        <v>7</v>
      </c>
      <c r="D307" t="s">
        <v>592</v>
      </c>
      <c r="E307" t="s">
        <v>593</v>
      </c>
      <c r="F307" t="s">
        <v>56</v>
      </c>
      <c r="G307" t="s">
        <v>74</v>
      </c>
      <c r="H307" t="s">
        <v>147</v>
      </c>
      <c r="I307" t="s">
        <v>594</v>
      </c>
      <c r="J307" s="2">
        <v>1007.9440000000002</v>
      </c>
      <c r="K307">
        <v>7</v>
      </c>
      <c r="L307" s="4"/>
    </row>
    <row r="308" spans="1:12" x14ac:dyDescent="0.3">
      <c r="A308" s="1">
        <v>41512</v>
      </c>
      <c r="B308" s="1">
        <v>41516</v>
      </c>
      <c r="C308" t="s">
        <v>7</v>
      </c>
      <c r="D308" t="s">
        <v>595</v>
      </c>
      <c r="E308" t="s">
        <v>596</v>
      </c>
      <c r="F308" t="s">
        <v>3</v>
      </c>
      <c r="G308" t="s">
        <v>74</v>
      </c>
      <c r="H308" t="s">
        <v>75</v>
      </c>
      <c r="I308" t="s">
        <v>160</v>
      </c>
      <c r="J308" s="2">
        <v>176.8</v>
      </c>
      <c r="K308">
        <v>8</v>
      </c>
      <c r="L308" s="4"/>
    </row>
    <row r="309" spans="1:12" x14ac:dyDescent="0.3">
      <c r="A309" s="1">
        <v>41513</v>
      </c>
      <c r="B309" s="1">
        <v>41518</v>
      </c>
      <c r="C309" t="s">
        <v>0</v>
      </c>
      <c r="D309" t="s">
        <v>597</v>
      </c>
      <c r="E309" t="s">
        <v>598</v>
      </c>
      <c r="F309" t="s">
        <v>3</v>
      </c>
      <c r="G309" t="s">
        <v>4</v>
      </c>
      <c r="H309" t="s">
        <v>15</v>
      </c>
      <c r="I309" t="s">
        <v>599</v>
      </c>
      <c r="J309" s="2">
        <v>8.56</v>
      </c>
      <c r="K309">
        <v>2</v>
      </c>
      <c r="L309" s="4"/>
    </row>
    <row r="310" spans="1:12" x14ac:dyDescent="0.3">
      <c r="A310" s="1">
        <v>41513</v>
      </c>
      <c r="B310" s="1">
        <v>41518</v>
      </c>
      <c r="C310" t="s">
        <v>0</v>
      </c>
      <c r="D310" t="s">
        <v>597</v>
      </c>
      <c r="E310" t="s">
        <v>598</v>
      </c>
      <c r="F310" t="s">
        <v>3</v>
      </c>
      <c r="G310" t="s">
        <v>74</v>
      </c>
      <c r="H310" t="s">
        <v>147</v>
      </c>
      <c r="I310" t="s">
        <v>600</v>
      </c>
      <c r="J310" s="2">
        <v>213.48000000000002</v>
      </c>
      <c r="K310">
        <v>3</v>
      </c>
      <c r="L310" s="4"/>
    </row>
    <row r="311" spans="1:12" x14ac:dyDescent="0.3">
      <c r="A311" s="1">
        <v>41513</v>
      </c>
      <c r="B311" s="1">
        <v>41518</v>
      </c>
      <c r="C311" t="s">
        <v>0</v>
      </c>
      <c r="D311" t="s">
        <v>597</v>
      </c>
      <c r="E311" t="s">
        <v>598</v>
      </c>
      <c r="F311" t="s">
        <v>3</v>
      </c>
      <c r="G311" t="s">
        <v>4</v>
      </c>
      <c r="H311" t="s">
        <v>26</v>
      </c>
      <c r="I311" t="s">
        <v>601</v>
      </c>
      <c r="J311" s="2">
        <v>22.72</v>
      </c>
      <c r="K311">
        <v>4</v>
      </c>
      <c r="L311" s="4"/>
    </row>
    <row r="312" spans="1:12" x14ac:dyDescent="0.3">
      <c r="A312" s="1">
        <v>41515</v>
      </c>
      <c r="B312" s="1">
        <v>41515</v>
      </c>
      <c r="C312" t="s">
        <v>240</v>
      </c>
      <c r="D312" t="s">
        <v>602</v>
      </c>
      <c r="E312" t="s">
        <v>603</v>
      </c>
      <c r="F312" t="s">
        <v>3</v>
      </c>
      <c r="G312" t="s">
        <v>4</v>
      </c>
      <c r="H312" t="s">
        <v>5</v>
      </c>
      <c r="I312" t="s">
        <v>604</v>
      </c>
      <c r="J312" s="2">
        <v>109.92</v>
      </c>
      <c r="K312">
        <v>2</v>
      </c>
      <c r="L312" s="4"/>
    </row>
    <row r="313" spans="1:12" x14ac:dyDescent="0.3">
      <c r="A313" s="1">
        <v>41515</v>
      </c>
      <c r="B313" s="1">
        <v>41515</v>
      </c>
      <c r="C313" t="s">
        <v>240</v>
      </c>
      <c r="D313" t="s">
        <v>602</v>
      </c>
      <c r="E313" t="s">
        <v>603</v>
      </c>
      <c r="F313" t="s">
        <v>3</v>
      </c>
      <c r="G313" t="s">
        <v>4</v>
      </c>
      <c r="H313" t="s">
        <v>5</v>
      </c>
      <c r="I313" t="s">
        <v>605</v>
      </c>
      <c r="J313" s="2">
        <v>13.36</v>
      </c>
      <c r="K313">
        <v>2</v>
      </c>
      <c r="L313" s="4"/>
    </row>
    <row r="314" spans="1:12" x14ac:dyDescent="0.3">
      <c r="A314" s="1">
        <v>41517</v>
      </c>
      <c r="B314" s="1">
        <v>41522</v>
      </c>
      <c r="C314" t="s">
        <v>7</v>
      </c>
      <c r="D314" t="s">
        <v>606</v>
      </c>
      <c r="E314" t="s">
        <v>607</v>
      </c>
      <c r="F314" t="s">
        <v>172</v>
      </c>
      <c r="G314" t="s">
        <v>74</v>
      </c>
      <c r="H314" t="s">
        <v>75</v>
      </c>
      <c r="I314" t="s">
        <v>608</v>
      </c>
      <c r="J314" s="2">
        <v>92.52</v>
      </c>
      <c r="K314">
        <v>9</v>
      </c>
      <c r="L314" s="4"/>
    </row>
    <row r="315" spans="1:12" x14ac:dyDescent="0.3">
      <c r="A315" s="1">
        <v>41518</v>
      </c>
      <c r="B315" s="1">
        <v>41522</v>
      </c>
      <c r="C315" t="s">
        <v>0</v>
      </c>
      <c r="D315" t="s">
        <v>609</v>
      </c>
      <c r="E315" t="s">
        <v>610</v>
      </c>
      <c r="F315" t="s">
        <v>3</v>
      </c>
      <c r="G315" t="s">
        <v>4</v>
      </c>
      <c r="H315" t="s">
        <v>15</v>
      </c>
      <c r="I315" t="s">
        <v>611</v>
      </c>
      <c r="J315" s="2">
        <v>53.94</v>
      </c>
      <c r="K315">
        <v>3</v>
      </c>
      <c r="L315" s="4"/>
    </row>
    <row r="316" spans="1:12" x14ac:dyDescent="0.3">
      <c r="A316" s="1">
        <v>41523</v>
      </c>
      <c r="B316" s="1">
        <v>41526</v>
      </c>
      <c r="C316" t="s">
        <v>22</v>
      </c>
      <c r="D316" t="s">
        <v>612</v>
      </c>
      <c r="E316" t="s">
        <v>613</v>
      </c>
      <c r="F316" t="s">
        <v>3</v>
      </c>
      <c r="G316" t="s">
        <v>12</v>
      </c>
      <c r="H316" t="s">
        <v>35</v>
      </c>
      <c r="I316" t="s">
        <v>353</v>
      </c>
      <c r="J316" s="2">
        <v>41.88</v>
      </c>
      <c r="K316">
        <v>6</v>
      </c>
      <c r="L316" s="4"/>
    </row>
    <row r="317" spans="1:12" x14ac:dyDescent="0.3">
      <c r="A317" s="1">
        <v>41523</v>
      </c>
      <c r="B317" s="1">
        <v>41526</v>
      </c>
      <c r="C317" t="s">
        <v>22</v>
      </c>
      <c r="D317" t="s">
        <v>612</v>
      </c>
      <c r="E317" t="s">
        <v>613</v>
      </c>
      <c r="F317" t="s">
        <v>3</v>
      </c>
      <c r="G317" t="s">
        <v>4</v>
      </c>
      <c r="H317" t="s">
        <v>168</v>
      </c>
      <c r="I317" t="s">
        <v>614</v>
      </c>
      <c r="J317" s="2">
        <v>58.48</v>
      </c>
      <c r="K317">
        <v>8</v>
      </c>
      <c r="L317" s="4"/>
    </row>
    <row r="318" spans="1:12" x14ac:dyDescent="0.3">
      <c r="A318" s="1">
        <v>41524</v>
      </c>
      <c r="B318" s="1">
        <v>41529</v>
      </c>
      <c r="C318" t="s">
        <v>0</v>
      </c>
      <c r="D318" t="s">
        <v>615</v>
      </c>
      <c r="E318" t="s">
        <v>616</v>
      </c>
      <c r="F318" t="s">
        <v>3</v>
      </c>
      <c r="G318" t="s">
        <v>4</v>
      </c>
      <c r="H318" t="s">
        <v>78</v>
      </c>
      <c r="I318" t="s">
        <v>617</v>
      </c>
      <c r="J318" s="2">
        <v>27.36</v>
      </c>
      <c r="K318">
        <v>4</v>
      </c>
      <c r="L318" s="4"/>
    </row>
    <row r="319" spans="1:12" x14ac:dyDescent="0.3">
      <c r="A319" s="1">
        <v>41524</v>
      </c>
      <c r="B319" s="1">
        <v>41529</v>
      </c>
      <c r="C319" t="s">
        <v>0</v>
      </c>
      <c r="D319" t="s">
        <v>615</v>
      </c>
      <c r="E319" t="s">
        <v>616</v>
      </c>
      <c r="F319" t="s">
        <v>3</v>
      </c>
      <c r="G319" t="s">
        <v>4</v>
      </c>
      <c r="H319" t="s">
        <v>5</v>
      </c>
      <c r="I319" t="s">
        <v>91</v>
      </c>
      <c r="J319" s="2">
        <v>20.56</v>
      </c>
      <c r="K319">
        <v>2</v>
      </c>
      <c r="L319" s="4"/>
    </row>
    <row r="320" spans="1:12" x14ac:dyDescent="0.3">
      <c r="A320" s="1">
        <v>41524</v>
      </c>
      <c r="B320" s="1">
        <v>41529</v>
      </c>
      <c r="C320" t="s">
        <v>0</v>
      </c>
      <c r="D320" t="s">
        <v>615</v>
      </c>
      <c r="E320" t="s">
        <v>616</v>
      </c>
      <c r="F320" t="s">
        <v>3</v>
      </c>
      <c r="G320" t="s">
        <v>4</v>
      </c>
      <c r="H320" t="s">
        <v>26</v>
      </c>
      <c r="I320" t="s">
        <v>618</v>
      </c>
      <c r="J320" s="2">
        <v>83.920000000000016</v>
      </c>
      <c r="K320">
        <v>5</v>
      </c>
      <c r="L320" s="4"/>
    </row>
    <row r="321" spans="1:12" x14ac:dyDescent="0.3">
      <c r="A321" s="1">
        <v>41525</v>
      </c>
      <c r="B321" s="1">
        <v>41529</v>
      </c>
      <c r="C321" t="s">
        <v>7</v>
      </c>
      <c r="D321" t="s">
        <v>619</v>
      </c>
      <c r="E321" t="s">
        <v>620</v>
      </c>
      <c r="F321" t="s">
        <v>3</v>
      </c>
      <c r="G321" t="s">
        <v>74</v>
      </c>
      <c r="H321" t="s">
        <v>75</v>
      </c>
      <c r="I321" t="s">
        <v>621</v>
      </c>
      <c r="J321" s="2">
        <v>49.98</v>
      </c>
      <c r="K321">
        <v>2</v>
      </c>
      <c r="L321" s="4"/>
    </row>
    <row r="322" spans="1:12" x14ac:dyDescent="0.3">
      <c r="A322" s="1">
        <v>41525</v>
      </c>
      <c r="B322" s="1">
        <v>41531</v>
      </c>
      <c r="C322" t="s">
        <v>7</v>
      </c>
      <c r="D322" t="s">
        <v>405</v>
      </c>
      <c r="E322" t="s">
        <v>406</v>
      </c>
      <c r="F322" t="s">
        <v>3</v>
      </c>
      <c r="G322" t="s">
        <v>4</v>
      </c>
      <c r="H322" t="s">
        <v>20</v>
      </c>
      <c r="I322" t="s">
        <v>622</v>
      </c>
      <c r="J322" s="2">
        <v>56.65</v>
      </c>
      <c r="K322">
        <v>5</v>
      </c>
      <c r="L322" s="4"/>
    </row>
    <row r="323" spans="1:12" x14ac:dyDescent="0.3">
      <c r="A323" s="1">
        <v>41525</v>
      </c>
      <c r="B323" s="1">
        <v>41531</v>
      </c>
      <c r="C323" t="s">
        <v>7</v>
      </c>
      <c r="D323" t="s">
        <v>405</v>
      </c>
      <c r="E323" t="s">
        <v>406</v>
      </c>
      <c r="F323" t="s">
        <v>3</v>
      </c>
      <c r="G323" t="s">
        <v>4</v>
      </c>
      <c r="H323" t="s">
        <v>10</v>
      </c>
      <c r="I323" t="s">
        <v>623</v>
      </c>
      <c r="J323" s="2">
        <v>14.97</v>
      </c>
      <c r="K323">
        <v>1</v>
      </c>
      <c r="L323" s="4"/>
    </row>
    <row r="324" spans="1:12" x14ac:dyDescent="0.3">
      <c r="A324" s="1">
        <v>41525</v>
      </c>
      <c r="B324" s="1">
        <v>41531</v>
      </c>
      <c r="C324" t="s">
        <v>7</v>
      </c>
      <c r="D324" t="s">
        <v>405</v>
      </c>
      <c r="E324" t="s">
        <v>406</v>
      </c>
      <c r="F324" t="s">
        <v>3</v>
      </c>
      <c r="G324" t="s">
        <v>4</v>
      </c>
      <c r="H324" t="s">
        <v>52</v>
      </c>
      <c r="I324" t="s">
        <v>624</v>
      </c>
      <c r="J324" s="2">
        <v>4.0199999999999996</v>
      </c>
      <c r="K324">
        <v>2</v>
      </c>
      <c r="L324" s="4"/>
    </row>
    <row r="325" spans="1:12" x14ac:dyDescent="0.3">
      <c r="A325" s="1">
        <v>41525</v>
      </c>
      <c r="B325" s="1">
        <v>41531</v>
      </c>
      <c r="C325" t="s">
        <v>7</v>
      </c>
      <c r="D325" t="s">
        <v>625</v>
      </c>
      <c r="E325" t="s">
        <v>626</v>
      </c>
      <c r="F325" t="s">
        <v>56</v>
      </c>
      <c r="G325" t="s">
        <v>4</v>
      </c>
      <c r="H325" t="s">
        <v>15</v>
      </c>
      <c r="I325" t="s">
        <v>627</v>
      </c>
      <c r="J325" s="2">
        <v>5.88</v>
      </c>
      <c r="K325">
        <v>2</v>
      </c>
      <c r="L325" s="4"/>
    </row>
    <row r="326" spans="1:12" x14ac:dyDescent="0.3">
      <c r="A326" s="1">
        <v>41525</v>
      </c>
      <c r="B326" s="1">
        <v>41531</v>
      </c>
      <c r="C326" t="s">
        <v>7</v>
      </c>
      <c r="D326" t="s">
        <v>625</v>
      </c>
      <c r="E326" t="s">
        <v>626</v>
      </c>
      <c r="F326" t="s">
        <v>56</v>
      </c>
      <c r="G326" t="s">
        <v>12</v>
      </c>
      <c r="H326" t="s">
        <v>70</v>
      </c>
      <c r="I326" t="s">
        <v>628</v>
      </c>
      <c r="J326" s="2">
        <v>975.92</v>
      </c>
      <c r="K326">
        <v>5</v>
      </c>
      <c r="L326" s="4"/>
    </row>
    <row r="327" spans="1:12" x14ac:dyDescent="0.3">
      <c r="A327" s="1">
        <v>41525</v>
      </c>
      <c r="B327" s="1">
        <v>41531</v>
      </c>
      <c r="C327" t="s">
        <v>7</v>
      </c>
      <c r="D327" t="s">
        <v>625</v>
      </c>
      <c r="E327" t="s">
        <v>626</v>
      </c>
      <c r="F327" t="s">
        <v>56</v>
      </c>
      <c r="G327" t="s">
        <v>4</v>
      </c>
      <c r="H327" t="s">
        <v>15</v>
      </c>
      <c r="I327" t="s">
        <v>629</v>
      </c>
      <c r="J327" s="2">
        <v>303.83999999999997</v>
      </c>
      <c r="K327">
        <v>8</v>
      </c>
      <c r="L327" s="4"/>
    </row>
    <row r="328" spans="1:12" x14ac:dyDescent="0.3">
      <c r="A328" s="1">
        <v>41525</v>
      </c>
      <c r="B328" s="1">
        <v>41531</v>
      </c>
      <c r="C328" t="s">
        <v>7</v>
      </c>
      <c r="D328" t="s">
        <v>625</v>
      </c>
      <c r="E328" t="s">
        <v>626</v>
      </c>
      <c r="F328" t="s">
        <v>56</v>
      </c>
      <c r="G328" t="s">
        <v>4</v>
      </c>
      <c r="H328" t="s">
        <v>10</v>
      </c>
      <c r="I328" t="s">
        <v>128</v>
      </c>
      <c r="J328" s="2">
        <v>485.88</v>
      </c>
      <c r="K328">
        <v>6</v>
      </c>
      <c r="L328" s="4"/>
    </row>
    <row r="329" spans="1:12" x14ac:dyDescent="0.3">
      <c r="A329" s="1">
        <v>41525</v>
      </c>
      <c r="B329" s="1">
        <v>41530</v>
      </c>
      <c r="C329" t="s">
        <v>7</v>
      </c>
      <c r="D329" t="s">
        <v>23</v>
      </c>
      <c r="E329" t="s">
        <v>24</v>
      </c>
      <c r="F329" t="s">
        <v>3</v>
      </c>
      <c r="G329" t="s">
        <v>4</v>
      </c>
      <c r="H329" t="s">
        <v>26</v>
      </c>
      <c r="I329" t="s">
        <v>630</v>
      </c>
      <c r="J329" s="2">
        <v>8.6080000000000005</v>
      </c>
      <c r="K329">
        <v>2</v>
      </c>
      <c r="L329" s="4"/>
    </row>
    <row r="330" spans="1:12" x14ac:dyDescent="0.3">
      <c r="A330" s="1">
        <v>41527</v>
      </c>
      <c r="B330" s="1">
        <v>41533</v>
      </c>
      <c r="C330" t="s">
        <v>7</v>
      </c>
      <c r="D330" t="s">
        <v>431</v>
      </c>
      <c r="E330" t="s">
        <v>432</v>
      </c>
      <c r="F330" t="s">
        <v>19</v>
      </c>
      <c r="G330" t="s">
        <v>4</v>
      </c>
      <c r="H330" t="s">
        <v>29</v>
      </c>
      <c r="I330" t="s">
        <v>631</v>
      </c>
      <c r="J330" s="2">
        <v>21.728000000000002</v>
      </c>
      <c r="K330">
        <v>7</v>
      </c>
      <c r="L330" s="4"/>
    </row>
    <row r="331" spans="1:12" x14ac:dyDescent="0.3">
      <c r="A331" s="1">
        <v>41527</v>
      </c>
      <c r="B331" s="1">
        <v>41533</v>
      </c>
      <c r="C331" t="s">
        <v>7</v>
      </c>
      <c r="D331" t="s">
        <v>431</v>
      </c>
      <c r="E331" t="s">
        <v>432</v>
      </c>
      <c r="F331" t="s">
        <v>19</v>
      </c>
      <c r="G331" t="s">
        <v>12</v>
      </c>
      <c r="H331" t="s">
        <v>70</v>
      </c>
      <c r="I331" t="s">
        <v>265</v>
      </c>
      <c r="J331" s="2">
        <v>1487.04</v>
      </c>
      <c r="K331">
        <v>5</v>
      </c>
      <c r="L331" s="4"/>
    </row>
    <row r="332" spans="1:12" x14ac:dyDescent="0.3">
      <c r="A332" s="1">
        <v>41528</v>
      </c>
      <c r="B332" s="1">
        <v>41533</v>
      </c>
      <c r="C332" t="s">
        <v>7</v>
      </c>
      <c r="D332" t="s">
        <v>632</v>
      </c>
      <c r="E332" t="s">
        <v>633</v>
      </c>
      <c r="F332" t="s">
        <v>3</v>
      </c>
      <c r="G332" t="s">
        <v>12</v>
      </c>
      <c r="H332" t="s">
        <v>35</v>
      </c>
      <c r="I332" t="s">
        <v>634</v>
      </c>
      <c r="J332" s="2">
        <v>127.94999999999999</v>
      </c>
      <c r="K332">
        <v>3</v>
      </c>
      <c r="L332" s="4"/>
    </row>
    <row r="333" spans="1:12" x14ac:dyDescent="0.3">
      <c r="A333" s="1">
        <v>41530</v>
      </c>
      <c r="B333" s="1">
        <v>41534</v>
      </c>
      <c r="C333" t="s">
        <v>7</v>
      </c>
      <c r="D333" t="s">
        <v>635</v>
      </c>
      <c r="E333" t="s">
        <v>636</v>
      </c>
      <c r="F333" t="s">
        <v>25</v>
      </c>
      <c r="G333" t="s">
        <v>4</v>
      </c>
      <c r="H333" t="s">
        <v>10</v>
      </c>
      <c r="I333" t="s">
        <v>637</v>
      </c>
      <c r="J333" s="2">
        <v>79.400000000000006</v>
      </c>
      <c r="K333">
        <v>5</v>
      </c>
      <c r="L333" s="4"/>
    </row>
    <row r="334" spans="1:12" x14ac:dyDescent="0.3">
      <c r="A334" s="1">
        <v>41530</v>
      </c>
      <c r="B334" s="1">
        <v>41530</v>
      </c>
      <c r="C334" t="s">
        <v>240</v>
      </c>
      <c r="D334" t="s">
        <v>638</v>
      </c>
      <c r="E334" t="s">
        <v>639</v>
      </c>
      <c r="F334" t="s">
        <v>56</v>
      </c>
      <c r="G334" t="s">
        <v>4</v>
      </c>
      <c r="H334" t="s">
        <v>52</v>
      </c>
      <c r="I334" t="s">
        <v>640</v>
      </c>
      <c r="J334" s="2">
        <v>5.6999999999999993</v>
      </c>
      <c r="K334">
        <v>5</v>
      </c>
      <c r="L334" s="4"/>
    </row>
    <row r="335" spans="1:12" x14ac:dyDescent="0.3">
      <c r="A335" s="1">
        <v>41530</v>
      </c>
      <c r="B335" s="1">
        <v>41530</v>
      </c>
      <c r="C335" t="s">
        <v>240</v>
      </c>
      <c r="D335" t="s">
        <v>638</v>
      </c>
      <c r="E335" t="s">
        <v>639</v>
      </c>
      <c r="F335" t="s">
        <v>56</v>
      </c>
      <c r="G335" t="s">
        <v>12</v>
      </c>
      <c r="H335" t="s">
        <v>35</v>
      </c>
      <c r="I335" t="s">
        <v>205</v>
      </c>
      <c r="J335" s="2">
        <v>14.190000000000001</v>
      </c>
      <c r="K335">
        <v>3</v>
      </c>
      <c r="L335" s="4"/>
    </row>
    <row r="336" spans="1:12" x14ac:dyDescent="0.3">
      <c r="A336" s="1">
        <v>41530</v>
      </c>
      <c r="B336" s="1">
        <v>41530</v>
      </c>
      <c r="C336" t="s">
        <v>240</v>
      </c>
      <c r="D336" t="s">
        <v>638</v>
      </c>
      <c r="E336" t="s">
        <v>639</v>
      </c>
      <c r="F336" t="s">
        <v>56</v>
      </c>
      <c r="G336" t="s">
        <v>4</v>
      </c>
      <c r="H336" t="s">
        <v>78</v>
      </c>
      <c r="I336" t="s">
        <v>641</v>
      </c>
      <c r="J336" s="2">
        <v>7.3</v>
      </c>
      <c r="K336">
        <v>2</v>
      </c>
      <c r="L336" s="4"/>
    </row>
    <row r="337" spans="1:12" x14ac:dyDescent="0.3">
      <c r="A337" s="1">
        <v>41530</v>
      </c>
      <c r="B337" s="1">
        <v>41530</v>
      </c>
      <c r="C337" t="s">
        <v>240</v>
      </c>
      <c r="D337" t="s">
        <v>638</v>
      </c>
      <c r="E337" t="s">
        <v>639</v>
      </c>
      <c r="F337" t="s">
        <v>56</v>
      </c>
      <c r="G337" t="s">
        <v>74</v>
      </c>
      <c r="H337" t="s">
        <v>75</v>
      </c>
      <c r="I337" t="s">
        <v>334</v>
      </c>
      <c r="J337" s="2">
        <v>199.98</v>
      </c>
      <c r="K337">
        <v>2</v>
      </c>
      <c r="L337" s="4"/>
    </row>
    <row r="338" spans="1:12" x14ac:dyDescent="0.3">
      <c r="A338" s="1">
        <v>41530</v>
      </c>
      <c r="B338" s="1">
        <v>41530</v>
      </c>
      <c r="C338" t="s">
        <v>240</v>
      </c>
      <c r="D338" t="s">
        <v>638</v>
      </c>
      <c r="E338" t="s">
        <v>639</v>
      </c>
      <c r="F338" t="s">
        <v>56</v>
      </c>
      <c r="G338" t="s">
        <v>74</v>
      </c>
      <c r="H338" t="s">
        <v>75</v>
      </c>
      <c r="I338" t="s">
        <v>231</v>
      </c>
      <c r="J338" s="2">
        <v>144.96</v>
      </c>
      <c r="K338">
        <v>4</v>
      </c>
      <c r="L338" s="4"/>
    </row>
    <row r="339" spans="1:12" x14ac:dyDescent="0.3">
      <c r="A339" s="1">
        <v>41530</v>
      </c>
      <c r="B339" s="1">
        <v>41530</v>
      </c>
      <c r="C339" t="s">
        <v>240</v>
      </c>
      <c r="D339" t="s">
        <v>638</v>
      </c>
      <c r="E339" t="s">
        <v>639</v>
      </c>
      <c r="F339" t="s">
        <v>56</v>
      </c>
      <c r="G339" t="s">
        <v>74</v>
      </c>
      <c r="H339" t="s">
        <v>75</v>
      </c>
      <c r="I339" t="s">
        <v>642</v>
      </c>
      <c r="J339" s="2">
        <v>118</v>
      </c>
      <c r="K339">
        <v>2</v>
      </c>
      <c r="L339" s="4"/>
    </row>
    <row r="340" spans="1:12" x14ac:dyDescent="0.3">
      <c r="A340" s="1">
        <v>41530</v>
      </c>
      <c r="B340" s="1">
        <v>41530</v>
      </c>
      <c r="C340" t="s">
        <v>240</v>
      </c>
      <c r="D340" t="s">
        <v>638</v>
      </c>
      <c r="E340" t="s">
        <v>639</v>
      </c>
      <c r="F340" t="s">
        <v>56</v>
      </c>
      <c r="G340" t="s">
        <v>4</v>
      </c>
      <c r="H340" t="s">
        <v>5</v>
      </c>
      <c r="I340" t="s">
        <v>643</v>
      </c>
      <c r="J340" s="2">
        <v>48.94</v>
      </c>
      <c r="K340">
        <v>1</v>
      </c>
      <c r="L340" s="4"/>
    </row>
    <row r="341" spans="1:12" x14ac:dyDescent="0.3">
      <c r="A341" s="1">
        <v>41530</v>
      </c>
      <c r="B341" s="1">
        <v>41530</v>
      </c>
      <c r="C341" t="s">
        <v>240</v>
      </c>
      <c r="D341" t="s">
        <v>638</v>
      </c>
      <c r="E341" t="s">
        <v>639</v>
      </c>
      <c r="F341" t="s">
        <v>56</v>
      </c>
      <c r="G341" t="s">
        <v>4</v>
      </c>
      <c r="H341" t="s">
        <v>20</v>
      </c>
      <c r="I341" t="s">
        <v>622</v>
      </c>
      <c r="J341" s="2">
        <v>22.66</v>
      </c>
      <c r="K341">
        <v>2</v>
      </c>
      <c r="L341" s="4"/>
    </row>
    <row r="342" spans="1:12" x14ac:dyDescent="0.3">
      <c r="A342" s="1">
        <v>41534</v>
      </c>
      <c r="B342" s="1">
        <v>41538</v>
      </c>
      <c r="C342" t="s">
        <v>7</v>
      </c>
      <c r="D342" t="s">
        <v>644</v>
      </c>
      <c r="E342" t="s">
        <v>645</v>
      </c>
      <c r="F342" t="s">
        <v>56</v>
      </c>
      <c r="G342" t="s">
        <v>4</v>
      </c>
      <c r="H342" t="s">
        <v>10</v>
      </c>
      <c r="I342" t="s">
        <v>646</v>
      </c>
      <c r="J342" s="2">
        <v>30.28</v>
      </c>
      <c r="K342">
        <v>2</v>
      </c>
      <c r="L342" s="4"/>
    </row>
    <row r="343" spans="1:12" x14ac:dyDescent="0.3">
      <c r="A343" s="1">
        <v>41534</v>
      </c>
      <c r="B343" s="1">
        <v>41538</v>
      </c>
      <c r="C343" t="s">
        <v>7</v>
      </c>
      <c r="D343" t="s">
        <v>644</v>
      </c>
      <c r="E343" t="s">
        <v>645</v>
      </c>
      <c r="F343" t="s">
        <v>56</v>
      </c>
      <c r="G343" t="s">
        <v>4</v>
      </c>
      <c r="H343" t="s">
        <v>10</v>
      </c>
      <c r="I343" t="s">
        <v>647</v>
      </c>
      <c r="J343" s="2">
        <v>57.929999999999993</v>
      </c>
      <c r="K343">
        <v>3</v>
      </c>
      <c r="L343" s="4"/>
    </row>
    <row r="344" spans="1:12" x14ac:dyDescent="0.3">
      <c r="A344" s="1">
        <v>41534</v>
      </c>
      <c r="B344" s="1">
        <v>41538</v>
      </c>
      <c r="C344" t="s">
        <v>7</v>
      </c>
      <c r="D344" t="s">
        <v>644</v>
      </c>
      <c r="E344" t="s">
        <v>645</v>
      </c>
      <c r="F344" t="s">
        <v>56</v>
      </c>
      <c r="G344" t="s">
        <v>12</v>
      </c>
      <c r="H344" t="s">
        <v>35</v>
      </c>
      <c r="I344" t="s">
        <v>648</v>
      </c>
      <c r="J344" s="2">
        <v>35.340000000000003</v>
      </c>
      <c r="K344">
        <v>2</v>
      </c>
      <c r="L344" s="4"/>
    </row>
    <row r="345" spans="1:12" x14ac:dyDescent="0.3">
      <c r="A345" s="1">
        <v>41534</v>
      </c>
      <c r="B345" s="1">
        <v>41538</v>
      </c>
      <c r="C345" t="s">
        <v>7</v>
      </c>
      <c r="D345" t="s">
        <v>644</v>
      </c>
      <c r="E345" t="s">
        <v>645</v>
      </c>
      <c r="F345" t="s">
        <v>56</v>
      </c>
      <c r="G345" t="s">
        <v>4</v>
      </c>
      <c r="H345" t="s">
        <v>26</v>
      </c>
      <c r="I345" t="s">
        <v>649</v>
      </c>
      <c r="J345" s="2">
        <v>137.24</v>
      </c>
      <c r="K345">
        <v>5</v>
      </c>
      <c r="L345" s="4"/>
    </row>
    <row r="346" spans="1:12" x14ac:dyDescent="0.3">
      <c r="A346" s="1">
        <v>41534</v>
      </c>
      <c r="B346" s="1">
        <v>41538</v>
      </c>
      <c r="C346" t="s">
        <v>7</v>
      </c>
      <c r="D346" t="s">
        <v>650</v>
      </c>
      <c r="E346" t="s">
        <v>651</v>
      </c>
      <c r="F346" t="s">
        <v>3</v>
      </c>
      <c r="G346" t="s">
        <v>4</v>
      </c>
      <c r="H346" t="s">
        <v>29</v>
      </c>
      <c r="I346" t="s">
        <v>652</v>
      </c>
      <c r="J346" s="2">
        <v>182.94</v>
      </c>
      <c r="K346">
        <v>3</v>
      </c>
      <c r="L346" s="4"/>
    </row>
    <row r="347" spans="1:12" x14ac:dyDescent="0.3">
      <c r="A347" s="1">
        <v>41534</v>
      </c>
      <c r="B347" s="1">
        <v>41539</v>
      </c>
      <c r="C347" t="s">
        <v>7</v>
      </c>
      <c r="D347" t="s">
        <v>653</v>
      </c>
      <c r="E347" t="s">
        <v>654</v>
      </c>
      <c r="F347" t="s">
        <v>19</v>
      </c>
      <c r="G347" t="s">
        <v>4</v>
      </c>
      <c r="H347" t="s">
        <v>15</v>
      </c>
      <c r="I347" t="s">
        <v>655</v>
      </c>
      <c r="J347" s="2">
        <v>5.2480000000000002</v>
      </c>
      <c r="K347">
        <v>2</v>
      </c>
      <c r="L347" s="4"/>
    </row>
    <row r="348" spans="1:12" x14ac:dyDescent="0.3">
      <c r="A348" s="1">
        <v>41534</v>
      </c>
      <c r="B348" s="1">
        <v>41539</v>
      </c>
      <c r="C348" t="s">
        <v>7</v>
      </c>
      <c r="D348" t="s">
        <v>653</v>
      </c>
      <c r="E348" t="s">
        <v>654</v>
      </c>
      <c r="F348" t="s">
        <v>19</v>
      </c>
      <c r="G348" t="s">
        <v>4</v>
      </c>
      <c r="H348" t="s">
        <v>15</v>
      </c>
      <c r="I348" t="s">
        <v>656</v>
      </c>
      <c r="J348" s="2">
        <v>38.256</v>
      </c>
      <c r="K348">
        <v>3</v>
      </c>
      <c r="L348" s="4"/>
    </row>
    <row r="349" spans="1:12" x14ac:dyDescent="0.3">
      <c r="A349" s="1">
        <v>41534</v>
      </c>
      <c r="B349" s="1">
        <v>41539</v>
      </c>
      <c r="C349" t="s">
        <v>7</v>
      </c>
      <c r="D349" t="s">
        <v>653</v>
      </c>
      <c r="E349" t="s">
        <v>654</v>
      </c>
      <c r="F349" t="s">
        <v>19</v>
      </c>
      <c r="G349" t="s">
        <v>4</v>
      </c>
      <c r="H349" t="s">
        <v>5</v>
      </c>
      <c r="I349" t="s">
        <v>657</v>
      </c>
      <c r="J349" s="2">
        <v>40.24</v>
      </c>
      <c r="K349">
        <v>5</v>
      </c>
      <c r="L349" s="4"/>
    </row>
    <row r="350" spans="1:12" x14ac:dyDescent="0.3">
      <c r="A350" s="1">
        <v>41534</v>
      </c>
      <c r="B350" s="1">
        <v>41539</v>
      </c>
      <c r="C350" t="s">
        <v>7</v>
      </c>
      <c r="D350" t="s">
        <v>653</v>
      </c>
      <c r="E350" t="s">
        <v>654</v>
      </c>
      <c r="F350" t="s">
        <v>19</v>
      </c>
      <c r="G350" t="s">
        <v>74</v>
      </c>
      <c r="H350" t="s">
        <v>138</v>
      </c>
      <c r="I350" t="s">
        <v>658</v>
      </c>
      <c r="J350" s="2">
        <v>29.925000000000001</v>
      </c>
      <c r="K350">
        <v>5</v>
      </c>
      <c r="L350" s="4"/>
    </row>
    <row r="351" spans="1:12" x14ac:dyDescent="0.3">
      <c r="A351" s="1">
        <v>41534</v>
      </c>
      <c r="B351" s="1">
        <v>41539</v>
      </c>
      <c r="C351" t="s">
        <v>7</v>
      </c>
      <c r="D351" t="s">
        <v>653</v>
      </c>
      <c r="E351" t="s">
        <v>654</v>
      </c>
      <c r="F351" t="s">
        <v>19</v>
      </c>
      <c r="G351" t="s">
        <v>4</v>
      </c>
      <c r="H351" t="s">
        <v>5</v>
      </c>
      <c r="I351" t="s">
        <v>659</v>
      </c>
      <c r="J351" s="2">
        <v>148.70400000000001</v>
      </c>
      <c r="K351">
        <v>6</v>
      </c>
      <c r="L351" s="4"/>
    </row>
    <row r="352" spans="1:12" x14ac:dyDescent="0.3">
      <c r="A352" s="1">
        <v>41534</v>
      </c>
      <c r="B352" s="1">
        <v>41539</v>
      </c>
      <c r="C352" t="s">
        <v>7</v>
      </c>
      <c r="D352" t="s">
        <v>653</v>
      </c>
      <c r="E352" t="s">
        <v>654</v>
      </c>
      <c r="F352" t="s">
        <v>19</v>
      </c>
      <c r="G352" t="s">
        <v>74</v>
      </c>
      <c r="H352" t="s">
        <v>75</v>
      </c>
      <c r="I352" t="s">
        <v>660</v>
      </c>
      <c r="J352" s="2">
        <v>55.92</v>
      </c>
      <c r="K352">
        <v>10</v>
      </c>
      <c r="L352" s="4"/>
    </row>
    <row r="353" spans="1:12" x14ac:dyDescent="0.3">
      <c r="A353" s="1">
        <v>41536</v>
      </c>
      <c r="B353" s="1">
        <v>41541</v>
      </c>
      <c r="C353" t="s">
        <v>7</v>
      </c>
      <c r="D353" t="s">
        <v>661</v>
      </c>
      <c r="E353" t="s">
        <v>662</v>
      </c>
      <c r="F353" t="s">
        <v>3</v>
      </c>
      <c r="G353" t="s">
        <v>4</v>
      </c>
      <c r="H353" t="s">
        <v>52</v>
      </c>
      <c r="I353" t="s">
        <v>375</v>
      </c>
      <c r="J353" s="2">
        <v>7.16</v>
      </c>
      <c r="K353">
        <v>2</v>
      </c>
      <c r="L353" s="4"/>
    </row>
    <row r="354" spans="1:12" x14ac:dyDescent="0.3">
      <c r="A354" s="1">
        <v>41536</v>
      </c>
      <c r="B354" s="1">
        <v>41540</v>
      </c>
      <c r="C354" t="s">
        <v>7</v>
      </c>
      <c r="D354" t="s">
        <v>663</v>
      </c>
      <c r="E354" t="s">
        <v>664</v>
      </c>
      <c r="F354" t="s">
        <v>56</v>
      </c>
      <c r="G354" t="s">
        <v>4</v>
      </c>
      <c r="H354" t="s">
        <v>10</v>
      </c>
      <c r="I354" t="s">
        <v>665</v>
      </c>
      <c r="J354" s="2">
        <v>92.52</v>
      </c>
      <c r="K354">
        <v>6</v>
      </c>
      <c r="L354" s="4"/>
    </row>
    <row r="355" spans="1:12" x14ac:dyDescent="0.3">
      <c r="A355" s="1">
        <v>41536</v>
      </c>
      <c r="B355" s="1">
        <v>41536</v>
      </c>
      <c r="C355" t="s">
        <v>240</v>
      </c>
      <c r="D355" t="s">
        <v>666</v>
      </c>
      <c r="E355" t="s">
        <v>667</v>
      </c>
      <c r="F355" t="s">
        <v>3</v>
      </c>
      <c r="G355" t="s">
        <v>4</v>
      </c>
      <c r="H355" t="s">
        <v>52</v>
      </c>
      <c r="I355" t="s">
        <v>668</v>
      </c>
      <c r="J355" s="2">
        <v>5.67</v>
      </c>
      <c r="K355">
        <v>3</v>
      </c>
      <c r="L355" s="4"/>
    </row>
    <row r="356" spans="1:12" x14ac:dyDescent="0.3">
      <c r="A356" s="1">
        <v>41536</v>
      </c>
      <c r="B356" s="1">
        <v>41541</v>
      </c>
      <c r="C356" t="s">
        <v>7</v>
      </c>
      <c r="D356" t="s">
        <v>669</v>
      </c>
      <c r="E356" t="s">
        <v>670</v>
      </c>
      <c r="F356" t="s">
        <v>25</v>
      </c>
      <c r="G356" t="s">
        <v>12</v>
      </c>
      <c r="H356" t="s">
        <v>44</v>
      </c>
      <c r="I356" t="s">
        <v>671</v>
      </c>
      <c r="J356" s="2">
        <v>73.915000000000006</v>
      </c>
      <c r="K356">
        <v>1</v>
      </c>
      <c r="L356" s="4"/>
    </row>
    <row r="357" spans="1:12" x14ac:dyDescent="0.3">
      <c r="A357" s="1">
        <v>41537</v>
      </c>
      <c r="B357" s="1">
        <v>41543</v>
      </c>
      <c r="C357" t="s">
        <v>7</v>
      </c>
      <c r="D357" t="s">
        <v>672</v>
      </c>
      <c r="E357" t="s">
        <v>673</v>
      </c>
      <c r="F357" t="s">
        <v>3</v>
      </c>
      <c r="G357" t="s">
        <v>4</v>
      </c>
      <c r="H357" t="s">
        <v>168</v>
      </c>
      <c r="I357" t="s">
        <v>674</v>
      </c>
      <c r="J357" s="2">
        <v>9.9600000000000009</v>
      </c>
      <c r="K357">
        <v>2</v>
      </c>
      <c r="L357" s="4"/>
    </row>
    <row r="358" spans="1:12" x14ac:dyDescent="0.3">
      <c r="A358" s="1">
        <v>41537</v>
      </c>
      <c r="B358" s="1">
        <v>41543</v>
      </c>
      <c r="C358" t="s">
        <v>7</v>
      </c>
      <c r="D358" t="s">
        <v>672</v>
      </c>
      <c r="E358" t="s">
        <v>673</v>
      </c>
      <c r="F358" t="s">
        <v>3</v>
      </c>
      <c r="G358" t="s">
        <v>4</v>
      </c>
      <c r="H358" t="s">
        <v>5</v>
      </c>
      <c r="I358" t="s">
        <v>675</v>
      </c>
      <c r="J358" s="2">
        <v>21.72</v>
      </c>
      <c r="K358">
        <v>4</v>
      </c>
      <c r="L358" s="4"/>
    </row>
    <row r="359" spans="1:12" x14ac:dyDescent="0.3">
      <c r="A359" s="1">
        <v>41537</v>
      </c>
      <c r="B359" s="1">
        <v>41543</v>
      </c>
      <c r="C359" t="s">
        <v>7</v>
      </c>
      <c r="D359" t="s">
        <v>676</v>
      </c>
      <c r="E359" t="s">
        <v>677</v>
      </c>
      <c r="F359" t="s">
        <v>3</v>
      </c>
      <c r="G359" t="s">
        <v>4</v>
      </c>
      <c r="H359" t="s">
        <v>20</v>
      </c>
      <c r="I359" t="s">
        <v>678</v>
      </c>
      <c r="J359" s="2">
        <v>43.92</v>
      </c>
      <c r="K359">
        <v>4</v>
      </c>
      <c r="L359" s="4"/>
    </row>
    <row r="360" spans="1:12" x14ac:dyDescent="0.3">
      <c r="A360" s="1">
        <v>41537</v>
      </c>
      <c r="B360" s="1">
        <v>41543</v>
      </c>
      <c r="C360" t="s">
        <v>7</v>
      </c>
      <c r="D360" t="s">
        <v>676</v>
      </c>
      <c r="E360" t="s">
        <v>677</v>
      </c>
      <c r="F360" t="s">
        <v>3</v>
      </c>
      <c r="G360" t="s">
        <v>4</v>
      </c>
      <c r="H360" t="s">
        <v>26</v>
      </c>
      <c r="I360" t="s">
        <v>679</v>
      </c>
      <c r="J360" s="2">
        <v>20.231999999999999</v>
      </c>
      <c r="K360">
        <v>3</v>
      </c>
      <c r="L360" s="4"/>
    </row>
    <row r="361" spans="1:12" x14ac:dyDescent="0.3">
      <c r="A361" s="1">
        <v>41537</v>
      </c>
      <c r="B361" s="1">
        <v>41541</v>
      </c>
      <c r="C361" t="s">
        <v>7</v>
      </c>
      <c r="D361" t="s">
        <v>680</v>
      </c>
      <c r="E361" t="s">
        <v>681</v>
      </c>
      <c r="F361" t="s">
        <v>3</v>
      </c>
      <c r="G361" t="s">
        <v>4</v>
      </c>
      <c r="H361" t="s">
        <v>5</v>
      </c>
      <c r="I361" t="s">
        <v>682</v>
      </c>
      <c r="J361" s="2">
        <v>8.56</v>
      </c>
      <c r="K361">
        <v>2</v>
      </c>
      <c r="L361" s="4"/>
    </row>
    <row r="362" spans="1:12" x14ac:dyDescent="0.3">
      <c r="A362" s="1">
        <v>41538</v>
      </c>
      <c r="B362" s="1">
        <v>41540</v>
      </c>
      <c r="C362" t="s">
        <v>0</v>
      </c>
      <c r="D362" t="s">
        <v>683</v>
      </c>
      <c r="E362" t="s">
        <v>684</v>
      </c>
      <c r="F362" t="s">
        <v>56</v>
      </c>
      <c r="G362" t="s">
        <v>74</v>
      </c>
      <c r="H362" t="s">
        <v>147</v>
      </c>
      <c r="I362" t="s">
        <v>685</v>
      </c>
      <c r="J362" s="2">
        <v>246.38400000000001</v>
      </c>
      <c r="K362">
        <v>2</v>
      </c>
      <c r="L362" s="4"/>
    </row>
    <row r="363" spans="1:12" x14ac:dyDescent="0.3">
      <c r="A363" s="1">
        <v>41538</v>
      </c>
      <c r="B363" s="1">
        <v>41540</v>
      </c>
      <c r="C363" t="s">
        <v>0</v>
      </c>
      <c r="D363" t="s">
        <v>683</v>
      </c>
      <c r="E363" t="s">
        <v>684</v>
      </c>
      <c r="F363" t="s">
        <v>56</v>
      </c>
      <c r="G363" t="s">
        <v>74</v>
      </c>
      <c r="H363" t="s">
        <v>534</v>
      </c>
      <c r="I363" t="s">
        <v>686</v>
      </c>
      <c r="J363" s="2">
        <v>1799.97</v>
      </c>
      <c r="K363">
        <v>3</v>
      </c>
      <c r="L363" s="4"/>
    </row>
    <row r="364" spans="1:12" x14ac:dyDescent="0.3">
      <c r="A364" s="1">
        <v>41538</v>
      </c>
      <c r="B364" s="1">
        <v>41542</v>
      </c>
      <c r="C364" t="s">
        <v>7</v>
      </c>
      <c r="D364" t="s">
        <v>322</v>
      </c>
      <c r="E364" t="s">
        <v>323</v>
      </c>
      <c r="F364" t="s">
        <v>3</v>
      </c>
      <c r="G364" t="s">
        <v>4</v>
      </c>
      <c r="H364" t="s">
        <v>29</v>
      </c>
      <c r="I364" t="s">
        <v>190</v>
      </c>
      <c r="J364" s="2">
        <v>15.56</v>
      </c>
      <c r="K364">
        <v>2</v>
      </c>
      <c r="L364" s="4"/>
    </row>
    <row r="365" spans="1:12" x14ac:dyDescent="0.3">
      <c r="A365" s="1">
        <v>41538</v>
      </c>
      <c r="B365" s="1">
        <v>41542</v>
      </c>
      <c r="C365" t="s">
        <v>7</v>
      </c>
      <c r="D365" t="s">
        <v>322</v>
      </c>
      <c r="E365" t="s">
        <v>323</v>
      </c>
      <c r="F365" t="s">
        <v>3</v>
      </c>
      <c r="G365" t="s">
        <v>4</v>
      </c>
      <c r="H365" t="s">
        <v>29</v>
      </c>
      <c r="I365" t="s">
        <v>687</v>
      </c>
      <c r="J365" s="2">
        <v>78.349999999999994</v>
      </c>
      <c r="K365">
        <v>5</v>
      </c>
      <c r="L365" s="4"/>
    </row>
    <row r="366" spans="1:12" x14ac:dyDescent="0.3">
      <c r="A366" s="1">
        <v>41538</v>
      </c>
      <c r="B366" s="1">
        <v>41542</v>
      </c>
      <c r="C366" t="s">
        <v>7</v>
      </c>
      <c r="D366" t="s">
        <v>322</v>
      </c>
      <c r="E366" t="s">
        <v>323</v>
      </c>
      <c r="F366" t="s">
        <v>3</v>
      </c>
      <c r="G366" t="s">
        <v>4</v>
      </c>
      <c r="H366" t="s">
        <v>15</v>
      </c>
      <c r="I366" t="s">
        <v>688</v>
      </c>
      <c r="J366" s="2">
        <v>59.519999999999996</v>
      </c>
      <c r="K366">
        <v>3</v>
      </c>
      <c r="L366" s="4"/>
    </row>
    <row r="367" spans="1:12" x14ac:dyDescent="0.3">
      <c r="A367" s="1">
        <v>41538</v>
      </c>
      <c r="B367" s="1">
        <v>41542</v>
      </c>
      <c r="C367" t="s">
        <v>7</v>
      </c>
      <c r="D367" t="s">
        <v>322</v>
      </c>
      <c r="E367" t="s">
        <v>323</v>
      </c>
      <c r="F367" t="s">
        <v>3</v>
      </c>
      <c r="G367" t="s">
        <v>4</v>
      </c>
      <c r="H367" t="s">
        <v>5</v>
      </c>
      <c r="I367" t="s">
        <v>689</v>
      </c>
      <c r="J367" s="2">
        <v>38.520000000000003</v>
      </c>
      <c r="K367">
        <v>9</v>
      </c>
      <c r="L367" s="4"/>
    </row>
    <row r="368" spans="1:12" x14ac:dyDescent="0.3">
      <c r="A368" s="1">
        <v>41538</v>
      </c>
      <c r="B368" s="1">
        <v>41542</v>
      </c>
      <c r="C368" t="s">
        <v>7</v>
      </c>
      <c r="D368" t="s">
        <v>322</v>
      </c>
      <c r="E368" t="s">
        <v>323</v>
      </c>
      <c r="F368" t="s">
        <v>3</v>
      </c>
      <c r="G368" t="s">
        <v>74</v>
      </c>
      <c r="H368" t="s">
        <v>147</v>
      </c>
      <c r="I368" t="s">
        <v>690</v>
      </c>
      <c r="J368" s="2">
        <v>239.98400000000004</v>
      </c>
      <c r="K368">
        <v>2</v>
      </c>
      <c r="L368" s="4"/>
    </row>
    <row r="369" spans="1:12" x14ac:dyDescent="0.3">
      <c r="A369" s="1">
        <v>41538</v>
      </c>
      <c r="B369" s="1">
        <v>41542</v>
      </c>
      <c r="C369" t="s">
        <v>7</v>
      </c>
      <c r="D369" t="s">
        <v>322</v>
      </c>
      <c r="E369" t="s">
        <v>323</v>
      </c>
      <c r="F369" t="s">
        <v>3</v>
      </c>
      <c r="G369" t="s">
        <v>4</v>
      </c>
      <c r="H369" t="s">
        <v>5</v>
      </c>
      <c r="I369" t="s">
        <v>691</v>
      </c>
      <c r="J369" s="2">
        <v>19.350000000000001</v>
      </c>
      <c r="K369">
        <v>3</v>
      </c>
      <c r="L369" s="4"/>
    </row>
    <row r="370" spans="1:12" x14ac:dyDescent="0.3">
      <c r="A370" s="1">
        <v>41539</v>
      </c>
      <c r="B370" s="1">
        <v>41545</v>
      </c>
      <c r="C370" t="s">
        <v>7</v>
      </c>
      <c r="D370" t="s">
        <v>222</v>
      </c>
      <c r="E370" t="s">
        <v>223</v>
      </c>
      <c r="F370" t="s">
        <v>3</v>
      </c>
      <c r="G370" t="s">
        <v>4</v>
      </c>
      <c r="H370" t="s">
        <v>10</v>
      </c>
      <c r="I370" t="s">
        <v>692</v>
      </c>
      <c r="J370" s="2">
        <v>169.45</v>
      </c>
      <c r="K370">
        <v>5</v>
      </c>
      <c r="L370" s="4"/>
    </row>
    <row r="371" spans="1:12" x14ac:dyDescent="0.3">
      <c r="A371" s="1">
        <v>41539</v>
      </c>
      <c r="B371" s="1">
        <v>41545</v>
      </c>
      <c r="C371" t="s">
        <v>7</v>
      </c>
      <c r="D371" t="s">
        <v>222</v>
      </c>
      <c r="E371" t="s">
        <v>223</v>
      </c>
      <c r="F371" t="s">
        <v>3</v>
      </c>
      <c r="G371" t="s">
        <v>4</v>
      </c>
      <c r="H371" t="s">
        <v>10</v>
      </c>
      <c r="I371" t="s">
        <v>693</v>
      </c>
      <c r="J371" s="2">
        <v>40.68</v>
      </c>
      <c r="K371">
        <v>2</v>
      </c>
      <c r="L371" s="4"/>
    </row>
    <row r="372" spans="1:12" x14ac:dyDescent="0.3">
      <c r="A372" s="1">
        <v>41540</v>
      </c>
      <c r="B372" s="1">
        <v>41545</v>
      </c>
      <c r="C372" t="s">
        <v>7</v>
      </c>
      <c r="D372" t="s">
        <v>694</v>
      </c>
      <c r="E372" t="s">
        <v>695</v>
      </c>
      <c r="F372" t="s">
        <v>3</v>
      </c>
      <c r="G372" t="s">
        <v>12</v>
      </c>
      <c r="H372" t="s">
        <v>13</v>
      </c>
      <c r="I372" t="s">
        <v>504</v>
      </c>
      <c r="J372" s="2">
        <v>435.99900000000002</v>
      </c>
      <c r="K372">
        <v>3</v>
      </c>
      <c r="L372" s="4"/>
    </row>
    <row r="373" spans="1:12" x14ac:dyDescent="0.3">
      <c r="A373" s="1">
        <v>41540</v>
      </c>
      <c r="B373" s="1">
        <v>41545</v>
      </c>
      <c r="C373" t="s">
        <v>7</v>
      </c>
      <c r="D373" t="s">
        <v>694</v>
      </c>
      <c r="E373" t="s">
        <v>695</v>
      </c>
      <c r="F373" t="s">
        <v>3</v>
      </c>
      <c r="G373" t="s">
        <v>74</v>
      </c>
      <c r="H373" t="s">
        <v>147</v>
      </c>
      <c r="I373" t="s">
        <v>321</v>
      </c>
      <c r="J373" s="2">
        <v>83.984000000000009</v>
      </c>
      <c r="K373">
        <v>2</v>
      </c>
      <c r="L373" s="4"/>
    </row>
    <row r="374" spans="1:12" x14ac:dyDescent="0.3">
      <c r="A374" s="1">
        <v>41541</v>
      </c>
      <c r="B374" s="1">
        <v>41546</v>
      </c>
      <c r="C374" t="s">
        <v>7</v>
      </c>
      <c r="D374" t="s">
        <v>696</v>
      </c>
      <c r="E374" t="s">
        <v>697</v>
      </c>
      <c r="F374" t="s">
        <v>3</v>
      </c>
      <c r="G374" t="s">
        <v>4</v>
      </c>
      <c r="H374" t="s">
        <v>10</v>
      </c>
      <c r="I374" t="s">
        <v>698</v>
      </c>
      <c r="J374" s="2">
        <v>211.96</v>
      </c>
      <c r="K374">
        <v>4</v>
      </c>
      <c r="L374" s="4"/>
    </row>
    <row r="375" spans="1:12" x14ac:dyDescent="0.3">
      <c r="A375" s="1">
        <v>41542</v>
      </c>
      <c r="B375" s="1">
        <v>41547</v>
      </c>
      <c r="C375" t="s">
        <v>7</v>
      </c>
      <c r="D375" t="s">
        <v>699</v>
      </c>
      <c r="E375" t="s">
        <v>700</v>
      </c>
      <c r="F375" t="s">
        <v>115</v>
      </c>
      <c r="G375" t="s">
        <v>4</v>
      </c>
      <c r="H375" t="s">
        <v>15</v>
      </c>
      <c r="I375" t="s">
        <v>46</v>
      </c>
      <c r="J375" s="2">
        <v>14.576000000000001</v>
      </c>
      <c r="K375">
        <v>2</v>
      </c>
      <c r="L375" s="4"/>
    </row>
    <row r="376" spans="1:12" x14ac:dyDescent="0.3">
      <c r="A376" s="1">
        <v>41543</v>
      </c>
      <c r="B376" s="1">
        <v>41548</v>
      </c>
      <c r="C376" t="s">
        <v>0</v>
      </c>
      <c r="D376" t="s">
        <v>701</v>
      </c>
      <c r="E376" t="s">
        <v>702</v>
      </c>
      <c r="F376" t="s">
        <v>3</v>
      </c>
      <c r="G376" t="s">
        <v>12</v>
      </c>
      <c r="H376" t="s">
        <v>70</v>
      </c>
      <c r="I376" t="s">
        <v>703</v>
      </c>
      <c r="J376" s="2">
        <v>145.56800000000001</v>
      </c>
      <c r="K376">
        <v>2</v>
      </c>
      <c r="L376" s="4"/>
    </row>
    <row r="377" spans="1:12" x14ac:dyDescent="0.3">
      <c r="A377" s="1">
        <v>41543</v>
      </c>
      <c r="B377" s="1">
        <v>41547</v>
      </c>
      <c r="C377" t="s">
        <v>7</v>
      </c>
      <c r="D377" t="s">
        <v>704</v>
      </c>
      <c r="E377" t="s">
        <v>705</v>
      </c>
      <c r="F377" t="s">
        <v>56</v>
      </c>
      <c r="G377" t="s">
        <v>4</v>
      </c>
      <c r="H377" t="s">
        <v>10</v>
      </c>
      <c r="I377" t="s">
        <v>706</v>
      </c>
      <c r="J377" s="2">
        <v>310.12</v>
      </c>
      <c r="K377">
        <v>2</v>
      </c>
      <c r="L377" s="4"/>
    </row>
    <row r="378" spans="1:12" x14ac:dyDescent="0.3">
      <c r="A378" s="1">
        <v>41543</v>
      </c>
      <c r="B378" s="1">
        <v>41544</v>
      </c>
      <c r="C378" t="s">
        <v>22</v>
      </c>
      <c r="D378" t="s">
        <v>707</v>
      </c>
      <c r="E378" t="s">
        <v>708</v>
      </c>
      <c r="F378" t="s">
        <v>3</v>
      </c>
      <c r="G378" t="s">
        <v>12</v>
      </c>
      <c r="H378" t="s">
        <v>70</v>
      </c>
      <c r="I378" t="s">
        <v>628</v>
      </c>
      <c r="J378" s="2">
        <v>585.55200000000002</v>
      </c>
      <c r="K378">
        <v>3</v>
      </c>
      <c r="L378" s="4"/>
    </row>
    <row r="379" spans="1:12" x14ac:dyDescent="0.3">
      <c r="A379" s="1">
        <v>41543</v>
      </c>
      <c r="B379" s="1">
        <v>41544</v>
      </c>
      <c r="C379" t="s">
        <v>22</v>
      </c>
      <c r="D379" t="s">
        <v>707</v>
      </c>
      <c r="E379" t="s">
        <v>708</v>
      </c>
      <c r="F379" t="s">
        <v>3</v>
      </c>
      <c r="G379" t="s">
        <v>4</v>
      </c>
      <c r="H379" t="s">
        <v>5</v>
      </c>
      <c r="I379" t="s">
        <v>709</v>
      </c>
      <c r="J379" s="2">
        <v>19.440000000000001</v>
      </c>
      <c r="K379">
        <v>3</v>
      </c>
      <c r="L379" s="4"/>
    </row>
    <row r="380" spans="1:12" x14ac:dyDescent="0.3">
      <c r="A380" s="1">
        <v>41544</v>
      </c>
      <c r="B380" s="1">
        <v>41548</v>
      </c>
      <c r="C380" t="s">
        <v>7</v>
      </c>
      <c r="D380" t="s">
        <v>710</v>
      </c>
      <c r="E380" t="s">
        <v>711</v>
      </c>
      <c r="F380" t="s">
        <v>3</v>
      </c>
      <c r="G380" t="s">
        <v>12</v>
      </c>
      <c r="H380" t="s">
        <v>70</v>
      </c>
      <c r="I380" t="s">
        <v>712</v>
      </c>
      <c r="J380" s="2">
        <v>603.91999999999996</v>
      </c>
      <c r="K380">
        <v>5</v>
      </c>
      <c r="L380" s="4"/>
    </row>
    <row r="381" spans="1:12" x14ac:dyDescent="0.3">
      <c r="A381" s="1">
        <v>41544</v>
      </c>
      <c r="B381" s="1">
        <v>41548</v>
      </c>
      <c r="C381" t="s">
        <v>7</v>
      </c>
      <c r="D381" t="s">
        <v>710</v>
      </c>
      <c r="E381" t="s">
        <v>711</v>
      </c>
      <c r="F381" t="s">
        <v>3</v>
      </c>
      <c r="G381" t="s">
        <v>4</v>
      </c>
      <c r="H381" t="s">
        <v>5</v>
      </c>
      <c r="I381" t="s">
        <v>713</v>
      </c>
      <c r="J381" s="2">
        <v>81.98</v>
      </c>
      <c r="K381">
        <v>2</v>
      </c>
      <c r="L381" s="4"/>
    </row>
    <row r="382" spans="1:12" x14ac:dyDescent="0.3">
      <c r="A382" s="1">
        <v>41546</v>
      </c>
      <c r="B382" s="1">
        <v>41550</v>
      </c>
      <c r="C382" t="s">
        <v>7</v>
      </c>
      <c r="D382" t="s">
        <v>577</v>
      </c>
      <c r="E382" t="s">
        <v>578</v>
      </c>
      <c r="F382" t="s">
        <v>3</v>
      </c>
      <c r="G382" t="s">
        <v>12</v>
      </c>
      <c r="H382" t="s">
        <v>35</v>
      </c>
      <c r="I382" t="s">
        <v>714</v>
      </c>
      <c r="J382" s="2">
        <v>204.6</v>
      </c>
      <c r="K382">
        <v>2</v>
      </c>
      <c r="L382" s="4"/>
    </row>
    <row r="383" spans="1:12" x14ac:dyDescent="0.3">
      <c r="A383" s="1">
        <v>41546</v>
      </c>
      <c r="B383" s="1">
        <v>41550</v>
      </c>
      <c r="C383" t="s">
        <v>7</v>
      </c>
      <c r="D383" t="s">
        <v>577</v>
      </c>
      <c r="E383" t="s">
        <v>578</v>
      </c>
      <c r="F383" t="s">
        <v>3</v>
      </c>
      <c r="G383" t="s">
        <v>4</v>
      </c>
      <c r="H383" t="s">
        <v>52</v>
      </c>
      <c r="I383" t="s">
        <v>715</v>
      </c>
      <c r="J383" s="2">
        <v>8.7200000000000006</v>
      </c>
      <c r="K383">
        <v>4</v>
      </c>
      <c r="L383" s="4"/>
    </row>
    <row r="384" spans="1:12" x14ac:dyDescent="0.3">
      <c r="A384" s="1">
        <v>41546</v>
      </c>
      <c r="B384" s="1">
        <v>41550</v>
      </c>
      <c r="C384" t="s">
        <v>7</v>
      </c>
      <c r="D384" t="s">
        <v>577</v>
      </c>
      <c r="E384" t="s">
        <v>578</v>
      </c>
      <c r="F384" t="s">
        <v>3</v>
      </c>
      <c r="G384" t="s">
        <v>4</v>
      </c>
      <c r="H384" t="s">
        <v>5</v>
      </c>
      <c r="I384" t="s">
        <v>716</v>
      </c>
      <c r="J384" s="2">
        <v>6.48</v>
      </c>
      <c r="K384">
        <v>1</v>
      </c>
      <c r="L384" s="4"/>
    </row>
    <row r="385" spans="1:12" x14ac:dyDescent="0.3">
      <c r="A385" s="1">
        <v>41546</v>
      </c>
      <c r="B385" s="1">
        <v>41550</v>
      </c>
      <c r="C385" t="s">
        <v>7</v>
      </c>
      <c r="D385" t="s">
        <v>577</v>
      </c>
      <c r="E385" t="s">
        <v>578</v>
      </c>
      <c r="F385" t="s">
        <v>3</v>
      </c>
      <c r="G385" t="s">
        <v>74</v>
      </c>
      <c r="H385" t="s">
        <v>138</v>
      </c>
      <c r="I385" t="s">
        <v>717</v>
      </c>
      <c r="J385" s="2">
        <v>686.32</v>
      </c>
      <c r="K385">
        <v>2</v>
      </c>
      <c r="L385" s="4"/>
    </row>
    <row r="386" spans="1:12" x14ac:dyDescent="0.3">
      <c r="A386" s="1">
        <v>41546</v>
      </c>
      <c r="B386" s="1">
        <v>41550</v>
      </c>
      <c r="C386" t="s">
        <v>7</v>
      </c>
      <c r="D386" t="s">
        <v>577</v>
      </c>
      <c r="E386" t="s">
        <v>578</v>
      </c>
      <c r="F386" t="s">
        <v>3</v>
      </c>
      <c r="G386" t="s">
        <v>4</v>
      </c>
      <c r="H386" t="s">
        <v>10</v>
      </c>
      <c r="I386" t="s">
        <v>718</v>
      </c>
      <c r="J386" s="2">
        <v>62.18</v>
      </c>
      <c r="K386">
        <v>1</v>
      </c>
      <c r="L386" s="4"/>
    </row>
    <row r="387" spans="1:12" x14ac:dyDescent="0.3">
      <c r="A387" s="1">
        <v>41546</v>
      </c>
      <c r="B387" s="1">
        <v>41548</v>
      </c>
      <c r="C387" t="s">
        <v>0</v>
      </c>
      <c r="D387" t="s">
        <v>719</v>
      </c>
      <c r="E387" t="s">
        <v>720</v>
      </c>
      <c r="F387" t="s">
        <v>56</v>
      </c>
      <c r="G387" t="s">
        <v>12</v>
      </c>
      <c r="H387" t="s">
        <v>35</v>
      </c>
      <c r="I387" t="s">
        <v>721</v>
      </c>
      <c r="J387" s="2">
        <v>6.16</v>
      </c>
      <c r="K387">
        <v>2</v>
      </c>
      <c r="L387" s="4"/>
    </row>
    <row r="388" spans="1:12" x14ac:dyDescent="0.3">
      <c r="A388" s="1">
        <v>41546</v>
      </c>
      <c r="B388" s="1">
        <v>41548</v>
      </c>
      <c r="C388" t="s">
        <v>0</v>
      </c>
      <c r="D388" t="s">
        <v>719</v>
      </c>
      <c r="E388" t="s">
        <v>720</v>
      </c>
      <c r="F388" t="s">
        <v>56</v>
      </c>
      <c r="G388" t="s">
        <v>12</v>
      </c>
      <c r="H388" t="s">
        <v>44</v>
      </c>
      <c r="I388" t="s">
        <v>98</v>
      </c>
      <c r="J388" s="2">
        <v>2348.8200000000002</v>
      </c>
      <c r="K388">
        <v>9</v>
      </c>
      <c r="L388" s="4"/>
    </row>
    <row r="389" spans="1:12" x14ac:dyDescent="0.3">
      <c r="A389" s="1">
        <v>41546</v>
      </c>
      <c r="B389" s="1">
        <v>41551</v>
      </c>
      <c r="C389" t="s">
        <v>7</v>
      </c>
      <c r="D389" t="s">
        <v>722</v>
      </c>
      <c r="E389" t="s">
        <v>723</v>
      </c>
      <c r="F389" t="s">
        <v>56</v>
      </c>
      <c r="G389" t="s">
        <v>4</v>
      </c>
      <c r="H389" t="s">
        <v>26</v>
      </c>
      <c r="I389" t="s">
        <v>724</v>
      </c>
      <c r="J389" s="2">
        <v>10.048000000000002</v>
      </c>
      <c r="K389">
        <v>2</v>
      </c>
      <c r="L389" s="4"/>
    </row>
    <row r="390" spans="1:12" x14ac:dyDescent="0.3">
      <c r="A390" s="1">
        <v>41546</v>
      </c>
      <c r="B390" s="1">
        <v>41551</v>
      </c>
      <c r="C390" t="s">
        <v>7</v>
      </c>
      <c r="D390" t="s">
        <v>722</v>
      </c>
      <c r="E390" t="s">
        <v>723</v>
      </c>
      <c r="F390" t="s">
        <v>56</v>
      </c>
      <c r="G390" t="s">
        <v>4</v>
      </c>
      <c r="H390" t="s">
        <v>10</v>
      </c>
      <c r="I390" t="s">
        <v>725</v>
      </c>
      <c r="J390" s="2">
        <v>807.75</v>
      </c>
      <c r="K390">
        <v>5</v>
      </c>
      <c r="L390" s="4"/>
    </row>
    <row r="391" spans="1:12" x14ac:dyDescent="0.3">
      <c r="A391" s="1">
        <v>41547</v>
      </c>
      <c r="B391" s="1">
        <v>41551</v>
      </c>
      <c r="C391" t="s">
        <v>7</v>
      </c>
      <c r="D391" t="s">
        <v>726</v>
      </c>
      <c r="E391" t="s">
        <v>727</v>
      </c>
      <c r="F391" t="s">
        <v>56</v>
      </c>
      <c r="G391" t="s">
        <v>4</v>
      </c>
      <c r="H391" t="s">
        <v>26</v>
      </c>
      <c r="I391" t="s">
        <v>356</v>
      </c>
      <c r="J391" s="2">
        <v>43.176000000000002</v>
      </c>
      <c r="K391">
        <v>7</v>
      </c>
      <c r="L391" s="4"/>
    </row>
    <row r="392" spans="1:12" x14ac:dyDescent="0.3">
      <c r="A392" s="1">
        <v>41548</v>
      </c>
      <c r="B392" s="1">
        <v>41552</v>
      </c>
      <c r="C392" t="s">
        <v>7</v>
      </c>
      <c r="D392" t="s">
        <v>728</v>
      </c>
      <c r="E392" t="s">
        <v>729</v>
      </c>
      <c r="F392" t="s">
        <v>39</v>
      </c>
      <c r="G392" t="s">
        <v>4</v>
      </c>
      <c r="H392" t="s">
        <v>52</v>
      </c>
      <c r="I392" t="s">
        <v>730</v>
      </c>
      <c r="J392" s="2">
        <v>4.71</v>
      </c>
      <c r="K392">
        <v>1</v>
      </c>
      <c r="L392" s="4"/>
    </row>
    <row r="393" spans="1:12" x14ac:dyDescent="0.3">
      <c r="A393" s="1">
        <v>41549</v>
      </c>
      <c r="B393" s="1">
        <v>41552</v>
      </c>
      <c r="C393" t="s">
        <v>22</v>
      </c>
      <c r="D393" t="s">
        <v>731</v>
      </c>
      <c r="E393" t="s">
        <v>732</v>
      </c>
      <c r="F393" t="s">
        <v>25</v>
      </c>
      <c r="G393" t="s">
        <v>4</v>
      </c>
      <c r="H393" t="s">
        <v>5</v>
      </c>
      <c r="I393" t="s">
        <v>733</v>
      </c>
      <c r="J393" s="2">
        <v>9.4079999999999995</v>
      </c>
      <c r="K393">
        <v>2</v>
      </c>
      <c r="L393" s="4"/>
    </row>
    <row r="394" spans="1:12" x14ac:dyDescent="0.3">
      <c r="A394" s="1">
        <v>41549</v>
      </c>
      <c r="B394" s="1">
        <v>41552</v>
      </c>
      <c r="C394" t="s">
        <v>22</v>
      </c>
      <c r="D394" t="s">
        <v>731</v>
      </c>
      <c r="E394" t="s">
        <v>732</v>
      </c>
      <c r="F394" t="s">
        <v>25</v>
      </c>
      <c r="G394" t="s">
        <v>4</v>
      </c>
      <c r="H394" t="s">
        <v>52</v>
      </c>
      <c r="I394" t="s">
        <v>53</v>
      </c>
      <c r="J394" s="2">
        <v>4.6719999999999997</v>
      </c>
      <c r="K394">
        <v>2</v>
      </c>
      <c r="L394" s="4"/>
    </row>
    <row r="395" spans="1:12" x14ac:dyDescent="0.3">
      <c r="A395" s="1">
        <v>41549</v>
      </c>
      <c r="B395" s="1">
        <v>41552</v>
      </c>
      <c r="C395" t="s">
        <v>22</v>
      </c>
      <c r="D395" t="s">
        <v>731</v>
      </c>
      <c r="E395" t="s">
        <v>732</v>
      </c>
      <c r="F395" t="s">
        <v>25</v>
      </c>
      <c r="G395" t="s">
        <v>74</v>
      </c>
      <c r="H395" t="s">
        <v>147</v>
      </c>
      <c r="I395" t="s">
        <v>734</v>
      </c>
      <c r="J395" s="2">
        <v>318.40000000000003</v>
      </c>
      <c r="K395">
        <v>2</v>
      </c>
      <c r="L395" s="4"/>
    </row>
    <row r="396" spans="1:12" x14ac:dyDescent="0.3">
      <c r="A396" s="1">
        <v>41549</v>
      </c>
      <c r="B396" s="1">
        <v>41552</v>
      </c>
      <c r="C396" t="s">
        <v>22</v>
      </c>
      <c r="D396" t="s">
        <v>731</v>
      </c>
      <c r="E396" t="s">
        <v>732</v>
      </c>
      <c r="F396" t="s">
        <v>25</v>
      </c>
      <c r="G396" t="s">
        <v>4</v>
      </c>
      <c r="H396" t="s">
        <v>29</v>
      </c>
      <c r="I396" t="s">
        <v>735</v>
      </c>
      <c r="J396" s="2">
        <v>12.768000000000001</v>
      </c>
      <c r="K396">
        <v>6</v>
      </c>
      <c r="L396" s="4"/>
    </row>
    <row r="397" spans="1:12" x14ac:dyDescent="0.3">
      <c r="A397" s="1">
        <v>41549</v>
      </c>
      <c r="B397" s="1">
        <v>41552</v>
      </c>
      <c r="C397" t="s">
        <v>22</v>
      </c>
      <c r="D397" t="s">
        <v>731</v>
      </c>
      <c r="E397" t="s">
        <v>732</v>
      </c>
      <c r="F397" t="s">
        <v>25</v>
      </c>
      <c r="G397" t="s">
        <v>4</v>
      </c>
      <c r="H397" t="s">
        <v>78</v>
      </c>
      <c r="I397" t="s">
        <v>736</v>
      </c>
      <c r="J397" s="2">
        <v>15.36</v>
      </c>
      <c r="K397">
        <v>2</v>
      </c>
      <c r="L397" s="4"/>
    </row>
    <row r="398" spans="1:12" x14ac:dyDescent="0.3">
      <c r="A398" s="1">
        <v>41549</v>
      </c>
      <c r="B398" s="1">
        <v>41552</v>
      </c>
      <c r="C398" t="s">
        <v>22</v>
      </c>
      <c r="D398" t="s">
        <v>731</v>
      </c>
      <c r="E398" t="s">
        <v>732</v>
      </c>
      <c r="F398" t="s">
        <v>25</v>
      </c>
      <c r="G398" t="s">
        <v>74</v>
      </c>
      <c r="H398" t="s">
        <v>147</v>
      </c>
      <c r="I398" t="s">
        <v>234</v>
      </c>
      <c r="J398" s="2">
        <v>230.376</v>
      </c>
      <c r="K398">
        <v>3</v>
      </c>
      <c r="L398" s="4"/>
    </row>
    <row r="399" spans="1:12" x14ac:dyDescent="0.3">
      <c r="A399" s="1">
        <v>41549</v>
      </c>
      <c r="B399" s="1">
        <v>41552</v>
      </c>
      <c r="C399" t="s">
        <v>22</v>
      </c>
      <c r="D399" t="s">
        <v>731</v>
      </c>
      <c r="E399" t="s">
        <v>732</v>
      </c>
      <c r="F399" t="s">
        <v>25</v>
      </c>
      <c r="G399" t="s">
        <v>74</v>
      </c>
      <c r="H399" t="s">
        <v>75</v>
      </c>
      <c r="I399" t="s">
        <v>737</v>
      </c>
      <c r="J399" s="2">
        <v>7.16</v>
      </c>
      <c r="K399">
        <v>1</v>
      </c>
      <c r="L399" s="4"/>
    </row>
    <row r="400" spans="1:12" x14ac:dyDescent="0.3">
      <c r="A400" s="1">
        <v>41550</v>
      </c>
      <c r="B400" s="1">
        <v>41555</v>
      </c>
      <c r="C400" t="s">
        <v>0</v>
      </c>
      <c r="D400" t="s">
        <v>738</v>
      </c>
      <c r="E400" t="s">
        <v>739</v>
      </c>
      <c r="F400" t="s">
        <v>3</v>
      </c>
      <c r="G400" t="s">
        <v>12</v>
      </c>
      <c r="H400" t="s">
        <v>44</v>
      </c>
      <c r="I400" t="s">
        <v>740</v>
      </c>
      <c r="J400" s="2">
        <v>143.43199999999999</v>
      </c>
      <c r="K400">
        <v>1</v>
      </c>
      <c r="L400" s="4"/>
    </row>
    <row r="401" spans="1:12" x14ac:dyDescent="0.3">
      <c r="A401" s="1">
        <v>41550</v>
      </c>
      <c r="B401" s="1">
        <v>41555</v>
      </c>
      <c r="C401" t="s">
        <v>0</v>
      </c>
      <c r="D401" t="s">
        <v>738</v>
      </c>
      <c r="E401" t="s">
        <v>739</v>
      </c>
      <c r="F401" t="s">
        <v>3</v>
      </c>
      <c r="G401" t="s">
        <v>12</v>
      </c>
      <c r="H401" t="s">
        <v>70</v>
      </c>
      <c r="I401" t="s">
        <v>741</v>
      </c>
      <c r="J401" s="2">
        <v>122.352</v>
      </c>
      <c r="K401">
        <v>3</v>
      </c>
      <c r="L401" s="4"/>
    </row>
    <row r="402" spans="1:12" x14ac:dyDescent="0.3">
      <c r="A402" s="1">
        <v>41551</v>
      </c>
      <c r="B402" s="1">
        <v>41555</v>
      </c>
      <c r="C402" t="s">
        <v>7</v>
      </c>
      <c r="D402" t="s">
        <v>742</v>
      </c>
      <c r="E402" t="s">
        <v>743</v>
      </c>
      <c r="F402" t="s">
        <v>3</v>
      </c>
      <c r="G402" t="s">
        <v>4</v>
      </c>
      <c r="H402" t="s">
        <v>168</v>
      </c>
      <c r="I402" t="s">
        <v>744</v>
      </c>
      <c r="J402" s="2">
        <v>14.450000000000001</v>
      </c>
      <c r="K402">
        <v>5</v>
      </c>
      <c r="L402" s="4"/>
    </row>
    <row r="403" spans="1:12" x14ac:dyDescent="0.3">
      <c r="A403" s="1">
        <v>41551</v>
      </c>
      <c r="B403" s="1">
        <v>41555</v>
      </c>
      <c r="C403" t="s">
        <v>7</v>
      </c>
      <c r="D403" t="s">
        <v>742</v>
      </c>
      <c r="E403" t="s">
        <v>743</v>
      </c>
      <c r="F403" t="s">
        <v>3</v>
      </c>
      <c r="G403" t="s">
        <v>4</v>
      </c>
      <c r="H403" t="s">
        <v>26</v>
      </c>
      <c r="I403" t="s">
        <v>745</v>
      </c>
      <c r="J403" s="2">
        <v>95.64800000000001</v>
      </c>
      <c r="K403">
        <v>2</v>
      </c>
      <c r="L403" s="4"/>
    </row>
    <row r="404" spans="1:12" x14ac:dyDescent="0.3">
      <c r="A404" s="1">
        <v>41551</v>
      </c>
      <c r="B404" s="1">
        <v>41556</v>
      </c>
      <c r="C404" t="s">
        <v>7</v>
      </c>
      <c r="D404" t="s">
        <v>746</v>
      </c>
      <c r="E404" t="s">
        <v>747</v>
      </c>
      <c r="F404" t="s">
        <v>56</v>
      </c>
      <c r="G404" t="s">
        <v>4</v>
      </c>
      <c r="H404" t="s">
        <v>168</v>
      </c>
      <c r="I404" t="s">
        <v>748</v>
      </c>
      <c r="J404" s="2">
        <v>29.24</v>
      </c>
      <c r="K404">
        <v>4</v>
      </c>
      <c r="L404" s="4"/>
    </row>
    <row r="405" spans="1:12" x14ac:dyDescent="0.3">
      <c r="A405" s="1">
        <v>41552</v>
      </c>
      <c r="B405" s="1">
        <v>41553</v>
      </c>
      <c r="C405" t="s">
        <v>22</v>
      </c>
      <c r="D405" t="s">
        <v>749</v>
      </c>
      <c r="E405" t="s">
        <v>750</v>
      </c>
      <c r="F405" t="s">
        <v>3</v>
      </c>
      <c r="G405" t="s">
        <v>74</v>
      </c>
      <c r="H405" t="s">
        <v>75</v>
      </c>
      <c r="I405" t="s">
        <v>304</v>
      </c>
      <c r="J405" s="2">
        <v>99.98</v>
      </c>
      <c r="K405">
        <v>2</v>
      </c>
      <c r="L405" s="4"/>
    </row>
    <row r="406" spans="1:12" x14ac:dyDescent="0.3">
      <c r="A406" s="1">
        <v>41553</v>
      </c>
      <c r="B406" s="1">
        <v>41557</v>
      </c>
      <c r="C406" t="s">
        <v>7</v>
      </c>
      <c r="D406" t="s">
        <v>751</v>
      </c>
      <c r="E406" t="s">
        <v>752</v>
      </c>
      <c r="F406" t="s">
        <v>3</v>
      </c>
      <c r="G406" t="s">
        <v>74</v>
      </c>
      <c r="H406" t="s">
        <v>75</v>
      </c>
      <c r="I406" t="s">
        <v>753</v>
      </c>
      <c r="J406" s="2">
        <v>9.09</v>
      </c>
      <c r="K406">
        <v>3</v>
      </c>
      <c r="L406" s="4"/>
    </row>
    <row r="407" spans="1:12" x14ac:dyDescent="0.3">
      <c r="A407" s="1">
        <v>41556</v>
      </c>
      <c r="B407" s="1">
        <v>41561</v>
      </c>
      <c r="C407" t="s">
        <v>7</v>
      </c>
      <c r="D407" t="s">
        <v>606</v>
      </c>
      <c r="E407" t="s">
        <v>607</v>
      </c>
      <c r="F407" t="s">
        <v>3</v>
      </c>
      <c r="G407" t="s">
        <v>4</v>
      </c>
      <c r="H407" t="s">
        <v>15</v>
      </c>
      <c r="I407" t="s">
        <v>754</v>
      </c>
      <c r="J407" s="2">
        <v>144.60000000000002</v>
      </c>
      <c r="K407">
        <v>3</v>
      </c>
      <c r="L407" s="4"/>
    </row>
    <row r="408" spans="1:12" x14ac:dyDescent="0.3">
      <c r="A408" s="1">
        <v>41556</v>
      </c>
      <c r="B408" s="1">
        <v>41561</v>
      </c>
      <c r="C408" t="s">
        <v>7</v>
      </c>
      <c r="D408" t="s">
        <v>606</v>
      </c>
      <c r="E408" t="s">
        <v>607</v>
      </c>
      <c r="F408" t="s">
        <v>3</v>
      </c>
      <c r="G408" t="s">
        <v>74</v>
      </c>
      <c r="H408" t="s">
        <v>147</v>
      </c>
      <c r="I408" t="s">
        <v>755</v>
      </c>
      <c r="J408" s="2">
        <v>15.991999999999999</v>
      </c>
      <c r="K408">
        <v>1</v>
      </c>
      <c r="L408" s="4"/>
    </row>
    <row r="409" spans="1:12" x14ac:dyDescent="0.3">
      <c r="A409" s="1">
        <v>41557</v>
      </c>
      <c r="B409" s="1">
        <v>41557</v>
      </c>
      <c r="C409" t="s">
        <v>240</v>
      </c>
      <c r="D409" t="s">
        <v>756</v>
      </c>
      <c r="E409" t="s">
        <v>757</v>
      </c>
      <c r="F409" t="s">
        <v>3</v>
      </c>
      <c r="G409" t="s">
        <v>12</v>
      </c>
      <c r="H409" t="s">
        <v>70</v>
      </c>
      <c r="I409" t="s">
        <v>741</v>
      </c>
      <c r="J409" s="2">
        <v>122.352</v>
      </c>
      <c r="K409">
        <v>3</v>
      </c>
      <c r="L409" s="4"/>
    </row>
    <row r="410" spans="1:12" x14ac:dyDescent="0.3">
      <c r="A410" s="1">
        <v>41557</v>
      </c>
      <c r="B410" s="1">
        <v>41557</v>
      </c>
      <c r="C410" t="s">
        <v>240</v>
      </c>
      <c r="D410" t="s">
        <v>756</v>
      </c>
      <c r="E410" t="s">
        <v>757</v>
      </c>
      <c r="F410" t="s">
        <v>3</v>
      </c>
      <c r="G410" t="s">
        <v>4</v>
      </c>
      <c r="H410" t="s">
        <v>29</v>
      </c>
      <c r="I410" t="s">
        <v>758</v>
      </c>
      <c r="J410" s="2">
        <v>15.28</v>
      </c>
      <c r="K410">
        <v>2</v>
      </c>
      <c r="L410" s="4"/>
    </row>
    <row r="411" spans="1:12" x14ac:dyDescent="0.3">
      <c r="A411" s="1">
        <v>41557</v>
      </c>
      <c r="B411" s="1">
        <v>41561</v>
      </c>
      <c r="C411" t="s">
        <v>7</v>
      </c>
      <c r="D411" t="s">
        <v>759</v>
      </c>
      <c r="E411" t="s">
        <v>760</v>
      </c>
      <c r="F411" t="s">
        <v>25</v>
      </c>
      <c r="G411" t="s">
        <v>12</v>
      </c>
      <c r="H411" t="s">
        <v>35</v>
      </c>
      <c r="I411" t="s">
        <v>761</v>
      </c>
      <c r="J411" s="2">
        <v>46.872</v>
      </c>
      <c r="K411">
        <v>7</v>
      </c>
      <c r="L411" s="4"/>
    </row>
    <row r="412" spans="1:12" x14ac:dyDescent="0.3">
      <c r="A412" s="1">
        <v>41557</v>
      </c>
      <c r="B412" s="1">
        <v>41557</v>
      </c>
      <c r="C412" t="s">
        <v>240</v>
      </c>
      <c r="D412" t="s">
        <v>762</v>
      </c>
      <c r="E412" t="s">
        <v>763</v>
      </c>
      <c r="F412" t="s">
        <v>172</v>
      </c>
      <c r="G412" t="s">
        <v>4</v>
      </c>
      <c r="H412" t="s">
        <v>15</v>
      </c>
      <c r="I412" t="s">
        <v>764</v>
      </c>
      <c r="J412" s="2">
        <v>255.84999999999997</v>
      </c>
      <c r="K412">
        <v>7</v>
      </c>
      <c r="L412" s="4"/>
    </row>
    <row r="413" spans="1:12" x14ac:dyDescent="0.3">
      <c r="A413" s="1">
        <v>41558</v>
      </c>
      <c r="B413" s="1">
        <v>41563</v>
      </c>
      <c r="C413" t="s">
        <v>7</v>
      </c>
      <c r="D413" t="s">
        <v>325</v>
      </c>
      <c r="E413" t="s">
        <v>326</v>
      </c>
      <c r="F413" t="s">
        <v>56</v>
      </c>
      <c r="G413" t="s">
        <v>12</v>
      </c>
      <c r="H413" t="s">
        <v>35</v>
      </c>
      <c r="I413" t="s">
        <v>765</v>
      </c>
      <c r="J413" s="2">
        <v>63.47</v>
      </c>
      <c r="K413">
        <v>11</v>
      </c>
      <c r="L413" s="4"/>
    </row>
    <row r="414" spans="1:12" x14ac:dyDescent="0.3">
      <c r="A414" s="1">
        <v>41558</v>
      </c>
      <c r="B414" s="1">
        <v>41563</v>
      </c>
      <c r="C414" t="s">
        <v>7</v>
      </c>
      <c r="D414" t="s">
        <v>325</v>
      </c>
      <c r="E414" t="s">
        <v>326</v>
      </c>
      <c r="F414" t="s">
        <v>56</v>
      </c>
      <c r="G414" t="s">
        <v>74</v>
      </c>
      <c r="H414" t="s">
        <v>75</v>
      </c>
      <c r="I414" t="s">
        <v>766</v>
      </c>
      <c r="J414" s="2">
        <v>345</v>
      </c>
      <c r="K414">
        <v>5</v>
      </c>
      <c r="L414" s="4"/>
    </row>
    <row r="415" spans="1:12" x14ac:dyDescent="0.3">
      <c r="A415" s="1">
        <v>41558</v>
      </c>
      <c r="B415" s="1">
        <v>41560</v>
      </c>
      <c r="C415" t="s">
        <v>22</v>
      </c>
      <c r="D415" t="s">
        <v>767</v>
      </c>
      <c r="E415" t="s">
        <v>768</v>
      </c>
      <c r="F415" t="s">
        <v>3</v>
      </c>
      <c r="G415" t="s">
        <v>4</v>
      </c>
      <c r="H415" t="s">
        <v>10</v>
      </c>
      <c r="I415" t="s">
        <v>769</v>
      </c>
      <c r="J415" s="2">
        <v>31.92</v>
      </c>
      <c r="K415">
        <v>4</v>
      </c>
      <c r="L415" s="4"/>
    </row>
    <row r="416" spans="1:12" x14ac:dyDescent="0.3">
      <c r="A416" s="1">
        <v>41558</v>
      </c>
      <c r="B416" s="1">
        <v>41560</v>
      </c>
      <c r="C416" t="s">
        <v>22</v>
      </c>
      <c r="D416" t="s">
        <v>767</v>
      </c>
      <c r="E416" t="s">
        <v>768</v>
      </c>
      <c r="F416" t="s">
        <v>3</v>
      </c>
      <c r="G416" t="s">
        <v>12</v>
      </c>
      <c r="H416" t="s">
        <v>70</v>
      </c>
      <c r="I416" t="s">
        <v>770</v>
      </c>
      <c r="J416" s="2">
        <v>433.56800000000004</v>
      </c>
      <c r="K416">
        <v>2</v>
      </c>
      <c r="L416" s="4"/>
    </row>
    <row r="417" spans="1:12" x14ac:dyDescent="0.3">
      <c r="A417" s="1">
        <v>41558</v>
      </c>
      <c r="B417" s="1">
        <v>41562</v>
      </c>
      <c r="C417" t="s">
        <v>7</v>
      </c>
      <c r="D417" t="s">
        <v>771</v>
      </c>
      <c r="E417" t="s">
        <v>772</v>
      </c>
      <c r="F417" t="s">
        <v>3</v>
      </c>
      <c r="G417" t="s">
        <v>4</v>
      </c>
      <c r="H417" t="s">
        <v>29</v>
      </c>
      <c r="I417" t="s">
        <v>758</v>
      </c>
      <c r="J417" s="2">
        <v>7.64</v>
      </c>
      <c r="K417">
        <v>1</v>
      </c>
      <c r="L417" s="4"/>
    </row>
    <row r="418" spans="1:12" x14ac:dyDescent="0.3">
      <c r="A418" s="1">
        <v>41559</v>
      </c>
      <c r="B418" s="1">
        <v>41563</v>
      </c>
      <c r="C418" t="s">
        <v>7</v>
      </c>
      <c r="D418" t="s">
        <v>773</v>
      </c>
      <c r="E418" t="s">
        <v>774</v>
      </c>
      <c r="F418" t="s">
        <v>3</v>
      </c>
      <c r="G418" t="s">
        <v>4</v>
      </c>
      <c r="H418" t="s">
        <v>15</v>
      </c>
      <c r="I418" t="s">
        <v>775</v>
      </c>
      <c r="J418" s="2">
        <v>14.9</v>
      </c>
      <c r="K418">
        <v>5</v>
      </c>
      <c r="L418" s="4"/>
    </row>
    <row r="419" spans="1:12" x14ac:dyDescent="0.3">
      <c r="A419" s="1">
        <v>41559</v>
      </c>
      <c r="B419" s="1">
        <v>41563</v>
      </c>
      <c r="C419" t="s">
        <v>7</v>
      </c>
      <c r="D419" t="s">
        <v>773</v>
      </c>
      <c r="E419" t="s">
        <v>774</v>
      </c>
      <c r="F419" t="s">
        <v>3</v>
      </c>
      <c r="G419" t="s">
        <v>4</v>
      </c>
      <c r="H419" t="s">
        <v>10</v>
      </c>
      <c r="I419" t="s">
        <v>776</v>
      </c>
      <c r="J419" s="2">
        <v>21.39</v>
      </c>
      <c r="K419">
        <v>1</v>
      </c>
      <c r="L419" s="4"/>
    </row>
    <row r="420" spans="1:12" x14ac:dyDescent="0.3">
      <c r="A420" s="1">
        <v>41560</v>
      </c>
      <c r="B420" s="1">
        <v>41562</v>
      </c>
      <c r="C420" t="s">
        <v>22</v>
      </c>
      <c r="D420" t="s">
        <v>777</v>
      </c>
      <c r="E420" t="s">
        <v>778</v>
      </c>
      <c r="F420" t="s">
        <v>56</v>
      </c>
      <c r="G420" t="s">
        <v>4</v>
      </c>
      <c r="H420" t="s">
        <v>15</v>
      </c>
      <c r="I420" t="s">
        <v>464</v>
      </c>
      <c r="J420" s="2">
        <v>11.52</v>
      </c>
      <c r="K420">
        <v>4</v>
      </c>
      <c r="L420" s="4"/>
    </row>
    <row r="421" spans="1:12" x14ac:dyDescent="0.3">
      <c r="A421" s="1">
        <v>41560</v>
      </c>
      <c r="B421" s="1">
        <v>41562</v>
      </c>
      <c r="C421" t="s">
        <v>22</v>
      </c>
      <c r="D421" t="s">
        <v>777</v>
      </c>
      <c r="E421" t="s">
        <v>778</v>
      </c>
      <c r="F421" t="s">
        <v>56</v>
      </c>
      <c r="G421" t="s">
        <v>12</v>
      </c>
      <c r="H421" t="s">
        <v>44</v>
      </c>
      <c r="I421" t="s">
        <v>779</v>
      </c>
      <c r="J421" s="2">
        <v>1298.55</v>
      </c>
      <c r="K421">
        <v>5</v>
      </c>
      <c r="L421" s="4"/>
    </row>
    <row r="422" spans="1:12" x14ac:dyDescent="0.3">
      <c r="A422" s="1">
        <v>41560</v>
      </c>
      <c r="B422" s="1">
        <v>41562</v>
      </c>
      <c r="C422" t="s">
        <v>22</v>
      </c>
      <c r="D422" t="s">
        <v>777</v>
      </c>
      <c r="E422" t="s">
        <v>778</v>
      </c>
      <c r="F422" t="s">
        <v>56</v>
      </c>
      <c r="G422" t="s">
        <v>4</v>
      </c>
      <c r="H422" t="s">
        <v>20</v>
      </c>
      <c r="I422" t="s">
        <v>243</v>
      </c>
      <c r="J422" s="2">
        <v>213.92</v>
      </c>
      <c r="K422">
        <v>4</v>
      </c>
      <c r="L422" s="4"/>
    </row>
    <row r="423" spans="1:12" x14ac:dyDescent="0.3">
      <c r="A423" s="1">
        <v>41560</v>
      </c>
      <c r="B423" s="1">
        <v>41562</v>
      </c>
      <c r="C423" t="s">
        <v>22</v>
      </c>
      <c r="D423" t="s">
        <v>777</v>
      </c>
      <c r="E423" t="s">
        <v>778</v>
      </c>
      <c r="F423" t="s">
        <v>56</v>
      </c>
      <c r="G423" t="s">
        <v>74</v>
      </c>
      <c r="H423" t="s">
        <v>75</v>
      </c>
      <c r="I423" t="s">
        <v>780</v>
      </c>
      <c r="J423" s="2">
        <v>25.78</v>
      </c>
      <c r="K423">
        <v>2</v>
      </c>
      <c r="L423" s="4"/>
    </row>
    <row r="424" spans="1:12" x14ac:dyDescent="0.3">
      <c r="A424" s="1">
        <v>41563</v>
      </c>
      <c r="B424" s="1">
        <v>41564</v>
      </c>
      <c r="C424" t="s">
        <v>240</v>
      </c>
      <c r="D424" t="s">
        <v>781</v>
      </c>
      <c r="E424" t="s">
        <v>782</v>
      </c>
      <c r="F424" t="s">
        <v>3</v>
      </c>
      <c r="G424" t="s">
        <v>4</v>
      </c>
      <c r="H424" t="s">
        <v>26</v>
      </c>
      <c r="I424" t="s">
        <v>783</v>
      </c>
      <c r="J424" s="2">
        <v>14.352000000000002</v>
      </c>
      <c r="K424">
        <v>3</v>
      </c>
      <c r="L424" s="4"/>
    </row>
    <row r="425" spans="1:12" x14ac:dyDescent="0.3">
      <c r="A425" s="1">
        <v>41563</v>
      </c>
      <c r="B425" s="1">
        <v>41564</v>
      </c>
      <c r="C425" t="s">
        <v>240</v>
      </c>
      <c r="D425" t="s">
        <v>781</v>
      </c>
      <c r="E425" t="s">
        <v>782</v>
      </c>
      <c r="F425" t="s">
        <v>3</v>
      </c>
      <c r="G425" t="s">
        <v>74</v>
      </c>
      <c r="H425" t="s">
        <v>75</v>
      </c>
      <c r="I425" t="s">
        <v>784</v>
      </c>
      <c r="J425" s="2">
        <v>179.97</v>
      </c>
      <c r="K425">
        <v>3</v>
      </c>
      <c r="L425" s="4"/>
    </row>
    <row r="426" spans="1:12" x14ac:dyDescent="0.3">
      <c r="A426" s="1">
        <v>41565</v>
      </c>
      <c r="B426" s="1">
        <v>41570</v>
      </c>
      <c r="C426" t="s">
        <v>0</v>
      </c>
      <c r="D426" t="s">
        <v>785</v>
      </c>
      <c r="E426" t="s">
        <v>786</v>
      </c>
      <c r="F426" t="s">
        <v>56</v>
      </c>
      <c r="G426" t="s">
        <v>4</v>
      </c>
      <c r="H426" t="s">
        <v>5</v>
      </c>
      <c r="I426" t="s">
        <v>568</v>
      </c>
      <c r="J426" s="2">
        <v>61.96</v>
      </c>
      <c r="K426">
        <v>2</v>
      </c>
      <c r="L426" s="4"/>
    </row>
    <row r="427" spans="1:12" x14ac:dyDescent="0.3">
      <c r="A427" s="1">
        <v>41565</v>
      </c>
      <c r="B427" s="1">
        <v>41570</v>
      </c>
      <c r="C427" t="s">
        <v>0</v>
      </c>
      <c r="D427" t="s">
        <v>785</v>
      </c>
      <c r="E427" t="s">
        <v>786</v>
      </c>
      <c r="F427" t="s">
        <v>56</v>
      </c>
      <c r="G427" t="s">
        <v>4</v>
      </c>
      <c r="H427" t="s">
        <v>26</v>
      </c>
      <c r="I427" t="s">
        <v>787</v>
      </c>
      <c r="J427" s="2">
        <v>1.3440000000000001</v>
      </c>
      <c r="K427">
        <v>1</v>
      </c>
      <c r="L427" s="4"/>
    </row>
    <row r="428" spans="1:12" x14ac:dyDescent="0.3">
      <c r="A428" s="1">
        <v>41566</v>
      </c>
      <c r="B428" s="1">
        <v>41566</v>
      </c>
      <c r="C428" t="s">
        <v>240</v>
      </c>
      <c r="D428" t="s">
        <v>788</v>
      </c>
      <c r="E428" t="s">
        <v>789</v>
      </c>
      <c r="F428" t="s">
        <v>3</v>
      </c>
      <c r="G428" t="s">
        <v>4</v>
      </c>
      <c r="H428" t="s">
        <v>5</v>
      </c>
      <c r="I428" t="s">
        <v>790</v>
      </c>
      <c r="J428" s="2">
        <v>13.440000000000001</v>
      </c>
      <c r="K428">
        <v>3</v>
      </c>
      <c r="L428" s="4"/>
    </row>
    <row r="429" spans="1:12" x14ac:dyDescent="0.3">
      <c r="A429" s="1">
        <v>41566</v>
      </c>
      <c r="B429" s="1">
        <v>41569</v>
      </c>
      <c r="C429" t="s">
        <v>0</v>
      </c>
      <c r="D429" t="s">
        <v>791</v>
      </c>
      <c r="E429" t="s">
        <v>792</v>
      </c>
      <c r="F429" t="s">
        <v>3</v>
      </c>
      <c r="G429" t="s">
        <v>4</v>
      </c>
      <c r="H429" t="s">
        <v>26</v>
      </c>
      <c r="I429" t="s">
        <v>793</v>
      </c>
      <c r="J429" s="2">
        <v>2.9920000000000004</v>
      </c>
      <c r="K429">
        <v>1</v>
      </c>
      <c r="L429" s="4"/>
    </row>
    <row r="430" spans="1:12" x14ac:dyDescent="0.3">
      <c r="A430" s="1">
        <v>41566</v>
      </c>
      <c r="B430" s="1">
        <v>41569</v>
      </c>
      <c r="C430" t="s">
        <v>0</v>
      </c>
      <c r="D430" t="s">
        <v>791</v>
      </c>
      <c r="E430" t="s">
        <v>792</v>
      </c>
      <c r="F430" t="s">
        <v>3</v>
      </c>
      <c r="G430" t="s">
        <v>4</v>
      </c>
      <c r="H430" t="s">
        <v>26</v>
      </c>
      <c r="I430" t="s">
        <v>794</v>
      </c>
      <c r="J430" s="2">
        <v>20.064</v>
      </c>
      <c r="K430">
        <v>6</v>
      </c>
      <c r="L430" s="4"/>
    </row>
    <row r="431" spans="1:12" x14ac:dyDescent="0.3">
      <c r="A431" s="1">
        <v>41566</v>
      </c>
      <c r="B431" s="1">
        <v>41569</v>
      </c>
      <c r="C431" t="s">
        <v>0</v>
      </c>
      <c r="D431" t="s">
        <v>791</v>
      </c>
      <c r="E431" t="s">
        <v>792</v>
      </c>
      <c r="F431" t="s">
        <v>3</v>
      </c>
      <c r="G431" t="s">
        <v>4</v>
      </c>
      <c r="H431" t="s">
        <v>5</v>
      </c>
      <c r="I431" t="s">
        <v>795</v>
      </c>
      <c r="J431" s="2">
        <v>146.72999999999999</v>
      </c>
      <c r="K431">
        <v>3</v>
      </c>
      <c r="L431" s="4"/>
    </row>
    <row r="432" spans="1:12" x14ac:dyDescent="0.3">
      <c r="A432" s="1">
        <v>41566</v>
      </c>
      <c r="B432" s="1">
        <v>41569</v>
      </c>
      <c r="C432" t="s">
        <v>0</v>
      </c>
      <c r="D432" t="s">
        <v>791</v>
      </c>
      <c r="E432" t="s">
        <v>792</v>
      </c>
      <c r="F432" t="s">
        <v>3</v>
      </c>
      <c r="G432" t="s">
        <v>4</v>
      </c>
      <c r="H432" t="s">
        <v>168</v>
      </c>
      <c r="I432" t="s">
        <v>796</v>
      </c>
      <c r="J432" s="2">
        <v>18.75</v>
      </c>
      <c r="K432">
        <v>5</v>
      </c>
      <c r="L432" s="4"/>
    </row>
    <row r="433" spans="1:12" x14ac:dyDescent="0.3">
      <c r="A433" s="1">
        <v>41566</v>
      </c>
      <c r="B433" s="1">
        <v>41569</v>
      </c>
      <c r="C433" t="s">
        <v>0</v>
      </c>
      <c r="D433" t="s">
        <v>791</v>
      </c>
      <c r="E433" t="s">
        <v>792</v>
      </c>
      <c r="F433" t="s">
        <v>3</v>
      </c>
      <c r="G433" t="s">
        <v>74</v>
      </c>
      <c r="H433" t="s">
        <v>147</v>
      </c>
      <c r="I433" t="s">
        <v>797</v>
      </c>
      <c r="J433" s="2">
        <v>117.57600000000002</v>
      </c>
      <c r="K433">
        <v>3</v>
      </c>
      <c r="L433" s="4"/>
    </row>
    <row r="434" spans="1:12" x14ac:dyDescent="0.3">
      <c r="A434" s="1">
        <v>41566</v>
      </c>
      <c r="B434" s="1">
        <v>41571</v>
      </c>
      <c r="C434" t="s">
        <v>7</v>
      </c>
      <c r="D434" t="s">
        <v>798</v>
      </c>
      <c r="E434" t="s">
        <v>799</v>
      </c>
      <c r="F434" t="s">
        <v>3</v>
      </c>
      <c r="G434" t="s">
        <v>74</v>
      </c>
      <c r="H434" t="s">
        <v>147</v>
      </c>
      <c r="I434" t="s">
        <v>800</v>
      </c>
      <c r="J434" s="2">
        <v>321.55200000000002</v>
      </c>
      <c r="K434">
        <v>6</v>
      </c>
      <c r="L434" s="4"/>
    </row>
    <row r="435" spans="1:12" x14ac:dyDescent="0.3">
      <c r="A435" s="1">
        <v>41568</v>
      </c>
      <c r="B435" s="1">
        <v>41573</v>
      </c>
      <c r="C435" t="s">
        <v>7</v>
      </c>
      <c r="D435" t="s">
        <v>801</v>
      </c>
      <c r="E435" t="s">
        <v>802</v>
      </c>
      <c r="F435" t="s">
        <v>3</v>
      </c>
      <c r="G435" t="s">
        <v>4</v>
      </c>
      <c r="H435" t="s">
        <v>26</v>
      </c>
      <c r="I435" t="s">
        <v>803</v>
      </c>
      <c r="J435" s="2">
        <v>36.36</v>
      </c>
      <c r="K435">
        <v>3</v>
      </c>
      <c r="L435" s="4"/>
    </row>
    <row r="436" spans="1:12" x14ac:dyDescent="0.3">
      <c r="A436" s="1">
        <v>41571</v>
      </c>
      <c r="B436" s="1">
        <v>41576</v>
      </c>
      <c r="C436" t="s">
        <v>7</v>
      </c>
      <c r="D436" t="s">
        <v>257</v>
      </c>
      <c r="E436" t="s">
        <v>258</v>
      </c>
      <c r="F436" t="s">
        <v>3</v>
      </c>
      <c r="G436" t="s">
        <v>4</v>
      </c>
      <c r="H436" t="s">
        <v>26</v>
      </c>
      <c r="I436" t="s">
        <v>804</v>
      </c>
      <c r="J436" s="2">
        <v>34.271999999999998</v>
      </c>
      <c r="K436">
        <v>3</v>
      </c>
      <c r="L436" s="4"/>
    </row>
    <row r="437" spans="1:12" x14ac:dyDescent="0.3">
      <c r="A437" s="1">
        <v>41572</v>
      </c>
      <c r="B437" s="1">
        <v>41575</v>
      </c>
      <c r="C437" t="s">
        <v>22</v>
      </c>
      <c r="D437" t="s">
        <v>305</v>
      </c>
      <c r="E437" t="s">
        <v>306</v>
      </c>
      <c r="F437" t="s">
        <v>3</v>
      </c>
      <c r="G437" t="s">
        <v>4</v>
      </c>
      <c r="H437" t="s">
        <v>26</v>
      </c>
      <c r="I437" t="s">
        <v>805</v>
      </c>
      <c r="J437" s="2">
        <v>49.408000000000001</v>
      </c>
      <c r="K437">
        <v>4</v>
      </c>
      <c r="L437" s="4"/>
    </row>
    <row r="438" spans="1:12" x14ac:dyDescent="0.3">
      <c r="A438" s="1">
        <v>41573</v>
      </c>
      <c r="B438" s="1">
        <v>41577</v>
      </c>
      <c r="C438" t="s">
        <v>0</v>
      </c>
      <c r="D438" t="s">
        <v>806</v>
      </c>
      <c r="E438" t="s">
        <v>807</v>
      </c>
      <c r="F438" t="s">
        <v>56</v>
      </c>
      <c r="G438" t="s">
        <v>12</v>
      </c>
      <c r="H438" t="s">
        <v>35</v>
      </c>
      <c r="I438" t="s">
        <v>808</v>
      </c>
      <c r="J438" s="2">
        <v>63.92</v>
      </c>
      <c r="K438">
        <v>4</v>
      </c>
      <c r="L438" s="4"/>
    </row>
    <row r="439" spans="1:12" x14ac:dyDescent="0.3">
      <c r="A439" s="1">
        <v>41573</v>
      </c>
      <c r="B439" s="1">
        <v>41577</v>
      </c>
      <c r="C439" t="s">
        <v>0</v>
      </c>
      <c r="D439" t="s">
        <v>806</v>
      </c>
      <c r="E439" t="s">
        <v>807</v>
      </c>
      <c r="F439" t="s">
        <v>56</v>
      </c>
      <c r="G439" t="s">
        <v>74</v>
      </c>
      <c r="H439" t="s">
        <v>147</v>
      </c>
      <c r="I439" t="s">
        <v>809</v>
      </c>
      <c r="J439" s="2">
        <v>383.96000000000004</v>
      </c>
      <c r="K439">
        <v>5</v>
      </c>
      <c r="L439" s="4"/>
    </row>
    <row r="440" spans="1:12" x14ac:dyDescent="0.3">
      <c r="A440" s="1">
        <v>41575</v>
      </c>
      <c r="B440" s="1">
        <v>41578</v>
      </c>
      <c r="C440" t="s">
        <v>22</v>
      </c>
      <c r="D440" t="s">
        <v>810</v>
      </c>
      <c r="E440" t="s">
        <v>811</v>
      </c>
      <c r="F440" t="s">
        <v>3</v>
      </c>
      <c r="G440" t="s">
        <v>4</v>
      </c>
      <c r="H440" t="s">
        <v>26</v>
      </c>
      <c r="I440" t="s">
        <v>197</v>
      </c>
      <c r="J440" s="2">
        <v>7.1840000000000011</v>
      </c>
      <c r="K440">
        <v>2</v>
      </c>
      <c r="L440" s="4"/>
    </row>
    <row r="441" spans="1:12" x14ac:dyDescent="0.3">
      <c r="A441" s="1">
        <v>41575</v>
      </c>
      <c r="B441" s="1">
        <v>41578</v>
      </c>
      <c r="C441" t="s">
        <v>22</v>
      </c>
      <c r="D441" t="s">
        <v>810</v>
      </c>
      <c r="E441" t="s">
        <v>811</v>
      </c>
      <c r="F441" t="s">
        <v>3</v>
      </c>
      <c r="G441" t="s">
        <v>4</v>
      </c>
      <c r="H441" t="s">
        <v>78</v>
      </c>
      <c r="I441" t="s">
        <v>812</v>
      </c>
      <c r="J441" s="2">
        <v>6.28</v>
      </c>
      <c r="K441">
        <v>2</v>
      </c>
      <c r="L441" s="4"/>
    </row>
    <row r="442" spans="1:12" x14ac:dyDescent="0.3">
      <c r="A442" s="1">
        <v>41575</v>
      </c>
      <c r="B442" s="1">
        <v>41578</v>
      </c>
      <c r="C442" t="s">
        <v>22</v>
      </c>
      <c r="D442" t="s">
        <v>810</v>
      </c>
      <c r="E442" t="s">
        <v>811</v>
      </c>
      <c r="F442" t="s">
        <v>3</v>
      </c>
      <c r="G442" t="s">
        <v>4</v>
      </c>
      <c r="H442" t="s">
        <v>78</v>
      </c>
      <c r="I442" t="s">
        <v>813</v>
      </c>
      <c r="J442" s="2">
        <v>480.74</v>
      </c>
      <c r="K442">
        <v>2</v>
      </c>
      <c r="L442" s="4"/>
    </row>
    <row r="443" spans="1:12" x14ac:dyDescent="0.3">
      <c r="A443" s="1">
        <v>41575</v>
      </c>
      <c r="B443" s="1">
        <v>41578</v>
      </c>
      <c r="C443" t="s">
        <v>22</v>
      </c>
      <c r="D443" t="s">
        <v>810</v>
      </c>
      <c r="E443" t="s">
        <v>811</v>
      </c>
      <c r="F443" t="s">
        <v>3</v>
      </c>
      <c r="G443" t="s">
        <v>12</v>
      </c>
      <c r="H443" t="s">
        <v>13</v>
      </c>
      <c r="I443" t="s">
        <v>180</v>
      </c>
      <c r="J443" s="2">
        <v>616.99800000000005</v>
      </c>
      <c r="K443">
        <v>6</v>
      </c>
      <c r="L443" s="4"/>
    </row>
    <row r="444" spans="1:12" x14ac:dyDescent="0.3">
      <c r="A444" s="1">
        <v>41575</v>
      </c>
      <c r="B444" s="1">
        <v>41578</v>
      </c>
      <c r="C444" t="s">
        <v>22</v>
      </c>
      <c r="D444" t="s">
        <v>810</v>
      </c>
      <c r="E444" t="s">
        <v>811</v>
      </c>
      <c r="F444" t="s">
        <v>3</v>
      </c>
      <c r="G444" t="s">
        <v>4</v>
      </c>
      <c r="H444" t="s">
        <v>10</v>
      </c>
      <c r="I444" t="s">
        <v>814</v>
      </c>
      <c r="J444" s="2">
        <v>141.4</v>
      </c>
      <c r="K444">
        <v>5</v>
      </c>
      <c r="L444" s="4"/>
    </row>
    <row r="445" spans="1:12" x14ac:dyDescent="0.3">
      <c r="A445" s="1">
        <v>41578</v>
      </c>
      <c r="B445" s="1">
        <v>41582</v>
      </c>
      <c r="C445" t="s">
        <v>7</v>
      </c>
      <c r="D445" t="s">
        <v>815</v>
      </c>
      <c r="E445" t="s">
        <v>816</v>
      </c>
      <c r="F445" t="s">
        <v>3</v>
      </c>
      <c r="G445" t="s">
        <v>4</v>
      </c>
      <c r="H445" t="s">
        <v>52</v>
      </c>
      <c r="I445" t="s">
        <v>53</v>
      </c>
      <c r="J445" s="2">
        <v>11.34</v>
      </c>
      <c r="K445">
        <v>3</v>
      </c>
      <c r="L445" s="4"/>
    </row>
    <row r="446" spans="1:12" x14ac:dyDescent="0.3">
      <c r="A446" s="1">
        <v>41578</v>
      </c>
      <c r="B446" s="1">
        <v>41582</v>
      </c>
      <c r="C446" t="s">
        <v>7</v>
      </c>
      <c r="D446" t="s">
        <v>815</v>
      </c>
      <c r="E446" t="s">
        <v>816</v>
      </c>
      <c r="F446" t="s">
        <v>3</v>
      </c>
      <c r="G446" t="s">
        <v>4</v>
      </c>
      <c r="H446" t="s">
        <v>10</v>
      </c>
      <c r="I446" t="s">
        <v>817</v>
      </c>
      <c r="J446" s="2">
        <v>80.3</v>
      </c>
      <c r="K446">
        <v>5</v>
      </c>
      <c r="L446" s="4"/>
    </row>
    <row r="447" spans="1:12" x14ac:dyDescent="0.3">
      <c r="A447" s="1">
        <v>41578</v>
      </c>
      <c r="B447" s="1">
        <v>41582</v>
      </c>
      <c r="C447" t="s">
        <v>7</v>
      </c>
      <c r="D447" t="s">
        <v>815</v>
      </c>
      <c r="E447" t="s">
        <v>816</v>
      </c>
      <c r="F447" t="s">
        <v>3</v>
      </c>
      <c r="G447" t="s">
        <v>4</v>
      </c>
      <c r="H447" t="s">
        <v>26</v>
      </c>
      <c r="I447" t="s">
        <v>818</v>
      </c>
      <c r="J447" s="2">
        <v>15.968000000000002</v>
      </c>
      <c r="K447">
        <v>2</v>
      </c>
      <c r="L447" s="4"/>
    </row>
    <row r="448" spans="1:12" x14ac:dyDescent="0.3">
      <c r="A448" s="1">
        <v>41578</v>
      </c>
      <c r="B448" s="1">
        <v>41582</v>
      </c>
      <c r="C448" t="s">
        <v>7</v>
      </c>
      <c r="D448" t="s">
        <v>815</v>
      </c>
      <c r="E448" t="s">
        <v>816</v>
      </c>
      <c r="F448" t="s">
        <v>3</v>
      </c>
      <c r="G448" t="s">
        <v>4</v>
      </c>
      <c r="H448" t="s">
        <v>5</v>
      </c>
      <c r="I448" t="s">
        <v>819</v>
      </c>
      <c r="J448" s="2">
        <v>64.740000000000009</v>
      </c>
      <c r="K448">
        <v>13</v>
      </c>
      <c r="L448" s="4"/>
    </row>
    <row r="449" spans="1:12" x14ac:dyDescent="0.3">
      <c r="A449" s="1">
        <v>41578</v>
      </c>
      <c r="B449" s="1">
        <v>41582</v>
      </c>
      <c r="C449" t="s">
        <v>7</v>
      </c>
      <c r="D449" t="s">
        <v>815</v>
      </c>
      <c r="E449" t="s">
        <v>816</v>
      </c>
      <c r="F449" t="s">
        <v>3</v>
      </c>
      <c r="G449" t="s">
        <v>4</v>
      </c>
      <c r="H449" t="s">
        <v>26</v>
      </c>
      <c r="I449" t="s">
        <v>820</v>
      </c>
      <c r="J449" s="2">
        <v>19.295999999999999</v>
      </c>
      <c r="K449">
        <v>3</v>
      </c>
      <c r="L449" s="4"/>
    </row>
    <row r="450" spans="1:12" x14ac:dyDescent="0.3">
      <c r="A450" s="1">
        <v>41578</v>
      </c>
      <c r="B450" s="1">
        <v>41582</v>
      </c>
      <c r="C450" t="s">
        <v>7</v>
      </c>
      <c r="D450" t="s">
        <v>815</v>
      </c>
      <c r="E450" t="s">
        <v>816</v>
      </c>
      <c r="F450" t="s">
        <v>3</v>
      </c>
      <c r="G450" t="s">
        <v>4</v>
      </c>
      <c r="H450" t="s">
        <v>10</v>
      </c>
      <c r="I450" t="s">
        <v>821</v>
      </c>
      <c r="J450" s="2">
        <v>405.64</v>
      </c>
      <c r="K450">
        <v>4</v>
      </c>
      <c r="L450" s="4"/>
    </row>
    <row r="451" spans="1:12" x14ac:dyDescent="0.3">
      <c r="A451" s="1">
        <v>41578</v>
      </c>
      <c r="B451" s="1">
        <v>41582</v>
      </c>
      <c r="C451" t="s">
        <v>7</v>
      </c>
      <c r="D451" t="s">
        <v>815</v>
      </c>
      <c r="E451" t="s">
        <v>816</v>
      </c>
      <c r="F451" t="s">
        <v>3</v>
      </c>
      <c r="G451" t="s">
        <v>12</v>
      </c>
      <c r="H451" t="s">
        <v>70</v>
      </c>
      <c r="I451" t="s">
        <v>571</v>
      </c>
      <c r="J451" s="2">
        <v>146.352</v>
      </c>
      <c r="K451">
        <v>3</v>
      </c>
      <c r="L451" s="4"/>
    </row>
    <row r="452" spans="1:12" x14ac:dyDescent="0.3">
      <c r="A452" s="1">
        <v>41578</v>
      </c>
      <c r="B452" s="1">
        <v>41582</v>
      </c>
      <c r="C452" t="s">
        <v>7</v>
      </c>
      <c r="D452" t="s">
        <v>815</v>
      </c>
      <c r="E452" t="s">
        <v>816</v>
      </c>
      <c r="F452" t="s">
        <v>3</v>
      </c>
      <c r="G452" t="s">
        <v>74</v>
      </c>
      <c r="H452" t="s">
        <v>75</v>
      </c>
      <c r="I452" t="s">
        <v>822</v>
      </c>
      <c r="J452" s="2">
        <v>251.91</v>
      </c>
      <c r="K452">
        <v>9</v>
      </c>
      <c r="L452" s="4"/>
    </row>
    <row r="453" spans="1:12" x14ac:dyDescent="0.3">
      <c r="A453" s="1">
        <v>41578</v>
      </c>
      <c r="B453" s="1">
        <v>41582</v>
      </c>
      <c r="C453" t="s">
        <v>7</v>
      </c>
      <c r="D453" t="s">
        <v>815</v>
      </c>
      <c r="E453" t="s">
        <v>816</v>
      </c>
      <c r="F453" t="s">
        <v>3</v>
      </c>
      <c r="G453" t="s">
        <v>4</v>
      </c>
      <c r="H453" t="s">
        <v>15</v>
      </c>
      <c r="I453" t="s">
        <v>823</v>
      </c>
      <c r="J453" s="2">
        <v>12.39</v>
      </c>
      <c r="K453">
        <v>3</v>
      </c>
      <c r="L453" s="4"/>
    </row>
    <row r="454" spans="1:12" x14ac:dyDescent="0.3">
      <c r="A454" s="1">
        <v>41578</v>
      </c>
      <c r="B454" s="1">
        <v>41581</v>
      </c>
      <c r="C454" t="s">
        <v>0</v>
      </c>
      <c r="D454" t="s">
        <v>824</v>
      </c>
      <c r="E454" t="s">
        <v>825</v>
      </c>
      <c r="F454" t="s">
        <v>25</v>
      </c>
      <c r="G454" t="s">
        <v>74</v>
      </c>
      <c r="H454" t="s">
        <v>147</v>
      </c>
      <c r="I454" t="s">
        <v>333</v>
      </c>
      <c r="J454" s="2">
        <v>742.33600000000001</v>
      </c>
      <c r="K454">
        <v>8</v>
      </c>
      <c r="L454" s="4"/>
    </row>
    <row r="455" spans="1:12" x14ac:dyDescent="0.3">
      <c r="A455" s="1">
        <v>41578</v>
      </c>
      <c r="B455" s="1">
        <v>41580</v>
      </c>
      <c r="C455" t="s">
        <v>0</v>
      </c>
      <c r="D455" t="s">
        <v>826</v>
      </c>
      <c r="E455" t="s">
        <v>827</v>
      </c>
      <c r="F455" t="s">
        <v>3</v>
      </c>
      <c r="G455" t="s">
        <v>74</v>
      </c>
      <c r="H455" t="s">
        <v>147</v>
      </c>
      <c r="I455" t="s">
        <v>828</v>
      </c>
      <c r="J455" s="2">
        <v>73.584000000000003</v>
      </c>
      <c r="K455">
        <v>2</v>
      </c>
      <c r="L455" s="4"/>
    </row>
    <row r="456" spans="1:12" x14ac:dyDescent="0.3">
      <c r="A456" s="1">
        <v>41579</v>
      </c>
      <c r="B456" s="1">
        <v>41585</v>
      </c>
      <c r="C456" t="s">
        <v>7</v>
      </c>
      <c r="D456" t="s">
        <v>829</v>
      </c>
      <c r="E456" t="s">
        <v>830</v>
      </c>
      <c r="F456" t="s">
        <v>115</v>
      </c>
      <c r="G456" t="s">
        <v>4</v>
      </c>
      <c r="H456" t="s">
        <v>15</v>
      </c>
      <c r="I456" t="s">
        <v>287</v>
      </c>
      <c r="J456" s="2">
        <v>43.176000000000002</v>
      </c>
      <c r="K456">
        <v>3</v>
      </c>
      <c r="L456" s="4"/>
    </row>
    <row r="457" spans="1:12" x14ac:dyDescent="0.3">
      <c r="A457" s="1">
        <v>41579</v>
      </c>
      <c r="B457" s="1">
        <v>41585</v>
      </c>
      <c r="C457" t="s">
        <v>7</v>
      </c>
      <c r="D457" t="s">
        <v>829</v>
      </c>
      <c r="E457" t="s">
        <v>830</v>
      </c>
      <c r="F457" t="s">
        <v>115</v>
      </c>
      <c r="G457" t="s">
        <v>74</v>
      </c>
      <c r="H457" t="s">
        <v>147</v>
      </c>
      <c r="I457" t="s">
        <v>831</v>
      </c>
      <c r="J457" s="2">
        <v>1983.9680000000001</v>
      </c>
      <c r="K457">
        <v>4</v>
      </c>
      <c r="L457" s="4"/>
    </row>
    <row r="458" spans="1:12" x14ac:dyDescent="0.3">
      <c r="A458" s="1">
        <v>41579</v>
      </c>
      <c r="B458" s="1">
        <v>41583</v>
      </c>
      <c r="C458" t="s">
        <v>7</v>
      </c>
      <c r="D458" t="s">
        <v>832</v>
      </c>
      <c r="E458" t="s">
        <v>833</v>
      </c>
      <c r="F458" t="s">
        <v>19</v>
      </c>
      <c r="G458" t="s">
        <v>4</v>
      </c>
      <c r="H458" t="s">
        <v>10</v>
      </c>
      <c r="I458" t="s">
        <v>834</v>
      </c>
      <c r="J458" s="2">
        <v>443.92</v>
      </c>
      <c r="K458">
        <v>5</v>
      </c>
      <c r="L458" s="4"/>
    </row>
    <row r="459" spans="1:12" x14ac:dyDescent="0.3">
      <c r="A459" s="1">
        <v>41579</v>
      </c>
      <c r="B459" s="1">
        <v>41583</v>
      </c>
      <c r="C459" t="s">
        <v>7</v>
      </c>
      <c r="D459" t="s">
        <v>832</v>
      </c>
      <c r="E459" t="s">
        <v>833</v>
      </c>
      <c r="F459" t="s">
        <v>19</v>
      </c>
      <c r="G459" t="s">
        <v>74</v>
      </c>
      <c r="H459" t="s">
        <v>147</v>
      </c>
      <c r="I459" t="s">
        <v>835</v>
      </c>
      <c r="J459" s="2">
        <v>155.976</v>
      </c>
      <c r="K459">
        <v>3</v>
      </c>
      <c r="L459" s="4"/>
    </row>
    <row r="460" spans="1:12" x14ac:dyDescent="0.3">
      <c r="A460" s="1">
        <v>41579</v>
      </c>
      <c r="B460" s="1">
        <v>41586</v>
      </c>
      <c r="C460" t="s">
        <v>7</v>
      </c>
      <c r="D460" t="s">
        <v>836</v>
      </c>
      <c r="E460" t="s">
        <v>837</v>
      </c>
      <c r="F460" t="s">
        <v>3</v>
      </c>
      <c r="G460" t="s">
        <v>4</v>
      </c>
      <c r="H460" t="s">
        <v>168</v>
      </c>
      <c r="I460" t="s">
        <v>838</v>
      </c>
      <c r="J460" s="2">
        <v>44.400000000000006</v>
      </c>
      <c r="K460">
        <v>3</v>
      </c>
      <c r="L460" s="4"/>
    </row>
    <row r="461" spans="1:12" x14ac:dyDescent="0.3">
      <c r="A461" s="1">
        <v>41579</v>
      </c>
      <c r="B461" s="1">
        <v>41586</v>
      </c>
      <c r="C461" t="s">
        <v>7</v>
      </c>
      <c r="D461" t="s">
        <v>836</v>
      </c>
      <c r="E461" t="s">
        <v>837</v>
      </c>
      <c r="F461" t="s">
        <v>3</v>
      </c>
      <c r="G461" t="s">
        <v>4</v>
      </c>
      <c r="H461" t="s">
        <v>5</v>
      </c>
      <c r="I461" t="s">
        <v>839</v>
      </c>
      <c r="J461" s="2">
        <v>21.400000000000002</v>
      </c>
      <c r="K461">
        <v>5</v>
      </c>
      <c r="L461" s="4"/>
    </row>
    <row r="462" spans="1:12" x14ac:dyDescent="0.3">
      <c r="A462" s="1">
        <v>41580</v>
      </c>
      <c r="B462" s="1">
        <v>41584</v>
      </c>
      <c r="C462" t="s">
        <v>7</v>
      </c>
      <c r="D462" t="s">
        <v>840</v>
      </c>
      <c r="E462" t="s">
        <v>841</v>
      </c>
      <c r="F462" t="s">
        <v>3</v>
      </c>
      <c r="G462" t="s">
        <v>74</v>
      </c>
      <c r="H462" t="s">
        <v>147</v>
      </c>
      <c r="I462" t="s">
        <v>842</v>
      </c>
      <c r="J462" s="2">
        <v>46.384</v>
      </c>
      <c r="K462">
        <v>2</v>
      </c>
      <c r="L462" s="4"/>
    </row>
    <row r="463" spans="1:12" x14ac:dyDescent="0.3">
      <c r="A463" s="1">
        <v>41580</v>
      </c>
      <c r="B463" s="1">
        <v>41584</v>
      </c>
      <c r="C463" t="s">
        <v>7</v>
      </c>
      <c r="D463" t="s">
        <v>840</v>
      </c>
      <c r="E463" t="s">
        <v>841</v>
      </c>
      <c r="F463" t="s">
        <v>3</v>
      </c>
      <c r="G463" t="s">
        <v>4</v>
      </c>
      <c r="H463" t="s">
        <v>10</v>
      </c>
      <c r="I463" t="s">
        <v>843</v>
      </c>
      <c r="J463" s="2">
        <v>362.92</v>
      </c>
      <c r="K463">
        <v>2</v>
      </c>
      <c r="L463" s="4"/>
    </row>
    <row r="464" spans="1:12" x14ac:dyDescent="0.3">
      <c r="A464" s="1">
        <v>41580</v>
      </c>
      <c r="B464" s="1">
        <v>41585</v>
      </c>
      <c r="C464" t="s">
        <v>0</v>
      </c>
      <c r="D464" t="s">
        <v>844</v>
      </c>
      <c r="E464" t="s">
        <v>845</v>
      </c>
      <c r="F464" t="s">
        <v>56</v>
      </c>
      <c r="G464" t="s">
        <v>74</v>
      </c>
      <c r="H464" t="s">
        <v>75</v>
      </c>
      <c r="I464" t="s">
        <v>455</v>
      </c>
      <c r="J464" s="2">
        <v>41.94</v>
      </c>
      <c r="K464">
        <v>2</v>
      </c>
      <c r="L464" s="4"/>
    </row>
    <row r="465" spans="1:12" x14ac:dyDescent="0.3">
      <c r="A465" s="1">
        <v>41580</v>
      </c>
      <c r="B465" s="1">
        <v>41585</v>
      </c>
      <c r="C465" t="s">
        <v>0</v>
      </c>
      <c r="D465" t="s">
        <v>844</v>
      </c>
      <c r="E465" t="s">
        <v>845</v>
      </c>
      <c r="F465" t="s">
        <v>56</v>
      </c>
      <c r="G465" t="s">
        <v>74</v>
      </c>
      <c r="H465" t="s">
        <v>147</v>
      </c>
      <c r="I465" t="s">
        <v>846</v>
      </c>
      <c r="J465" s="2">
        <v>52.792000000000002</v>
      </c>
      <c r="K465">
        <v>1</v>
      </c>
      <c r="L465" s="4"/>
    </row>
    <row r="466" spans="1:12" x14ac:dyDescent="0.3">
      <c r="A466" s="1">
        <v>41581</v>
      </c>
      <c r="B466" s="1">
        <v>41581</v>
      </c>
      <c r="C466" t="s">
        <v>240</v>
      </c>
      <c r="D466" t="s">
        <v>847</v>
      </c>
      <c r="E466" t="s">
        <v>848</v>
      </c>
      <c r="F466" t="s">
        <v>3</v>
      </c>
      <c r="G466" t="s">
        <v>4</v>
      </c>
      <c r="H466" t="s">
        <v>15</v>
      </c>
      <c r="I466" t="s">
        <v>849</v>
      </c>
      <c r="J466" s="2">
        <v>6.72</v>
      </c>
      <c r="K466">
        <v>4</v>
      </c>
      <c r="L466" s="4"/>
    </row>
    <row r="467" spans="1:12" x14ac:dyDescent="0.3">
      <c r="A467" s="1">
        <v>41582</v>
      </c>
      <c r="B467" s="1">
        <v>41586</v>
      </c>
      <c r="C467" t="s">
        <v>7</v>
      </c>
      <c r="D467" t="s">
        <v>850</v>
      </c>
      <c r="E467" t="s">
        <v>851</v>
      </c>
      <c r="F467" t="s">
        <v>3</v>
      </c>
      <c r="G467" t="s">
        <v>12</v>
      </c>
      <c r="H467" t="s">
        <v>35</v>
      </c>
      <c r="I467" t="s">
        <v>648</v>
      </c>
      <c r="J467" s="2">
        <v>35.340000000000003</v>
      </c>
      <c r="K467">
        <v>2</v>
      </c>
      <c r="L467" s="4"/>
    </row>
    <row r="468" spans="1:12" x14ac:dyDescent="0.3">
      <c r="A468" s="1">
        <v>41582</v>
      </c>
      <c r="B468" s="1">
        <v>41589</v>
      </c>
      <c r="C468" t="s">
        <v>7</v>
      </c>
      <c r="D468" t="s">
        <v>852</v>
      </c>
      <c r="E468" t="s">
        <v>853</v>
      </c>
      <c r="F468" t="s">
        <v>3</v>
      </c>
      <c r="G468" t="s">
        <v>74</v>
      </c>
      <c r="H468" t="s">
        <v>147</v>
      </c>
      <c r="I468" t="s">
        <v>854</v>
      </c>
      <c r="J468" s="2">
        <v>666.34400000000005</v>
      </c>
      <c r="K468">
        <v>7</v>
      </c>
      <c r="L468" s="4"/>
    </row>
    <row r="469" spans="1:12" x14ac:dyDescent="0.3">
      <c r="A469" s="1">
        <v>41582</v>
      </c>
      <c r="B469" s="1">
        <v>41589</v>
      </c>
      <c r="C469" t="s">
        <v>7</v>
      </c>
      <c r="D469" t="s">
        <v>852</v>
      </c>
      <c r="E469" t="s">
        <v>853</v>
      </c>
      <c r="F469" t="s">
        <v>3</v>
      </c>
      <c r="G469" t="s">
        <v>12</v>
      </c>
      <c r="H469" t="s">
        <v>44</v>
      </c>
      <c r="I469" t="s">
        <v>855</v>
      </c>
      <c r="J469" s="2">
        <v>573.72799999999995</v>
      </c>
      <c r="K469">
        <v>4</v>
      </c>
      <c r="L469" s="4"/>
    </row>
    <row r="470" spans="1:12" x14ac:dyDescent="0.3">
      <c r="A470" s="1">
        <v>41582</v>
      </c>
      <c r="B470" s="1">
        <v>41589</v>
      </c>
      <c r="C470" t="s">
        <v>7</v>
      </c>
      <c r="D470" t="s">
        <v>852</v>
      </c>
      <c r="E470" t="s">
        <v>853</v>
      </c>
      <c r="F470" t="s">
        <v>3</v>
      </c>
      <c r="G470" t="s">
        <v>4</v>
      </c>
      <c r="H470" t="s">
        <v>26</v>
      </c>
      <c r="I470" t="s">
        <v>856</v>
      </c>
      <c r="J470" s="2">
        <v>21.936000000000003</v>
      </c>
      <c r="K470">
        <v>3</v>
      </c>
      <c r="L470" s="4"/>
    </row>
    <row r="471" spans="1:12" x14ac:dyDescent="0.3">
      <c r="A471" s="1">
        <v>41582</v>
      </c>
      <c r="B471" s="1">
        <v>41589</v>
      </c>
      <c r="C471" t="s">
        <v>7</v>
      </c>
      <c r="D471" t="s">
        <v>852</v>
      </c>
      <c r="E471" t="s">
        <v>853</v>
      </c>
      <c r="F471" t="s">
        <v>3</v>
      </c>
      <c r="G471" t="s">
        <v>4</v>
      </c>
      <c r="H471" t="s">
        <v>5</v>
      </c>
      <c r="I471" t="s">
        <v>857</v>
      </c>
      <c r="J471" s="2">
        <v>19.440000000000001</v>
      </c>
      <c r="K471">
        <v>3</v>
      </c>
      <c r="L471" s="4"/>
    </row>
    <row r="472" spans="1:12" x14ac:dyDescent="0.3">
      <c r="A472" s="1">
        <v>41582</v>
      </c>
      <c r="B472" s="1">
        <v>41589</v>
      </c>
      <c r="C472" t="s">
        <v>7</v>
      </c>
      <c r="D472" t="s">
        <v>852</v>
      </c>
      <c r="E472" t="s">
        <v>853</v>
      </c>
      <c r="F472" t="s">
        <v>3</v>
      </c>
      <c r="G472" t="s">
        <v>74</v>
      </c>
      <c r="H472" t="s">
        <v>138</v>
      </c>
      <c r="I472" t="s">
        <v>858</v>
      </c>
      <c r="J472" s="2">
        <v>447.96800000000007</v>
      </c>
      <c r="K472">
        <v>4</v>
      </c>
      <c r="L472" s="4"/>
    </row>
    <row r="473" spans="1:12" x14ac:dyDescent="0.3">
      <c r="A473" s="1">
        <v>41582</v>
      </c>
      <c r="B473" s="1">
        <v>41589</v>
      </c>
      <c r="C473" t="s">
        <v>7</v>
      </c>
      <c r="D473" t="s">
        <v>859</v>
      </c>
      <c r="E473" t="s">
        <v>860</v>
      </c>
      <c r="F473" t="s">
        <v>3</v>
      </c>
      <c r="G473" t="s">
        <v>4</v>
      </c>
      <c r="H473" t="s">
        <v>15</v>
      </c>
      <c r="I473" t="s">
        <v>861</v>
      </c>
      <c r="J473" s="2">
        <v>2.94</v>
      </c>
      <c r="K473">
        <v>1</v>
      </c>
      <c r="L473" s="4"/>
    </row>
    <row r="474" spans="1:12" x14ac:dyDescent="0.3">
      <c r="A474" s="1">
        <v>41583</v>
      </c>
      <c r="B474" s="1">
        <v>41588</v>
      </c>
      <c r="C474" t="s">
        <v>7</v>
      </c>
      <c r="D474" t="s">
        <v>862</v>
      </c>
      <c r="E474" t="s">
        <v>863</v>
      </c>
      <c r="F474" t="s">
        <v>3</v>
      </c>
      <c r="G474" t="s">
        <v>12</v>
      </c>
      <c r="H474" t="s">
        <v>35</v>
      </c>
      <c r="I474" t="s">
        <v>864</v>
      </c>
      <c r="J474" s="2">
        <v>20.04</v>
      </c>
      <c r="K474">
        <v>6</v>
      </c>
      <c r="L474" s="4"/>
    </row>
    <row r="475" spans="1:12" x14ac:dyDescent="0.3">
      <c r="A475" s="1">
        <v>41585</v>
      </c>
      <c r="B475" s="1">
        <v>41590</v>
      </c>
      <c r="C475" t="s">
        <v>7</v>
      </c>
      <c r="D475" t="s">
        <v>865</v>
      </c>
      <c r="E475" t="s">
        <v>866</v>
      </c>
      <c r="F475" t="s">
        <v>3</v>
      </c>
      <c r="G475" t="s">
        <v>4</v>
      </c>
      <c r="H475" t="s">
        <v>26</v>
      </c>
      <c r="I475" t="s">
        <v>283</v>
      </c>
      <c r="J475" s="2">
        <v>123.14399999999999</v>
      </c>
      <c r="K475">
        <v>7</v>
      </c>
      <c r="L475" s="4"/>
    </row>
    <row r="476" spans="1:12" x14ac:dyDescent="0.3">
      <c r="A476" s="1">
        <v>41585</v>
      </c>
      <c r="B476" s="1">
        <v>41589</v>
      </c>
      <c r="C476" t="s">
        <v>0</v>
      </c>
      <c r="D476" t="s">
        <v>867</v>
      </c>
      <c r="E476" t="s">
        <v>868</v>
      </c>
      <c r="F476" t="s">
        <v>19</v>
      </c>
      <c r="G476" t="s">
        <v>4</v>
      </c>
      <c r="H476" t="s">
        <v>5</v>
      </c>
      <c r="I476" t="s">
        <v>869</v>
      </c>
      <c r="J476" s="2">
        <v>25.920000000000005</v>
      </c>
      <c r="K476">
        <v>5</v>
      </c>
      <c r="L476" s="4"/>
    </row>
    <row r="477" spans="1:12" x14ac:dyDescent="0.3">
      <c r="A477" s="1">
        <v>41585</v>
      </c>
      <c r="B477" s="1">
        <v>41589</v>
      </c>
      <c r="C477" t="s">
        <v>0</v>
      </c>
      <c r="D477" t="s">
        <v>867</v>
      </c>
      <c r="E477" t="s">
        <v>868</v>
      </c>
      <c r="F477" t="s">
        <v>19</v>
      </c>
      <c r="G477" t="s">
        <v>4</v>
      </c>
      <c r="H477" t="s">
        <v>15</v>
      </c>
      <c r="I477" t="s">
        <v>870</v>
      </c>
      <c r="J477" s="2">
        <v>120.76800000000001</v>
      </c>
      <c r="K477">
        <v>4</v>
      </c>
      <c r="L477" s="4"/>
    </row>
    <row r="478" spans="1:12" x14ac:dyDescent="0.3">
      <c r="A478" s="1">
        <v>41586</v>
      </c>
      <c r="B478" s="1">
        <v>41592</v>
      </c>
      <c r="C478" t="s">
        <v>7</v>
      </c>
      <c r="D478" t="s">
        <v>871</v>
      </c>
      <c r="E478" t="s">
        <v>872</v>
      </c>
      <c r="F478" t="s">
        <v>3</v>
      </c>
      <c r="G478" t="s">
        <v>74</v>
      </c>
      <c r="H478" t="s">
        <v>147</v>
      </c>
      <c r="I478" t="s">
        <v>873</v>
      </c>
      <c r="J478" s="2">
        <v>333.57600000000002</v>
      </c>
      <c r="K478">
        <v>3</v>
      </c>
      <c r="L478" s="4"/>
    </row>
    <row r="479" spans="1:12" x14ac:dyDescent="0.3">
      <c r="A479" s="1">
        <v>41587</v>
      </c>
      <c r="B479" s="1">
        <v>41589</v>
      </c>
      <c r="C479" t="s">
        <v>0</v>
      </c>
      <c r="D479" t="s">
        <v>874</v>
      </c>
      <c r="E479" t="s">
        <v>875</v>
      </c>
      <c r="F479" t="s">
        <v>3</v>
      </c>
      <c r="G479" t="s">
        <v>4</v>
      </c>
      <c r="H479" t="s">
        <v>10</v>
      </c>
      <c r="I479" t="s">
        <v>876</v>
      </c>
      <c r="J479" s="2">
        <v>340.92</v>
      </c>
      <c r="K479">
        <v>3</v>
      </c>
      <c r="L479" s="4"/>
    </row>
    <row r="480" spans="1:12" x14ac:dyDescent="0.3">
      <c r="A480" s="1">
        <v>41587</v>
      </c>
      <c r="B480" s="1">
        <v>41589</v>
      </c>
      <c r="C480" t="s">
        <v>0</v>
      </c>
      <c r="D480" t="s">
        <v>874</v>
      </c>
      <c r="E480" t="s">
        <v>875</v>
      </c>
      <c r="F480" t="s">
        <v>3</v>
      </c>
      <c r="G480" t="s">
        <v>12</v>
      </c>
      <c r="H480" t="s">
        <v>13</v>
      </c>
      <c r="I480" t="s">
        <v>877</v>
      </c>
      <c r="J480" s="2">
        <v>222.66599999999997</v>
      </c>
      <c r="K480">
        <v>2</v>
      </c>
      <c r="L480" s="4"/>
    </row>
    <row r="481" spans="1:12" x14ac:dyDescent="0.3">
      <c r="A481" s="1">
        <v>41587</v>
      </c>
      <c r="B481" s="1">
        <v>41589</v>
      </c>
      <c r="C481" t="s">
        <v>0</v>
      </c>
      <c r="D481" t="s">
        <v>874</v>
      </c>
      <c r="E481" t="s">
        <v>875</v>
      </c>
      <c r="F481" t="s">
        <v>3</v>
      </c>
      <c r="G481" t="s">
        <v>74</v>
      </c>
      <c r="H481" t="s">
        <v>147</v>
      </c>
      <c r="I481" t="s">
        <v>878</v>
      </c>
      <c r="J481" s="2">
        <v>703.96800000000007</v>
      </c>
      <c r="K481">
        <v>4</v>
      </c>
      <c r="L481" s="4"/>
    </row>
    <row r="482" spans="1:12" x14ac:dyDescent="0.3">
      <c r="A482" s="1">
        <v>41587</v>
      </c>
      <c r="B482" s="1">
        <v>41589</v>
      </c>
      <c r="C482" t="s">
        <v>0</v>
      </c>
      <c r="D482" t="s">
        <v>874</v>
      </c>
      <c r="E482" t="s">
        <v>875</v>
      </c>
      <c r="F482" t="s">
        <v>3</v>
      </c>
      <c r="G482" t="s">
        <v>4</v>
      </c>
      <c r="H482" t="s">
        <v>10</v>
      </c>
      <c r="I482" t="s">
        <v>665</v>
      </c>
      <c r="J482" s="2">
        <v>92.52</v>
      </c>
      <c r="K482">
        <v>6</v>
      </c>
      <c r="L482" s="4"/>
    </row>
    <row r="483" spans="1:12" x14ac:dyDescent="0.3">
      <c r="A483" s="1">
        <v>41587</v>
      </c>
      <c r="B483" s="1">
        <v>41589</v>
      </c>
      <c r="C483" t="s">
        <v>0</v>
      </c>
      <c r="D483" t="s">
        <v>874</v>
      </c>
      <c r="E483" t="s">
        <v>875</v>
      </c>
      <c r="F483" t="s">
        <v>3</v>
      </c>
      <c r="G483" t="s">
        <v>4</v>
      </c>
      <c r="H483" t="s">
        <v>5</v>
      </c>
      <c r="I483" t="s">
        <v>879</v>
      </c>
      <c r="J483" s="2">
        <v>62.649999999999991</v>
      </c>
      <c r="K483">
        <v>7</v>
      </c>
      <c r="L483" s="4"/>
    </row>
    <row r="484" spans="1:12" x14ac:dyDescent="0.3">
      <c r="A484" s="1">
        <v>41587</v>
      </c>
      <c r="B484" s="1">
        <v>41589</v>
      </c>
      <c r="C484" t="s">
        <v>0</v>
      </c>
      <c r="D484" t="s">
        <v>874</v>
      </c>
      <c r="E484" t="s">
        <v>875</v>
      </c>
      <c r="F484" t="s">
        <v>3</v>
      </c>
      <c r="G484" t="s">
        <v>4</v>
      </c>
      <c r="H484" t="s">
        <v>5</v>
      </c>
      <c r="I484" t="s">
        <v>880</v>
      </c>
      <c r="J484" s="2">
        <v>94.85</v>
      </c>
      <c r="K484">
        <v>5</v>
      </c>
      <c r="L484" s="4"/>
    </row>
    <row r="485" spans="1:12" x14ac:dyDescent="0.3">
      <c r="A485" s="1">
        <v>41588</v>
      </c>
      <c r="B485" s="1">
        <v>41594</v>
      </c>
      <c r="C485" t="s">
        <v>7</v>
      </c>
      <c r="D485" t="s">
        <v>881</v>
      </c>
      <c r="E485" t="s">
        <v>882</v>
      </c>
      <c r="F485" t="s">
        <v>3</v>
      </c>
      <c r="G485" t="s">
        <v>74</v>
      </c>
      <c r="H485" t="s">
        <v>147</v>
      </c>
      <c r="I485" t="s">
        <v>883</v>
      </c>
      <c r="J485" s="2">
        <v>601.53599999999994</v>
      </c>
      <c r="K485">
        <v>8</v>
      </c>
      <c r="L485" s="4"/>
    </row>
    <row r="486" spans="1:12" x14ac:dyDescent="0.3">
      <c r="A486" s="1">
        <v>41588</v>
      </c>
      <c r="B486" s="1">
        <v>41594</v>
      </c>
      <c r="C486" t="s">
        <v>7</v>
      </c>
      <c r="D486" t="s">
        <v>881</v>
      </c>
      <c r="E486" t="s">
        <v>882</v>
      </c>
      <c r="F486" t="s">
        <v>3</v>
      </c>
      <c r="G486" t="s">
        <v>74</v>
      </c>
      <c r="H486" t="s">
        <v>75</v>
      </c>
      <c r="I486" t="s">
        <v>884</v>
      </c>
      <c r="J486" s="2">
        <v>10.99</v>
      </c>
      <c r="K486">
        <v>1</v>
      </c>
      <c r="L486" s="4"/>
    </row>
    <row r="487" spans="1:12" x14ac:dyDescent="0.3">
      <c r="A487" s="1">
        <v>41588</v>
      </c>
      <c r="B487" s="1">
        <v>41594</v>
      </c>
      <c r="C487" t="s">
        <v>7</v>
      </c>
      <c r="D487" t="s">
        <v>881</v>
      </c>
      <c r="E487" t="s">
        <v>882</v>
      </c>
      <c r="F487" t="s">
        <v>3</v>
      </c>
      <c r="G487" t="s">
        <v>12</v>
      </c>
      <c r="H487" t="s">
        <v>35</v>
      </c>
      <c r="I487" t="s">
        <v>885</v>
      </c>
      <c r="J487" s="2">
        <v>39.880000000000003</v>
      </c>
      <c r="K487">
        <v>2</v>
      </c>
      <c r="L487" s="4"/>
    </row>
    <row r="488" spans="1:12" x14ac:dyDescent="0.3">
      <c r="A488" s="1">
        <v>41588</v>
      </c>
      <c r="B488" s="1">
        <v>41594</v>
      </c>
      <c r="C488" t="s">
        <v>7</v>
      </c>
      <c r="D488" t="s">
        <v>881</v>
      </c>
      <c r="E488" t="s">
        <v>882</v>
      </c>
      <c r="F488" t="s">
        <v>3</v>
      </c>
      <c r="G488" t="s">
        <v>4</v>
      </c>
      <c r="H488" t="s">
        <v>5</v>
      </c>
      <c r="I488" t="s">
        <v>886</v>
      </c>
      <c r="J488" s="2">
        <v>62.24</v>
      </c>
      <c r="K488">
        <v>8</v>
      </c>
      <c r="L488" s="4"/>
    </row>
    <row r="489" spans="1:12" x14ac:dyDescent="0.3">
      <c r="A489" s="1">
        <v>41588</v>
      </c>
      <c r="B489" s="1">
        <v>41594</v>
      </c>
      <c r="C489" t="s">
        <v>7</v>
      </c>
      <c r="D489" t="s">
        <v>881</v>
      </c>
      <c r="E489" t="s">
        <v>882</v>
      </c>
      <c r="F489" t="s">
        <v>3</v>
      </c>
      <c r="G489" t="s">
        <v>12</v>
      </c>
      <c r="H489" t="s">
        <v>35</v>
      </c>
      <c r="I489" t="s">
        <v>887</v>
      </c>
      <c r="J489" s="2">
        <v>53.2</v>
      </c>
      <c r="K489">
        <v>5</v>
      </c>
      <c r="L489" s="4"/>
    </row>
    <row r="490" spans="1:12" x14ac:dyDescent="0.3">
      <c r="A490" s="1">
        <v>41588</v>
      </c>
      <c r="B490" s="1">
        <v>41594</v>
      </c>
      <c r="C490" t="s">
        <v>7</v>
      </c>
      <c r="D490" t="s">
        <v>881</v>
      </c>
      <c r="E490" t="s">
        <v>882</v>
      </c>
      <c r="F490" t="s">
        <v>3</v>
      </c>
      <c r="G490" t="s">
        <v>4</v>
      </c>
      <c r="H490" t="s">
        <v>168</v>
      </c>
      <c r="I490" t="s">
        <v>888</v>
      </c>
      <c r="J490" s="2">
        <v>39.840000000000003</v>
      </c>
      <c r="K490">
        <v>8</v>
      </c>
      <c r="L490" s="4"/>
    </row>
    <row r="491" spans="1:12" x14ac:dyDescent="0.3">
      <c r="A491" s="1">
        <v>41589</v>
      </c>
      <c r="B491" s="1">
        <v>41592</v>
      </c>
      <c r="C491" t="s">
        <v>0</v>
      </c>
      <c r="D491" t="s">
        <v>889</v>
      </c>
      <c r="E491" t="s">
        <v>890</v>
      </c>
      <c r="F491" t="s">
        <v>115</v>
      </c>
      <c r="G491" t="s">
        <v>4</v>
      </c>
      <c r="H491" t="s">
        <v>15</v>
      </c>
      <c r="I491" t="s">
        <v>157</v>
      </c>
      <c r="J491" s="2">
        <v>3.3920000000000003</v>
      </c>
      <c r="K491">
        <v>1</v>
      </c>
      <c r="L491" s="4"/>
    </row>
    <row r="492" spans="1:12" x14ac:dyDescent="0.3">
      <c r="A492" s="1">
        <v>41589</v>
      </c>
      <c r="B492" s="1">
        <v>41592</v>
      </c>
      <c r="C492" t="s">
        <v>0</v>
      </c>
      <c r="D492" t="s">
        <v>889</v>
      </c>
      <c r="E492" t="s">
        <v>890</v>
      </c>
      <c r="F492" t="s">
        <v>115</v>
      </c>
      <c r="G492" t="s">
        <v>74</v>
      </c>
      <c r="H492" t="s">
        <v>147</v>
      </c>
      <c r="I492" t="s">
        <v>891</v>
      </c>
      <c r="J492" s="2">
        <v>559.98400000000004</v>
      </c>
      <c r="K492">
        <v>2</v>
      </c>
      <c r="L492" s="4"/>
    </row>
    <row r="493" spans="1:12" x14ac:dyDescent="0.3">
      <c r="A493" s="1">
        <v>41589</v>
      </c>
      <c r="B493" s="1">
        <v>41592</v>
      </c>
      <c r="C493" t="s">
        <v>0</v>
      </c>
      <c r="D493" t="s">
        <v>889</v>
      </c>
      <c r="E493" t="s">
        <v>890</v>
      </c>
      <c r="F493" t="s">
        <v>115</v>
      </c>
      <c r="G493" t="s">
        <v>12</v>
      </c>
      <c r="H493" t="s">
        <v>70</v>
      </c>
      <c r="I493" t="s">
        <v>892</v>
      </c>
      <c r="J493" s="2">
        <v>603.91999999999996</v>
      </c>
      <c r="K493">
        <v>5</v>
      </c>
      <c r="L493" s="4"/>
    </row>
    <row r="494" spans="1:12" x14ac:dyDescent="0.3">
      <c r="A494" s="1">
        <v>41589</v>
      </c>
      <c r="B494" s="1">
        <v>41596</v>
      </c>
      <c r="C494" t="s">
        <v>7</v>
      </c>
      <c r="D494" t="s">
        <v>577</v>
      </c>
      <c r="E494" t="s">
        <v>578</v>
      </c>
      <c r="F494" t="s">
        <v>3</v>
      </c>
      <c r="G494" t="s">
        <v>4</v>
      </c>
      <c r="H494" t="s">
        <v>15</v>
      </c>
      <c r="I494" t="s">
        <v>893</v>
      </c>
      <c r="J494" s="2">
        <v>30.48</v>
      </c>
      <c r="K494">
        <v>3</v>
      </c>
      <c r="L494" s="4"/>
    </row>
    <row r="495" spans="1:12" x14ac:dyDescent="0.3">
      <c r="A495" s="1">
        <v>41589</v>
      </c>
      <c r="B495" s="1">
        <v>41596</v>
      </c>
      <c r="C495" t="s">
        <v>7</v>
      </c>
      <c r="D495" t="s">
        <v>577</v>
      </c>
      <c r="E495" t="s">
        <v>578</v>
      </c>
      <c r="F495" t="s">
        <v>3</v>
      </c>
      <c r="G495" t="s">
        <v>12</v>
      </c>
      <c r="H495" t="s">
        <v>70</v>
      </c>
      <c r="I495" t="s">
        <v>324</v>
      </c>
      <c r="J495" s="2">
        <v>112.64800000000001</v>
      </c>
      <c r="K495">
        <v>1</v>
      </c>
      <c r="L495" s="4"/>
    </row>
    <row r="496" spans="1:12" x14ac:dyDescent="0.3">
      <c r="A496" s="1">
        <v>41589</v>
      </c>
      <c r="B496" s="1">
        <v>41591</v>
      </c>
      <c r="C496" t="s">
        <v>0</v>
      </c>
      <c r="D496" t="s">
        <v>894</v>
      </c>
      <c r="E496" t="s">
        <v>895</v>
      </c>
      <c r="F496" t="s">
        <v>3</v>
      </c>
      <c r="G496" t="s">
        <v>74</v>
      </c>
      <c r="H496" t="s">
        <v>147</v>
      </c>
      <c r="I496" t="s">
        <v>896</v>
      </c>
      <c r="J496" s="2">
        <v>575.928</v>
      </c>
      <c r="K496">
        <v>9</v>
      </c>
      <c r="L496" s="4"/>
    </row>
    <row r="497" spans="1:12" x14ac:dyDescent="0.3">
      <c r="A497" s="1">
        <v>41589</v>
      </c>
      <c r="B497" s="1">
        <v>41591</v>
      </c>
      <c r="C497" t="s">
        <v>0</v>
      </c>
      <c r="D497" t="s">
        <v>894</v>
      </c>
      <c r="E497" t="s">
        <v>895</v>
      </c>
      <c r="F497" t="s">
        <v>3</v>
      </c>
      <c r="G497" t="s">
        <v>4</v>
      </c>
      <c r="H497" t="s">
        <v>20</v>
      </c>
      <c r="I497" t="s">
        <v>897</v>
      </c>
      <c r="J497" s="2">
        <v>7.78</v>
      </c>
      <c r="K497">
        <v>2</v>
      </c>
      <c r="L497" s="4"/>
    </row>
    <row r="498" spans="1:12" x14ac:dyDescent="0.3">
      <c r="A498" s="1">
        <v>41589</v>
      </c>
      <c r="B498" s="1">
        <v>41591</v>
      </c>
      <c r="C498" t="s">
        <v>0</v>
      </c>
      <c r="D498" t="s">
        <v>894</v>
      </c>
      <c r="E498" t="s">
        <v>895</v>
      </c>
      <c r="F498" t="s">
        <v>3</v>
      </c>
      <c r="G498" t="s">
        <v>4</v>
      </c>
      <c r="H498" t="s">
        <v>5</v>
      </c>
      <c r="I498" t="s">
        <v>898</v>
      </c>
      <c r="J498" s="2">
        <v>123.92</v>
      </c>
      <c r="K498">
        <v>4</v>
      </c>
      <c r="L498" s="4"/>
    </row>
    <row r="499" spans="1:12" x14ac:dyDescent="0.3">
      <c r="A499" s="1">
        <v>41589</v>
      </c>
      <c r="B499" s="1">
        <v>41591</v>
      </c>
      <c r="C499" t="s">
        <v>22</v>
      </c>
      <c r="D499" t="s">
        <v>195</v>
      </c>
      <c r="E499" t="s">
        <v>196</v>
      </c>
      <c r="F499" t="s">
        <v>56</v>
      </c>
      <c r="G499" t="s">
        <v>4</v>
      </c>
      <c r="H499" t="s">
        <v>20</v>
      </c>
      <c r="I499" t="s">
        <v>357</v>
      </c>
      <c r="J499" s="2">
        <v>22.98</v>
      </c>
      <c r="K499">
        <v>1</v>
      </c>
      <c r="L499" s="4"/>
    </row>
    <row r="500" spans="1:12" x14ac:dyDescent="0.3">
      <c r="A500" s="1">
        <v>41589</v>
      </c>
      <c r="B500" s="1">
        <v>41591</v>
      </c>
      <c r="C500" t="s">
        <v>22</v>
      </c>
      <c r="D500" t="s">
        <v>195</v>
      </c>
      <c r="E500" t="s">
        <v>196</v>
      </c>
      <c r="F500" t="s">
        <v>56</v>
      </c>
      <c r="G500" t="s">
        <v>74</v>
      </c>
      <c r="H500" t="s">
        <v>75</v>
      </c>
      <c r="I500" t="s">
        <v>899</v>
      </c>
      <c r="J500" s="2">
        <v>102.13</v>
      </c>
      <c r="K500">
        <v>7</v>
      </c>
      <c r="L500" s="4"/>
    </row>
    <row r="501" spans="1:12" x14ac:dyDescent="0.3">
      <c r="A501" s="1">
        <v>41589</v>
      </c>
      <c r="B501" s="1">
        <v>41591</v>
      </c>
      <c r="C501" t="s">
        <v>22</v>
      </c>
      <c r="D501" t="s">
        <v>195</v>
      </c>
      <c r="E501" t="s">
        <v>196</v>
      </c>
      <c r="F501" t="s">
        <v>56</v>
      </c>
      <c r="G501" t="s">
        <v>4</v>
      </c>
      <c r="H501" t="s">
        <v>26</v>
      </c>
      <c r="I501" t="s">
        <v>900</v>
      </c>
      <c r="J501" s="2">
        <v>2033.5840000000001</v>
      </c>
      <c r="K501">
        <v>2</v>
      </c>
      <c r="L501" s="4"/>
    </row>
    <row r="502" spans="1:12" x14ac:dyDescent="0.3">
      <c r="A502" s="1">
        <v>41590</v>
      </c>
      <c r="B502" s="1">
        <v>41594</v>
      </c>
      <c r="C502" t="s">
        <v>7</v>
      </c>
      <c r="D502" t="s">
        <v>653</v>
      </c>
      <c r="E502" t="s">
        <v>654</v>
      </c>
      <c r="F502" t="s">
        <v>3</v>
      </c>
      <c r="G502" t="s">
        <v>4</v>
      </c>
      <c r="H502" t="s">
        <v>5</v>
      </c>
      <c r="I502" t="s">
        <v>901</v>
      </c>
      <c r="J502" s="2">
        <v>11.96</v>
      </c>
      <c r="K502">
        <v>2</v>
      </c>
      <c r="L502" s="4"/>
    </row>
    <row r="503" spans="1:12" x14ac:dyDescent="0.3">
      <c r="A503" s="1">
        <v>41590</v>
      </c>
      <c r="B503" s="1">
        <v>41594</v>
      </c>
      <c r="C503" t="s">
        <v>7</v>
      </c>
      <c r="D503" t="s">
        <v>653</v>
      </c>
      <c r="E503" t="s">
        <v>654</v>
      </c>
      <c r="F503" t="s">
        <v>3</v>
      </c>
      <c r="G503" t="s">
        <v>12</v>
      </c>
      <c r="H503" t="s">
        <v>44</v>
      </c>
      <c r="I503" t="s">
        <v>902</v>
      </c>
      <c r="J503" s="2">
        <v>629.06400000000008</v>
      </c>
      <c r="K503">
        <v>3</v>
      </c>
      <c r="L503" s="4"/>
    </row>
    <row r="504" spans="1:12" x14ac:dyDescent="0.3">
      <c r="A504" s="1">
        <v>41593</v>
      </c>
      <c r="B504" s="1">
        <v>41596</v>
      </c>
      <c r="C504" t="s">
        <v>22</v>
      </c>
      <c r="D504" t="s">
        <v>903</v>
      </c>
      <c r="E504" t="s">
        <v>904</v>
      </c>
      <c r="F504" t="s">
        <v>3</v>
      </c>
      <c r="G504" t="s">
        <v>12</v>
      </c>
      <c r="H504" t="s">
        <v>35</v>
      </c>
      <c r="I504" t="s">
        <v>905</v>
      </c>
      <c r="J504" s="2">
        <v>10.11</v>
      </c>
      <c r="K504">
        <v>3</v>
      </c>
      <c r="L504" s="4"/>
    </row>
    <row r="505" spans="1:12" x14ac:dyDescent="0.3">
      <c r="A505" s="1">
        <v>41593</v>
      </c>
      <c r="B505" s="1">
        <v>41596</v>
      </c>
      <c r="C505" t="s">
        <v>22</v>
      </c>
      <c r="D505" t="s">
        <v>903</v>
      </c>
      <c r="E505" t="s">
        <v>904</v>
      </c>
      <c r="F505" t="s">
        <v>3</v>
      </c>
      <c r="G505" t="s">
        <v>74</v>
      </c>
      <c r="H505" t="s">
        <v>75</v>
      </c>
      <c r="I505" t="s">
        <v>906</v>
      </c>
      <c r="J505" s="2">
        <v>772.47</v>
      </c>
      <c r="K505">
        <v>3</v>
      </c>
      <c r="L505" s="4"/>
    </row>
    <row r="506" spans="1:12" x14ac:dyDescent="0.3">
      <c r="A506" s="1">
        <v>41593</v>
      </c>
      <c r="B506" s="1">
        <v>41596</v>
      </c>
      <c r="C506" t="s">
        <v>22</v>
      </c>
      <c r="D506" t="s">
        <v>903</v>
      </c>
      <c r="E506" t="s">
        <v>904</v>
      </c>
      <c r="F506" t="s">
        <v>3</v>
      </c>
      <c r="G506" t="s">
        <v>4</v>
      </c>
      <c r="H506" t="s">
        <v>78</v>
      </c>
      <c r="I506" t="s">
        <v>907</v>
      </c>
      <c r="J506" s="2">
        <v>20.46</v>
      </c>
      <c r="K506">
        <v>2</v>
      </c>
      <c r="L506" s="4"/>
    </row>
    <row r="507" spans="1:12" x14ac:dyDescent="0.3">
      <c r="A507" s="1">
        <v>41593</v>
      </c>
      <c r="B507" s="1">
        <v>41595</v>
      </c>
      <c r="C507" t="s">
        <v>0</v>
      </c>
      <c r="D507" t="s">
        <v>198</v>
      </c>
      <c r="E507" t="s">
        <v>199</v>
      </c>
      <c r="F507" t="s">
        <v>3</v>
      </c>
      <c r="G507" t="s">
        <v>4</v>
      </c>
      <c r="H507" t="s">
        <v>78</v>
      </c>
      <c r="I507" t="s">
        <v>641</v>
      </c>
      <c r="J507" s="2">
        <v>10.95</v>
      </c>
      <c r="K507">
        <v>3</v>
      </c>
      <c r="L507" s="4"/>
    </row>
    <row r="508" spans="1:12" x14ac:dyDescent="0.3">
      <c r="A508" s="1">
        <v>41594</v>
      </c>
      <c r="B508" s="1">
        <v>41600</v>
      </c>
      <c r="C508" t="s">
        <v>7</v>
      </c>
      <c r="D508" t="s">
        <v>908</v>
      </c>
      <c r="E508" t="s">
        <v>909</v>
      </c>
      <c r="F508" t="s">
        <v>3</v>
      </c>
      <c r="G508" t="s">
        <v>4</v>
      </c>
      <c r="H508" t="s">
        <v>168</v>
      </c>
      <c r="I508" t="s">
        <v>910</v>
      </c>
      <c r="J508" s="2">
        <v>5.22</v>
      </c>
      <c r="K508">
        <v>2</v>
      </c>
      <c r="L508" s="4"/>
    </row>
    <row r="509" spans="1:12" x14ac:dyDescent="0.3">
      <c r="A509" s="1">
        <v>41594</v>
      </c>
      <c r="B509" s="1">
        <v>41596</v>
      </c>
      <c r="C509" t="s">
        <v>22</v>
      </c>
      <c r="D509" t="s">
        <v>911</v>
      </c>
      <c r="E509" t="s">
        <v>912</v>
      </c>
      <c r="F509" t="s">
        <v>3</v>
      </c>
      <c r="G509" t="s">
        <v>74</v>
      </c>
      <c r="H509" t="s">
        <v>147</v>
      </c>
      <c r="I509" t="s">
        <v>913</v>
      </c>
      <c r="J509" s="2">
        <v>79.968000000000004</v>
      </c>
      <c r="K509">
        <v>4</v>
      </c>
      <c r="L509" s="4"/>
    </row>
    <row r="510" spans="1:12" x14ac:dyDescent="0.3">
      <c r="A510" s="1">
        <v>41594</v>
      </c>
      <c r="B510" s="1">
        <v>41596</v>
      </c>
      <c r="C510" t="s">
        <v>22</v>
      </c>
      <c r="D510" t="s">
        <v>911</v>
      </c>
      <c r="E510" t="s">
        <v>912</v>
      </c>
      <c r="F510" t="s">
        <v>3</v>
      </c>
      <c r="G510" t="s">
        <v>12</v>
      </c>
      <c r="H510" t="s">
        <v>13</v>
      </c>
      <c r="I510" t="s">
        <v>914</v>
      </c>
      <c r="J510" s="2">
        <v>305.97449999999998</v>
      </c>
      <c r="K510">
        <v>3</v>
      </c>
      <c r="L510" s="4"/>
    </row>
    <row r="511" spans="1:12" x14ac:dyDescent="0.3">
      <c r="A511" s="1">
        <v>41594</v>
      </c>
      <c r="B511" s="1">
        <v>41596</v>
      </c>
      <c r="C511" t="s">
        <v>22</v>
      </c>
      <c r="D511" t="s">
        <v>911</v>
      </c>
      <c r="E511" t="s">
        <v>912</v>
      </c>
      <c r="F511" t="s">
        <v>3</v>
      </c>
      <c r="G511" t="s">
        <v>4</v>
      </c>
      <c r="H511" t="s">
        <v>10</v>
      </c>
      <c r="I511" t="s">
        <v>915</v>
      </c>
      <c r="J511" s="2">
        <v>344.90999999999997</v>
      </c>
      <c r="K511">
        <v>3</v>
      </c>
      <c r="L511" s="4"/>
    </row>
    <row r="512" spans="1:12" x14ac:dyDescent="0.3">
      <c r="A512" s="1">
        <v>41595</v>
      </c>
      <c r="B512" s="1">
        <v>41597</v>
      </c>
      <c r="C512" t="s">
        <v>22</v>
      </c>
      <c r="D512" t="s">
        <v>364</v>
      </c>
      <c r="E512" t="s">
        <v>365</v>
      </c>
      <c r="F512" t="s">
        <v>3</v>
      </c>
      <c r="G512" t="s">
        <v>74</v>
      </c>
      <c r="H512" t="s">
        <v>75</v>
      </c>
      <c r="I512" t="s">
        <v>916</v>
      </c>
      <c r="J512" s="2">
        <v>99.98</v>
      </c>
      <c r="K512">
        <v>2</v>
      </c>
      <c r="L512" s="4"/>
    </row>
    <row r="513" spans="1:12" x14ac:dyDescent="0.3">
      <c r="A513" s="1">
        <v>41595</v>
      </c>
      <c r="B513" s="1">
        <v>41597</v>
      </c>
      <c r="C513" t="s">
        <v>22</v>
      </c>
      <c r="D513" t="s">
        <v>364</v>
      </c>
      <c r="E513" t="s">
        <v>365</v>
      </c>
      <c r="F513" t="s">
        <v>3</v>
      </c>
      <c r="G513" t="s">
        <v>4</v>
      </c>
      <c r="H513" t="s">
        <v>5</v>
      </c>
      <c r="I513" t="s">
        <v>917</v>
      </c>
      <c r="J513" s="2">
        <v>733.94999999999993</v>
      </c>
      <c r="K513">
        <v>7</v>
      </c>
      <c r="L513" s="4"/>
    </row>
    <row r="514" spans="1:12" x14ac:dyDescent="0.3">
      <c r="A514" s="1">
        <v>41595</v>
      </c>
      <c r="B514" s="1">
        <v>41597</v>
      </c>
      <c r="C514" t="s">
        <v>22</v>
      </c>
      <c r="D514" t="s">
        <v>364</v>
      </c>
      <c r="E514" t="s">
        <v>365</v>
      </c>
      <c r="F514" t="s">
        <v>3</v>
      </c>
      <c r="G514" t="s">
        <v>4</v>
      </c>
      <c r="H514" t="s">
        <v>20</v>
      </c>
      <c r="I514" t="s">
        <v>918</v>
      </c>
      <c r="J514" s="2">
        <v>241.44</v>
      </c>
      <c r="K514">
        <v>3</v>
      </c>
      <c r="L514" s="4"/>
    </row>
    <row r="515" spans="1:12" x14ac:dyDescent="0.3">
      <c r="A515" s="1">
        <v>41596</v>
      </c>
      <c r="B515" s="1">
        <v>41598</v>
      </c>
      <c r="C515" t="s">
        <v>0</v>
      </c>
      <c r="D515" t="s">
        <v>919</v>
      </c>
      <c r="E515" t="s">
        <v>920</v>
      </c>
      <c r="F515" t="s">
        <v>115</v>
      </c>
      <c r="G515" t="s">
        <v>12</v>
      </c>
      <c r="H515" t="s">
        <v>44</v>
      </c>
      <c r="I515" t="s">
        <v>921</v>
      </c>
      <c r="J515" s="2">
        <v>145.97999999999999</v>
      </c>
      <c r="K515">
        <v>2</v>
      </c>
      <c r="L515" s="4"/>
    </row>
    <row r="516" spans="1:12" x14ac:dyDescent="0.3">
      <c r="A516" s="1">
        <v>41596</v>
      </c>
      <c r="B516" s="1">
        <v>41598</v>
      </c>
      <c r="C516" t="s">
        <v>0</v>
      </c>
      <c r="D516" t="s">
        <v>919</v>
      </c>
      <c r="E516" t="s">
        <v>920</v>
      </c>
      <c r="F516" t="s">
        <v>115</v>
      </c>
      <c r="G516" t="s">
        <v>4</v>
      </c>
      <c r="H516" t="s">
        <v>5</v>
      </c>
      <c r="I516" t="s">
        <v>922</v>
      </c>
      <c r="J516" s="2">
        <v>35.808</v>
      </c>
      <c r="K516">
        <v>4</v>
      </c>
      <c r="L516" s="4"/>
    </row>
    <row r="517" spans="1:12" x14ac:dyDescent="0.3">
      <c r="A517" s="1">
        <v>41596</v>
      </c>
      <c r="B517" s="1">
        <v>41599</v>
      </c>
      <c r="C517" t="s">
        <v>0</v>
      </c>
      <c r="D517" t="s">
        <v>923</v>
      </c>
      <c r="E517" t="s">
        <v>924</v>
      </c>
      <c r="F517" t="s">
        <v>126</v>
      </c>
      <c r="G517" t="s">
        <v>4</v>
      </c>
      <c r="H517" t="s">
        <v>5</v>
      </c>
      <c r="I517" t="s">
        <v>925</v>
      </c>
      <c r="J517" s="2">
        <v>21.98</v>
      </c>
      <c r="K517">
        <v>7</v>
      </c>
      <c r="L517" s="4"/>
    </row>
    <row r="518" spans="1:12" x14ac:dyDescent="0.3">
      <c r="A518" s="1">
        <v>41596</v>
      </c>
      <c r="B518" s="1">
        <v>41603</v>
      </c>
      <c r="C518" t="s">
        <v>7</v>
      </c>
      <c r="D518" t="s">
        <v>327</v>
      </c>
      <c r="E518" t="s">
        <v>328</v>
      </c>
      <c r="F518" t="s">
        <v>56</v>
      </c>
      <c r="G518" t="s">
        <v>12</v>
      </c>
      <c r="H518" t="s">
        <v>35</v>
      </c>
      <c r="I518" t="s">
        <v>926</v>
      </c>
      <c r="J518" s="2">
        <v>137.54</v>
      </c>
      <c r="K518">
        <v>2</v>
      </c>
      <c r="L518" s="4"/>
    </row>
    <row r="519" spans="1:12" x14ac:dyDescent="0.3">
      <c r="A519" s="1">
        <v>41596</v>
      </c>
      <c r="B519" s="1">
        <v>41603</v>
      </c>
      <c r="C519" t="s">
        <v>7</v>
      </c>
      <c r="D519" t="s">
        <v>327</v>
      </c>
      <c r="E519" t="s">
        <v>328</v>
      </c>
      <c r="F519" t="s">
        <v>56</v>
      </c>
      <c r="G519" t="s">
        <v>12</v>
      </c>
      <c r="H519" t="s">
        <v>44</v>
      </c>
      <c r="I519" t="s">
        <v>927</v>
      </c>
      <c r="J519" s="2">
        <v>730.2</v>
      </c>
      <c r="K519">
        <v>4</v>
      </c>
      <c r="L519" s="4"/>
    </row>
    <row r="520" spans="1:12" x14ac:dyDescent="0.3">
      <c r="A520" s="1">
        <v>41597</v>
      </c>
      <c r="B520" s="1">
        <v>41602</v>
      </c>
      <c r="C520" t="s">
        <v>0</v>
      </c>
      <c r="D520" t="s">
        <v>928</v>
      </c>
      <c r="E520" t="s">
        <v>929</v>
      </c>
      <c r="F520" t="s">
        <v>126</v>
      </c>
      <c r="G520" t="s">
        <v>4</v>
      </c>
      <c r="H520" t="s">
        <v>5</v>
      </c>
      <c r="I520" t="s">
        <v>930</v>
      </c>
      <c r="J520" s="2">
        <v>166.44</v>
      </c>
      <c r="K520">
        <v>3</v>
      </c>
      <c r="L520" s="4"/>
    </row>
    <row r="521" spans="1:12" x14ac:dyDescent="0.3">
      <c r="A521" s="1">
        <v>41599</v>
      </c>
      <c r="B521" s="1">
        <v>41604</v>
      </c>
      <c r="C521" t="s">
        <v>7</v>
      </c>
      <c r="D521" t="s">
        <v>931</v>
      </c>
      <c r="E521" t="s">
        <v>932</v>
      </c>
      <c r="F521" t="s">
        <v>3</v>
      </c>
      <c r="G521" t="s">
        <v>4</v>
      </c>
      <c r="H521" t="s">
        <v>5</v>
      </c>
      <c r="I521" t="s">
        <v>206</v>
      </c>
      <c r="J521" s="2">
        <v>12.96</v>
      </c>
      <c r="K521">
        <v>2</v>
      </c>
      <c r="L521" s="4"/>
    </row>
    <row r="522" spans="1:12" x14ac:dyDescent="0.3">
      <c r="A522" s="1">
        <v>41599</v>
      </c>
      <c r="B522" s="1">
        <v>41604</v>
      </c>
      <c r="C522" t="s">
        <v>7</v>
      </c>
      <c r="D522" t="s">
        <v>933</v>
      </c>
      <c r="E522" t="s">
        <v>934</v>
      </c>
      <c r="F522" t="s">
        <v>3</v>
      </c>
      <c r="G522" t="s">
        <v>4</v>
      </c>
      <c r="H522" t="s">
        <v>5</v>
      </c>
      <c r="I522" t="s">
        <v>935</v>
      </c>
      <c r="J522" s="2">
        <v>6.58</v>
      </c>
      <c r="K522">
        <v>2</v>
      </c>
      <c r="L522" s="4"/>
    </row>
    <row r="523" spans="1:12" x14ac:dyDescent="0.3">
      <c r="A523" s="1">
        <v>41599</v>
      </c>
      <c r="B523" s="1">
        <v>41604</v>
      </c>
      <c r="C523" t="s">
        <v>7</v>
      </c>
      <c r="D523" t="s">
        <v>933</v>
      </c>
      <c r="E523" t="s">
        <v>934</v>
      </c>
      <c r="F523" t="s">
        <v>3</v>
      </c>
      <c r="G523" t="s">
        <v>74</v>
      </c>
      <c r="H523" t="s">
        <v>75</v>
      </c>
      <c r="I523" t="s">
        <v>936</v>
      </c>
      <c r="J523" s="2">
        <v>94.99</v>
      </c>
      <c r="K523">
        <v>1</v>
      </c>
      <c r="L523" s="4"/>
    </row>
    <row r="524" spans="1:12" x14ac:dyDescent="0.3">
      <c r="A524" s="1">
        <v>41600</v>
      </c>
      <c r="B524" s="1">
        <v>41604</v>
      </c>
      <c r="C524" t="s">
        <v>7</v>
      </c>
      <c r="D524" t="s">
        <v>937</v>
      </c>
      <c r="E524" t="s">
        <v>938</v>
      </c>
      <c r="F524" t="s">
        <v>3</v>
      </c>
      <c r="G524" t="s">
        <v>4</v>
      </c>
      <c r="H524" t="s">
        <v>5</v>
      </c>
      <c r="I524" t="s">
        <v>939</v>
      </c>
      <c r="J524" s="2">
        <v>53.820000000000007</v>
      </c>
      <c r="K524">
        <v>9</v>
      </c>
      <c r="L524" s="4"/>
    </row>
    <row r="525" spans="1:12" x14ac:dyDescent="0.3">
      <c r="A525" s="1">
        <v>41601</v>
      </c>
      <c r="B525" s="1">
        <v>41603</v>
      </c>
      <c r="C525" t="s">
        <v>22</v>
      </c>
      <c r="D525" t="s">
        <v>68</v>
      </c>
      <c r="E525" t="s">
        <v>69</v>
      </c>
      <c r="F525" t="s">
        <v>3</v>
      </c>
      <c r="G525" t="s">
        <v>12</v>
      </c>
      <c r="H525" t="s">
        <v>70</v>
      </c>
      <c r="I525" t="s">
        <v>940</v>
      </c>
      <c r="J525" s="2">
        <v>603.91999999999996</v>
      </c>
      <c r="K525">
        <v>5</v>
      </c>
      <c r="L525" s="4"/>
    </row>
    <row r="526" spans="1:12" x14ac:dyDescent="0.3">
      <c r="A526" s="1">
        <v>41601</v>
      </c>
      <c r="B526" s="1">
        <v>41603</v>
      </c>
      <c r="C526" t="s">
        <v>22</v>
      </c>
      <c r="D526" t="s">
        <v>68</v>
      </c>
      <c r="E526" t="s">
        <v>69</v>
      </c>
      <c r="F526" t="s">
        <v>3</v>
      </c>
      <c r="G526" t="s">
        <v>4</v>
      </c>
      <c r="H526" t="s">
        <v>29</v>
      </c>
      <c r="I526" t="s">
        <v>941</v>
      </c>
      <c r="J526" s="2">
        <v>21.84</v>
      </c>
      <c r="K526">
        <v>3</v>
      </c>
      <c r="L526" s="4"/>
    </row>
    <row r="527" spans="1:12" x14ac:dyDescent="0.3">
      <c r="A527" s="1">
        <v>41601</v>
      </c>
      <c r="B527" s="1">
        <v>41603</v>
      </c>
      <c r="C527" t="s">
        <v>22</v>
      </c>
      <c r="D527" t="s">
        <v>68</v>
      </c>
      <c r="E527" t="s">
        <v>69</v>
      </c>
      <c r="F527" t="s">
        <v>3</v>
      </c>
      <c r="G527" t="s">
        <v>74</v>
      </c>
      <c r="H527" t="s">
        <v>75</v>
      </c>
      <c r="I527" t="s">
        <v>942</v>
      </c>
      <c r="J527" s="2">
        <v>29.99</v>
      </c>
      <c r="K527">
        <v>1</v>
      </c>
      <c r="L527" s="4"/>
    </row>
    <row r="528" spans="1:12" x14ac:dyDescent="0.3">
      <c r="A528" s="1">
        <v>41601</v>
      </c>
      <c r="B528" s="1">
        <v>41603</v>
      </c>
      <c r="C528" t="s">
        <v>22</v>
      </c>
      <c r="D528" t="s">
        <v>68</v>
      </c>
      <c r="E528" t="s">
        <v>69</v>
      </c>
      <c r="F528" t="s">
        <v>3</v>
      </c>
      <c r="G528" t="s">
        <v>12</v>
      </c>
      <c r="H528" t="s">
        <v>70</v>
      </c>
      <c r="I528" t="s">
        <v>943</v>
      </c>
      <c r="J528" s="2">
        <v>381.44000000000005</v>
      </c>
      <c r="K528">
        <v>2</v>
      </c>
      <c r="L528" s="4"/>
    </row>
    <row r="529" spans="1:12" x14ac:dyDescent="0.3">
      <c r="A529" s="1">
        <v>41601</v>
      </c>
      <c r="B529" s="1">
        <v>41606</v>
      </c>
      <c r="C529" t="s">
        <v>7</v>
      </c>
      <c r="D529" t="s">
        <v>944</v>
      </c>
      <c r="E529" t="s">
        <v>945</v>
      </c>
      <c r="F529" t="s">
        <v>25</v>
      </c>
      <c r="G529" t="s">
        <v>4</v>
      </c>
      <c r="H529" t="s">
        <v>29</v>
      </c>
      <c r="I529" t="s">
        <v>190</v>
      </c>
      <c r="J529" s="2">
        <v>23.472000000000001</v>
      </c>
      <c r="K529">
        <v>3</v>
      </c>
      <c r="L529" s="4"/>
    </row>
    <row r="530" spans="1:12" x14ac:dyDescent="0.3">
      <c r="A530" s="1">
        <v>41602</v>
      </c>
      <c r="B530" s="1">
        <v>41604</v>
      </c>
      <c r="C530" t="s">
        <v>22</v>
      </c>
      <c r="D530" t="s">
        <v>946</v>
      </c>
      <c r="E530" t="s">
        <v>947</v>
      </c>
      <c r="F530" t="s">
        <v>3</v>
      </c>
      <c r="G530" t="s">
        <v>12</v>
      </c>
      <c r="H530" t="s">
        <v>35</v>
      </c>
      <c r="I530" t="s">
        <v>540</v>
      </c>
      <c r="J530" s="2">
        <v>151.72</v>
      </c>
      <c r="K530">
        <v>4</v>
      </c>
      <c r="L530" s="4"/>
    </row>
    <row r="531" spans="1:12" x14ac:dyDescent="0.3">
      <c r="A531" s="1">
        <v>41602</v>
      </c>
      <c r="B531" s="1">
        <v>41608</v>
      </c>
      <c r="C531" t="s">
        <v>7</v>
      </c>
      <c r="D531" t="s">
        <v>948</v>
      </c>
      <c r="E531" t="s">
        <v>949</v>
      </c>
      <c r="F531" t="s">
        <v>56</v>
      </c>
      <c r="G531" t="s">
        <v>4</v>
      </c>
      <c r="H531" t="s">
        <v>26</v>
      </c>
      <c r="I531" t="s">
        <v>950</v>
      </c>
      <c r="J531" s="2">
        <v>12.096000000000002</v>
      </c>
      <c r="K531">
        <v>7</v>
      </c>
      <c r="L531" s="4"/>
    </row>
    <row r="532" spans="1:12" x14ac:dyDescent="0.3">
      <c r="A532" s="1">
        <v>41602</v>
      </c>
      <c r="B532" s="1">
        <v>41608</v>
      </c>
      <c r="C532" t="s">
        <v>7</v>
      </c>
      <c r="D532" t="s">
        <v>948</v>
      </c>
      <c r="E532" t="s">
        <v>949</v>
      </c>
      <c r="F532" t="s">
        <v>56</v>
      </c>
      <c r="G532" t="s">
        <v>4</v>
      </c>
      <c r="H532" t="s">
        <v>10</v>
      </c>
      <c r="I532" t="s">
        <v>103</v>
      </c>
      <c r="J532" s="2">
        <v>485.88</v>
      </c>
      <c r="K532">
        <v>6</v>
      </c>
      <c r="L532" s="4"/>
    </row>
    <row r="533" spans="1:12" x14ac:dyDescent="0.3">
      <c r="A533" s="1">
        <v>41602</v>
      </c>
      <c r="B533" s="1">
        <v>41608</v>
      </c>
      <c r="C533" t="s">
        <v>7</v>
      </c>
      <c r="D533" t="s">
        <v>948</v>
      </c>
      <c r="E533" t="s">
        <v>949</v>
      </c>
      <c r="F533" t="s">
        <v>56</v>
      </c>
      <c r="G533" t="s">
        <v>4</v>
      </c>
      <c r="H533" t="s">
        <v>5</v>
      </c>
      <c r="I533" t="s">
        <v>88</v>
      </c>
      <c r="J533" s="2">
        <v>25.92</v>
      </c>
      <c r="K533">
        <v>4</v>
      </c>
      <c r="L533" s="4"/>
    </row>
    <row r="534" spans="1:12" x14ac:dyDescent="0.3">
      <c r="A534" s="1">
        <v>41602</v>
      </c>
      <c r="B534" s="1">
        <v>41608</v>
      </c>
      <c r="C534" t="s">
        <v>7</v>
      </c>
      <c r="D534" t="s">
        <v>948</v>
      </c>
      <c r="E534" t="s">
        <v>949</v>
      </c>
      <c r="F534" t="s">
        <v>56</v>
      </c>
      <c r="G534" t="s">
        <v>4</v>
      </c>
      <c r="H534" t="s">
        <v>10</v>
      </c>
      <c r="I534" t="s">
        <v>951</v>
      </c>
      <c r="J534" s="2">
        <v>197.58</v>
      </c>
      <c r="K534">
        <v>2</v>
      </c>
      <c r="L534" s="4"/>
    </row>
    <row r="535" spans="1:12" x14ac:dyDescent="0.3">
      <c r="A535" s="1">
        <v>41602</v>
      </c>
      <c r="B535" s="1">
        <v>41604</v>
      </c>
      <c r="C535" t="s">
        <v>0</v>
      </c>
      <c r="D535" t="s">
        <v>316</v>
      </c>
      <c r="E535" t="s">
        <v>317</v>
      </c>
      <c r="F535" t="s">
        <v>3</v>
      </c>
      <c r="G535" t="s">
        <v>12</v>
      </c>
      <c r="H535" t="s">
        <v>70</v>
      </c>
      <c r="I535" t="s">
        <v>952</v>
      </c>
      <c r="J535" s="2">
        <v>120.71199999999999</v>
      </c>
      <c r="K535">
        <v>1</v>
      </c>
      <c r="L535" s="4"/>
    </row>
    <row r="536" spans="1:12" x14ac:dyDescent="0.3">
      <c r="A536" s="1">
        <v>41603</v>
      </c>
      <c r="B536" s="1">
        <v>41605</v>
      </c>
      <c r="C536" t="s">
        <v>0</v>
      </c>
      <c r="D536" t="s">
        <v>953</v>
      </c>
      <c r="E536" t="s">
        <v>954</v>
      </c>
      <c r="F536" t="s">
        <v>3</v>
      </c>
      <c r="G536" t="s">
        <v>4</v>
      </c>
      <c r="H536" t="s">
        <v>20</v>
      </c>
      <c r="I536" t="s">
        <v>243</v>
      </c>
      <c r="J536" s="2">
        <v>320.88</v>
      </c>
      <c r="K536">
        <v>6</v>
      </c>
      <c r="L536" s="4"/>
    </row>
    <row r="537" spans="1:12" x14ac:dyDescent="0.3">
      <c r="A537" s="1">
        <v>41603</v>
      </c>
      <c r="B537" s="1">
        <v>41605</v>
      </c>
      <c r="C537" t="s">
        <v>0</v>
      </c>
      <c r="D537" t="s">
        <v>953</v>
      </c>
      <c r="E537" t="s">
        <v>954</v>
      </c>
      <c r="F537" t="s">
        <v>3</v>
      </c>
      <c r="G537" t="s">
        <v>12</v>
      </c>
      <c r="H537" t="s">
        <v>35</v>
      </c>
      <c r="I537" t="s">
        <v>484</v>
      </c>
      <c r="J537" s="2">
        <v>23.88</v>
      </c>
      <c r="K537">
        <v>3</v>
      </c>
      <c r="L537" s="4"/>
    </row>
    <row r="538" spans="1:12" x14ac:dyDescent="0.3">
      <c r="A538" s="1">
        <v>41603</v>
      </c>
      <c r="B538" s="1">
        <v>41605</v>
      </c>
      <c r="C538" t="s">
        <v>0</v>
      </c>
      <c r="D538" t="s">
        <v>953</v>
      </c>
      <c r="E538" t="s">
        <v>954</v>
      </c>
      <c r="F538" t="s">
        <v>3</v>
      </c>
      <c r="G538" t="s">
        <v>4</v>
      </c>
      <c r="H538" t="s">
        <v>5</v>
      </c>
      <c r="I538" t="s">
        <v>955</v>
      </c>
      <c r="J538" s="2">
        <v>26.76</v>
      </c>
      <c r="K538">
        <v>4</v>
      </c>
      <c r="L538" s="4"/>
    </row>
    <row r="539" spans="1:12" x14ac:dyDescent="0.3">
      <c r="A539" s="1">
        <v>41603</v>
      </c>
      <c r="B539" s="1">
        <v>41608</v>
      </c>
      <c r="C539" t="s">
        <v>7</v>
      </c>
      <c r="D539" t="s">
        <v>222</v>
      </c>
      <c r="E539" t="s">
        <v>223</v>
      </c>
      <c r="F539" t="s">
        <v>19</v>
      </c>
      <c r="G539" t="s">
        <v>4</v>
      </c>
      <c r="H539" t="s">
        <v>15</v>
      </c>
      <c r="I539" t="s">
        <v>46</v>
      </c>
      <c r="J539" s="2">
        <v>51.016000000000005</v>
      </c>
      <c r="K539">
        <v>7</v>
      </c>
      <c r="L539" s="4"/>
    </row>
    <row r="540" spans="1:12" x14ac:dyDescent="0.3">
      <c r="A540" s="1">
        <v>41603</v>
      </c>
      <c r="B540" s="1">
        <v>41607</v>
      </c>
      <c r="C540" t="s">
        <v>7</v>
      </c>
      <c r="D540" t="s">
        <v>117</v>
      </c>
      <c r="E540" t="s">
        <v>118</v>
      </c>
      <c r="F540" t="s">
        <v>3</v>
      </c>
      <c r="G540" t="s">
        <v>74</v>
      </c>
      <c r="H540" t="s">
        <v>147</v>
      </c>
      <c r="I540" t="s">
        <v>956</v>
      </c>
      <c r="J540" s="2">
        <v>539.91999999999996</v>
      </c>
      <c r="K540">
        <v>5</v>
      </c>
      <c r="L540" s="4"/>
    </row>
    <row r="541" spans="1:12" x14ac:dyDescent="0.3">
      <c r="A541" s="1">
        <v>41603</v>
      </c>
      <c r="B541" s="1">
        <v>41607</v>
      </c>
      <c r="C541" t="s">
        <v>7</v>
      </c>
      <c r="D541" t="s">
        <v>117</v>
      </c>
      <c r="E541" t="s">
        <v>118</v>
      </c>
      <c r="F541" t="s">
        <v>3</v>
      </c>
      <c r="G541" t="s">
        <v>12</v>
      </c>
      <c r="H541" t="s">
        <v>70</v>
      </c>
      <c r="I541" t="s">
        <v>957</v>
      </c>
      <c r="J541" s="2">
        <v>725.34400000000005</v>
      </c>
      <c r="K541">
        <v>4</v>
      </c>
      <c r="L541" s="4"/>
    </row>
    <row r="542" spans="1:12" x14ac:dyDescent="0.3">
      <c r="A542" s="1">
        <v>41603</v>
      </c>
      <c r="B542" s="1">
        <v>41607</v>
      </c>
      <c r="C542" t="s">
        <v>7</v>
      </c>
      <c r="D542" t="s">
        <v>117</v>
      </c>
      <c r="E542" t="s">
        <v>118</v>
      </c>
      <c r="F542" t="s">
        <v>3</v>
      </c>
      <c r="G542" t="s">
        <v>4</v>
      </c>
      <c r="H542" t="s">
        <v>15</v>
      </c>
      <c r="I542" t="s">
        <v>371</v>
      </c>
      <c r="J542" s="2">
        <v>7.4399999999999995</v>
      </c>
      <c r="K542">
        <v>3</v>
      </c>
      <c r="L542" s="4"/>
    </row>
    <row r="543" spans="1:12" x14ac:dyDescent="0.3">
      <c r="A543" s="1">
        <v>41604</v>
      </c>
      <c r="B543" s="1">
        <v>41610</v>
      </c>
      <c r="C543" t="s">
        <v>7</v>
      </c>
      <c r="D543" t="s">
        <v>958</v>
      </c>
      <c r="E543" t="s">
        <v>959</v>
      </c>
      <c r="F543" t="s">
        <v>19</v>
      </c>
      <c r="G543" t="s">
        <v>4</v>
      </c>
      <c r="H543" t="s">
        <v>5</v>
      </c>
      <c r="I543" t="s">
        <v>960</v>
      </c>
      <c r="J543" s="2">
        <v>15.552000000000003</v>
      </c>
      <c r="K543">
        <v>3</v>
      </c>
      <c r="L543" s="4"/>
    </row>
    <row r="544" spans="1:12" x14ac:dyDescent="0.3">
      <c r="A544" s="1">
        <v>41604</v>
      </c>
      <c r="B544" s="1">
        <v>41610</v>
      </c>
      <c r="C544" t="s">
        <v>7</v>
      </c>
      <c r="D544" t="s">
        <v>958</v>
      </c>
      <c r="E544" t="s">
        <v>959</v>
      </c>
      <c r="F544" t="s">
        <v>19</v>
      </c>
      <c r="G544" t="s">
        <v>4</v>
      </c>
      <c r="H544" t="s">
        <v>10</v>
      </c>
      <c r="I544" t="s">
        <v>961</v>
      </c>
      <c r="J544" s="2">
        <v>669.08</v>
      </c>
      <c r="K544">
        <v>5</v>
      </c>
      <c r="L544" s="4"/>
    </row>
    <row r="545" spans="1:12" x14ac:dyDescent="0.3">
      <c r="A545" s="1">
        <v>41604</v>
      </c>
      <c r="B545" s="1">
        <v>41610</v>
      </c>
      <c r="C545" t="s">
        <v>7</v>
      </c>
      <c r="D545" t="s">
        <v>958</v>
      </c>
      <c r="E545" t="s">
        <v>959</v>
      </c>
      <c r="F545" t="s">
        <v>19</v>
      </c>
      <c r="G545" t="s">
        <v>74</v>
      </c>
      <c r="H545" t="s">
        <v>147</v>
      </c>
      <c r="I545" t="s">
        <v>551</v>
      </c>
      <c r="J545" s="2">
        <v>438.33600000000001</v>
      </c>
      <c r="K545">
        <v>4</v>
      </c>
      <c r="L545" s="4"/>
    </row>
    <row r="546" spans="1:12" x14ac:dyDescent="0.3">
      <c r="A546" s="1">
        <v>41604</v>
      </c>
      <c r="B546" s="1">
        <v>41609</v>
      </c>
      <c r="C546" t="s">
        <v>7</v>
      </c>
      <c r="D546" t="s">
        <v>962</v>
      </c>
      <c r="E546" t="s">
        <v>963</v>
      </c>
      <c r="F546" t="s">
        <v>3</v>
      </c>
      <c r="G546" t="s">
        <v>4</v>
      </c>
      <c r="H546" t="s">
        <v>5</v>
      </c>
      <c r="I546" t="s">
        <v>964</v>
      </c>
      <c r="J546" s="2">
        <v>81.98</v>
      </c>
      <c r="K546">
        <v>2</v>
      </c>
      <c r="L546" s="4"/>
    </row>
    <row r="547" spans="1:12" x14ac:dyDescent="0.3">
      <c r="A547" s="1">
        <v>41604</v>
      </c>
      <c r="B547" s="1">
        <v>41609</v>
      </c>
      <c r="C547" t="s">
        <v>7</v>
      </c>
      <c r="D547" t="s">
        <v>965</v>
      </c>
      <c r="E547" t="s">
        <v>966</v>
      </c>
      <c r="F547" t="s">
        <v>3</v>
      </c>
      <c r="G547" t="s">
        <v>4</v>
      </c>
      <c r="H547" t="s">
        <v>26</v>
      </c>
      <c r="I547" t="s">
        <v>967</v>
      </c>
      <c r="J547" s="2">
        <v>4.32</v>
      </c>
      <c r="K547">
        <v>3</v>
      </c>
      <c r="L547" s="4"/>
    </row>
    <row r="548" spans="1:12" x14ac:dyDescent="0.3">
      <c r="A548" s="1">
        <v>41604</v>
      </c>
      <c r="B548" s="1">
        <v>41609</v>
      </c>
      <c r="C548" t="s">
        <v>7</v>
      </c>
      <c r="D548" t="s">
        <v>965</v>
      </c>
      <c r="E548" t="s">
        <v>966</v>
      </c>
      <c r="F548" t="s">
        <v>3</v>
      </c>
      <c r="G548" t="s">
        <v>4</v>
      </c>
      <c r="H548" t="s">
        <v>5</v>
      </c>
      <c r="I548" t="s">
        <v>968</v>
      </c>
      <c r="J548" s="2">
        <v>14.940000000000001</v>
      </c>
      <c r="K548">
        <v>3</v>
      </c>
      <c r="L548" s="4"/>
    </row>
    <row r="549" spans="1:12" x14ac:dyDescent="0.3">
      <c r="A549" s="1">
        <v>41604</v>
      </c>
      <c r="B549" s="1">
        <v>41609</v>
      </c>
      <c r="C549" t="s">
        <v>7</v>
      </c>
      <c r="D549" t="s">
        <v>965</v>
      </c>
      <c r="E549" t="s">
        <v>966</v>
      </c>
      <c r="F549" t="s">
        <v>3</v>
      </c>
      <c r="G549" t="s">
        <v>4</v>
      </c>
      <c r="H549" t="s">
        <v>20</v>
      </c>
      <c r="I549" t="s">
        <v>21</v>
      </c>
      <c r="J549" s="2">
        <v>40.54</v>
      </c>
      <c r="K549">
        <v>2</v>
      </c>
      <c r="L549" s="4"/>
    </row>
    <row r="550" spans="1:12" x14ac:dyDescent="0.3">
      <c r="A550" s="1">
        <v>41604</v>
      </c>
      <c r="B550" s="1">
        <v>41609</v>
      </c>
      <c r="C550" t="s">
        <v>7</v>
      </c>
      <c r="D550" t="s">
        <v>965</v>
      </c>
      <c r="E550" t="s">
        <v>966</v>
      </c>
      <c r="F550" t="s">
        <v>3</v>
      </c>
      <c r="G550" t="s">
        <v>4</v>
      </c>
      <c r="H550" t="s">
        <v>26</v>
      </c>
      <c r="I550" t="s">
        <v>389</v>
      </c>
      <c r="J550" s="2">
        <v>7.3120000000000012</v>
      </c>
      <c r="K550">
        <v>1</v>
      </c>
      <c r="L550" s="4"/>
    </row>
    <row r="551" spans="1:12" x14ac:dyDescent="0.3">
      <c r="A551" s="1">
        <v>41606</v>
      </c>
      <c r="B551" s="1">
        <v>41606</v>
      </c>
      <c r="C551" t="s">
        <v>240</v>
      </c>
      <c r="D551" t="s">
        <v>969</v>
      </c>
      <c r="E551" t="s">
        <v>970</v>
      </c>
      <c r="F551" t="s">
        <v>3</v>
      </c>
      <c r="G551" t="s">
        <v>4</v>
      </c>
      <c r="H551" t="s">
        <v>78</v>
      </c>
      <c r="I551" t="s">
        <v>362</v>
      </c>
      <c r="J551" s="2">
        <v>7.36</v>
      </c>
      <c r="K551">
        <v>2</v>
      </c>
      <c r="L551" s="4"/>
    </row>
    <row r="552" spans="1:12" x14ac:dyDescent="0.3">
      <c r="A552" s="1">
        <v>41606</v>
      </c>
      <c r="B552" s="1">
        <v>41606</v>
      </c>
      <c r="C552" t="s">
        <v>240</v>
      </c>
      <c r="D552" t="s">
        <v>969</v>
      </c>
      <c r="E552" t="s">
        <v>970</v>
      </c>
      <c r="F552" t="s">
        <v>3</v>
      </c>
      <c r="G552" t="s">
        <v>4</v>
      </c>
      <c r="H552" t="s">
        <v>168</v>
      </c>
      <c r="I552" t="s">
        <v>971</v>
      </c>
      <c r="J552" s="2">
        <v>41.4</v>
      </c>
      <c r="K552">
        <v>4</v>
      </c>
      <c r="L552" s="4"/>
    </row>
    <row r="553" spans="1:12" x14ac:dyDescent="0.3">
      <c r="A553" s="1">
        <v>41606</v>
      </c>
      <c r="B553" s="1">
        <v>41606</v>
      </c>
      <c r="C553" t="s">
        <v>240</v>
      </c>
      <c r="D553" t="s">
        <v>969</v>
      </c>
      <c r="E553" t="s">
        <v>970</v>
      </c>
      <c r="F553" t="s">
        <v>3</v>
      </c>
      <c r="G553" t="s">
        <v>12</v>
      </c>
      <c r="H553" t="s">
        <v>13</v>
      </c>
      <c r="I553" t="s">
        <v>972</v>
      </c>
      <c r="J553" s="2">
        <v>411.33199999999999</v>
      </c>
      <c r="K553">
        <v>4</v>
      </c>
      <c r="L553" s="4"/>
    </row>
    <row r="554" spans="1:12" x14ac:dyDescent="0.3">
      <c r="A554" s="1">
        <v>41606</v>
      </c>
      <c r="B554" s="1">
        <v>41609</v>
      </c>
      <c r="C554" t="s">
        <v>22</v>
      </c>
      <c r="D554" t="s">
        <v>973</v>
      </c>
      <c r="E554" t="s">
        <v>974</v>
      </c>
      <c r="F554" t="s">
        <v>3</v>
      </c>
      <c r="G554" t="s">
        <v>4</v>
      </c>
      <c r="H554" t="s">
        <v>20</v>
      </c>
      <c r="I554" t="s">
        <v>975</v>
      </c>
      <c r="J554" s="2">
        <v>43.68</v>
      </c>
      <c r="K554">
        <v>3</v>
      </c>
      <c r="L554" s="4"/>
    </row>
    <row r="555" spans="1:12" x14ac:dyDescent="0.3">
      <c r="A555" s="1">
        <v>41606</v>
      </c>
      <c r="B555" s="1">
        <v>41609</v>
      </c>
      <c r="C555" t="s">
        <v>22</v>
      </c>
      <c r="D555" t="s">
        <v>973</v>
      </c>
      <c r="E555" t="s">
        <v>974</v>
      </c>
      <c r="F555" t="s">
        <v>3</v>
      </c>
      <c r="G555" t="s">
        <v>74</v>
      </c>
      <c r="H555" t="s">
        <v>75</v>
      </c>
      <c r="I555" t="s">
        <v>976</v>
      </c>
      <c r="J555" s="2">
        <v>139.92999999999998</v>
      </c>
      <c r="K555">
        <v>7</v>
      </c>
      <c r="L555" s="4"/>
    </row>
    <row r="556" spans="1:12" x14ac:dyDescent="0.3">
      <c r="A556" s="1">
        <v>41607</v>
      </c>
      <c r="B556" s="1">
        <v>41614</v>
      </c>
      <c r="C556" t="s">
        <v>7</v>
      </c>
      <c r="D556" t="s">
        <v>977</v>
      </c>
      <c r="E556" t="s">
        <v>978</v>
      </c>
      <c r="F556" t="s">
        <v>3</v>
      </c>
      <c r="G556" t="s">
        <v>74</v>
      </c>
      <c r="H556" t="s">
        <v>147</v>
      </c>
      <c r="I556" t="s">
        <v>979</v>
      </c>
      <c r="J556" s="2">
        <v>575.91999999999996</v>
      </c>
      <c r="K556">
        <v>2</v>
      </c>
      <c r="L556" s="4"/>
    </row>
    <row r="557" spans="1:12" x14ac:dyDescent="0.3">
      <c r="A557" s="1">
        <v>41607</v>
      </c>
      <c r="B557" s="1">
        <v>41614</v>
      </c>
      <c r="C557" t="s">
        <v>7</v>
      </c>
      <c r="D557" t="s">
        <v>977</v>
      </c>
      <c r="E557" t="s">
        <v>978</v>
      </c>
      <c r="F557" t="s">
        <v>3</v>
      </c>
      <c r="G557" t="s">
        <v>4</v>
      </c>
      <c r="H557" t="s">
        <v>52</v>
      </c>
      <c r="I557" t="s">
        <v>53</v>
      </c>
      <c r="J557" s="2">
        <v>30.4</v>
      </c>
      <c r="K557">
        <v>5</v>
      </c>
      <c r="L557" s="4"/>
    </row>
    <row r="558" spans="1:12" x14ac:dyDescent="0.3">
      <c r="A558" s="1">
        <v>41608</v>
      </c>
      <c r="B558" s="1">
        <v>41614</v>
      </c>
      <c r="C558" t="s">
        <v>7</v>
      </c>
      <c r="D558" t="s">
        <v>436</v>
      </c>
      <c r="E558" t="s">
        <v>437</v>
      </c>
      <c r="F558" t="s">
        <v>25</v>
      </c>
      <c r="G558" t="s">
        <v>4</v>
      </c>
      <c r="H558" t="s">
        <v>78</v>
      </c>
      <c r="I558" t="s">
        <v>980</v>
      </c>
      <c r="J558" s="2">
        <v>47.992000000000004</v>
      </c>
      <c r="K558">
        <v>7</v>
      </c>
      <c r="L558" s="4"/>
    </row>
    <row r="559" spans="1:12" x14ac:dyDescent="0.3">
      <c r="A559" s="1">
        <v>41608</v>
      </c>
      <c r="B559" s="1">
        <v>41614</v>
      </c>
      <c r="C559" t="s">
        <v>7</v>
      </c>
      <c r="D559" t="s">
        <v>436</v>
      </c>
      <c r="E559" t="s">
        <v>437</v>
      </c>
      <c r="F559" t="s">
        <v>25</v>
      </c>
      <c r="G559" t="s">
        <v>74</v>
      </c>
      <c r="H559" t="s">
        <v>75</v>
      </c>
      <c r="I559" t="s">
        <v>981</v>
      </c>
      <c r="J559" s="2">
        <v>102.24000000000001</v>
      </c>
      <c r="K559">
        <v>4</v>
      </c>
      <c r="L559" s="4"/>
    </row>
    <row r="560" spans="1:12" x14ac:dyDescent="0.3">
      <c r="A560" s="1">
        <v>41609</v>
      </c>
      <c r="B560" s="1">
        <v>41613</v>
      </c>
      <c r="C560" t="s">
        <v>7</v>
      </c>
      <c r="D560" t="s">
        <v>982</v>
      </c>
      <c r="E560" t="s">
        <v>983</v>
      </c>
      <c r="F560" t="s">
        <v>3</v>
      </c>
      <c r="G560" t="s">
        <v>12</v>
      </c>
      <c r="H560" t="s">
        <v>35</v>
      </c>
      <c r="I560" t="s">
        <v>984</v>
      </c>
      <c r="J560" s="2">
        <v>58.199999999999996</v>
      </c>
      <c r="K560">
        <v>3</v>
      </c>
      <c r="L560" s="4"/>
    </row>
    <row r="561" spans="1:12" x14ac:dyDescent="0.3">
      <c r="A561" s="1">
        <v>41613</v>
      </c>
      <c r="B561" s="1">
        <v>41618</v>
      </c>
      <c r="C561" t="s">
        <v>7</v>
      </c>
      <c r="D561" t="s">
        <v>985</v>
      </c>
      <c r="E561" t="s">
        <v>986</v>
      </c>
      <c r="F561" t="s">
        <v>25</v>
      </c>
      <c r="G561" t="s">
        <v>4</v>
      </c>
      <c r="H561" t="s">
        <v>15</v>
      </c>
      <c r="I561" t="s">
        <v>987</v>
      </c>
      <c r="J561" s="2">
        <v>1113.0240000000001</v>
      </c>
      <c r="K561">
        <v>8</v>
      </c>
      <c r="L561" s="4"/>
    </row>
    <row r="562" spans="1:12" x14ac:dyDescent="0.3">
      <c r="A562" s="1">
        <v>41613</v>
      </c>
      <c r="B562" s="1">
        <v>41618</v>
      </c>
      <c r="C562" t="s">
        <v>7</v>
      </c>
      <c r="D562" t="s">
        <v>985</v>
      </c>
      <c r="E562" t="s">
        <v>986</v>
      </c>
      <c r="F562" t="s">
        <v>25</v>
      </c>
      <c r="G562" t="s">
        <v>74</v>
      </c>
      <c r="H562" t="s">
        <v>147</v>
      </c>
      <c r="I562" t="s">
        <v>321</v>
      </c>
      <c r="J562" s="2">
        <v>167.96800000000002</v>
      </c>
      <c r="K562">
        <v>4</v>
      </c>
      <c r="L562" s="4"/>
    </row>
    <row r="563" spans="1:12" x14ac:dyDescent="0.3">
      <c r="A563" s="1">
        <v>41613</v>
      </c>
      <c r="B563" s="1">
        <v>41618</v>
      </c>
      <c r="C563" t="s">
        <v>7</v>
      </c>
      <c r="D563" t="s">
        <v>988</v>
      </c>
      <c r="E563" t="s">
        <v>989</v>
      </c>
      <c r="F563" t="s">
        <v>3</v>
      </c>
      <c r="G563" t="s">
        <v>4</v>
      </c>
      <c r="H563" t="s">
        <v>15</v>
      </c>
      <c r="I563" t="s">
        <v>627</v>
      </c>
      <c r="J563" s="2">
        <v>26.46</v>
      </c>
      <c r="K563">
        <v>9</v>
      </c>
      <c r="L563" s="4"/>
    </row>
    <row r="564" spans="1:12" x14ac:dyDescent="0.3">
      <c r="A564" s="1">
        <v>41613</v>
      </c>
      <c r="B564" s="1">
        <v>41618</v>
      </c>
      <c r="C564" t="s">
        <v>7</v>
      </c>
      <c r="D564" t="s">
        <v>988</v>
      </c>
      <c r="E564" t="s">
        <v>989</v>
      </c>
      <c r="F564" t="s">
        <v>3</v>
      </c>
      <c r="G564" t="s">
        <v>4</v>
      </c>
      <c r="H564" t="s">
        <v>5</v>
      </c>
      <c r="I564" t="s">
        <v>990</v>
      </c>
      <c r="J564" s="2">
        <v>49.12</v>
      </c>
      <c r="K564">
        <v>4</v>
      </c>
      <c r="L564" s="4"/>
    </row>
    <row r="565" spans="1:12" x14ac:dyDescent="0.3">
      <c r="A565" s="1">
        <v>41613</v>
      </c>
      <c r="B565" s="1">
        <v>41618</v>
      </c>
      <c r="C565" t="s">
        <v>7</v>
      </c>
      <c r="D565" t="s">
        <v>988</v>
      </c>
      <c r="E565" t="s">
        <v>989</v>
      </c>
      <c r="F565" t="s">
        <v>3</v>
      </c>
      <c r="G565" t="s">
        <v>4</v>
      </c>
      <c r="H565" t="s">
        <v>52</v>
      </c>
      <c r="I565" t="s">
        <v>991</v>
      </c>
      <c r="J565" s="2">
        <v>15</v>
      </c>
      <c r="K565">
        <v>3</v>
      </c>
      <c r="L565" s="4"/>
    </row>
    <row r="566" spans="1:12" x14ac:dyDescent="0.3">
      <c r="A566" s="1">
        <v>41613</v>
      </c>
      <c r="B566" s="1">
        <v>41615</v>
      </c>
      <c r="C566" t="s">
        <v>22</v>
      </c>
      <c r="D566" t="s">
        <v>992</v>
      </c>
      <c r="E566" t="s">
        <v>993</v>
      </c>
      <c r="F566" t="s">
        <v>3</v>
      </c>
      <c r="G566" t="s">
        <v>4</v>
      </c>
      <c r="H566" t="s">
        <v>20</v>
      </c>
      <c r="I566" t="s">
        <v>994</v>
      </c>
      <c r="J566" s="2">
        <v>250.26</v>
      </c>
      <c r="K566">
        <v>6</v>
      </c>
      <c r="L566" s="4"/>
    </row>
    <row r="567" spans="1:12" x14ac:dyDescent="0.3">
      <c r="A567" s="1">
        <v>41614</v>
      </c>
      <c r="B567" s="1">
        <v>41619</v>
      </c>
      <c r="C567" t="s">
        <v>0</v>
      </c>
      <c r="D567" t="s">
        <v>995</v>
      </c>
      <c r="E567" t="s">
        <v>996</v>
      </c>
      <c r="F567" t="s">
        <v>19</v>
      </c>
      <c r="G567" t="s">
        <v>4</v>
      </c>
      <c r="H567" t="s">
        <v>10</v>
      </c>
      <c r="I567" t="s">
        <v>997</v>
      </c>
      <c r="J567" s="2">
        <v>53.424000000000007</v>
      </c>
      <c r="K567">
        <v>3</v>
      </c>
      <c r="L567" s="4"/>
    </row>
    <row r="568" spans="1:12" x14ac:dyDescent="0.3">
      <c r="A568" s="1">
        <v>41614</v>
      </c>
      <c r="B568" s="1">
        <v>41619</v>
      </c>
      <c r="C568" t="s">
        <v>0</v>
      </c>
      <c r="D568" t="s">
        <v>995</v>
      </c>
      <c r="E568" t="s">
        <v>996</v>
      </c>
      <c r="F568" t="s">
        <v>19</v>
      </c>
      <c r="G568" t="s">
        <v>12</v>
      </c>
      <c r="H568" t="s">
        <v>44</v>
      </c>
      <c r="I568" t="s">
        <v>998</v>
      </c>
      <c r="J568" s="2">
        <v>275.49</v>
      </c>
      <c r="K568">
        <v>1</v>
      </c>
      <c r="L568" s="4"/>
    </row>
    <row r="569" spans="1:12" x14ac:dyDescent="0.3">
      <c r="A569" s="1">
        <v>41614</v>
      </c>
      <c r="B569" s="1">
        <v>41616</v>
      </c>
      <c r="C569" t="s">
        <v>22</v>
      </c>
      <c r="D569" t="s">
        <v>999</v>
      </c>
      <c r="E569" t="s">
        <v>1000</v>
      </c>
      <c r="F569" t="s">
        <v>3</v>
      </c>
      <c r="G569" t="s">
        <v>4</v>
      </c>
      <c r="H569" t="s">
        <v>10</v>
      </c>
      <c r="I569" t="s">
        <v>1001</v>
      </c>
      <c r="J569" s="2">
        <v>1261.33</v>
      </c>
      <c r="K569">
        <v>7</v>
      </c>
      <c r="L569" s="4"/>
    </row>
    <row r="570" spans="1:12" x14ac:dyDescent="0.3">
      <c r="A570" s="1">
        <v>41615</v>
      </c>
      <c r="B570" s="1">
        <v>41618</v>
      </c>
      <c r="C570" t="s">
        <v>22</v>
      </c>
      <c r="D570" t="s">
        <v>1002</v>
      </c>
      <c r="E570" t="s">
        <v>1003</v>
      </c>
      <c r="F570" t="s">
        <v>3</v>
      </c>
      <c r="G570" t="s">
        <v>4</v>
      </c>
      <c r="H570" t="s">
        <v>15</v>
      </c>
      <c r="I570" t="s">
        <v>464</v>
      </c>
      <c r="J570" s="2">
        <v>8.64</v>
      </c>
      <c r="K570">
        <v>3</v>
      </c>
      <c r="L570" s="4"/>
    </row>
    <row r="571" spans="1:12" x14ac:dyDescent="0.3">
      <c r="A571" s="1">
        <v>41615</v>
      </c>
      <c r="B571" s="1">
        <v>41621</v>
      </c>
      <c r="C571" t="s">
        <v>7</v>
      </c>
      <c r="D571" t="s">
        <v>1004</v>
      </c>
      <c r="E571" t="s">
        <v>1005</v>
      </c>
      <c r="F571" t="s">
        <v>56</v>
      </c>
      <c r="G571" t="s">
        <v>4</v>
      </c>
      <c r="H571" t="s">
        <v>10</v>
      </c>
      <c r="I571" t="s">
        <v>544</v>
      </c>
      <c r="J571" s="2">
        <v>269.35999999999996</v>
      </c>
      <c r="K571">
        <v>7</v>
      </c>
      <c r="L571" s="4"/>
    </row>
    <row r="572" spans="1:12" x14ac:dyDescent="0.3">
      <c r="A572" s="1">
        <v>41615</v>
      </c>
      <c r="B572" s="1">
        <v>41616</v>
      </c>
      <c r="C572" t="s">
        <v>22</v>
      </c>
      <c r="D572" t="s">
        <v>1006</v>
      </c>
      <c r="E572" t="s">
        <v>1007</v>
      </c>
      <c r="F572" t="s">
        <v>3</v>
      </c>
      <c r="G572" t="s">
        <v>4</v>
      </c>
      <c r="H572" t="s">
        <v>5</v>
      </c>
      <c r="I572" t="s">
        <v>1008</v>
      </c>
      <c r="J572" s="2">
        <v>164.88</v>
      </c>
      <c r="K572">
        <v>3</v>
      </c>
      <c r="L572" s="4"/>
    </row>
    <row r="573" spans="1:12" x14ac:dyDescent="0.3">
      <c r="A573" s="1">
        <v>41616</v>
      </c>
      <c r="B573" s="1">
        <v>41621</v>
      </c>
      <c r="C573" t="s">
        <v>7</v>
      </c>
      <c r="D573" t="s">
        <v>1009</v>
      </c>
      <c r="E573" t="s">
        <v>1010</v>
      </c>
      <c r="F573" t="s">
        <v>19</v>
      </c>
      <c r="G573" t="s">
        <v>4</v>
      </c>
      <c r="H573" t="s">
        <v>168</v>
      </c>
      <c r="I573" t="s">
        <v>674</v>
      </c>
      <c r="J573" s="2">
        <v>27.888000000000002</v>
      </c>
      <c r="K573">
        <v>7</v>
      </c>
      <c r="L573" s="4"/>
    </row>
    <row r="574" spans="1:12" x14ac:dyDescent="0.3">
      <c r="A574" s="1">
        <v>41616</v>
      </c>
      <c r="B574" s="1">
        <v>41621</v>
      </c>
      <c r="C574" t="s">
        <v>7</v>
      </c>
      <c r="D574" t="s">
        <v>1009</v>
      </c>
      <c r="E574" t="s">
        <v>1010</v>
      </c>
      <c r="F574" t="s">
        <v>19</v>
      </c>
      <c r="G574" t="s">
        <v>4</v>
      </c>
      <c r="H574" t="s">
        <v>26</v>
      </c>
      <c r="I574" t="s">
        <v>1011</v>
      </c>
      <c r="J574" s="2">
        <v>6.4560000000000004</v>
      </c>
      <c r="K574">
        <v>4</v>
      </c>
      <c r="L574" s="4"/>
    </row>
    <row r="575" spans="1:12" x14ac:dyDescent="0.3">
      <c r="A575" s="1">
        <v>41616</v>
      </c>
      <c r="B575" s="1">
        <v>41621</v>
      </c>
      <c r="C575" t="s">
        <v>7</v>
      </c>
      <c r="D575" t="s">
        <v>1009</v>
      </c>
      <c r="E575" t="s">
        <v>1010</v>
      </c>
      <c r="F575" t="s">
        <v>19</v>
      </c>
      <c r="G575" t="s">
        <v>74</v>
      </c>
      <c r="H575" t="s">
        <v>147</v>
      </c>
      <c r="I575" t="s">
        <v>1012</v>
      </c>
      <c r="J575" s="2">
        <v>52.679999999999993</v>
      </c>
      <c r="K575">
        <v>3</v>
      </c>
      <c r="L575" s="4"/>
    </row>
    <row r="576" spans="1:12" x14ac:dyDescent="0.3">
      <c r="A576" s="1">
        <v>41616</v>
      </c>
      <c r="B576" s="1">
        <v>41621</v>
      </c>
      <c r="C576" t="s">
        <v>7</v>
      </c>
      <c r="D576" t="s">
        <v>1009</v>
      </c>
      <c r="E576" t="s">
        <v>1010</v>
      </c>
      <c r="F576" t="s">
        <v>19</v>
      </c>
      <c r="G576" t="s">
        <v>4</v>
      </c>
      <c r="H576" t="s">
        <v>78</v>
      </c>
      <c r="I576" t="s">
        <v>1013</v>
      </c>
      <c r="J576" s="2">
        <v>13.88</v>
      </c>
      <c r="K576">
        <v>5</v>
      </c>
      <c r="L576" s="4"/>
    </row>
    <row r="577" spans="1:12" x14ac:dyDescent="0.3">
      <c r="A577" s="1">
        <v>41616</v>
      </c>
      <c r="B577" s="1">
        <v>41621</v>
      </c>
      <c r="C577" t="s">
        <v>7</v>
      </c>
      <c r="D577" t="s">
        <v>1009</v>
      </c>
      <c r="E577" t="s">
        <v>1010</v>
      </c>
      <c r="F577" t="s">
        <v>19</v>
      </c>
      <c r="G577" t="s">
        <v>74</v>
      </c>
      <c r="H577" t="s">
        <v>75</v>
      </c>
      <c r="I577" t="s">
        <v>1014</v>
      </c>
      <c r="J577" s="2">
        <v>103.92000000000002</v>
      </c>
      <c r="K577">
        <v>10</v>
      </c>
      <c r="L577" s="4"/>
    </row>
    <row r="578" spans="1:12" x14ac:dyDescent="0.3">
      <c r="A578" s="1">
        <v>41616</v>
      </c>
      <c r="B578" s="1">
        <v>41621</v>
      </c>
      <c r="C578" t="s">
        <v>7</v>
      </c>
      <c r="D578" t="s">
        <v>1009</v>
      </c>
      <c r="E578" t="s">
        <v>1010</v>
      </c>
      <c r="F578" t="s">
        <v>19</v>
      </c>
      <c r="G578" t="s">
        <v>4</v>
      </c>
      <c r="H578" t="s">
        <v>168</v>
      </c>
      <c r="I578" t="s">
        <v>1015</v>
      </c>
      <c r="J578" s="2">
        <v>11.52</v>
      </c>
      <c r="K578">
        <v>5</v>
      </c>
      <c r="L578" s="4"/>
    </row>
    <row r="579" spans="1:12" x14ac:dyDescent="0.3">
      <c r="A579" s="1">
        <v>41616</v>
      </c>
      <c r="B579" s="1">
        <v>41621</v>
      </c>
      <c r="C579" t="s">
        <v>7</v>
      </c>
      <c r="D579" t="s">
        <v>1009</v>
      </c>
      <c r="E579" t="s">
        <v>1010</v>
      </c>
      <c r="F579" t="s">
        <v>19</v>
      </c>
      <c r="G579" t="s">
        <v>4</v>
      </c>
      <c r="H579" t="s">
        <v>5</v>
      </c>
      <c r="I579" t="s">
        <v>1016</v>
      </c>
      <c r="J579" s="2">
        <v>10.368000000000002</v>
      </c>
      <c r="K579">
        <v>2</v>
      </c>
      <c r="L579" s="4"/>
    </row>
    <row r="580" spans="1:12" x14ac:dyDescent="0.3">
      <c r="A580" s="1">
        <v>41616</v>
      </c>
      <c r="B580" s="1">
        <v>41621</v>
      </c>
      <c r="C580" t="s">
        <v>7</v>
      </c>
      <c r="D580" t="s">
        <v>1009</v>
      </c>
      <c r="E580" t="s">
        <v>1010</v>
      </c>
      <c r="F580" t="s">
        <v>19</v>
      </c>
      <c r="G580" t="s">
        <v>4</v>
      </c>
      <c r="H580" t="s">
        <v>10</v>
      </c>
      <c r="I580" t="s">
        <v>1017</v>
      </c>
      <c r="J580" s="2">
        <v>39.072000000000003</v>
      </c>
      <c r="K580">
        <v>3</v>
      </c>
      <c r="L580" s="4"/>
    </row>
    <row r="581" spans="1:12" x14ac:dyDescent="0.3">
      <c r="A581" s="1">
        <v>41616</v>
      </c>
      <c r="B581" s="1">
        <v>41618</v>
      </c>
      <c r="C581" t="s">
        <v>0</v>
      </c>
      <c r="D581" t="s">
        <v>1018</v>
      </c>
      <c r="E581" t="s">
        <v>1019</v>
      </c>
      <c r="F581" t="s">
        <v>56</v>
      </c>
      <c r="G581" t="s">
        <v>4</v>
      </c>
      <c r="H581" t="s">
        <v>5</v>
      </c>
      <c r="I581" t="s">
        <v>1020</v>
      </c>
      <c r="J581" s="2">
        <v>45.68</v>
      </c>
      <c r="K581">
        <v>2</v>
      </c>
      <c r="L581" s="4"/>
    </row>
    <row r="582" spans="1:12" x14ac:dyDescent="0.3">
      <c r="A582" s="1">
        <v>41616</v>
      </c>
      <c r="B582" s="1">
        <v>41618</v>
      </c>
      <c r="C582" t="s">
        <v>0</v>
      </c>
      <c r="D582" t="s">
        <v>1018</v>
      </c>
      <c r="E582" t="s">
        <v>1019</v>
      </c>
      <c r="F582" t="s">
        <v>56</v>
      </c>
      <c r="G582" t="s">
        <v>12</v>
      </c>
      <c r="H582" t="s">
        <v>70</v>
      </c>
      <c r="I582" t="s">
        <v>712</v>
      </c>
      <c r="J582" s="2">
        <v>603.91999999999996</v>
      </c>
      <c r="K582">
        <v>5</v>
      </c>
      <c r="L582" s="4"/>
    </row>
    <row r="583" spans="1:12" x14ac:dyDescent="0.3">
      <c r="A583" s="1">
        <v>41616</v>
      </c>
      <c r="B583" s="1">
        <v>41623</v>
      </c>
      <c r="C583" t="s">
        <v>7</v>
      </c>
      <c r="D583" t="s">
        <v>1021</v>
      </c>
      <c r="E583" t="s">
        <v>1022</v>
      </c>
      <c r="F583" t="s">
        <v>3</v>
      </c>
      <c r="G583" t="s">
        <v>12</v>
      </c>
      <c r="H583" t="s">
        <v>35</v>
      </c>
      <c r="I583" t="s">
        <v>885</v>
      </c>
      <c r="J583" s="2">
        <v>39.880000000000003</v>
      </c>
      <c r="K583">
        <v>2</v>
      </c>
      <c r="L583" s="4"/>
    </row>
    <row r="584" spans="1:12" x14ac:dyDescent="0.3">
      <c r="A584" s="1">
        <v>41616</v>
      </c>
      <c r="B584" s="1">
        <v>41623</v>
      </c>
      <c r="C584" t="s">
        <v>7</v>
      </c>
      <c r="D584" t="s">
        <v>1021</v>
      </c>
      <c r="E584" t="s">
        <v>1022</v>
      </c>
      <c r="F584" t="s">
        <v>3</v>
      </c>
      <c r="G584" t="s">
        <v>12</v>
      </c>
      <c r="H584" t="s">
        <v>35</v>
      </c>
      <c r="I584" t="s">
        <v>1023</v>
      </c>
      <c r="J584" s="2">
        <v>79.44</v>
      </c>
      <c r="K584">
        <v>3</v>
      </c>
      <c r="L584" s="4"/>
    </row>
    <row r="585" spans="1:12" x14ac:dyDescent="0.3">
      <c r="A585" s="1">
        <v>41617</v>
      </c>
      <c r="B585" s="1">
        <v>41624</v>
      </c>
      <c r="C585" t="s">
        <v>7</v>
      </c>
      <c r="D585" t="s">
        <v>1024</v>
      </c>
      <c r="E585" t="s">
        <v>1025</v>
      </c>
      <c r="F585" t="s">
        <v>3</v>
      </c>
      <c r="G585" t="s">
        <v>4</v>
      </c>
      <c r="H585" t="s">
        <v>5</v>
      </c>
      <c r="I585" t="s">
        <v>1026</v>
      </c>
      <c r="J585" s="2">
        <v>34.68</v>
      </c>
      <c r="K585">
        <v>6</v>
      </c>
      <c r="L585" s="4"/>
    </row>
    <row r="586" spans="1:12" x14ac:dyDescent="0.3">
      <c r="A586" s="1">
        <v>41617</v>
      </c>
      <c r="B586" s="1">
        <v>41622</v>
      </c>
      <c r="C586" t="s">
        <v>7</v>
      </c>
      <c r="D586" t="s">
        <v>1027</v>
      </c>
      <c r="E586" t="s">
        <v>1028</v>
      </c>
      <c r="F586" t="s">
        <v>25</v>
      </c>
      <c r="G586" t="s">
        <v>4</v>
      </c>
      <c r="H586" t="s">
        <v>10</v>
      </c>
      <c r="I586" t="s">
        <v>1029</v>
      </c>
      <c r="J586" s="2">
        <v>100.70400000000001</v>
      </c>
      <c r="K586">
        <v>6</v>
      </c>
      <c r="L586" s="4"/>
    </row>
    <row r="587" spans="1:12" x14ac:dyDescent="0.3">
      <c r="A587" s="1">
        <v>41618</v>
      </c>
      <c r="B587" s="1">
        <v>41622</v>
      </c>
      <c r="C587" t="s">
        <v>7</v>
      </c>
      <c r="D587" t="s">
        <v>1030</v>
      </c>
      <c r="E587" t="s">
        <v>1031</v>
      </c>
      <c r="F587" t="s">
        <v>224</v>
      </c>
      <c r="G587" t="s">
        <v>12</v>
      </c>
      <c r="H587" t="s">
        <v>70</v>
      </c>
      <c r="I587" t="s">
        <v>1032</v>
      </c>
      <c r="J587" s="2">
        <v>338.35199999999998</v>
      </c>
      <c r="K587">
        <v>3</v>
      </c>
      <c r="L587" s="4"/>
    </row>
    <row r="588" spans="1:12" x14ac:dyDescent="0.3">
      <c r="A588" s="1">
        <v>41618</v>
      </c>
      <c r="B588" s="1">
        <v>41622</v>
      </c>
      <c r="C588" t="s">
        <v>7</v>
      </c>
      <c r="D588" t="s">
        <v>1030</v>
      </c>
      <c r="E588" t="s">
        <v>1031</v>
      </c>
      <c r="F588" t="s">
        <v>224</v>
      </c>
      <c r="G588" t="s">
        <v>4</v>
      </c>
      <c r="H588" t="s">
        <v>5</v>
      </c>
      <c r="I588" t="s">
        <v>583</v>
      </c>
      <c r="J588" s="2">
        <v>25.92</v>
      </c>
      <c r="K588">
        <v>4</v>
      </c>
      <c r="L588" s="4"/>
    </row>
    <row r="589" spans="1:12" x14ac:dyDescent="0.3">
      <c r="A589" s="1">
        <v>41618</v>
      </c>
      <c r="B589" s="1">
        <v>41622</v>
      </c>
      <c r="C589" t="s">
        <v>7</v>
      </c>
      <c r="D589" t="s">
        <v>1030</v>
      </c>
      <c r="E589" t="s">
        <v>1031</v>
      </c>
      <c r="F589" t="s">
        <v>224</v>
      </c>
      <c r="G589" t="s">
        <v>4</v>
      </c>
      <c r="H589" t="s">
        <v>5</v>
      </c>
      <c r="I589" t="s">
        <v>1033</v>
      </c>
      <c r="J589" s="2">
        <v>91.36</v>
      </c>
      <c r="K589">
        <v>4</v>
      </c>
      <c r="L589" s="4"/>
    </row>
    <row r="590" spans="1:12" x14ac:dyDescent="0.3">
      <c r="A590" s="1">
        <v>41620</v>
      </c>
      <c r="B590" s="1">
        <v>41622</v>
      </c>
      <c r="C590" t="s">
        <v>0</v>
      </c>
      <c r="D590" t="s">
        <v>1034</v>
      </c>
      <c r="E590" t="s">
        <v>1035</v>
      </c>
      <c r="F590" t="s">
        <v>3</v>
      </c>
      <c r="G590" t="s">
        <v>12</v>
      </c>
      <c r="H590" t="s">
        <v>44</v>
      </c>
      <c r="I590" t="s">
        <v>1036</v>
      </c>
      <c r="J590" s="2">
        <v>764.6880000000001</v>
      </c>
      <c r="K590">
        <v>6</v>
      </c>
      <c r="L590" s="4"/>
    </row>
    <row r="591" spans="1:12" x14ac:dyDescent="0.3">
      <c r="A591" s="1">
        <v>41620</v>
      </c>
      <c r="B591" s="1">
        <v>41622</v>
      </c>
      <c r="C591" t="s">
        <v>0</v>
      </c>
      <c r="D591" t="s">
        <v>1034</v>
      </c>
      <c r="E591" t="s">
        <v>1035</v>
      </c>
      <c r="F591" t="s">
        <v>3</v>
      </c>
      <c r="G591" t="s">
        <v>12</v>
      </c>
      <c r="H591" t="s">
        <v>44</v>
      </c>
      <c r="I591" t="s">
        <v>1037</v>
      </c>
      <c r="J591" s="2">
        <v>3610.848</v>
      </c>
      <c r="K591">
        <v>12</v>
      </c>
      <c r="L591" s="4"/>
    </row>
    <row r="592" spans="1:12" x14ac:dyDescent="0.3">
      <c r="A592" s="1">
        <v>41620</v>
      </c>
      <c r="B592" s="1">
        <v>41622</v>
      </c>
      <c r="C592" t="s">
        <v>0</v>
      </c>
      <c r="D592" t="s">
        <v>1034</v>
      </c>
      <c r="E592" t="s">
        <v>1035</v>
      </c>
      <c r="F592" t="s">
        <v>3</v>
      </c>
      <c r="G592" t="s">
        <v>12</v>
      </c>
      <c r="H592" t="s">
        <v>13</v>
      </c>
      <c r="I592" t="s">
        <v>1038</v>
      </c>
      <c r="J592" s="2">
        <v>254.97449999999998</v>
      </c>
      <c r="K592">
        <v>3</v>
      </c>
      <c r="L592" s="4"/>
    </row>
    <row r="593" spans="1:12" x14ac:dyDescent="0.3">
      <c r="A593" s="1">
        <v>41620</v>
      </c>
      <c r="B593" s="1">
        <v>41625</v>
      </c>
      <c r="C593" t="s">
        <v>7</v>
      </c>
      <c r="D593" t="s">
        <v>852</v>
      </c>
      <c r="E593" t="s">
        <v>853</v>
      </c>
      <c r="F593" t="s">
        <v>3</v>
      </c>
      <c r="G593" t="s">
        <v>12</v>
      </c>
      <c r="H593" t="s">
        <v>35</v>
      </c>
      <c r="I593" t="s">
        <v>1039</v>
      </c>
      <c r="J593" s="2">
        <v>43.31</v>
      </c>
      <c r="K593">
        <v>1</v>
      </c>
      <c r="L593" s="4"/>
    </row>
    <row r="594" spans="1:12" x14ac:dyDescent="0.3">
      <c r="A594" s="1">
        <v>41620</v>
      </c>
      <c r="B594" s="1">
        <v>41623</v>
      </c>
      <c r="C594" t="s">
        <v>0</v>
      </c>
      <c r="D594" t="s">
        <v>1040</v>
      </c>
      <c r="E594" t="s">
        <v>1041</v>
      </c>
      <c r="F594" t="s">
        <v>3</v>
      </c>
      <c r="G594" t="s">
        <v>12</v>
      </c>
      <c r="H594" t="s">
        <v>35</v>
      </c>
      <c r="I594" t="s">
        <v>1042</v>
      </c>
      <c r="J594" s="2">
        <v>12.54</v>
      </c>
      <c r="K594">
        <v>3</v>
      </c>
      <c r="L594" s="4"/>
    </row>
    <row r="595" spans="1:12" x14ac:dyDescent="0.3">
      <c r="A595" s="1">
        <v>41620</v>
      </c>
      <c r="B595" s="1">
        <v>41623</v>
      </c>
      <c r="C595" t="s">
        <v>0</v>
      </c>
      <c r="D595" t="s">
        <v>1040</v>
      </c>
      <c r="E595" t="s">
        <v>1041</v>
      </c>
      <c r="F595" t="s">
        <v>3</v>
      </c>
      <c r="G595" t="s">
        <v>4</v>
      </c>
      <c r="H595" t="s">
        <v>10</v>
      </c>
      <c r="I595" t="s">
        <v>1043</v>
      </c>
      <c r="J595" s="2">
        <v>8.94</v>
      </c>
      <c r="K595">
        <v>3</v>
      </c>
      <c r="L595" s="4"/>
    </row>
    <row r="596" spans="1:12" x14ac:dyDescent="0.3">
      <c r="A596" s="1">
        <v>41620</v>
      </c>
      <c r="B596" s="1">
        <v>41623</v>
      </c>
      <c r="C596" t="s">
        <v>0</v>
      </c>
      <c r="D596" t="s">
        <v>1040</v>
      </c>
      <c r="E596" t="s">
        <v>1041</v>
      </c>
      <c r="F596" t="s">
        <v>3</v>
      </c>
      <c r="G596" t="s">
        <v>12</v>
      </c>
      <c r="H596" t="s">
        <v>35</v>
      </c>
      <c r="I596" t="s">
        <v>721</v>
      </c>
      <c r="J596" s="2">
        <v>9.24</v>
      </c>
      <c r="K596">
        <v>3</v>
      </c>
      <c r="L596" s="4"/>
    </row>
    <row r="597" spans="1:12" x14ac:dyDescent="0.3">
      <c r="A597" s="1">
        <v>41621</v>
      </c>
      <c r="B597" s="1">
        <v>41623</v>
      </c>
      <c r="C597" t="s">
        <v>0</v>
      </c>
      <c r="D597" t="s">
        <v>1044</v>
      </c>
      <c r="E597" t="s">
        <v>1045</v>
      </c>
      <c r="F597" t="s">
        <v>3</v>
      </c>
      <c r="G597" t="s">
        <v>4</v>
      </c>
      <c r="H597" t="s">
        <v>5</v>
      </c>
      <c r="I597" t="s">
        <v>1046</v>
      </c>
      <c r="J597" s="2">
        <v>90.24</v>
      </c>
      <c r="K597">
        <v>6</v>
      </c>
      <c r="L597" s="4"/>
    </row>
    <row r="598" spans="1:12" x14ac:dyDescent="0.3">
      <c r="A598" s="1">
        <v>41621</v>
      </c>
      <c r="B598" s="1">
        <v>41625</v>
      </c>
      <c r="C598" t="s">
        <v>7</v>
      </c>
      <c r="D598" t="s">
        <v>1047</v>
      </c>
      <c r="E598" t="s">
        <v>1048</v>
      </c>
      <c r="F598" t="s">
        <v>25</v>
      </c>
      <c r="G598" t="s">
        <v>12</v>
      </c>
      <c r="H598" t="s">
        <v>35</v>
      </c>
      <c r="I598" t="s">
        <v>1049</v>
      </c>
      <c r="J598" s="2">
        <v>87.960000000000008</v>
      </c>
      <c r="K598">
        <v>3</v>
      </c>
      <c r="L598" s="4"/>
    </row>
    <row r="599" spans="1:12" x14ac:dyDescent="0.3">
      <c r="A599" s="1">
        <v>41621</v>
      </c>
      <c r="B599" s="1">
        <v>41625</v>
      </c>
      <c r="C599" t="s">
        <v>7</v>
      </c>
      <c r="D599" t="s">
        <v>1047</v>
      </c>
      <c r="E599" t="s">
        <v>1048</v>
      </c>
      <c r="F599" t="s">
        <v>25</v>
      </c>
      <c r="G599" t="s">
        <v>4</v>
      </c>
      <c r="H599" t="s">
        <v>26</v>
      </c>
      <c r="I599" t="s">
        <v>1050</v>
      </c>
      <c r="J599" s="2">
        <v>5.2140000000000004</v>
      </c>
      <c r="K599">
        <v>2</v>
      </c>
      <c r="L599" s="4"/>
    </row>
    <row r="600" spans="1:12" x14ac:dyDescent="0.3">
      <c r="A600" s="1">
        <v>41623</v>
      </c>
      <c r="B600" s="1">
        <v>41627</v>
      </c>
      <c r="C600" t="s">
        <v>0</v>
      </c>
      <c r="D600" t="s">
        <v>1051</v>
      </c>
      <c r="E600" t="s">
        <v>1052</v>
      </c>
      <c r="F600" t="s">
        <v>3</v>
      </c>
      <c r="G600" t="s">
        <v>12</v>
      </c>
      <c r="H600" t="s">
        <v>35</v>
      </c>
      <c r="I600" t="s">
        <v>1053</v>
      </c>
      <c r="J600" s="2">
        <v>6.16</v>
      </c>
      <c r="K600">
        <v>2</v>
      </c>
      <c r="L600" s="4"/>
    </row>
    <row r="601" spans="1:12" x14ac:dyDescent="0.3">
      <c r="A601" s="1">
        <v>41624</v>
      </c>
      <c r="B601" s="1">
        <v>41625</v>
      </c>
      <c r="C601" t="s">
        <v>22</v>
      </c>
      <c r="D601" t="s">
        <v>1054</v>
      </c>
      <c r="E601" t="s">
        <v>1055</v>
      </c>
      <c r="F601" t="s">
        <v>3</v>
      </c>
      <c r="G601" t="s">
        <v>12</v>
      </c>
      <c r="H601" t="s">
        <v>35</v>
      </c>
      <c r="I601" t="s">
        <v>1056</v>
      </c>
      <c r="J601" s="2">
        <v>44.46</v>
      </c>
      <c r="K601">
        <v>2</v>
      </c>
      <c r="L601" s="4"/>
    </row>
    <row r="602" spans="1:12" x14ac:dyDescent="0.3">
      <c r="A602" s="1">
        <v>41624</v>
      </c>
      <c r="B602" s="1">
        <v>41625</v>
      </c>
      <c r="C602" t="s">
        <v>22</v>
      </c>
      <c r="D602" t="s">
        <v>1054</v>
      </c>
      <c r="E602" t="s">
        <v>1055</v>
      </c>
      <c r="F602" t="s">
        <v>3</v>
      </c>
      <c r="G602" t="s">
        <v>12</v>
      </c>
      <c r="H602" t="s">
        <v>70</v>
      </c>
      <c r="I602" t="s">
        <v>712</v>
      </c>
      <c r="J602" s="2">
        <v>241.56799999999998</v>
      </c>
      <c r="K602">
        <v>2</v>
      </c>
      <c r="L602" s="4"/>
    </row>
    <row r="603" spans="1:12" x14ac:dyDescent="0.3">
      <c r="A603" s="1">
        <v>41624</v>
      </c>
      <c r="B603" s="1">
        <v>41625</v>
      </c>
      <c r="C603" t="s">
        <v>22</v>
      </c>
      <c r="D603" t="s">
        <v>1054</v>
      </c>
      <c r="E603" t="s">
        <v>1055</v>
      </c>
      <c r="F603" t="s">
        <v>3</v>
      </c>
      <c r="G603" t="s">
        <v>74</v>
      </c>
      <c r="H603" t="s">
        <v>75</v>
      </c>
      <c r="I603" t="s">
        <v>1057</v>
      </c>
      <c r="J603" s="2">
        <v>395</v>
      </c>
      <c r="K603">
        <v>5</v>
      </c>
      <c r="L603" s="4"/>
    </row>
    <row r="604" spans="1:12" x14ac:dyDescent="0.3">
      <c r="A604" s="1">
        <v>41624</v>
      </c>
      <c r="B604" s="1">
        <v>41625</v>
      </c>
      <c r="C604" t="s">
        <v>22</v>
      </c>
      <c r="D604" t="s">
        <v>1054</v>
      </c>
      <c r="E604" t="s">
        <v>1055</v>
      </c>
      <c r="F604" t="s">
        <v>3</v>
      </c>
      <c r="G604" t="s">
        <v>74</v>
      </c>
      <c r="H604" t="s">
        <v>147</v>
      </c>
      <c r="I604" t="s">
        <v>1058</v>
      </c>
      <c r="J604" s="2">
        <v>627.16800000000012</v>
      </c>
      <c r="K604">
        <v>4</v>
      </c>
      <c r="L604" s="4"/>
    </row>
    <row r="605" spans="1:12" x14ac:dyDescent="0.3">
      <c r="A605" s="1">
        <v>41624</v>
      </c>
      <c r="B605" s="1">
        <v>41629</v>
      </c>
      <c r="C605" t="s">
        <v>7</v>
      </c>
      <c r="D605" t="s">
        <v>1059</v>
      </c>
      <c r="E605" t="s">
        <v>1060</v>
      </c>
      <c r="F605" t="s">
        <v>3</v>
      </c>
      <c r="G605" t="s">
        <v>12</v>
      </c>
      <c r="H605" t="s">
        <v>70</v>
      </c>
      <c r="I605" t="s">
        <v>1061</v>
      </c>
      <c r="J605" s="2">
        <v>1403.9200000000003</v>
      </c>
      <c r="K605">
        <v>5</v>
      </c>
      <c r="L605" s="4"/>
    </row>
    <row r="606" spans="1:12" x14ac:dyDescent="0.3">
      <c r="A606" s="1">
        <v>41627</v>
      </c>
      <c r="B606" s="1">
        <v>41629</v>
      </c>
      <c r="C606" t="s">
        <v>22</v>
      </c>
      <c r="D606" t="s">
        <v>1062</v>
      </c>
      <c r="E606" t="s">
        <v>1063</v>
      </c>
      <c r="F606" t="s">
        <v>3</v>
      </c>
      <c r="G606" t="s">
        <v>4</v>
      </c>
      <c r="H606" t="s">
        <v>168</v>
      </c>
      <c r="I606" t="s">
        <v>614</v>
      </c>
      <c r="J606" s="2">
        <v>14.62</v>
      </c>
      <c r="K606">
        <v>2</v>
      </c>
      <c r="L606" s="4"/>
    </row>
    <row r="607" spans="1:12" x14ac:dyDescent="0.3">
      <c r="A607" s="1">
        <v>41627</v>
      </c>
      <c r="B607" s="1">
        <v>41629</v>
      </c>
      <c r="C607" t="s">
        <v>22</v>
      </c>
      <c r="D607" t="s">
        <v>1062</v>
      </c>
      <c r="E607" t="s">
        <v>1063</v>
      </c>
      <c r="F607" t="s">
        <v>3</v>
      </c>
      <c r="G607" t="s">
        <v>4</v>
      </c>
      <c r="H607" t="s">
        <v>52</v>
      </c>
      <c r="I607" t="s">
        <v>1064</v>
      </c>
      <c r="J607" s="2">
        <v>22.549999999999997</v>
      </c>
      <c r="K607">
        <v>5</v>
      </c>
      <c r="L607" s="4"/>
    </row>
    <row r="608" spans="1:12" x14ac:dyDescent="0.3">
      <c r="A608" s="1">
        <v>41627</v>
      </c>
      <c r="B608" s="1">
        <v>41629</v>
      </c>
      <c r="C608" t="s">
        <v>22</v>
      </c>
      <c r="D608" t="s">
        <v>1062</v>
      </c>
      <c r="E608" t="s">
        <v>1063</v>
      </c>
      <c r="F608" t="s">
        <v>3</v>
      </c>
      <c r="G608" t="s">
        <v>74</v>
      </c>
      <c r="H608" t="s">
        <v>147</v>
      </c>
      <c r="I608" t="s">
        <v>1065</v>
      </c>
      <c r="J608" s="2">
        <v>583.79999999999995</v>
      </c>
      <c r="K608">
        <v>5</v>
      </c>
      <c r="L608" s="4"/>
    </row>
    <row r="609" spans="1:12" x14ac:dyDescent="0.3">
      <c r="A609" s="1">
        <v>41627</v>
      </c>
      <c r="B609" s="1">
        <v>41629</v>
      </c>
      <c r="C609" t="s">
        <v>22</v>
      </c>
      <c r="D609" t="s">
        <v>1062</v>
      </c>
      <c r="E609" t="s">
        <v>1063</v>
      </c>
      <c r="F609" t="s">
        <v>3</v>
      </c>
      <c r="G609" t="s">
        <v>74</v>
      </c>
      <c r="H609" t="s">
        <v>147</v>
      </c>
      <c r="I609" t="s">
        <v>1066</v>
      </c>
      <c r="J609" s="2">
        <v>211.16800000000001</v>
      </c>
      <c r="K609">
        <v>4</v>
      </c>
      <c r="L609" s="4"/>
    </row>
    <row r="610" spans="1:12" x14ac:dyDescent="0.3">
      <c r="A610" s="1">
        <v>41628</v>
      </c>
      <c r="B610" s="1">
        <v>41633</v>
      </c>
      <c r="C610" t="s">
        <v>7</v>
      </c>
      <c r="D610" t="s">
        <v>749</v>
      </c>
      <c r="E610" t="s">
        <v>750</v>
      </c>
      <c r="F610" t="s">
        <v>56</v>
      </c>
      <c r="G610" t="s">
        <v>4</v>
      </c>
      <c r="H610" t="s">
        <v>168</v>
      </c>
      <c r="I610" t="s">
        <v>971</v>
      </c>
      <c r="J610" s="2">
        <v>31.049999999999997</v>
      </c>
      <c r="K610">
        <v>3</v>
      </c>
      <c r="L610" s="4"/>
    </row>
    <row r="611" spans="1:12" x14ac:dyDescent="0.3">
      <c r="A611" s="1">
        <v>41628</v>
      </c>
      <c r="B611" s="1">
        <v>41631</v>
      </c>
      <c r="C611" t="s">
        <v>0</v>
      </c>
      <c r="D611" t="s">
        <v>1067</v>
      </c>
      <c r="E611" t="s">
        <v>1068</v>
      </c>
      <c r="F611" t="s">
        <v>3</v>
      </c>
      <c r="G611" t="s">
        <v>4</v>
      </c>
      <c r="H611" t="s">
        <v>26</v>
      </c>
      <c r="I611" t="s">
        <v>1069</v>
      </c>
      <c r="J611" s="2">
        <v>487.98400000000004</v>
      </c>
      <c r="K611">
        <v>2</v>
      </c>
      <c r="L611" s="4"/>
    </row>
    <row r="612" spans="1:12" x14ac:dyDescent="0.3">
      <c r="A612" s="1">
        <v>41628</v>
      </c>
      <c r="B612" s="1">
        <v>41631</v>
      </c>
      <c r="C612" t="s">
        <v>0</v>
      </c>
      <c r="D612" t="s">
        <v>1067</v>
      </c>
      <c r="E612" t="s">
        <v>1068</v>
      </c>
      <c r="F612" t="s">
        <v>3</v>
      </c>
      <c r="G612" t="s">
        <v>4</v>
      </c>
      <c r="H612" t="s">
        <v>15</v>
      </c>
      <c r="I612" t="s">
        <v>210</v>
      </c>
      <c r="J612" s="2">
        <v>47.3</v>
      </c>
      <c r="K612">
        <v>2</v>
      </c>
      <c r="L612" s="4"/>
    </row>
    <row r="613" spans="1:12" x14ac:dyDescent="0.3">
      <c r="A613" s="1">
        <v>41628</v>
      </c>
      <c r="B613" s="1">
        <v>41631</v>
      </c>
      <c r="C613" t="s">
        <v>0</v>
      </c>
      <c r="D613" t="s">
        <v>1067</v>
      </c>
      <c r="E613" t="s">
        <v>1068</v>
      </c>
      <c r="F613" t="s">
        <v>3</v>
      </c>
      <c r="G613" t="s">
        <v>4</v>
      </c>
      <c r="H613" t="s">
        <v>15</v>
      </c>
      <c r="I613" t="s">
        <v>1070</v>
      </c>
      <c r="J613" s="2">
        <v>4.13</v>
      </c>
      <c r="K613">
        <v>1</v>
      </c>
      <c r="L613" s="4"/>
    </row>
    <row r="614" spans="1:12" x14ac:dyDescent="0.3">
      <c r="A614" s="1">
        <v>41628</v>
      </c>
      <c r="B614" s="1">
        <v>41631</v>
      </c>
      <c r="C614" t="s">
        <v>0</v>
      </c>
      <c r="D614" t="s">
        <v>1067</v>
      </c>
      <c r="E614" t="s">
        <v>1068</v>
      </c>
      <c r="F614" t="s">
        <v>3</v>
      </c>
      <c r="G614" t="s">
        <v>4</v>
      </c>
      <c r="H614" t="s">
        <v>26</v>
      </c>
      <c r="I614" t="s">
        <v>131</v>
      </c>
      <c r="J614" s="2">
        <v>155.12</v>
      </c>
      <c r="K614">
        <v>5</v>
      </c>
      <c r="L614" s="4"/>
    </row>
    <row r="615" spans="1:12" x14ac:dyDescent="0.3">
      <c r="A615" s="1">
        <v>41628</v>
      </c>
      <c r="B615" s="1">
        <v>41628</v>
      </c>
      <c r="C615" t="s">
        <v>240</v>
      </c>
      <c r="D615" t="s">
        <v>1071</v>
      </c>
      <c r="E615" t="s">
        <v>1072</v>
      </c>
      <c r="F615" t="s">
        <v>115</v>
      </c>
      <c r="G615" t="s">
        <v>74</v>
      </c>
      <c r="H615" t="s">
        <v>75</v>
      </c>
      <c r="I615" t="s">
        <v>1073</v>
      </c>
      <c r="J615" s="2">
        <v>447.94399999999996</v>
      </c>
      <c r="K615">
        <v>7</v>
      </c>
      <c r="L615" s="4"/>
    </row>
    <row r="616" spans="1:12" x14ac:dyDescent="0.3">
      <c r="A616" s="1">
        <v>41628</v>
      </c>
      <c r="B616" s="1">
        <v>41630</v>
      </c>
      <c r="C616" t="s">
        <v>22</v>
      </c>
      <c r="D616" t="s">
        <v>1074</v>
      </c>
      <c r="E616" t="s">
        <v>1075</v>
      </c>
      <c r="F616" t="s">
        <v>25</v>
      </c>
      <c r="G616" t="s">
        <v>12</v>
      </c>
      <c r="H616" t="s">
        <v>35</v>
      </c>
      <c r="I616" t="s">
        <v>1076</v>
      </c>
      <c r="J616" s="2">
        <v>51.967999999999996</v>
      </c>
      <c r="K616">
        <v>2</v>
      </c>
      <c r="L616" s="4"/>
    </row>
    <row r="617" spans="1:12" x14ac:dyDescent="0.3">
      <c r="A617" s="1">
        <v>41628</v>
      </c>
      <c r="B617" s="1">
        <v>41630</v>
      </c>
      <c r="C617" t="s">
        <v>22</v>
      </c>
      <c r="D617" t="s">
        <v>1074</v>
      </c>
      <c r="E617" t="s">
        <v>1075</v>
      </c>
      <c r="F617" t="s">
        <v>25</v>
      </c>
      <c r="G617" t="s">
        <v>74</v>
      </c>
      <c r="H617" t="s">
        <v>75</v>
      </c>
      <c r="I617" t="s">
        <v>1077</v>
      </c>
      <c r="J617" s="2">
        <v>71.975999999999999</v>
      </c>
      <c r="K617">
        <v>3</v>
      </c>
      <c r="L617" s="4"/>
    </row>
    <row r="618" spans="1:12" x14ac:dyDescent="0.3">
      <c r="A618" s="1">
        <v>41628</v>
      </c>
      <c r="B618" s="1">
        <v>41630</v>
      </c>
      <c r="C618" t="s">
        <v>22</v>
      </c>
      <c r="D618" t="s">
        <v>1074</v>
      </c>
      <c r="E618" t="s">
        <v>1075</v>
      </c>
      <c r="F618" t="s">
        <v>25</v>
      </c>
      <c r="G618" t="s">
        <v>12</v>
      </c>
      <c r="H618" t="s">
        <v>70</v>
      </c>
      <c r="I618" t="s">
        <v>1078</v>
      </c>
      <c r="J618" s="2">
        <v>242.35200000000003</v>
      </c>
      <c r="K618">
        <v>3</v>
      </c>
      <c r="L618" s="4"/>
    </row>
    <row r="619" spans="1:12" x14ac:dyDescent="0.3">
      <c r="A619" s="1">
        <v>41628</v>
      </c>
      <c r="B619" s="1">
        <v>41630</v>
      </c>
      <c r="C619" t="s">
        <v>22</v>
      </c>
      <c r="D619" t="s">
        <v>1074</v>
      </c>
      <c r="E619" t="s">
        <v>1075</v>
      </c>
      <c r="F619" t="s">
        <v>25</v>
      </c>
      <c r="G619" t="s">
        <v>4</v>
      </c>
      <c r="H619" t="s">
        <v>5</v>
      </c>
      <c r="I619" t="s">
        <v>930</v>
      </c>
      <c r="J619" s="2">
        <v>221.92000000000002</v>
      </c>
      <c r="K619">
        <v>5</v>
      </c>
      <c r="L619" s="4"/>
    </row>
    <row r="620" spans="1:12" x14ac:dyDescent="0.3">
      <c r="A620" s="1">
        <v>41628</v>
      </c>
      <c r="B620" s="1">
        <v>41630</v>
      </c>
      <c r="C620" t="s">
        <v>22</v>
      </c>
      <c r="D620" t="s">
        <v>1074</v>
      </c>
      <c r="E620" t="s">
        <v>1075</v>
      </c>
      <c r="F620" t="s">
        <v>25</v>
      </c>
      <c r="G620" t="s">
        <v>4</v>
      </c>
      <c r="H620" t="s">
        <v>5</v>
      </c>
      <c r="I620" t="s">
        <v>1079</v>
      </c>
      <c r="J620" s="2">
        <v>8.4480000000000004</v>
      </c>
      <c r="K620">
        <v>2</v>
      </c>
      <c r="L620" s="4"/>
    </row>
    <row r="621" spans="1:12" x14ac:dyDescent="0.3">
      <c r="A621" s="1">
        <v>41629</v>
      </c>
      <c r="B621" s="1">
        <v>41635</v>
      </c>
      <c r="C621" t="s">
        <v>7</v>
      </c>
      <c r="D621" t="s">
        <v>1080</v>
      </c>
      <c r="E621" t="s">
        <v>1081</v>
      </c>
      <c r="F621" t="s">
        <v>3</v>
      </c>
      <c r="G621" t="s">
        <v>12</v>
      </c>
      <c r="H621" t="s">
        <v>70</v>
      </c>
      <c r="I621" t="s">
        <v>1082</v>
      </c>
      <c r="J621" s="2">
        <v>1325.76</v>
      </c>
      <c r="K621">
        <v>6</v>
      </c>
      <c r="L621" s="4"/>
    </row>
    <row r="622" spans="1:12" x14ac:dyDescent="0.3">
      <c r="A622" s="1">
        <v>41629</v>
      </c>
      <c r="B622" s="1">
        <v>41635</v>
      </c>
      <c r="C622" t="s">
        <v>7</v>
      </c>
      <c r="D622" t="s">
        <v>1080</v>
      </c>
      <c r="E622" t="s">
        <v>1081</v>
      </c>
      <c r="F622" t="s">
        <v>3</v>
      </c>
      <c r="G622" t="s">
        <v>12</v>
      </c>
      <c r="H622" t="s">
        <v>70</v>
      </c>
      <c r="I622" t="s">
        <v>943</v>
      </c>
      <c r="J622" s="2">
        <v>572.16000000000008</v>
      </c>
      <c r="K622">
        <v>3</v>
      </c>
      <c r="L622" s="4"/>
    </row>
    <row r="623" spans="1:12" x14ac:dyDescent="0.3">
      <c r="A623" s="1">
        <v>41630</v>
      </c>
      <c r="B623" s="1">
        <v>41634</v>
      </c>
      <c r="C623" t="s">
        <v>7</v>
      </c>
      <c r="D623" t="s">
        <v>1083</v>
      </c>
      <c r="E623" t="s">
        <v>1084</v>
      </c>
      <c r="F623" t="s">
        <v>3</v>
      </c>
      <c r="G623" t="s">
        <v>4</v>
      </c>
      <c r="H623" t="s">
        <v>15</v>
      </c>
      <c r="I623" t="s">
        <v>1085</v>
      </c>
      <c r="J623" s="2">
        <v>11.76</v>
      </c>
      <c r="K623">
        <v>4</v>
      </c>
      <c r="L623" s="4"/>
    </row>
    <row r="624" spans="1:12" x14ac:dyDescent="0.3">
      <c r="A624" s="1">
        <v>41632</v>
      </c>
      <c r="B624" s="1">
        <v>41637</v>
      </c>
      <c r="C624" t="s">
        <v>7</v>
      </c>
      <c r="D624" t="s">
        <v>1086</v>
      </c>
      <c r="E624" t="s">
        <v>1087</v>
      </c>
      <c r="F624" t="s">
        <v>3</v>
      </c>
      <c r="G624" t="s">
        <v>4</v>
      </c>
      <c r="H624" t="s">
        <v>10</v>
      </c>
      <c r="I624" t="s">
        <v>1088</v>
      </c>
      <c r="J624" s="2">
        <v>142.86000000000001</v>
      </c>
      <c r="K624">
        <v>1</v>
      </c>
      <c r="L624" s="4"/>
    </row>
    <row r="625" spans="1:12" x14ac:dyDescent="0.3">
      <c r="A625" s="1">
        <v>41632</v>
      </c>
      <c r="B625" s="1">
        <v>41637</v>
      </c>
      <c r="C625" t="s">
        <v>7</v>
      </c>
      <c r="D625" t="s">
        <v>1086</v>
      </c>
      <c r="E625" t="s">
        <v>1087</v>
      </c>
      <c r="F625" t="s">
        <v>3</v>
      </c>
      <c r="G625" t="s">
        <v>12</v>
      </c>
      <c r="H625" t="s">
        <v>70</v>
      </c>
      <c r="I625" t="s">
        <v>1089</v>
      </c>
      <c r="J625" s="2">
        <v>292.27200000000005</v>
      </c>
      <c r="K625">
        <v>6</v>
      </c>
      <c r="L625" s="4"/>
    </row>
    <row r="626" spans="1:12" x14ac:dyDescent="0.3">
      <c r="A626" s="1">
        <v>41632</v>
      </c>
      <c r="B626" s="1">
        <v>41637</v>
      </c>
      <c r="C626" t="s">
        <v>7</v>
      </c>
      <c r="D626" t="s">
        <v>428</v>
      </c>
      <c r="E626" t="s">
        <v>429</v>
      </c>
      <c r="F626" t="s">
        <v>3</v>
      </c>
      <c r="G626" t="s">
        <v>74</v>
      </c>
      <c r="H626" t="s">
        <v>147</v>
      </c>
      <c r="I626" t="s">
        <v>1090</v>
      </c>
      <c r="J626" s="2">
        <v>173.65600000000003</v>
      </c>
      <c r="K626">
        <v>7</v>
      </c>
      <c r="L626" s="4"/>
    </row>
    <row r="627" spans="1:12" x14ac:dyDescent="0.3">
      <c r="A627" s="1">
        <v>41632</v>
      </c>
      <c r="B627" s="1">
        <v>41637</v>
      </c>
      <c r="C627" t="s">
        <v>7</v>
      </c>
      <c r="D627" t="s">
        <v>428</v>
      </c>
      <c r="E627" t="s">
        <v>429</v>
      </c>
      <c r="F627" t="s">
        <v>3</v>
      </c>
      <c r="G627" t="s">
        <v>4</v>
      </c>
      <c r="H627" t="s">
        <v>20</v>
      </c>
      <c r="I627" t="s">
        <v>1091</v>
      </c>
      <c r="J627" s="2">
        <v>361.96</v>
      </c>
      <c r="K627">
        <v>2</v>
      </c>
      <c r="L627" s="4"/>
    </row>
    <row r="628" spans="1:12" x14ac:dyDescent="0.3">
      <c r="A628" s="1">
        <v>41632</v>
      </c>
      <c r="B628" s="1">
        <v>41637</v>
      </c>
      <c r="C628" t="s">
        <v>7</v>
      </c>
      <c r="D628" t="s">
        <v>428</v>
      </c>
      <c r="E628" t="s">
        <v>429</v>
      </c>
      <c r="F628" t="s">
        <v>3</v>
      </c>
      <c r="G628" t="s">
        <v>74</v>
      </c>
      <c r="H628" t="s">
        <v>75</v>
      </c>
      <c r="I628" t="s">
        <v>1092</v>
      </c>
      <c r="J628" s="2">
        <v>62.849999999999994</v>
      </c>
      <c r="K628">
        <v>3</v>
      </c>
      <c r="L628" s="4"/>
    </row>
    <row r="629" spans="1:12" x14ac:dyDescent="0.3">
      <c r="A629" s="1">
        <v>41632</v>
      </c>
      <c r="B629" s="1">
        <v>41637</v>
      </c>
      <c r="C629" t="s">
        <v>7</v>
      </c>
      <c r="D629" t="s">
        <v>428</v>
      </c>
      <c r="E629" t="s">
        <v>429</v>
      </c>
      <c r="F629" t="s">
        <v>3</v>
      </c>
      <c r="G629" t="s">
        <v>74</v>
      </c>
      <c r="H629" t="s">
        <v>147</v>
      </c>
      <c r="I629" t="s">
        <v>550</v>
      </c>
      <c r="J629" s="2">
        <v>818.37600000000009</v>
      </c>
      <c r="K629">
        <v>3</v>
      </c>
      <c r="L629" s="4"/>
    </row>
    <row r="630" spans="1:12" x14ac:dyDescent="0.3">
      <c r="A630" s="1">
        <v>41632</v>
      </c>
      <c r="B630" s="1">
        <v>41637</v>
      </c>
      <c r="C630" t="s">
        <v>7</v>
      </c>
      <c r="D630" t="s">
        <v>428</v>
      </c>
      <c r="E630" t="s">
        <v>429</v>
      </c>
      <c r="F630" t="s">
        <v>3</v>
      </c>
      <c r="G630" t="s">
        <v>4</v>
      </c>
      <c r="H630" t="s">
        <v>10</v>
      </c>
      <c r="I630" t="s">
        <v>693</v>
      </c>
      <c r="J630" s="2">
        <v>20.34</v>
      </c>
      <c r="K630">
        <v>1</v>
      </c>
      <c r="L630" s="4"/>
    </row>
    <row r="631" spans="1:12" x14ac:dyDescent="0.3">
      <c r="A631" s="1">
        <v>41632</v>
      </c>
      <c r="B631" s="1">
        <v>41637</v>
      </c>
      <c r="C631" t="s">
        <v>7</v>
      </c>
      <c r="D631" t="s">
        <v>428</v>
      </c>
      <c r="E631" t="s">
        <v>429</v>
      </c>
      <c r="F631" t="s">
        <v>3</v>
      </c>
      <c r="G631" t="s">
        <v>12</v>
      </c>
      <c r="H631" t="s">
        <v>35</v>
      </c>
      <c r="I631" t="s">
        <v>1093</v>
      </c>
      <c r="J631" s="2">
        <v>23.99</v>
      </c>
      <c r="K631">
        <v>1</v>
      </c>
      <c r="L631" s="4"/>
    </row>
    <row r="632" spans="1:12" x14ac:dyDescent="0.3">
      <c r="A632" s="1">
        <v>41632</v>
      </c>
      <c r="B632" s="1">
        <v>41634</v>
      </c>
      <c r="C632" t="s">
        <v>22</v>
      </c>
      <c r="D632" t="s">
        <v>1094</v>
      </c>
      <c r="E632" t="s">
        <v>1095</v>
      </c>
      <c r="F632" t="s">
        <v>3</v>
      </c>
      <c r="G632" t="s">
        <v>4</v>
      </c>
      <c r="H632" t="s">
        <v>20</v>
      </c>
      <c r="I632" t="s">
        <v>1096</v>
      </c>
      <c r="J632" s="2">
        <v>13.97</v>
      </c>
      <c r="K632">
        <v>1</v>
      </c>
      <c r="L632" s="4"/>
    </row>
    <row r="633" spans="1:12" x14ac:dyDescent="0.3">
      <c r="A633" s="1">
        <v>41634</v>
      </c>
      <c r="B633" s="1">
        <v>41636</v>
      </c>
      <c r="C633" t="s">
        <v>22</v>
      </c>
      <c r="D633" t="s">
        <v>1097</v>
      </c>
      <c r="E633" t="s">
        <v>1098</v>
      </c>
      <c r="F633" t="s">
        <v>115</v>
      </c>
      <c r="G633" t="s">
        <v>12</v>
      </c>
      <c r="H633" t="s">
        <v>35</v>
      </c>
      <c r="I633" t="s">
        <v>244</v>
      </c>
      <c r="J633" s="2">
        <v>300.416</v>
      </c>
      <c r="K633">
        <v>8</v>
      </c>
      <c r="L633" s="4"/>
    </row>
    <row r="634" spans="1:12" x14ac:dyDescent="0.3">
      <c r="A634" s="1">
        <v>41634</v>
      </c>
      <c r="B634" s="1">
        <v>41636</v>
      </c>
      <c r="C634" t="s">
        <v>22</v>
      </c>
      <c r="D634" t="s">
        <v>1097</v>
      </c>
      <c r="E634" t="s">
        <v>1098</v>
      </c>
      <c r="F634" t="s">
        <v>115</v>
      </c>
      <c r="G634" t="s">
        <v>12</v>
      </c>
      <c r="H634" t="s">
        <v>70</v>
      </c>
      <c r="I634" t="s">
        <v>1099</v>
      </c>
      <c r="J634" s="2">
        <v>230.35200000000003</v>
      </c>
      <c r="K634">
        <v>3</v>
      </c>
      <c r="L634" s="4"/>
    </row>
    <row r="635" spans="1:12" x14ac:dyDescent="0.3">
      <c r="A635" s="1">
        <v>41634</v>
      </c>
      <c r="B635" s="1">
        <v>41636</v>
      </c>
      <c r="C635" t="s">
        <v>22</v>
      </c>
      <c r="D635" t="s">
        <v>1097</v>
      </c>
      <c r="E635" t="s">
        <v>1098</v>
      </c>
      <c r="F635" t="s">
        <v>115</v>
      </c>
      <c r="G635" t="s">
        <v>12</v>
      </c>
      <c r="H635" t="s">
        <v>35</v>
      </c>
      <c r="I635" t="s">
        <v>1100</v>
      </c>
      <c r="J635" s="2">
        <v>218.35200000000003</v>
      </c>
      <c r="K635">
        <v>3</v>
      </c>
      <c r="L635" s="4"/>
    </row>
    <row r="636" spans="1:12" x14ac:dyDescent="0.3">
      <c r="A636" s="1">
        <v>41634</v>
      </c>
      <c r="B636" s="1">
        <v>41636</v>
      </c>
      <c r="C636" t="s">
        <v>22</v>
      </c>
      <c r="D636" t="s">
        <v>1097</v>
      </c>
      <c r="E636" t="s">
        <v>1098</v>
      </c>
      <c r="F636" t="s">
        <v>115</v>
      </c>
      <c r="G636" t="s">
        <v>4</v>
      </c>
      <c r="H636" t="s">
        <v>26</v>
      </c>
      <c r="I636" t="s">
        <v>57</v>
      </c>
      <c r="J636" s="2">
        <v>78.600000000000009</v>
      </c>
      <c r="K636">
        <v>5</v>
      </c>
      <c r="L636" s="4"/>
    </row>
    <row r="637" spans="1:12" x14ac:dyDescent="0.3">
      <c r="A637" s="1">
        <v>41634</v>
      </c>
      <c r="B637" s="1">
        <v>41636</v>
      </c>
      <c r="C637" t="s">
        <v>22</v>
      </c>
      <c r="D637" t="s">
        <v>1097</v>
      </c>
      <c r="E637" t="s">
        <v>1098</v>
      </c>
      <c r="F637" t="s">
        <v>115</v>
      </c>
      <c r="G637" t="s">
        <v>4</v>
      </c>
      <c r="H637" t="s">
        <v>52</v>
      </c>
      <c r="I637" t="s">
        <v>562</v>
      </c>
      <c r="J637" s="2">
        <v>27.552000000000003</v>
      </c>
      <c r="K637">
        <v>3</v>
      </c>
      <c r="L637" s="4"/>
    </row>
    <row r="638" spans="1:12" x14ac:dyDescent="0.3">
      <c r="A638" s="1">
        <v>41634</v>
      </c>
      <c r="B638" s="1">
        <v>41638</v>
      </c>
      <c r="C638" t="s">
        <v>7</v>
      </c>
      <c r="D638" t="s">
        <v>1101</v>
      </c>
      <c r="E638" t="s">
        <v>1102</v>
      </c>
      <c r="F638" t="s">
        <v>3</v>
      </c>
      <c r="G638" t="s">
        <v>4</v>
      </c>
      <c r="H638" t="s">
        <v>78</v>
      </c>
      <c r="I638" t="s">
        <v>1103</v>
      </c>
      <c r="J638" s="2">
        <v>11.91</v>
      </c>
      <c r="K638">
        <v>3</v>
      </c>
      <c r="L638" s="4"/>
    </row>
    <row r="639" spans="1:12" x14ac:dyDescent="0.3">
      <c r="A639" s="1">
        <v>41634</v>
      </c>
      <c r="B639" s="1">
        <v>41638</v>
      </c>
      <c r="C639" t="s">
        <v>7</v>
      </c>
      <c r="D639" t="s">
        <v>1101</v>
      </c>
      <c r="E639" t="s">
        <v>1102</v>
      </c>
      <c r="F639" t="s">
        <v>3</v>
      </c>
      <c r="G639" t="s">
        <v>12</v>
      </c>
      <c r="H639" t="s">
        <v>35</v>
      </c>
      <c r="I639" t="s">
        <v>279</v>
      </c>
      <c r="J639" s="2">
        <v>3.48</v>
      </c>
      <c r="K639">
        <v>2</v>
      </c>
      <c r="L639" s="4"/>
    </row>
    <row r="640" spans="1:12" x14ac:dyDescent="0.3">
      <c r="A640" s="1">
        <v>41635</v>
      </c>
      <c r="B640" s="1">
        <v>41638</v>
      </c>
      <c r="C640" t="s">
        <v>0</v>
      </c>
      <c r="D640" t="s">
        <v>1104</v>
      </c>
      <c r="E640" t="s">
        <v>1105</v>
      </c>
      <c r="F640" t="s">
        <v>3</v>
      </c>
      <c r="G640" t="s">
        <v>4</v>
      </c>
      <c r="H640" t="s">
        <v>168</v>
      </c>
      <c r="I640" t="s">
        <v>286</v>
      </c>
      <c r="J640" s="2">
        <v>11.56</v>
      </c>
      <c r="K640">
        <v>4</v>
      </c>
      <c r="L640" s="4"/>
    </row>
    <row r="641" spans="1:12" x14ac:dyDescent="0.3">
      <c r="A641" s="1">
        <v>41635</v>
      </c>
      <c r="B641" s="1">
        <v>41641</v>
      </c>
      <c r="C641" t="s">
        <v>7</v>
      </c>
      <c r="D641" t="s">
        <v>788</v>
      </c>
      <c r="E641" t="s">
        <v>789</v>
      </c>
      <c r="F641" t="s">
        <v>3</v>
      </c>
      <c r="G641" t="s">
        <v>12</v>
      </c>
      <c r="H641" t="s">
        <v>70</v>
      </c>
      <c r="I641" t="s">
        <v>268</v>
      </c>
      <c r="J641" s="2">
        <v>230.28000000000003</v>
      </c>
      <c r="K641">
        <v>3</v>
      </c>
      <c r="L641" s="4"/>
    </row>
    <row r="642" spans="1:12" x14ac:dyDescent="0.3">
      <c r="A642" s="1">
        <v>41635</v>
      </c>
      <c r="B642" s="1">
        <v>41641</v>
      </c>
      <c r="C642" t="s">
        <v>7</v>
      </c>
      <c r="D642" t="s">
        <v>788</v>
      </c>
      <c r="E642" t="s">
        <v>789</v>
      </c>
      <c r="F642" t="s">
        <v>3</v>
      </c>
      <c r="G642" t="s">
        <v>4</v>
      </c>
      <c r="H642" t="s">
        <v>5</v>
      </c>
      <c r="I642" t="s">
        <v>1106</v>
      </c>
      <c r="J642" s="2">
        <v>12.84</v>
      </c>
      <c r="K642">
        <v>3</v>
      </c>
      <c r="L642" s="4"/>
    </row>
    <row r="643" spans="1:12" x14ac:dyDescent="0.3">
      <c r="A643" s="1">
        <v>41635</v>
      </c>
      <c r="B643" s="1">
        <v>41639</v>
      </c>
      <c r="C643" t="s">
        <v>7</v>
      </c>
      <c r="D643" t="s">
        <v>50</v>
      </c>
      <c r="E643" t="s">
        <v>51</v>
      </c>
      <c r="F643" t="s">
        <v>3</v>
      </c>
      <c r="G643" t="s">
        <v>4</v>
      </c>
      <c r="H643" t="s">
        <v>20</v>
      </c>
      <c r="I643" t="s">
        <v>678</v>
      </c>
      <c r="J643" s="2">
        <v>10.98</v>
      </c>
      <c r="K643">
        <v>1</v>
      </c>
      <c r="L643" s="4"/>
    </row>
    <row r="644" spans="1:12" x14ac:dyDescent="0.3">
      <c r="A644" s="1">
        <v>41635</v>
      </c>
      <c r="B644" s="1">
        <v>41639</v>
      </c>
      <c r="C644" t="s">
        <v>7</v>
      </c>
      <c r="D644" t="s">
        <v>50</v>
      </c>
      <c r="E644" t="s">
        <v>51</v>
      </c>
      <c r="F644" t="s">
        <v>3</v>
      </c>
      <c r="G644" t="s">
        <v>4</v>
      </c>
      <c r="H644" t="s">
        <v>52</v>
      </c>
      <c r="I644" t="s">
        <v>53</v>
      </c>
      <c r="J644" s="2">
        <v>7.86</v>
      </c>
      <c r="K644">
        <v>3</v>
      </c>
      <c r="L644" s="4"/>
    </row>
    <row r="645" spans="1:12" x14ac:dyDescent="0.3">
      <c r="A645" s="1">
        <v>41635</v>
      </c>
      <c r="B645" s="1">
        <v>41639</v>
      </c>
      <c r="C645" t="s">
        <v>7</v>
      </c>
      <c r="D645" t="s">
        <v>50</v>
      </c>
      <c r="E645" t="s">
        <v>51</v>
      </c>
      <c r="F645" t="s">
        <v>3</v>
      </c>
      <c r="G645" t="s">
        <v>4</v>
      </c>
      <c r="H645" t="s">
        <v>10</v>
      </c>
      <c r="I645" t="s">
        <v>1107</v>
      </c>
      <c r="J645" s="2">
        <v>51.449999999999996</v>
      </c>
      <c r="K645">
        <v>3</v>
      </c>
      <c r="L645" s="4"/>
    </row>
    <row r="646" spans="1:12" x14ac:dyDescent="0.3">
      <c r="A646" s="1">
        <v>41635</v>
      </c>
      <c r="B646" s="1">
        <v>41639</v>
      </c>
      <c r="C646" t="s">
        <v>7</v>
      </c>
      <c r="D646" t="s">
        <v>50</v>
      </c>
      <c r="E646" t="s">
        <v>51</v>
      </c>
      <c r="F646" t="s">
        <v>3</v>
      </c>
      <c r="G646" t="s">
        <v>4</v>
      </c>
      <c r="H646" t="s">
        <v>26</v>
      </c>
      <c r="I646" t="s">
        <v>805</v>
      </c>
      <c r="J646" s="2">
        <v>37.055999999999997</v>
      </c>
      <c r="K646">
        <v>3</v>
      </c>
      <c r="L646" s="4"/>
    </row>
    <row r="647" spans="1:12" x14ac:dyDescent="0.3">
      <c r="A647" s="1">
        <v>41635</v>
      </c>
      <c r="B647" s="1">
        <v>41639</v>
      </c>
      <c r="C647" t="s">
        <v>7</v>
      </c>
      <c r="D647" t="s">
        <v>638</v>
      </c>
      <c r="E647" t="s">
        <v>639</v>
      </c>
      <c r="F647" t="s">
        <v>25</v>
      </c>
      <c r="G647" t="s">
        <v>4</v>
      </c>
      <c r="H647" t="s">
        <v>26</v>
      </c>
      <c r="I647" t="s">
        <v>1108</v>
      </c>
      <c r="J647" s="2">
        <v>946.76400000000024</v>
      </c>
      <c r="K647">
        <v>6</v>
      </c>
      <c r="L647" s="4"/>
    </row>
    <row r="648" spans="1:12" x14ac:dyDescent="0.3">
      <c r="A648" s="1">
        <v>41636</v>
      </c>
      <c r="B648" s="1">
        <v>41642</v>
      </c>
      <c r="C648" t="s">
        <v>7</v>
      </c>
      <c r="D648" t="s">
        <v>1109</v>
      </c>
      <c r="E648" t="s">
        <v>1110</v>
      </c>
      <c r="F648" t="s">
        <v>3</v>
      </c>
      <c r="G648" t="s">
        <v>4</v>
      </c>
      <c r="H648" t="s">
        <v>10</v>
      </c>
      <c r="I648" t="s">
        <v>834</v>
      </c>
      <c r="J648" s="2">
        <v>998.82</v>
      </c>
      <c r="K648">
        <v>9</v>
      </c>
      <c r="L648" s="4"/>
    </row>
    <row r="649" spans="1:12" x14ac:dyDescent="0.3">
      <c r="A649" s="1">
        <v>41636</v>
      </c>
      <c r="B649" s="1">
        <v>41642</v>
      </c>
      <c r="C649" t="s">
        <v>7</v>
      </c>
      <c r="D649" t="s">
        <v>1109</v>
      </c>
      <c r="E649" t="s">
        <v>1110</v>
      </c>
      <c r="F649" t="s">
        <v>3</v>
      </c>
      <c r="G649" t="s">
        <v>4</v>
      </c>
      <c r="H649" t="s">
        <v>78</v>
      </c>
      <c r="I649" t="s">
        <v>907</v>
      </c>
      <c r="J649" s="2">
        <v>51.150000000000006</v>
      </c>
      <c r="K649">
        <v>5</v>
      </c>
      <c r="L649" s="4"/>
    </row>
    <row r="650" spans="1:12" x14ac:dyDescent="0.3">
      <c r="A650" s="1">
        <v>41637</v>
      </c>
      <c r="B650" s="1">
        <v>41641</v>
      </c>
      <c r="C650" t="s">
        <v>7</v>
      </c>
      <c r="D650" t="s">
        <v>1111</v>
      </c>
      <c r="E650" t="s">
        <v>1112</v>
      </c>
      <c r="F650" t="s">
        <v>3</v>
      </c>
      <c r="G650" t="s">
        <v>12</v>
      </c>
      <c r="H650" t="s">
        <v>35</v>
      </c>
      <c r="I650" t="s">
        <v>1113</v>
      </c>
      <c r="J650" s="2">
        <v>24.900000000000002</v>
      </c>
      <c r="K650">
        <v>5</v>
      </c>
      <c r="L650" s="4"/>
    </row>
    <row r="651" spans="1:12" x14ac:dyDescent="0.3">
      <c r="A651" s="1">
        <v>41637</v>
      </c>
      <c r="B651" s="1">
        <v>41641</v>
      </c>
      <c r="C651" t="s">
        <v>7</v>
      </c>
      <c r="D651" t="s">
        <v>1111</v>
      </c>
      <c r="E651" t="s">
        <v>1112</v>
      </c>
      <c r="F651" t="s">
        <v>3</v>
      </c>
      <c r="G651" t="s">
        <v>4</v>
      </c>
      <c r="H651" t="s">
        <v>5</v>
      </c>
      <c r="I651" t="s">
        <v>1114</v>
      </c>
      <c r="J651" s="2">
        <v>21.12</v>
      </c>
      <c r="K651">
        <v>4</v>
      </c>
      <c r="L651" s="4"/>
    </row>
    <row r="652" spans="1:12" x14ac:dyDescent="0.3">
      <c r="A652" s="1">
        <v>41637</v>
      </c>
      <c r="B652" s="1">
        <v>41641</v>
      </c>
      <c r="C652" t="s">
        <v>7</v>
      </c>
      <c r="D652" t="s">
        <v>1111</v>
      </c>
      <c r="E652" t="s">
        <v>1112</v>
      </c>
      <c r="F652" t="s">
        <v>3</v>
      </c>
      <c r="G652" t="s">
        <v>74</v>
      </c>
      <c r="H652" t="s">
        <v>138</v>
      </c>
      <c r="I652" t="s">
        <v>1115</v>
      </c>
      <c r="J652" s="2">
        <v>767.95200000000011</v>
      </c>
      <c r="K652">
        <v>6</v>
      </c>
      <c r="L652" s="4"/>
    </row>
    <row r="653" spans="1:12" x14ac:dyDescent="0.3">
      <c r="A653" s="1">
        <v>41637</v>
      </c>
      <c r="B653" s="1">
        <v>41641</v>
      </c>
      <c r="C653" t="s">
        <v>7</v>
      </c>
      <c r="D653" t="s">
        <v>1111</v>
      </c>
      <c r="E653" t="s">
        <v>1112</v>
      </c>
      <c r="F653" t="s">
        <v>3</v>
      </c>
      <c r="G653" t="s">
        <v>4</v>
      </c>
      <c r="H653" t="s">
        <v>26</v>
      </c>
      <c r="I653" t="s">
        <v>1116</v>
      </c>
      <c r="J653" s="2">
        <v>14.352000000000002</v>
      </c>
      <c r="K653">
        <v>3</v>
      </c>
      <c r="L653" s="4"/>
    </row>
    <row r="654" spans="1:12" x14ac:dyDescent="0.3">
      <c r="A654" s="1">
        <v>41637</v>
      </c>
      <c r="B654" s="1">
        <v>41641</v>
      </c>
      <c r="C654" t="s">
        <v>7</v>
      </c>
      <c r="D654" t="s">
        <v>1111</v>
      </c>
      <c r="E654" t="s">
        <v>1112</v>
      </c>
      <c r="F654" t="s">
        <v>3</v>
      </c>
      <c r="G654" t="s">
        <v>74</v>
      </c>
      <c r="H654" t="s">
        <v>147</v>
      </c>
      <c r="I654" t="s">
        <v>896</v>
      </c>
      <c r="J654" s="2">
        <v>191.976</v>
      </c>
      <c r="K654">
        <v>3</v>
      </c>
      <c r="L654" s="4"/>
    </row>
    <row r="655" spans="1:12" x14ac:dyDescent="0.3">
      <c r="A655" s="1">
        <v>41637</v>
      </c>
      <c r="B655" s="1">
        <v>41641</v>
      </c>
      <c r="C655" t="s">
        <v>7</v>
      </c>
      <c r="D655" t="s">
        <v>1111</v>
      </c>
      <c r="E655" t="s">
        <v>1112</v>
      </c>
      <c r="F655" t="s">
        <v>3</v>
      </c>
      <c r="G655" t="s">
        <v>4</v>
      </c>
      <c r="H655" t="s">
        <v>168</v>
      </c>
      <c r="I655" t="s">
        <v>1117</v>
      </c>
      <c r="J655" s="2">
        <v>274.77</v>
      </c>
      <c r="K655">
        <v>9</v>
      </c>
      <c r="L655" s="4"/>
    </row>
    <row r="656" spans="1:12" x14ac:dyDescent="0.3">
      <c r="A656" s="1">
        <v>41637</v>
      </c>
      <c r="B656" s="1">
        <v>41641</v>
      </c>
      <c r="C656" t="s">
        <v>7</v>
      </c>
      <c r="D656" t="s">
        <v>1111</v>
      </c>
      <c r="E656" t="s">
        <v>1112</v>
      </c>
      <c r="F656" t="s">
        <v>3</v>
      </c>
      <c r="G656" t="s">
        <v>12</v>
      </c>
      <c r="H656" t="s">
        <v>35</v>
      </c>
      <c r="I656" t="s">
        <v>1118</v>
      </c>
      <c r="J656" s="2">
        <v>70.56</v>
      </c>
      <c r="K656">
        <v>6</v>
      </c>
      <c r="L656" s="4"/>
    </row>
    <row r="657" spans="1:12" x14ac:dyDescent="0.3">
      <c r="A657" s="1">
        <v>41637</v>
      </c>
      <c r="B657" s="1">
        <v>41642</v>
      </c>
      <c r="C657" t="s">
        <v>0</v>
      </c>
      <c r="D657" t="s">
        <v>1119</v>
      </c>
      <c r="E657" t="s">
        <v>1120</v>
      </c>
      <c r="F657" t="s">
        <v>172</v>
      </c>
      <c r="G657" t="s">
        <v>74</v>
      </c>
      <c r="H657" t="s">
        <v>147</v>
      </c>
      <c r="I657" t="s">
        <v>1121</v>
      </c>
      <c r="J657" s="2">
        <v>23.976000000000003</v>
      </c>
      <c r="K657">
        <v>3</v>
      </c>
      <c r="L657" s="4"/>
    </row>
    <row r="658" spans="1:12" x14ac:dyDescent="0.3">
      <c r="A658" s="1">
        <v>41637</v>
      </c>
      <c r="B658" s="1">
        <v>41642</v>
      </c>
      <c r="C658" t="s">
        <v>0</v>
      </c>
      <c r="D658" t="s">
        <v>1119</v>
      </c>
      <c r="E658" t="s">
        <v>1120</v>
      </c>
      <c r="F658" t="s">
        <v>172</v>
      </c>
      <c r="G658" t="s">
        <v>4</v>
      </c>
      <c r="H658" t="s">
        <v>10</v>
      </c>
      <c r="I658" t="s">
        <v>1122</v>
      </c>
      <c r="J658" s="2">
        <v>33.29</v>
      </c>
      <c r="K658">
        <v>1</v>
      </c>
      <c r="L658" s="4"/>
    </row>
    <row r="659" spans="1:12" x14ac:dyDescent="0.3">
      <c r="A659" s="1">
        <v>41637</v>
      </c>
      <c r="B659" s="1">
        <v>41642</v>
      </c>
      <c r="C659" t="s">
        <v>7</v>
      </c>
      <c r="D659" t="s">
        <v>274</v>
      </c>
      <c r="E659" t="s">
        <v>275</v>
      </c>
      <c r="F659" t="s">
        <v>3</v>
      </c>
      <c r="G659" t="s">
        <v>4</v>
      </c>
      <c r="H659" t="s">
        <v>168</v>
      </c>
      <c r="I659" t="s">
        <v>1123</v>
      </c>
      <c r="J659" s="2">
        <v>88.800000000000011</v>
      </c>
      <c r="K659">
        <v>6</v>
      </c>
      <c r="L659" s="4"/>
    </row>
    <row r="660" spans="1:12" x14ac:dyDescent="0.3">
      <c r="A660" s="1">
        <v>41637</v>
      </c>
      <c r="B660" s="1">
        <v>41642</v>
      </c>
      <c r="C660" t="s">
        <v>7</v>
      </c>
      <c r="D660" t="s">
        <v>274</v>
      </c>
      <c r="E660" t="s">
        <v>275</v>
      </c>
      <c r="F660" t="s">
        <v>3</v>
      </c>
      <c r="G660" t="s">
        <v>74</v>
      </c>
      <c r="H660" t="s">
        <v>147</v>
      </c>
      <c r="I660" t="s">
        <v>1124</v>
      </c>
      <c r="J660" s="2">
        <v>319.96800000000002</v>
      </c>
      <c r="K660">
        <v>4</v>
      </c>
      <c r="L660" s="4"/>
    </row>
    <row r="661" spans="1:12" x14ac:dyDescent="0.3">
      <c r="A661" s="1">
        <v>41638</v>
      </c>
      <c r="B661" s="1">
        <v>41643</v>
      </c>
      <c r="C661" t="s">
        <v>7</v>
      </c>
      <c r="D661" t="s">
        <v>1125</v>
      </c>
      <c r="E661" t="s">
        <v>1126</v>
      </c>
      <c r="F661" t="s">
        <v>25</v>
      </c>
      <c r="G661" t="s">
        <v>4</v>
      </c>
      <c r="H661" t="s">
        <v>26</v>
      </c>
      <c r="I661" t="s">
        <v>554</v>
      </c>
      <c r="J661" s="2">
        <v>551.98500000000013</v>
      </c>
      <c r="K661">
        <v>5</v>
      </c>
      <c r="L661" s="4"/>
    </row>
    <row r="662" spans="1:12" x14ac:dyDescent="0.3">
      <c r="A662" s="1">
        <v>41639</v>
      </c>
      <c r="B662" s="1">
        <v>41639</v>
      </c>
      <c r="C662" t="s">
        <v>240</v>
      </c>
      <c r="D662" t="s">
        <v>1127</v>
      </c>
      <c r="E662" t="s">
        <v>1128</v>
      </c>
      <c r="F662" t="s">
        <v>39</v>
      </c>
      <c r="G662" t="s">
        <v>74</v>
      </c>
      <c r="H662" t="s">
        <v>147</v>
      </c>
      <c r="I662" t="s">
        <v>1129</v>
      </c>
      <c r="J662" s="2">
        <v>475.94400000000002</v>
      </c>
      <c r="K662">
        <v>7</v>
      </c>
      <c r="L662" s="4"/>
    </row>
    <row r="663" spans="1:12" x14ac:dyDescent="0.3">
      <c r="A663" s="1">
        <v>41644</v>
      </c>
      <c r="B663" s="1">
        <v>41649</v>
      </c>
      <c r="C663" t="s">
        <v>7</v>
      </c>
      <c r="D663" t="s">
        <v>83</v>
      </c>
      <c r="E663" t="s">
        <v>84</v>
      </c>
      <c r="F663" t="s">
        <v>56</v>
      </c>
      <c r="G663" t="s">
        <v>12</v>
      </c>
      <c r="H663" t="s">
        <v>70</v>
      </c>
      <c r="I663" t="s">
        <v>1130</v>
      </c>
      <c r="J663" s="2">
        <v>61.584000000000003</v>
      </c>
      <c r="K663">
        <v>1</v>
      </c>
      <c r="L663" s="4"/>
    </row>
    <row r="664" spans="1:12" x14ac:dyDescent="0.3">
      <c r="A664" s="1">
        <v>41644</v>
      </c>
      <c r="B664" s="1">
        <v>41649</v>
      </c>
      <c r="C664" t="s">
        <v>7</v>
      </c>
      <c r="D664" t="s">
        <v>1127</v>
      </c>
      <c r="E664" t="s">
        <v>1128</v>
      </c>
      <c r="F664" t="s">
        <v>3</v>
      </c>
      <c r="G664" t="s">
        <v>4</v>
      </c>
      <c r="H664" t="s">
        <v>20</v>
      </c>
      <c r="I664" t="s">
        <v>975</v>
      </c>
      <c r="J664" s="2">
        <v>87.36</v>
      </c>
      <c r="K664">
        <v>6</v>
      </c>
      <c r="L664" s="4"/>
    </row>
    <row r="665" spans="1:12" x14ac:dyDescent="0.3">
      <c r="A665" s="1">
        <v>41644</v>
      </c>
      <c r="B665" s="1">
        <v>41649</v>
      </c>
      <c r="C665" t="s">
        <v>7</v>
      </c>
      <c r="D665" t="s">
        <v>1127</v>
      </c>
      <c r="E665" t="s">
        <v>1128</v>
      </c>
      <c r="F665" t="s">
        <v>3</v>
      </c>
      <c r="G665" t="s">
        <v>4</v>
      </c>
      <c r="H665" t="s">
        <v>26</v>
      </c>
      <c r="I665" t="s">
        <v>1131</v>
      </c>
      <c r="J665" s="2">
        <v>56.16</v>
      </c>
      <c r="K665">
        <v>6</v>
      </c>
      <c r="L665" s="4"/>
    </row>
    <row r="666" spans="1:12" x14ac:dyDescent="0.3">
      <c r="A666" s="1">
        <v>41645</v>
      </c>
      <c r="B666" s="1">
        <v>41651</v>
      </c>
      <c r="C666" t="s">
        <v>7</v>
      </c>
      <c r="D666" t="s">
        <v>1132</v>
      </c>
      <c r="E666" t="s">
        <v>1133</v>
      </c>
      <c r="F666" t="s">
        <v>115</v>
      </c>
      <c r="G666" t="s">
        <v>4</v>
      </c>
      <c r="H666" t="s">
        <v>5</v>
      </c>
      <c r="I666" t="s">
        <v>1134</v>
      </c>
      <c r="J666" s="2">
        <v>29.600000000000005</v>
      </c>
      <c r="K666">
        <v>5</v>
      </c>
      <c r="L666" s="4"/>
    </row>
    <row r="667" spans="1:12" x14ac:dyDescent="0.3">
      <c r="A667" s="1">
        <v>41645</v>
      </c>
      <c r="B667" s="1">
        <v>41651</v>
      </c>
      <c r="C667" t="s">
        <v>7</v>
      </c>
      <c r="D667" t="s">
        <v>1132</v>
      </c>
      <c r="E667" t="s">
        <v>1133</v>
      </c>
      <c r="F667" t="s">
        <v>115</v>
      </c>
      <c r="G667" t="s">
        <v>4</v>
      </c>
      <c r="H667" t="s">
        <v>26</v>
      </c>
      <c r="I667" t="s">
        <v>236</v>
      </c>
      <c r="J667" s="2">
        <v>1.9380000000000002</v>
      </c>
      <c r="K667">
        <v>2</v>
      </c>
      <c r="L667" s="4"/>
    </row>
    <row r="668" spans="1:12" x14ac:dyDescent="0.3">
      <c r="A668" s="1">
        <v>41652</v>
      </c>
      <c r="B668" s="1">
        <v>41656</v>
      </c>
      <c r="C668" t="s">
        <v>7</v>
      </c>
      <c r="D668" t="s">
        <v>436</v>
      </c>
      <c r="E668" t="s">
        <v>437</v>
      </c>
      <c r="F668" t="s">
        <v>3</v>
      </c>
      <c r="G668" t="s">
        <v>4</v>
      </c>
      <c r="H668" t="s">
        <v>26</v>
      </c>
      <c r="I668" t="s">
        <v>1135</v>
      </c>
      <c r="J668" s="2">
        <v>70.00800000000001</v>
      </c>
      <c r="K668">
        <v>3</v>
      </c>
      <c r="L668" s="4"/>
    </row>
    <row r="669" spans="1:12" x14ac:dyDescent="0.3">
      <c r="A669" s="1">
        <v>41652</v>
      </c>
      <c r="B669" s="1">
        <v>41656</v>
      </c>
      <c r="C669" t="s">
        <v>7</v>
      </c>
      <c r="D669" t="s">
        <v>436</v>
      </c>
      <c r="E669" t="s">
        <v>437</v>
      </c>
      <c r="F669" t="s">
        <v>3</v>
      </c>
      <c r="G669" t="s">
        <v>12</v>
      </c>
      <c r="H669" t="s">
        <v>35</v>
      </c>
      <c r="I669" t="s">
        <v>984</v>
      </c>
      <c r="J669" s="2">
        <v>77.599999999999994</v>
      </c>
      <c r="K669">
        <v>4</v>
      </c>
      <c r="L669" s="4"/>
    </row>
    <row r="670" spans="1:12" x14ac:dyDescent="0.3">
      <c r="A670" s="1">
        <v>41652</v>
      </c>
      <c r="B670" s="1">
        <v>41656</v>
      </c>
      <c r="C670" t="s">
        <v>7</v>
      </c>
      <c r="D670" t="s">
        <v>436</v>
      </c>
      <c r="E670" t="s">
        <v>437</v>
      </c>
      <c r="F670" t="s">
        <v>3</v>
      </c>
      <c r="G670" t="s">
        <v>12</v>
      </c>
      <c r="H670" t="s">
        <v>35</v>
      </c>
      <c r="I670" t="s">
        <v>1136</v>
      </c>
      <c r="J670" s="2">
        <v>464.84999999999997</v>
      </c>
      <c r="K670">
        <v>9</v>
      </c>
      <c r="L670" s="4"/>
    </row>
    <row r="671" spans="1:12" x14ac:dyDescent="0.3">
      <c r="A671" s="1">
        <v>41662</v>
      </c>
      <c r="B671" s="1">
        <v>41666</v>
      </c>
      <c r="C671" t="s">
        <v>7</v>
      </c>
      <c r="D671" t="s">
        <v>1137</v>
      </c>
      <c r="E671" t="s">
        <v>1138</v>
      </c>
      <c r="F671" t="s">
        <v>228</v>
      </c>
      <c r="G671" t="s">
        <v>4</v>
      </c>
      <c r="H671" t="s">
        <v>5</v>
      </c>
      <c r="I671" t="s">
        <v>34</v>
      </c>
      <c r="J671" s="2">
        <v>29.04</v>
      </c>
      <c r="K671">
        <v>3</v>
      </c>
      <c r="L671" s="4"/>
    </row>
    <row r="672" spans="1:12" x14ac:dyDescent="0.3">
      <c r="A672" s="1">
        <v>41662</v>
      </c>
      <c r="B672" s="1">
        <v>41666</v>
      </c>
      <c r="C672" t="s">
        <v>7</v>
      </c>
      <c r="D672" t="s">
        <v>1137</v>
      </c>
      <c r="E672" t="s">
        <v>1138</v>
      </c>
      <c r="F672" t="s">
        <v>228</v>
      </c>
      <c r="G672" t="s">
        <v>4</v>
      </c>
      <c r="H672" t="s">
        <v>168</v>
      </c>
      <c r="I672" t="s">
        <v>1139</v>
      </c>
      <c r="J672" s="2">
        <v>14.62</v>
      </c>
      <c r="K672">
        <v>2</v>
      </c>
      <c r="L672" s="4"/>
    </row>
    <row r="673" spans="1:12" x14ac:dyDescent="0.3">
      <c r="A673" s="1">
        <v>41665</v>
      </c>
      <c r="B673" s="1">
        <v>41671</v>
      </c>
      <c r="C673" t="s">
        <v>7</v>
      </c>
      <c r="D673" t="s">
        <v>1140</v>
      </c>
      <c r="E673" t="s">
        <v>1141</v>
      </c>
      <c r="F673" t="s">
        <v>3</v>
      </c>
      <c r="G673" t="s">
        <v>4</v>
      </c>
      <c r="H673" t="s">
        <v>5</v>
      </c>
      <c r="I673" t="s">
        <v>1142</v>
      </c>
      <c r="J673" s="2">
        <v>182.72</v>
      </c>
      <c r="K673">
        <v>8</v>
      </c>
      <c r="L673" s="4"/>
    </row>
    <row r="674" spans="1:12" x14ac:dyDescent="0.3">
      <c r="A674" s="1">
        <v>41666</v>
      </c>
      <c r="B674" s="1">
        <v>41668</v>
      </c>
      <c r="C674" t="s">
        <v>22</v>
      </c>
      <c r="D674" t="s">
        <v>1143</v>
      </c>
      <c r="E674" t="s">
        <v>1144</v>
      </c>
      <c r="F674" t="s">
        <v>3</v>
      </c>
      <c r="G674" t="s">
        <v>12</v>
      </c>
      <c r="H674" t="s">
        <v>70</v>
      </c>
      <c r="I674" t="s">
        <v>1145</v>
      </c>
      <c r="J674" s="2">
        <v>2803.92</v>
      </c>
      <c r="K674">
        <v>5</v>
      </c>
      <c r="L674" s="4"/>
    </row>
    <row r="675" spans="1:12" x14ac:dyDescent="0.3">
      <c r="A675" s="1">
        <v>41669</v>
      </c>
      <c r="B675" s="1">
        <v>41676</v>
      </c>
      <c r="C675" t="s">
        <v>7</v>
      </c>
      <c r="D675" t="s">
        <v>445</v>
      </c>
      <c r="E675" t="s">
        <v>446</v>
      </c>
      <c r="F675" t="s">
        <v>3</v>
      </c>
      <c r="G675" t="s">
        <v>12</v>
      </c>
      <c r="H675" t="s">
        <v>35</v>
      </c>
      <c r="I675" t="s">
        <v>1076</v>
      </c>
      <c r="J675" s="2">
        <v>227.35999999999999</v>
      </c>
      <c r="K675">
        <v>7</v>
      </c>
      <c r="L675" s="4"/>
    </row>
    <row r="676" spans="1:12" x14ac:dyDescent="0.3">
      <c r="A676" s="1">
        <v>41669</v>
      </c>
      <c r="B676" s="1">
        <v>41676</v>
      </c>
      <c r="C676" t="s">
        <v>7</v>
      </c>
      <c r="D676" t="s">
        <v>445</v>
      </c>
      <c r="E676" t="s">
        <v>446</v>
      </c>
      <c r="F676" t="s">
        <v>3</v>
      </c>
      <c r="G676" t="s">
        <v>74</v>
      </c>
      <c r="H676" t="s">
        <v>138</v>
      </c>
      <c r="I676" t="s">
        <v>1146</v>
      </c>
      <c r="J676" s="2">
        <v>1919.9760000000001</v>
      </c>
      <c r="K676">
        <v>3</v>
      </c>
      <c r="L676" s="4"/>
    </row>
    <row r="677" spans="1:12" x14ac:dyDescent="0.3">
      <c r="A677" s="1">
        <v>41673</v>
      </c>
      <c r="B677" s="1">
        <v>41674</v>
      </c>
      <c r="C677" t="s">
        <v>22</v>
      </c>
      <c r="D677" t="s">
        <v>1147</v>
      </c>
      <c r="E677" t="s">
        <v>1148</v>
      </c>
      <c r="F677" t="s">
        <v>3</v>
      </c>
      <c r="G677" t="s">
        <v>12</v>
      </c>
      <c r="H677" t="s">
        <v>35</v>
      </c>
      <c r="I677" t="s">
        <v>1149</v>
      </c>
      <c r="J677" s="2">
        <v>136.91999999999999</v>
      </c>
      <c r="K677">
        <v>4</v>
      </c>
      <c r="L677" s="4"/>
    </row>
    <row r="678" spans="1:12" x14ac:dyDescent="0.3">
      <c r="A678" s="1">
        <v>41673</v>
      </c>
      <c r="B678" s="1">
        <v>41675</v>
      </c>
      <c r="C678" t="s">
        <v>0</v>
      </c>
      <c r="D678" t="s">
        <v>1150</v>
      </c>
      <c r="E678" t="s">
        <v>1151</v>
      </c>
      <c r="F678" t="s">
        <v>126</v>
      </c>
      <c r="G678" t="s">
        <v>4</v>
      </c>
      <c r="H678" t="s">
        <v>26</v>
      </c>
      <c r="I678" t="s">
        <v>1152</v>
      </c>
      <c r="J678" s="2">
        <v>12.144</v>
      </c>
      <c r="K678">
        <v>3</v>
      </c>
      <c r="L678" s="4"/>
    </row>
    <row r="679" spans="1:12" x14ac:dyDescent="0.3">
      <c r="A679" s="1">
        <v>41676</v>
      </c>
      <c r="B679" s="1">
        <v>41683</v>
      </c>
      <c r="C679" t="s">
        <v>7</v>
      </c>
      <c r="D679" t="s">
        <v>1153</v>
      </c>
      <c r="E679" t="s">
        <v>1154</v>
      </c>
      <c r="F679" t="s">
        <v>56</v>
      </c>
      <c r="G679" t="s">
        <v>4</v>
      </c>
      <c r="H679" t="s">
        <v>15</v>
      </c>
      <c r="I679" t="s">
        <v>1155</v>
      </c>
      <c r="J679" s="2">
        <v>5.28</v>
      </c>
      <c r="K679">
        <v>3</v>
      </c>
      <c r="L679" s="4"/>
    </row>
    <row r="680" spans="1:12" x14ac:dyDescent="0.3">
      <c r="A680" s="1">
        <v>41679</v>
      </c>
      <c r="B680" s="1">
        <v>41686</v>
      </c>
      <c r="C680" t="s">
        <v>7</v>
      </c>
      <c r="D680" t="s">
        <v>1156</v>
      </c>
      <c r="E680" t="s">
        <v>1157</v>
      </c>
      <c r="F680" t="s">
        <v>3</v>
      </c>
      <c r="G680" t="s">
        <v>12</v>
      </c>
      <c r="H680" t="s">
        <v>70</v>
      </c>
      <c r="I680" t="s">
        <v>741</v>
      </c>
      <c r="J680" s="2">
        <v>203.92</v>
      </c>
      <c r="K680">
        <v>5</v>
      </c>
      <c r="L680" s="4"/>
    </row>
    <row r="681" spans="1:12" x14ac:dyDescent="0.3">
      <c r="A681" s="1">
        <v>41685</v>
      </c>
      <c r="B681" s="1">
        <v>41688</v>
      </c>
      <c r="C681" t="s">
        <v>0</v>
      </c>
      <c r="D681" t="s">
        <v>1158</v>
      </c>
      <c r="E681" t="s">
        <v>1159</v>
      </c>
      <c r="F681" t="s">
        <v>3</v>
      </c>
      <c r="G681" t="s">
        <v>4</v>
      </c>
      <c r="H681" t="s">
        <v>5</v>
      </c>
      <c r="I681" t="s">
        <v>1160</v>
      </c>
      <c r="J681" s="2">
        <v>13.36</v>
      </c>
      <c r="K681">
        <v>2</v>
      </c>
      <c r="L681" s="4"/>
    </row>
    <row r="682" spans="1:12" x14ac:dyDescent="0.3">
      <c r="A682" s="1">
        <v>41685</v>
      </c>
      <c r="B682" s="1">
        <v>41688</v>
      </c>
      <c r="C682" t="s">
        <v>0</v>
      </c>
      <c r="D682" t="s">
        <v>1158</v>
      </c>
      <c r="E682" t="s">
        <v>1159</v>
      </c>
      <c r="F682" t="s">
        <v>3</v>
      </c>
      <c r="G682" t="s">
        <v>4</v>
      </c>
      <c r="H682" t="s">
        <v>26</v>
      </c>
      <c r="I682" t="s">
        <v>1161</v>
      </c>
      <c r="J682" s="2">
        <v>41.72</v>
      </c>
      <c r="K682">
        <v>5</v>
      </c>
      <c r="L682" s="4"/>
    </row>
    <row r="683" spans="1:12" x14ac:dyDescent="0.3">
      <c r="A683" s="1">
        <v>41685</v>
      </c>
      <c r="B683" s="1">
        <v>41688</v>
      </c>
      <c r="C683" t="s">
        <v>0</v>
      </c>
      <c r="D683" t="s">
        <v>1158</v>
      </c>
      <c r="E683" t="s">
        <v>1159</v>
      </c>
      <c r="F683" t="s">
        <v>3</v>
      </c>
      <c r="G683" t="s">
        <v>4</v>
      </c>
      <c r="H683" t="s">
        <v>26</v>
      </c>
      <c r="I683" t="s">
        <v>1162</v>
      </c>
      <c r="J683" s="2">
        <v>11.52</v>
      </c>
      <c r="K683">
        <v>5</v>
      </c>
      <c r="L683" s="4"/>
    </row>
    <row r="684" spans="1:12" x14ac:dyDescent="0.3">
      <c r="A684" s="1">
        <v>41685</v>
      </c>
      <c r="B684" s="1">
        <v>41688</v>
      </c>
      <c r="C684" t="s">
        <v>0</v>
      </c>
      <c r="D684" t="s">
        <v>1158</v>
      </c>
      <c r="E684" t="s">
        <v>1159</v>
      </c>
      <c r="F684" t="s">
        <v>3</v>
      </c>
      <c r="G684" t="s">
        <v>4</v>
      </c>
      <c r="H684" t="s">
        <v>20</v>
      </c>
      <c r="I684" t="s">
        <v>264</v>
      </c>
      <c r="J684" s="2">
        <v>541.43999999999994</v>
      </c>
      <c r="K684">
        <v>6</v>
      </c>
      <c r="L684" s="4"/>
    </row>
    <row r="685" spans="1:12" x14ac:dyDescent="0.3">
      <c r="A685" s="1">
        <v>41685</v>
      </c>
      <c r="B685" s="1">
        <v>41688</v>
      </c>
      <c r="C685" t="s">
        <v>0</v>
      </c>
      <c r="D685" t="s">
        <v>1158</v>
      </c>
      <c r="E685" t="s">
        <v>1159</v>
      </c>
      <c r="F685" t="s">
        <v>3</v>
      </c>
      <c r="G685" t="s">
        <v>4</v>
      </c>
      <c r="H685" t="s">
        <v>5</v>
      </c>
      <c r="I685" t="s">
        <v>1163</v>
      </c>
      <c r="J685" s="2">
        <v>19.440000000000001</v>
      </c>
      <c r="K685">
        <v>3</v>
      </c>
      <c r="L685" s="4"/>
    </row>
    <row r="686" spans="1:12" x14ac:dyDescent="0.3">
      <c r="A686" s="1">
        <v>41686</v>
      </c>
      <c r="B686" s="1">
        <v>41691</v>
      </c>
      <c r="C686" t="s">
        <v>7</v>
      </c>
      <c r="D686" t="s">
        <v>1164</v>
      </c>
      <c r="E686" t="s">
        <v>1165</v>
      </c>
      <c r="F686" t="s">
        <v>3</v>
      </c>
      <c r="G686" t="s">
        <v>4</v>
      </c>
      <c r="H686" t="s">
        <v>5</v>
      </c>
      <c r="I686" t="s">
        <v>1166</v>
      </c>
      <c r="J686" s="2">
        <v>36.839999999999996</v>
      </c>
      <c r="K686">
        <v>3</v>
      </c>
      <c r="L686" s="4"/>
    </row>
    <row r="687" spans="1:12" x14ac:dyDescent="0.3">
      <c r="A687" s="1">
        <v>41686</v>
      </c>
      <c r="B687" s="1">
        <v>41691</v>
      </c>
      <c r="C687" t="s">
        <v>7</v>
      </c>
      <c r="D687" t="s">
        <v>1164</v>
      </c>
      <c r="E687" t="s">
        <v>1165</v>
      </c>
      <c r="F687" t="s">
        <v>3</v>
      </c>
      <c r="G687" t="s">
        <v>4</v>
      </c>
      <c r="H687" t="s">
        <v>168</v>
      </c>
      <c r="I687" t="s">
        <v>1167</v>
      </c>
      <c r="J687" s="2">
        <v>87.71</v>
      </c>
      <c r="K687">
        <v>7</v>
      </c>
      <c r="L687" s="4"/>
    </row>
    <row r="688" spans="1:12" x14ac:dyDescent="0.3">
      <c r="A688" s="1">
        <v>41688</v>
      </c>
      <c r="B688" s="1">
        <v>41692</v>
      </c>
      <c r="C688" t="s">
        <v>7</v>
      </c>
      <c r="D688" t="s">
        <v>1168</v>
      </c>
      <c r="E688" t="s">
        <v>1169</v>
      </c>
      <c r="F688" t="s">
        <v>3</v>
      </c>
      <c r="G688" t="s">
        <v>4</v>
      </c>
      <c r="H688" t="s">
        <v>168</v>
      </c>
      <c r="I688" t="s">
        <v>1170</v>
      </c>
      <c r="J688" s="2">
        <v>9.24</v>
      </c>
      <c r="K688">
        <v>3</v>
      </c>
      <c r="L688" s="4"/>
    </row>
    <row r="689" spans="1:12" x14ac:dyDescent="0.3">
      <c r="A689" s="1">
        <v>41688</v>
      </c>
      <c r="B689" s="1">
        <v>41694</v>
      </c>
      <c r="C689" t="s">
        <v>7</v>
      </c>
      <c r="D689" t="s">
        <v>1171</v>
      </c>
      <c r="E689" t="s">
        <v>1172</v>
      </c>
      <c r="F689" t="s">
        <v>3</v>
      </c>
      <c r="G689" t="s">
        <v>4</v>
      </c>
      <c r="H689" t="s">
        <v>168</v>
      </c>
      <c r="I689" t="s">
        <v>1173</v>
      </c>
      <c r="J689" s="2">
        <v>61.06</v>
      </c>
      <c r="K689">
        <v>2</v>
      </c>
      <c r="L689" s="4"/>
    </row>
    <row r="690" spans="1:12" x14ac:dyDescent="0.3">
      <c r="A690" s="1">
        <v>41688</v>
      </c>
      <c r="B690" s="1">
        <v>41694</v>
      </c>
      <c r="C690" t="s">
        <v>7</v>
      </c>
      <c r="D690" t="s">
        <v>1171</v>
      </c>
      <c r="E690" t="s">
        <v>1172</v>
      </c>
      <c r="F690" t="s">
        <v>3</v>
      </c>
      <c r="G690" t="s">
        <v>12</v>
      </c>
      <c r="H690" t="s">
        <v>44</v>
      </c>
      <c r="I690" t="s">
        <v>1174</v>
      </c>
      <c r="J690" s="2">
        <v>35.544000000000004</v>
      </c>
      <c r="K690">
        <v>1</v>
      </c>
      <c r="L690" s="4"/>
    </row>
    <row r="691" spans="1:12" x14ac:dyDescent="0.3">
      <c r="A691" s="1">
        <v>41691</v>
      </c>
      <c r="B691" s="1">
        <v>41693</v>
      </c>
      <c r="C691" t="s">
        <v>0</v>
      </c>
      <c r="D691" t="s">
        <v>1175</v>
      </c>
      <c r="E691" t="s">
        <v>1176</v>
      </c>
      <c r="F691" t="s">
        <v>172</v>
      </c>
      <c r="G691" t="s">
        <v>4</v>
      </c>
      <c r="H691" t="s">
        <v>5</v>
      </c>
      <c r="I691" t="s">
        <v>839</v>
      </c>
      <c r="J691" s="2">
        <v>49.12</v>
      </c>
      <c r="K691">
        <v>4</v>
      </c>
      <c r="L691" s="4"/>
    </row>
    <row r="692" spans="1:12" x14ac:dyDescent="0.3">
      <c r="A692" s="1">
        <v>41697</v>
      </c>
      <c r="B692" s="1">
        <v>41699</v>
      </c>
      <c r="C692" t="s">
        <v>0</v>
      </c>
      <c r="D692" t="s">
        <v>1177</v>
      </c>
      <c r="E692" t="s">
        <v>1178</v>
      </c>
      <c r="F692" t="s">
        <v>56</v>
      </c>
      <c r="G692" t="s">
        <v>74</v>
      </c>
      <c r="H692" t="s">
        <v>75</v>
      </c>
      <c r="I692" t="s">
        <v>474</v>
      </c>
      <c r="J692" s="2">
        <v>538.92000000000007</v>
      </c>
      <c r="K692">
        <v>9</v>
      </c>
      <c r="L692" s="4"/>
    </row>
    <row r="693" spans="1:12" x14ac:dyDescent="0.3">
      <c r="A693" s="1">
        <v>41699</v>
      </c>
      <c r="B693" s="1">
        <v>41701</v>
      </c>
      <c r="C693" t="s">
        <v>0</v>
      </c>
      <c r="D693" t="s">
        <v>1179</v>
      </c>
      <c r="E693" t="s">
        <v>1180</v>
      </c>
      <c r="F693" t="s">
        <v>3</v>
      </c>
      <c r="G693" t="s">
        <v>74</v>
      </c>
      <c r="H693" t="s">
        <v>147</v>
      </c>
      <c r="I693" t="s">
        <v>1181</v>
      </c>
      <c r="J693" s="2">
        <v>15.984000000000002</v>
      </c>
      <c r="K693">
        <v>2</v>
      </c>
      <c r="L693" s="4"/>
    </row>
    <row r="694" spans="1:12" x14ac:dyDescent="0.3">
      <c r="A694" s="1">
        <v>41699</v>
      </c>
      <c r="B694" s="1">
        <v>41701</v>
      </c>
      <c r="C694" t="s">
        <v>0</v>
      </c>
      <c r="D694" t="s">
        <v>1179</v>
      </c>
      <c r="E694" t="s">
        <v>1180</v>
      </c>
      <c r="F694" t="s">
        <v>3</v>
      </c>
      <c r="G694" t="s">
        <v>12</v>
      </c>
      <c r="H694" t="s">
        <v>70</v>
      </c>
      <c r="I694" t="s">
        <v>1130</v>
      </c>
      <c r="J694" s="2">
        <v>184.75200000000001</v>
      </c>
      <c r="K694">
        <v>3</v>
      </c>
      <c r="L694" s="4"/>
    </row>
    <row r="695" spans="1:12" x14ac:dyDescent="0.3">
      <c r="A695" s="1">
        <v>41700</v>
      </c>
      <c r="B695" s="1">
        <v>41704</v>
      </c>
      <c r="C695" t="s">
        <v>7</v>
      </c>
      <c r="D695" t="s">
        <v>1182</v>
      </c>
      <c r="E695" t="s">
        <v>1183</v>
      </c>
      <c r="F695" t="s">
        <v>56</v>
      </c>
      <c r="G695" t="s">
        <v>12</v>
      </c>
      <c r="H695" t="s">
        <v>44</v>
      </c>
      <c r="I695" t="s">
        <v>1184</v>
      </c>
      <c r="J695" s="2">
        <v>787.53</v>
      </c>
      <c r="K695">
        <v>3</v>
      </c>
      <c r="L695" s="4"/>
    </row>
    <row r="696" spans="1:12" x14ac:dyDescent="0.3">
      <c r="A696" s="1">
        <v>41704</v>
      </c>
      <c r="B696" s="1">
        <v>41709</v>
      </c>
      <c r="C696" t="s">
        <v>7</v>
      </c>
      <c r="D696" t="s">
        <v>1185</v>
      </c>
      <c r="E696" t="s">
        <v>1186</v>
      </c>
      <c r="F696" t="s">
        <v>3</v>
      </c>
      <c r="G696" t="s">
        <v>12</v>
      </c>
      <c r="H696" t="s">
        <v>35</v>
      </c>
      <c r="I696" t="s">
        <v>1187</v>
      </c>
      <c r="J696" s="2">
        <v>435.26</v>
      </c>
      <c r="K696">
        <v>7</v>
      </c>
      <c r="L696" s="4"/>
    </row>
    <row r="697" spans="1:12" x14ac:dyDescent="0.3">
      <c r="A697" s="1">
        <v>41704</v>
      </c>
      <c r="B697" s="1">
        <v>41709</v>
      </c>
      <c r="C697" t="s">
        <v>7</v>
      </c>
      <c r="D697" t="s">
        <v>1185</v>
      </c>
      <c r="E697" t="s">
        <v>1186</v>
      </c>
      <c r="F697" t="s">
        <v>3</v>
      </c>
      <c r="G697" t="s">
        <v>74</v>
      </c>
      <c r="H697" t="s">
        <v>534</v>
      </c>
      <c r="I697" t="s">
        <v>1188</v>
      </c>
      <c r="J697" s="2">
        <v>1119.9840000000002</v>
      </c>
      <c r="K697">
        <v>2</v>
      </c>
      <c r="L697" s="4"/>
    </row>
    <row r="698" spans="1:12" x14ac:dyDescent="0.3">
      <c r="A698" s="1">
        <v>41706</v>
      </c>
      <c r="B698" s="1">
        <v>41708</v>
      </c>
      <c r="C698" t="s">
        <v>22</v>
      </c>
      <c r="D698" t="s">
        <v>762</v>
      </c>
      <c r="E698" t="s">
        <v>763</v>
      </c>
      <c r="F698" t="s">
        <v>115</v>
      </c>
      <c r="G698" t="s">
        <v>4</v>
      </c>
      <c r="H698" t="s">
        <v>15</v>
      </c>
      <c r="I698" t="s">
        <v>1189</v>
      </c>
      <c r="J698" s="2">
        <v>3.4079999999999999</v>
      </c>
      <c r="K698">
        <v>1</v>
      </c>
      <c r="L698" s="4"/>
    </row>
    <row r="699" spans="1:12" x14ac:dyDescent="0.3">
      <c r="A699" s="1">
        <v>41711</v>
      </c>
      <c r="B699" s="1">
        <v>41713</v>
      </c>
      <c r="C699" t="s">
        <v>22</v>
      </c>
      <c r="D699" t="s">
        <v>625</v>
      </c>
      <c r="E699" t="s">
        <v>626</v>
      </c>
      <c r="F699" t="s">
        <v>56</v>
      </c>
      <c r="G699" t="s">
        <v>12</v>
      </c>
      <c r="H699" t="s">
        <v>13</v>
      </c>
      <c r="I699" t="s">
        <v>1190</v>
      </c>
      <c r="J699" s="2">
        <v>141.96</v>
      </c>
      <c r="K699">
        <v>2</v>
      </c>
      <c r="L699" s="4"/>
    </row>
    <row r="700" spans="1:12" x14ac:dyDescent="0.3">
      <c r="A700" s="1">
        <v>41711</v>
      </c>
      <c r="B700" s="1">
        <v>41716</v>
      </c>
      <c r="C700" t="s">
        <v>0</v>
      </c>
      <c r="D700" t="s">
        <v>251</v>
      </c>
      <c r="E700" t="s">
        <v>252</v>
      </c>
      <c r="F700" t="s">
        <v>3</v>
      </c>
      <c r="G700" t="s">
        <v>12</v>
      </c>
      <c r="H700" t="s">
        <v>70</v>
      </c>
      <c r="I700" t="s">
        <v>95</v>
      </c>
      <c r="J700" s="2">
        <v>915.13600000000008</v>
      </c>
      <c r="K700">
        <v>4</v>
      </c>
      <c r="L700" s="4"/>
    </row>
    <row r="701" spans="1:12" x14ac:dyDescent="0.3">
      <c r="A701" s="1">
        <v>41711</v>
      </c>
      <c r="B701" s="1">
        <v>41716</v>
      </c>
      <c r="C701" t="s">
        <v>0</v>
      </c>
      <c r="D701" t="s">
        <v>251</v>
      </c>
      <c r="E701" t="s">
        <v>252</v>
      </c>
      <c r="F701" t="s">
        <v>3</v>
      </c>
      <c r="G701" t="s">
        <v>12</v>
      </c>
      <c r="H701" t="s">
        <v>35</v>
      </c>
      <c r="I701" t="s">
        <v>537</v>
      </c>
      <c r="J701" s="2">
        <v>327.76</v>
      </c>
      <c r="K701">
        <v>8</v>
      </c>
      <c r="L701" s="4"/>
    </row>
    <row r="702" spans="1:12" x14ac:dyDescent="0.3">
      <c r="A702" s="1">
        <v>41712</v>
      </c>
      <c r="B702" s="1">
        <v>41717</v>
      </c>
      <c r="C702" t="s">
        <v>7</v>
      </c>
      <c r="D702" t="s">
        <v>274</v>
      </c>
      <c r="E702" t="s">
        <v>275</v>
      </c>
      <c r="F702" t="s">
        <v>3</v>
      </c>
      <c r="G702" t="s">
        <v>4</v>
      </c>
      <c r="H702" t="s">
        <v>5</v>
      </c>
      <c r="I702" t="s">
        <v>716</v>
      </c>
      <c r="J702" s="2">
        <v>19.440000000000001</v>
      </c>
      <c r="K702">
        <v>3</v>
      </c>
      <c r="L702" s="4"/>
    </row>
    <row r="703" spans="1:12" x14ac:dyDescent="0.3">
      <c r="A703" s="1">
        <v>41713</v>
      </c>
      <c r="B703" s="1">
        <v>41719</v>
      </c>
      <c r="C703" t="s">
        <v>7</v>
      </c>
      <c r="D703" t="s">
        <v>1191</v>
      </c>
      <c r="E703" t="s">
        <v>1192</v>
      </c>
      <c r="F703" t="s">
        <v>126</v>
      </c>
      <c r="G703" t="s">
        <v>74</v>
      </c>
      <c r="H703" t="s">
        <v>147</v>
      </c>
      <c r="I703" t="s">
        <v>1193</v>
      </c>
      <c r="J703" s="2">
        <v>16.776000000000003</v>
      </c>
      <c r="K703">
        <v>3</v>
      </c>
      <c r="L703" s="4"/>
    </row>
    <row r="704" spans="1:12" x14ac:dyDescent="0.3">
      <c r="A704" s="1">
        <v>41714</v>
      </c>
      <c r="B704" s="1">
        <v>41716</v>
      </c>
      <c r="C704" t="s">
        <v>0</v>
      </c>
      <c r="D704" t="s">
        <v>1194</v>
      </c>
      <c r="E704" t="s">
        <v>1195</v>
      </c>
      <c r="F704" t="s">
        <v>56</v>
      </c>
      <c r="G704" t="s">
        <v>12</v>
      </c>
      <c r="H704" t="s">
        <v>44</v>
      </c>
      <c r="I704" t="s">
        <v>347</v>
      </c>
      <c r="J704" s="2">
        <v>171.96</v>
      </c>
      <c r="K704">
        <v>2</v>
      </c>
      <c r="L704" s="4"/>
    </row>
    <row r="705" spans="1:12" x14ac:dyDescent="0.3">
      <c r="A705" s="1">
        <v>41714</v>
      </c>
      <c r="B705" s="1">
        <v>41721</v>
      </c>
      <c r="C705" t="s">
        <v>7</v>
      </c>
      <c r="D705" t="s">
        <v>1196</v>
      </c>
      <c r="E705" t="s">
        <v>1197</v>
      </c>
      <c r="F705" t="s">
        <v>3</v>
      </c>
      <c r="G705" t="s">
        <v>12</v>
      </c>
      <c r="H705" t="s">
        <v>35</v>
      </c>
      <c r="I705" t="s">
        <v>1198</v>
      </c>
      <c r="J705" s="2">
        <v>43.13</v>
      </c>
      <c r="K705">
        <v>1</v>
      </c>
      <c r="L705" s="4"/>
    </row>
    <row r="706" spans="1:12" x14ac:dyDescent="0.3">
      <c r="A706" s="1">
        <v>41717</v>
      </c>
      <c r="B706" s="1">
        <v>41723</v>
      </c>
      <c r="C706" t="s">
        <v>7</v>
      </c>
      <c r="D706" t="s">
        <v>1199</v>
      </c>
      <c r="E706" t="s">
        <v>1200</v>
      </c>
      <c r="F706" t="s">
        <v>56</v>
      </c>
      <c r="G706" t="s">
        <v>74</v>
      </c>
      <c r="H706" t="s">
        <v>147</v>
      </c>
      <c r="I706" t="s">
        <v>1201</v>
      </c>
      <c r="J706" s="2">
        <v>453.57600000000002</v>
      </c>
      <c r="K706">
        <v>3</v>
      </c>
      <c r="L706" s="4"/>
    </row>
    <row r="707" spans="1:12" x14ac:dyDescent="0.3">
      <c r="A707" s="1">
        <v>41717</v>
      </c>
      <c r="B707" s="1">
        <v>41718</v>
      </c>
      <c r="C707" t="s">
        <v>22</v>
      </c>
      <c r="D707" t="s">
        <v>1202</v>
      </c>
      <c r="E707" t="s">
        <v>1203</v>
      </c>
      <c r="F707" t="s">
        <v>56</v>
      </c>
      <c r="G707" t="s">
        <v>4</v>
      </c>
      <c r="H707" t="s">
        <v>10</v>
      </c>
      <c r="I707" t="s">
        <v>1204</v>
      </c>
      <c r="J707" s="2">
        <v>1247.6399999999999</v>
      </c>
      <c r="K707">
        <v>3</v>
      </c>
      <c r="L707" s="4"/>
    </row>
    <row r="708" spans="1:12" x14ac:dyDescent="0.3">
      <c r="A708" s="1">
        <v>41717</v>
      </c>
      <c r="B708" s="1">
        <v>41718</v>
      </c>
      <c r="C708" t="s">
        <v>22</v>
      </c>
      <c r="D708" t="s">
        <v>1202</v>
      </c>
      <c r="E708" t="s">
        <v>1203</v>
      </c>
      <c r="F708" t="s">
        <v>56</v>
      </c>
      <c r="G708" t="s">
        <v>74</v>
      </c>
      <c r="H708" t="s">
        <v>534</v>
      </c>
      <c r="I708" t="s">
        <v>1205</v>
      </c>
      <c r="J708" s="2">
        <v>3149.9300000000003</v>
      </c>
      <c r="K708">
        <v>7</v>
      </c>
      <c r="L708" s="4"/>
    </row>
    <row r="709" spans="1:12" x14ac:dyDescent="0.3">
      <c r="A709" s="1">
        <v>41717</v>
      </c>
      <c r="B709" s="1">
        <v>41718</v>
      </c>
      <c r="C709" t="s">
        <v>22</v>
      </c>
      <c r="D709" t="s">
        <v>1202</v>
      </c>
      <c r="E709" t="s">
        <v>1203</v>
      </c>
      <c r="F709" t="s">
        <v>56</v>
      </c>
      <c r="G709" t="s">
        <v>4</v>
      </c>
      <c r="H709" t="s">
        <v>5</v>
      </c>
      <c r="I709" t="s">
        <v>1206</v>
      </c>
      <c r="J709" s="2">
        <v>209.7</v>
      </c>
      <c r="K709">
        <v>2</v>
      </c>
      <c r="L709" s="4"/>
    </row>
    <row r="710" spans="1:12" x14ac:dyDescent="0.3">
      <c r="A710" s="1">
        <v>41717</v>
      </c>
      <c r="B710" s="1">
        <v>41721</v>
      </c>
      <c r="C710" t="s">
        <v>7</v>
      </c>
      <c r="D710" t="s">
        <v>1207</v>
      </c>
      <c r="E710" t="s">
        <v>1208</v>
      </c>
      <c r="F710" t="s">
        <v>3</v>
      </c>
      <c r="G710" t="s">
        <v>4</v>
      </c>
      <c r="H710" t="s">
        <v>26</v>
      </c>
      <c r="I710" t="s">
        <v>1209</v>
      </c>
      <c r="J710" s="2">
        <v>17.568000000000001</v>
      </c>
      <c r="K710">
        <v>2</v>
      </c>
      <c r="L710" s="4"/>
    </row>
    <row r="711" spans="1:12" x14ac:dyDescent="0.3">
      <c r="A711" s="1">
        <v>41717</v>
      </c>
      <c r="B711" s="1">
        <v>41721</v>
      </c>
      <c r="C711" t="s">
        <v>7</v>
      </c>
      <c r="D711" t="s">
        <v>1207</v>
      </c>
      <c r="E711" t="s">
        <v>1208</v>
      </c>
      <c r="F711" t="s">
        <v>3</v>
      </c>
      <c r="G711" t="s">
        <v>4</v>
      </c>
      <c r="H711" t="s">
        <v>168</v>
      </c>
      <c r="I711" t="s">
        <v>1210</v>
      </c>
      <c r="J711" s="2">
        <v>14.62</v>
      </c>
      <c r="K711">
        <v>2</v>
      </c>
      <c r="L711" s="4"/>
    </row>
    <row r="712" spans="1:12" x14ac:dyDescent="0.3">
      <c r="A712" s="1">
        <v>41717</v>
      </c>
      <c r="B712" s="1">
        <v>41721</v>
      </c>
      <c r="C712" t="s">
        <v>7</v>
      </c>
      <c r="D712" t="s">
        <v>1207</v>
      </c>
      <c r="E712" t="s">
        <v>1208</v>
      </c>
      <c r="F712" t="s">
        <v>3</v>
      </c>
      <c r="G712" t="s">
        <v>4</v>
      </c>
      <c r="H712" t="s">
        <v>78</v>
      </c>
      <c r="I712" t="s">
        <v>1211</v>
      </c>
      <c r="J712" s="2">
        <v>33.36</v>
      </c>
      <c r="K712">
        <v>4</v>
      </c>
      <c r="L712" s="4"/>
    </row>
    <row r="713" spans="1:12" x14ac:dyDescent="0.3">
      <c r="A713" s="1">
        <v>41717</v>
      </c>
      <c r="B713" s="1">
        <v>41721</v>
      </c>
      <c r="C713" t="s">
        <v>7</v>
      </c>
      <c r="D713" t="s">
        <v>1207</v>
      </c>
      <c r="E713" t="s">
        <v>1208</v>
      </c>
      <c r="F713" t="s">
        <v>3</v>
      </c>
      <c r="G713" t="s">
        <v>4</v>
      </c>
      <c r="H713" t="s">
        <v>5</v>
      </c>
      <c r="I713" t="s">
        <v>1212</v>
      </c>
      <c r="J713" s="2">
        <v>40.14</v>
      </c>
      <c r="K713">
        <v>6</v>
      </c>
      <c r="L713" s="4"/>
    </row>
    <row r="714" spans="1:12" x14ac:dyDescent="0.3">
      <c r="A714" s="1">
        <v>41717</v>
      </c>
      <c r="B714" s="1">
        <v>41724</v>
      </c>
      <c r="C714" t="s">
        <v>7</v>
      </c>
      <c r="D714" t="s">
        <v>663</v>
      </c>
      <c r="E714" t="s">
        <v>664</v>
      </c>
      <c r="F714" t="s">
        <v>3</v>
      </c>
      <c r="G714" t="s">
        <v>4</v>
      </c>
      <c r="H714" t="s">
        <v>5</v>
      </c>
      <c r="I714" t="s">
        <v>901</v>
      </c>
      <c r="J714" s="2">
        <v>11.96</v>
      </c>
      <c r="K714">
        <v>2</v>
      </c>
      <c r="L714" s="4"/>
    </row>
    <row r="715" spans="1:12" x14ac:dyDescent="0.3">
      <c r="A715" s="1">
        <v>41717</v>
      </c>
      <c r="B715" s="1">
        <v>41718</v>
      </c>
      <c r="C715" t="s">
        <v>22</v>
      </c>
      <c r="D715" t="s">
        <v>178</v>
      </c>
      <c r="E715" t="s">
        <v>179</v>
      </c>
      <c r="F715" t="s">
        <v>3</v>
      </c>
      <c r="G715" t="s">
        <v>4</v>
      </c>
      <c r="H715" t="s">
        <v>52</v>
      </c>
      <c r="I715" t="s">
        <v>715</v>
      </c>
      <c r="J715" s="2">
        <v>10.9</v>
      </c>
      <c r="K715">
        <v>5</v>
      </c>
      <c r="L715" s="4"/>
    </row>
    <row r="716" spans="1:12" x14ac:dyDescent="0.3">
      <c r="A716" s="1">
        <v>41718</v>
      </c>
      <c r="B716" s="1">
        <v>41720</v>
      </c>
      <c r="C716" t="s">
        <v>0</v>
      </c>
      <c r="D716" t="s">
        <v>1213</v>
      </c>
      <c r="E716" t="s">
        <v>1214</v>
      </c>
      <c r="F716" t="s">
        <v>19</v>
      </c>
      <c r="G716" t="s">
        <v>4</v>
      </c>
      <c r="H716" t="s">
        <v>10</v>
      </c>
      <c r="I716" t="s">
        <v>591</v>
      </c>
      <c r="J716" s="2">
        <v>29.304000000000002</v>
      </c>
      <c r="K716">
        <v>3</v>
      </c>
      <c r="L716" s="4"/>
    </row>
    <row r="717" spans="1:12" x14ac:dyDescent="0.3">
      <c r="A717" s="1">
        <v>41720</v>
      </c>
      <c r="B717" s="1">
        <v>41722</v>
      </c>
      <c r="C717" t="s">
        <v>22</v>
      </c>
      <c r="D717" t="s">
        <v>881</v>
      </c>
      <c r="E717" t="s">
        <v>882</v>
      </c>
      <c r="F717" t="s">
        <v>3</v>
      </c>
      <c r="G717" t="s">
        <v>74</v>
      </c>
      <c r="H717" t="s">
        <v>147</v>
      </c>
      <c r="I717" t="s">
        <v>1181</v>
      </c>
      <c r="J717" s="2">
        <v>15.984000000000002</v>
      </c>
      <c r="K717">
        <v>2</v>
      </c>
      <c r="L717" s="4"/>
    </row>
    <row r="718" spans="1:12" x14ac:dyDescent="0.3">
      <c r="A718" s="1">
        <v>41720</v>
      </c>
      <c r="B718" s="1">
        <v>41724</v>
      </c>
      <c r="C718" t="s">
        <v>7</v>
      </c>
      <c r="D718" t="s">
        <v>911</v>
      </c>
      <c r="E718" t="s">
        <v>912</v>
      </c>
      <c r="F718" t="s">
        <v>3</v>
      </c>
      <c r="G718" t="s">
        <v>4</v>
      </c>
      <c r="H718" t="s">
        <v>5</v>
      </c>
      <c r="I718" t="s">
        <v>839</v>
      </c>
      <c r="J718" s="2">
        <v>105.52</v>
      </c>
      <c r="K718">
        <v>4</v>
      </c>
      <c r="L718" s="4"/>
    </row>
    <row r="719" spans="1:12" x14ac:dyDescent="0.3">
      <c r="A719" s="1">
        <v>41720</v>
      </c>
      <c r="B719" s="1">
        <v>41724</v>
      </c>
      <c r="C719" t="s">
        <v>7</v>
      </c>
      <c r="D719" t="s">
        <v>911</v>
      </c>
      <c r="E719" t="s">
        <v>912</v>
      </c>
      <c r="F719" t="s">
        <v>3</v>
      </c>
      <c r="G719" t="s">
        <v>12</v>
      </c>
      <c r="H719" t="s">
        <v>35</v>
      </c>
      <c r="I719" t="s">
        <v>204</v>
      </c>
      <c r="J719" s="2">
        <v>91.96</v>
      </c>
      <c r="K719">
        <v>2</v>
      </c>
      <c r="L719" s="4"/>
    </row>
    <row r="720" spans="1:12" x14ac:dyDescent="0.3">
      <c r="A720" s="1">
        <v>41720</v>
      </c>
      <c r="B720" s="1">
        <v>41724</v>
      </c>
      <c r="C720" t="s">
        <v>7</v>
      </c>
      <c r="D720" t="s">
        <v>911</v>
      </c>
      <c r="E720" t="s">
        <v>912</v>
      </c>
      <c r="F720" t="s">
        <v>3</v>
      </c>
      <c r="G720" t="s">
        <v>74</v>
      </c>
      <c r="H720" t="s">
        <v>147</v>
      </c>
      <c r="I720" t="s">
        <v>831</v>
      </c>
      <c r="J720" s="2">
        <v>1487.9760000000001</v>
      </c>
      <c r="K720">
        <v>3</v>
      </c>
      <c r="L720" s="4"/>
    </row>
    <row r="721" spans="1:12" x14ac:dyDescent="0.3">
      <c r="A721" s="1">
        <v>41721</v>
      </c>
      <c r="B721" s="1">
        <v>41728</v>
      </c>
      <c r="C721" t="s">
        <v>7</v>
      </c>
      <c r="D721" t="s">
        <v>1062</v>
      </c>
      <c r="E721" t="s">
        <v>1063</v>
      </c>
      <c r="F721" t="s">
        <v>3</v>
      </c>
      <c r="G721" t="s">
        <v>4</v>
      </c>
      <c r="H721" t="s">
        <v>5</v>
      </c>
      <c r="I721" t="s">
        <v>1215</v>
      </c>
      <c r="J721" s="2">
        <v>33.36</v>
      </c>
      <c r="K721">
        <v>4</v>
      </c>
      <c r="L721" s="4"/>
    </row>
    <row r="722" spans="1:12" x14ac:dyDescent="0.3">
      <c r="A722" s="1">
        <v>41721</v>
      </c>
      <c r="B722" s="1">
        <v>41723</v>
      </c>
      <c r="C722" t="s">
        <v>22</v>
      </c>
      <c r="D722" t="s">
        <v>1216</v>
      </c>
      <c r="E722" t="s">
        <v>1217</v>
      </c>
      <c r="F722" t="s">
        <v>3</v>
      </c>
      <c r="G722" t="s">
        <v>4</v>
      </c>
      <c r="H722" t="s">
        <v>5</v>
      </c>
      <c r="I722" t="s">
        <v>28</v>
      </c>
      <c r="J722" s="2">
        <v>192.72</v>
      </c>
      <c r="K722">
        <v>11</v>
      </c>
      <c r="L722" s="4"/>
    </row>
    <row r="723" spans="1:12" x14ac:dyDescent="0.3">
      <c r="A723" s="1">
        <v>41721</v>
      </c>
      <c r="B723" s="1">
        <v>41723</v>
      </c>
      <c r="C723" t="s">
        <v>22</v>
      </c>
      <c r="D723" t="s">
        <v>1216</v>
      </c>
      <c r="E723" t="s">
        <v>1217</v>
      </c>
      <c r="F723" t="s">
        <v>3</v>
      </c>
      <c r="G723" t="s">
        <v>74</v>
      </c>
      <c r="H723" t="s">
        <v>75</v>
      </c>
      <c r="I723" t="s">
        <v>76</v>
      </c>
      <c r="J723" s="2">
        <v>239.96999999999997</v>
      </c>
      <c r="K723">
        <v>3</v>
      </c>
      <c r="L723" s="4"/>
    </row>
    <row r="724" spans="1:12" x14ac:dyDescent="0.3">
      <c r="A724" s="1">
        <v>41722</v>
      </c>
      <c r="B724" s="1">
        <v>41725</v>
      </c>
      <c r="C724" t="s">
        <v>0</v>
      </c>
      <c r="D724" t="s">
        <v>1218</v>
      </c>
      <c r="E724" t="s">
        <v>1219</v>
      </c>
      <c r="F724" t="s">
        <v>56</v>
      </c>
      <c r="G724" t="s">
        <v>12</v>
      </c>
      <c r="H724" t="s">
        <v>35</v>
      </c>
      <c r="I724" t="s">
        <v>1220</v>
      </c>
      <c r="J724" s="2">
        <v>46.900000000000006</v>
      </c>
      <c r="K724">
        <v>5</v>
      </c>
      <c r="L724" s="4"/>
    </row>
    <row r="725" spans="1:12" x14ac:dyDescent="0.3">
      <c r="A725" s="1">
        <v>41724</v>
      </c>
      <c r="B725" s="1">
        <v>41728</v>
      </c>
      <c r="C725" t="s">
        <v>7</v>
      </c>
      <c r="D725" t="s">
        <v>1221</v>
      </c>
      <c r="E725" t="s">
        <v>1222</v>
      </c>
      <c r="F725" t="s">
        <v>56</v>
      </c>
      <c r="G725" t="s">
        <v>12</v>
      </c>
      <c r="H725" t="s">
        <v>44</v>
      </c>
      <c r="I725" t="s">
        <v>1223</v>
      </c>
      <c r="J725" s="2">
        <v>3393.68</v>
      </c>
      <c r="K725">
        <v>8</v>
      </c>
      <c r="L725" s="4"/>
    </row>
    <row r="726" spans="1:12" x14ac:dyDescent="0.3">
      <c r="A726" s="1">
        <v>41725</v>
      </c>
      <c r="B726" s="1">
        <v>41732</v>
      </c>
      <c r="C726" t="s">
        <v>7</v>
      </c>
      <c r="D726" t="s">
        <v>32</v>
      </c>
      <c r="E726" t="s">
        <v>33</v>
      </c>
      <c r="F726" t="s">
        <v>56</v>
      </c>
      <c r="G726" t="s">
        <v>4</v>
      </c>
      <c r="H726" t="s">
        <v>10</v>
      </c>
      <c r="I726" t="s">
        <v>1224</v>
      </c>
      <c r="J726" s="2">
        <v>83.699999999999989</v>
      </c>
      <c r="K726">
        <v>5</v>
      </c>
      <c r="L726" s="4"/>
    </row>
    <row r="727" spans="1:12" x14ac:dyDescent="0.3">
      <c r="A727" s="1">
        <v>41726</v>
      </c>
      <c r="B727" s="1">
        <v>41731</v>
      </c>
      <c r="C727" t="s">
        <v>7</v>
      </c>
      <c r="D727" t="s">
        <v>1225</v>
      </c>
      <c r="E727" t="s">
        <v>1226</v>
      </c>
      <c r="F727" t="s">
        <v>3</v>
      </c>
      <c r="G727" t="s">
        <v>74</v>
      </c>
      <c r="H727" t="s">
        <v>75</v>
      </c>
      <c r="I727" t="s">
        <v>1227</v>
      </c>
      <c r="J727" s="2">
        <v>166.24</v>
      </c>
      <c r="K727">
        <v>1</v>
      </c>
      <c r="L727" s="4"/>
    </row>
    <row r="728" spans="1:12" x14ac:dyDescent="0.3">
      <c r="A728" s="1">
        <v>41726</v>
      </c>
      <c r="B728" s="1">
        <v>41731</v>
      </c>
      <c r="C728" t="s">
        <v>7</v>
      </c>
      <c r="D728" t="s">
        <v>1225</v>
      </c>
      <c r="E728" t="s">
        <v>1226</v>
      </c>
      <c r="F728" t="s">
        <v>3</v>
      </c>
      <c r="G728" t="s">
        <v>4</v>
      </c>
      <c r="H728" t="s">
        <v>5</v>
      </c>
      <c r="I728" t="s">
        <v>1228</v>
      </c>
      <c r="J728" s="2">
        <v>33.4</v>
      </c>
      <c r="K728">
        <v>5</v>
      </c>
      <c r="L728" s="4"/>
    </row>
    <row r="729" spans="1:12" x14ac:dyDescent="0.3">
      <c r="A729" s="1">
        <v>41727</v>
      </c>
      <c r="B729" s="1">
        <v>41733</v>
      </c>
      <c r="C729" t="s">
        <v>7</v>
      </c>
      <c r="D729" t="s">
        <v>1229</v>
      </c>
      <c r="E729" t="s">
        <v>1230</v>
      </c>
      <c r="F729" t="s">
        <v>56</v>
      </c>
      <c r="G729" t="s">
        <v>4</v>
      </c>
      <c r="H729" t="s">
        <v>20</v>
      </c>
      <c r="I729" t="s">
        <v>1231</v>
      </c>
      <c r="J729" s="2">
        <v>73.28</v>
      </c>
      <c r="K729">
        <v>4</v>
      </c>
      <c r="L729" s="4"/>
    </row>
    <row r="730" spans="1:12" x14ac:dyDescent="0.3">
      <c r="A730" s="1">
        <v>41727</v>
      </c>
      <c r="B730" s="1">
        <v>41729</v>
      </c>
      <c r="C730" t="s">
        <v>0</v>
      </c>
      <c r="D730" t="s">
        <v>117</v>
      </c>
      <c r="E730" t="s">
        <v>118</v>
      </c>
      <c r="F730" t="s">
        <v>3</v>
      </c>
      <c r="G730" t="s">
        <v>4</v>
      </c>
      <c r="H730" t="s">
        <v>5</v>
      </c>
      <c r="I730" t="s">
        <v>1232</v>
      </c>
      <c r="J730" s="2">
        <v>212.64</v>
      </c>
      <c r="K730">
        <v>6</v>
      </c>
      <c r="L730" s="4"/>
    </row>
    <row r="731" spans="1:12" x14ac:dyDescent="0.3">
      <c r="A731" s="1">
        <v>41727</v>
      </c>
      <c r="B731" s="1">
        <v>41729</v>
      </c>
      <c r="C731" t="s">
        <v>0</v>
      </c>
      <c r="D731" t="s">
        <v>117</v>
      </c>
      <c r="E731" t="s">
        <v>118</v>
      </c>
      <c r="F731" t="s">
        <v>3</v>
      </c>
      <c r="G731" t="s">
        <v>4</v>
      </c>
      <c r="H731" t="s">
        <v>5</v>
      </c>
      <c r="I731" t="s">
        <v>935</v>
      </c>
      <c r="J731" s="2">
        <v>9.870000000000001</v>
      </c>
      <c r="K731">
        <v>3</v>
      </c>
      <c r="L731" s="4"/>
    </row>
    <row r="732" spans="1:12" x14ac:dyDescent="0.3">
      <c r="A732" s="1">
        <v>41727</v>
      </c>
      <c r="B732" s="1">
        <v>41729</v>
      </c>
      <c r="C732" t="s">
        <v>0</v>
      </c>
      <c r="D732" t="s">
        <v>117</v>
      </c>
      <c r="E732" t="s">
        <v>118</v>
      </c>
      <c r="F732" t="s">
        <v>3</v>
      </c>
      <c r="G732" t="s">
        <v>74</v>
      </c>
      <c r="H732" t="s">
        <v>75</v>
      </c>
      <c r="I732" t="s">
        <v>1233</v>
      </c>
      <c r="J732" s="2">
        <v>53.25</v>
      </c>
      <c r="K732">
        <v>3</v>
      </c>
      <c r="L732" s="4"/>
    </row>
    <row r="733" spans="1:12" x14ac:dyDescent="0.3">
      <c r="A733" s="1">
        <v>41727</v>
      </c>
      <c r="B733" s="1">
        <v>41729</v>
      </c>
      <c r="C733" t="s">
        <v>0</v>
      </c>
      <c r="D733" t="s">
        <v>117</v>
      </c>
      <c r="E733" t="s">
        <v>118</v>
      </c>
      <c r="F733" t="s">
        <v>3</v>
      </c>
      <c r="G733" t="s">
        <v>12</v>
      </c>
      <c r="H733" t="s">
        <v>35</v>
      </c>
      <c r="I733" t="s">
        <v>1234</v>
      </c>
      <c r="J733" s="2">
        <v>19.919999999999998</v>
      </c>
      <c r="K733">
        <v>3</v>
      </c>
      <c r="L733" s="4"/>
    </row>
    <row r="734" spans="1:12" x14ac:dyDescent="0.3">
      <c r="A734" s="1">
        <v>41731</v>
      </c>
      <c r="B734" s="1">
        <v>41738</v>
      </c>
      <c r="C734" t="s">
        <v>7</v>
      </c>
      <c r="D734" t="s">
        <v>1235</v>
      </c>
      <c r="E734" t="s">
        <v>1236</v>
      </c>
      <c r="F734" t="s">
        <v>3</v>
      </c>
      <c r="G734" t="s">
        <v>74</v>
      </c>
      <c r="H734" t="s">
        <v>138</v>
      </c>
      <c r="I734" t="s">
        <v>1237</v>
      </c>
      <c r="J734" s="2">
        <v>71.975999999999999</v>
      </c>
      <c r="K734">
        <v>3</v>
      </c>
      <c r="L734" s="4"/>
    </row>
    <row r="735" spans="1:12" x14ac:dyDescent="0.3">
      <c r="A735" s="1">
        <v>41731</v>
      </c>
      <c r="B735" s="1">
        <v>41736</v>
      </c>
      <c r="C735" t="s">
        <v>7</v>
      </c>
      <c r="D735" t="s">
        <v>1185</v>
      </c>
      <c r="E735" t="s">
        <v>1186</v>
      </c>
      <c r="F735" t="s">
        <v>25</v>
      </c>
      <c r="G735" t="s">
        <v>74</v>
      </c>
      <c r="H735" t="s">
        <v>147</v>
      </c>
      <c r="I735" t="s">
        <v>1012</v>
      </c>
      <c r="J735" s="2">
        <v>87.8</v>
      </c>
      <c r="K735">
        <v>5</v>
      </c>
      <c r="L735" s="4"/>
    </row>
    <row r="736" spans="1:12" x14ac:dyDescent="0.3">
      <c r="A736" s="1">
        <v>41734</v>
      </c>
      <c r="B736" s="1">
        <v>41740</v>
      </c>
      <c r="C736" t="s">
        <v>7</v>
      </c>
      <c r="D736" t="s">
        <v>1238</v>
      </c>
      <c r="E736" t="s">
        <v>1239</v>
      </c>
      <c r="F736" t="s">
        <v>3</v>
      </c>
      <c r="G736" t="s">
        <v>12</v>
      </c>
      <c r="H736" t="s">
        <v>70</v>
      </c>
      <c r="I736" t="s">
        <v>265</v>
      </c>
      <c r="J736" s="2">
        <v>892.22400000000005</v>
      </c>
      <c r="K736">
        <v>3</v>
      </c>
      <c r="L736" s="4"/>
    </row>
    <row r="737" spans="1:12" x14ac:dyDescent="0.3">
      <c r="A737" s="1">
        <v>41734</v>
      </c>
      <c r="B737" s="1">
        <v>41735</v>
      </c>
      <c r="C737" t="s">
        <v>240</v>
      </c>
      <c r="D737" t="s">
        <v>1240</v>
      </c>
      <c r="E737" t="s">
        <v>1241</v>
      </c>
      <c r="F737" t="s">
        <v>56</v>
      </c>
      <c r="G737" t="s">
        <v>74</v>
      </c>
      <c r="H737" t="s">
        <v>75</v>
      </c>
      <c r="I737" t="s">
        <v>541</v>
      </c>
      <c r="J737" s="2">
        <v>239.94</v>
      </c>
      <c r="K737">
        <v>6</v>
      </c>
      <c r="L737" s="4"/>
    </row>
    <row r="738" spans="1:12" x14ac:dyDescent="0.3">
      <c r="A738" s="1">
        <v>41734</v>
      </c>
      <c r="B738" s="1">
        <v>41735</v>
      </c>
      <c r="C738" t="s">
        <v>240</v>
      </c>
      <c r="D738" t="s">
        <v>1240</v>
      </c>
      <c r="E738" t="s">
        <v>1241</v>
      </c>
      <c r="F738" t="s">
        <v>56</v>
      </c>
      <c r="G738" t="s">
        <v>4</v>
      </c>
      <c r="H738" t="s">
        <v>15</v>
      </c>
      <c r="I738" t="s">
        <v>1242</v>
      </c>
      <c r="J738" s="2">
        <v>23.84</v>
      </c>
      <c r="K738">
        <v>8</v>
      </c>
      <c r="L738" s="4"/>
    </row>
    <row r="739" spans="1:12" x14ac:dyDescent="0.3">
      <c r="A739" s="1">
        <v>41738</v>
      </c>
      <c r="B739" s="1">
        <v>41743</v>
      </c>
      <c r="C739" t="s">
        <v>7</v>
      </c>
      <c r="D739" t="s">
        <v>1243</v>
      </c>
      <c r="E739" t="s">
        <v>1244</v>
      </c>
      <c r="F739" t="s">
        <v>3</v>
      </c>
      <c r="G739" t="s">
        <v>12</v>
      </c>
      <c r="H739" t="s">
        <v>44</v>
      </c>
      <c r="I739" t="s">
        <v>1245</v>
      </c>
      <c r="J739" s="2">
        <v>369.91200000000003</v>
      </c>
      <c r="K739">
        <v>3</v>
      </c>
      <c r="L739" s="4"/>
    </row>
    <row r="740" spans="1:12" x14ac:dyDescent="0.3">
      <c r="A740" s="1">
        <v>41739</v>
      </c>
      <c r="B740" s="1">
        <v>41744</v>
      </c>
      <c r="C740" t="s">
        <v>7</v>
      </c>
      <c r="D740" t="s">
        <v>1027</v>
      </c>
      <c r="E740" t="s">
        <v>1028</v>
      </c>
      <c r="F740" t="s">
        <v>3</v>
      </c>
      <c r="G740" t="s">
        <v>4</v>
      </c>
      <c r="H740" t="s">
        <v>26</v>
      </c>
      <c r="I740" t="s">
        <v>1246</v>
      </c>
      <c r="J740" s="2">
        <v>12.832000000000001</v>
      </c>
      <c r="K740">
        <v>2</v>
      </c>
      <c r="L740" s="4"/>
    </row>
    <row r="741" spans="1:12" x14ac:dyDescent="0.3">
      <c r="A741" s="1">
        <v>41740</v>
      </c>
      <c r="B741" s="1">
        <v>41743</v>
      </c>
      <c r="C741" t="s">
        <v>0</v>
      </c>
      <c r="D741" t="s">
        <v>1247</v>
      </c>
      <c r="E741" t="s">
        <v>1248</v>
      </c>
      <c r="F741" t="s">
        <v>3</v>
      </c>
      <c r="G741" t="s">
        <v>74</v>
      </c>
      <c r="H741" t="s">
        <v>534</v>
      </c>
      <c r="I741" t="s">
        <v>1249</v>
      </c>
      <c r="J741" s="2">
        <v>639.96800000000007</v>
      </c>
      <c r="K741">
        <v>4</v>
      </c>
      <c r="L741" s="4"/>
    </row>
    <row r="742" spans="1:12" x14ac:dyDescent="0.3">
      <c r="A742" s="1">
        <v>41740</v>
      </c>
      <c r="B742" s="1">
        <v>41743</v>
      </c>
      <c r="C742" t="s">
        <v>0</v>
      </c>
      <c r="D742" t="s">
        <v>1247</v>
      </c>
      <c r="E742" t="s">
        <v>1248</v>
      </c>
      <c r="F742" t="s">
        <v>3</v>
      </c>
      <c r="G742" t="s">
        <v>4</v>
      </c>
      <c r="H742" t="s">
        <v>5</v>
      </c>
      <c r="I742" t="s">
        <v>839</v>
      </c>
      <c r="J742" s="2">
        <v>52.76</v>
      </c>
      <c r="K742">
        <v>2</v>
      </c>
      <c r="L742" s="4"/>
    </row>
    <row r="743" spans="1:12" x14ac:dyDescent="0.3">
      <c r="A743" s="1">
        <v>41741</v>
      </c>
      <c r="B743" s="1">
        <v>41746</v>
      </c>
      <c r="C743" t="s">
        <v>0</v>
      </c>
      <c r="D743" t="s">
        <v>1250</v>
      </c>
      <c r="E743" t="s">
        <v>1251</v>
      </c>
      <c r="F743" t="s">
        <v>56</v>
      </c>
      <c r="G743" t="s">
        <v>4</v>
      </c>
      <c r="H743" t="s">
        <v>10</v>
      </c>
      <c r="I743" t="s">
        <v>1252</v>
      </c>
      <c r="J743" s="2">
        <v>40.74</v>
      </c>
      <c r="K743">
        <v>3</v>
      </c>
      <c r="L743" s="4"/>
    </row>
    <row r="744" spans="1:12" x14ac:dyDescent="0.3">
      <c r="A744" s="1">
        <v>41742</v>
      </c>
      <c r="B744" s="1">
        <v>41748</v>
      </c>
      <c r="C744" t="s">
        <v>7</v>
      </c>
      <c r="D744" t="s">
        <v>777</v>
      </c>
      <c r="E744" t="s">
        <v>778</v>
      </c>
      <c r="F744" t="s">
        <v>3</v>
      </c>
      <c r="G744" t="s">
        <v>74</v>
      </c>
      <c r="H744" t="s">
        <v>75</v>
      </c>
      <c r="I744" t="s">
        <v>304</v>
      </c>
      <c r="J744" s="2">
        <v>199.96</v>
      </c>
      <c r="K744">
        <v>4</v>
      </c>
      <c r="L744" s="4"/>
    </row>
    <row r="745" spans="1:12" x14ac:dyDescent="0.3">
      <c r="A745" s="1">
        <v>41742</v>
      </c>
      <c r="B745" s="1">
        <v>41748</v>
      </c>
      <c r="C745" t="s">
        <v>7</v>
      </c>
      <c r="D745" t="s">
        <v>777</v>
      </c>
      <c r="E745" t="s">
        <v>778</v>
      </c>
      <c r="F745" t="s">
        <v>3</v>
      </c>
      <c r="G745" t="s">
        <v>12</v>
      </c>
      <c r="H745" t="s">
        <v>44</v>
      </c>
      <c r="I745" t="s">
        <v>1253</v>
      </c>
      <c r="J745" s="2">
        <v>710.83200000000011</v>
      </c>
      <c r="K745">
        <v>3</v>
      </c>
      <c r="L745" s="4"/>
    </row>
    <row r="746" spans="1:12" x14ac:dyDescent="0.3">
      <c r="A746" s="1">
        <v>41742</v>
      </c>
      <c r="B746" s="1">
        <v>41744</v>
      </c>
      <c r="C746" t="s">
        <v>0</v>
      </c>
      <c r="D746" t="s">
        <v>1254</v>
      </c>
      <c r="E746" t="s">
        <v>1255</v>
      </c>
      <c r="F746" t="s">
        <v>172</v>
      </c>
      <c r="G746" t="s">
        <v>4</v>
      </c>
      <c r="H746" t="s">
        <v>78</v>
      </c>
      <c r="I746" t="s">
        <v>1256</v>
      </c>
      <c r="J746" s="2">
        <v>12.88</v>
      </c>
      <c r="K746">
        <v>1</v>
      </c>
      <c r="L746" s="4"/>
    </row>
    <row r="747" spans="1:12" x14ac:dyDescent="0.3">
      <c r="A747" s="1">
        <v>41742</v>
      </c>
      <c r="B747" s="1">
        <v>41743</v>
      </c>
      <c r="C747" t="s">
        <v>22</v>
      </c>
      <c r="D747" t="s">
        <v>1257</v>
      </c>
      <c r="E747" t="s">
        <v>1258</v>
      </c>
      <c r="F747" t="s">
        <v>25</v>
      </c>
      <c r="G747" t="s">
        <v>4</v>
      </c>
      <c r="H747" t="s">
        <v>5</v>
      </c>
      <c r="I747" t="s">
        <v>1259</v>
      </c>
      <c r="J747" s="2">
        <v>31.104000000000006</v>
      </c>
      <c r="K747">
        <v>6</v>
      </c>
      <c r="L747" s="4"/>
    </row>
    <row r="748" spans="1:12" x14ac:dyDescent="0.3">
      <c r="A748" s="1">
        <v>41742</v>
      </c>
      <c r="B748" s="1">
        <v>41743</v>
      </c>
      <c r="C748" t="s">
        <v>22</v>
      </c>
      <c r="D748" t="s">
        <v>1257</v>
      </c>
      <c r="E748" t="s">
        <v>1258</v>
      </c>
      <c r="F748" t="s">
        <v>25</v>
      </c>
      <c r="G748" t="s">
        <v>4</v>
      </c>
      <c r="H748" t="s">
        <v>5</v>
      </c>
      <c r="I748" t="s">
        <v>1260</v>
      </c>
      <c r="J748" s="2">
        <v>54.816000000000003</v>
      </c>
      <c r="K748">
        <v>3</v>
      </c>
      <c r="L748" s="4"/>
    </row>
    <row r="749" spans="1:12" x14ac:dyDescent="0.3">
      <c r="A749" s="1">
        <v>41742</v>
      </c>
      <c r="B749" s="1">
        <v>41748</v>
      </c>
      <c r="C749" t="s">
        <v>7</v>
      </c>
      <c r="D749" t="s">
        <v>1261</v>
      </c>
      <c r="E749" t="s">
        <v>1262</v>
      </c>
      <c r="F749" t="s">
        <v>3</v>
      </c>
      <c r="G749" t="s">
        <v>12</v>
      </c>
      <c r="H749" t="s">
        <v>35</v>
      </c>
      <c r="I749" t="s">
        <v>1263</v>
      </c>
      <c r="J749" s="2">
        <v>37.68</v>
      </c>
      <c r="K749">
        <v>2</v>
      </c>
      <c r="L749" s="4"/>
    </row>
    <row r="750" spans="1:12" x14ac:dyDescent="0.3">
      <c r="A750" s="1">
        <v>41742</v>
      </c>
      <c r="B750" s="1">
        <v>41748</v>
      </c>
      <c r="C750" t="s">
        <v>7</v>
      </c>
      <c r="D750" t="s">
        <v>1261</v>
      </c>
      <c r="E750" t="s">
        <v>1262</v>
      </c>
      <c r="F750" t="s">
        <v>3</v>
      </c>
      <c r="G750" t="s">
        <v>74</v>
      </c>
      <c r="H750" t="s">
        <v>147</v>
      </c>
      <c r="I750" t="s">
        <v>1264</v>
      </c>
      <c r="J750" s="2">
        <v>258.57600000000002</v>
      </c>
      <c r="K750">
        <v>2</v>
      </c>
      <c r="L750" s="4"/>
    </row>
    <row r="751" spans="1:12" x14ac:dyDescent="0.3">
      <c r="A751" s="1">
        <v>41742</v>
      </c>
      <c r="B751" s="1">
        <v>41748</v>
      </c>
      <c r="C751" t="s">
        <v>7</v>
      </c>
      <c r="D751" t="s">
        <v>1261</v>
      </c>
      <c r="E751" t="s">
        <v>1262</v>
      </c>
      <c r="F751" t="s">
        <v>3</v>
      </c>
      <c r="G751" t="s">
        <v>4</v>
      </c>
      <c r="H751" t="s">
        <v>20</v>
      </c>
      <c r="I751" t="s">
        <v>1265</v>
      </c>
      <c r="J751" s="2">
        <v>75.84</v>
      </c>
      <c r="K751">
        <v>2</v>
      </c>
      <c r="L751" s="4"/>
    </row>
    <row r="752" spans="1:12" x14ac:dyDescent="0.3">
      <c r="A752" s="1">
        <v>41742</v>
      </c>
      <c r="B752" s="1">
        <v>41746</v>
      </c>
      <c r="C752" t="s">
        <v>0</v>
      </c>
      <c r="D752" t="s">
        <v>1266</v>
      </c>
      <c r="E752" t="s">
        <v>1267</v>
      </c>
      <c r="F752" t="s">
        <v>3</v>
      </c>
      <c r="G752" t="s">
        <v>12</v>
      </c>
      <c r="H752" t="s">
        <v>44</v>
      </c>
      <c r="I752" t="s">
        <v>1268</v>
      </c>
      <c r="J752" s="2">
        <v>241.56799999999998</v>
      </c>
      <c r="K752">
        <v>2</v>
      </c>
      <c r="L752" s="4"/>
    </row>
    <row r="753" spans="1:12" x14ac:dyDescent="0.3">
      <c r="A753" s="1">
        <v>41742</v>
      </c>
      <c r="B753" s="1">
        <v>41746</v>
      </c>
      <c r="C753" t="s">
        <v>0</v>
      </c>
      <c r="D753" t="s">
        <v>1266</v>
      </c>
      <c r="E753" t="s">
        <v>1267</v>
      </c>
      <c r="F753" t="s">
        <v>3</v>
      </c>
      <c r="G753" t="s">
        <v>74</v>
      </c>
      <c r="H753" t="s">
        <v>147</v>
      </c>
      <c r="I753" t="s">
        <v>1269</v>
      </c>
      <c r="J753" s="2">
        <v>479.92</v>
      </c>
      <c r="K753">
        <v>2</v>
      </c>
      <c r="L753" s="4"/>
    </row>
    <row r="754" spans="1:12" x14ac:dyDescent="0.3">
      <c r="A754" s="1">
        <v>41742</v>
      </c>
      <c r="B754" s="1">
        <v>41747</v>
      </c>
      <c r="C754" t="s">
        <v>7</v>
      </c>
      <c r="D754" t="s">
        <v>710</v>
      </c>
      <c r="E754" t="s">
        <v>711</v>
      </c>
      <c r="F754" t="s">
        <v>25</v>
      </c>
      <c r="G754" t="s">
        <v>4</v>
      </c>
      <c r="H754" t="s">
        <v>10</v>
      </c>
      <c r="I754" t="s">
        <v>1270</v>
      </c>
      <c r="J754" s="2">
        <v>10.744</v>
      </c>
      <c r="K754">
        <v>1</v>
      </c>
      <c r="L754" s="4"/>
    </row>
    <row r="755" spans="1:12" x14ac:dyDescent="0.3">
      <c r="A755" s="1">
        <v>41743</v>
      </c>
      <c r="B755" s="1">
        <v>41747</v>
      </c>
      <c r="C755" t="s">
        <v>7</v>
      </c>
      <c r="D755" t="s">
        <v>1271</v>
      </c>
      <c r="E755" t="s">
        <v>1272</v>
      </c>
      <c r="F755" t="s">
        <v>19</v>
      </c>
      <c r="G755" t="s">
        <v>4</v>
      </c>
      <c r="H755" t="s">
        <v>20</v>
      </c>
      <c r="I755" t="s">
        <v>1273</v>
      </c>
      <c r="J755" s="2">
        <v>35.207999999999998</v>
      </c>
      <c r="K755">
        <v>1</v>
      </c>
      <c r="L755" s="4"/>
    </row>
    <row r="756" spans="1:12" x14ac:dyDescent="0.3">
      <c r="A756" s="1">
        <v>41746</v>
      </c>
      <c r="B756" s="1">
        <v>41750</v>
      </c>
      <c r="C756" t="s">
        <v>7</v>
      </c>
      <c r="D756" t="s">
        <v>1274</v>
      </c>
      <c r="E756" t="s">
        <v>1275</v>
      </c>
      <c r="F756" t="s">
        <v>3</v>
      </c>
      <c r="G756" t="s">
        <v>4</v>
      </c>
      <c r="H756" t="s">
        <v>15</v>
      </c>
      <c r="I756" t="s">
        <v>422</v>
      </c>
      <c r="J756" s="2">
        <v>5.56</v>
      </c>
      <c r="K756">
        <v>2</v>
      </c>
      <c r="L756" s="4"/>
    </row>
    <row r="757" spans="1:12" x14ac:dyDescent="0.3">
      <c r="A757" s="1">
        <v>41746</v>
      </c>
      <c r="B757" s="1">
        <v>41750</v>
      </c>
      <c r="C757" t="s">
        <v>7</v>
      </c>
      <c r="D757" t="s">
        <v>1274</v>
      </c>
      <c r="E757" t="s">
        <v>1275</v>
      </c>
      <c r="F757" t="s">
        <v>3</v>
      </c>
      <c r="G757" t="s">
        <v>74</v>
      </c>
      <c r="H757" t="s">
        <v>75</v>
      </c>
      <c r="I757" t="s">
        <v>1276</v>
      </c>
      <c r="J757" s="2">
        <v>323.37</v>
      </c>
      <c r="K757">
        <v>3</v>
      </c>
      <c r="L757" s="4"/>
    </row>
    <row r="758" spans="1:12" x14ac:dyDescent="0.3">
      <c r="A758" s="1">
        <v>41746</v>
      </c>
      <c r="B758" s="1">
        <v>41750</v>
      </c>
      <c r="C758" t="s">
        <v>7</v>
      </c>
      <c r="D758" t="s">
        <v>1274</v>
      </c>
      <c r="E758" t="s">
        <v>1275</v>
      </c>
      <c r="F758" t="s">
        <v>3</v>
      </c>
      <c r="G758" t="s">
        <v>74</v>
      </c>
      <c r="H758" t="s">
        <v>147</v>
      </c>
      <c r="I758" t="s">
        <v>1277</v>
      </c>
      <c r="J758" s="2">
        <v>783.96000000000015</v>
      </c>
      <c r="K758">
        <v>5</v>
      </c>
      <c r="L758" s="4"/>
    </row>
    <row r="759" spans="1:12" x14ac:dyDescent="0.3">
      <c r="A759" s="1">
        <v>41746</v>
      </c>
      <c r="B759" s="1">
        <v>41750</v>
      </c>
      <c r="C759" t="s">
        <v>7</v>
      </c>
      <c r="D759" t="s">
        <v>1274</v>
      </c>
      <c r="E759" t="s">
        <v>1275</v>
      </c>
      <c r="F759" t="s">
        <v>3</v>
      </c>
      <c r="G759" t="s">
        <v>4</v>
      </c>
      <c r="H759" t="s">
        <v>20</v>
      </c>
      <c r="I759" t="s">
        <v>1278</v>
      </c>
      <c r="J759" s="2">
        <v>1447.6499999999999</v>
      </c>
      <c r="K759">
        <v>5</v>
      </c>
      <c r="L759" s="4"/>
    </row>
    <row r="760" spans="1:12" x14ac:dyDescent="0.3">
      <c r="A760" s="1">
        <v>41746</v>
      </c>
      <c r="B760" s="1">
        <v>41750</v>
      </c>
      <c r="C760" t="s">
        <v>7</v>
      </c>
      <c r="D760" t="s">
        <v>1274</v>
      </c>
      <c r="E760" t="s">
        <v>1275</v>
      </c>
      <c r="F760" t="s">
        <v>3</v>
      </c>
      <c r="G760" t="s">
        <v>4</v>
      </c>
      <c r="H760" t="s">
        <v>5</v>
      </c>
      <c r="I760" t="s">
        <v>1279</v>
      </c>
      <c r="J760" s="2">
        <v>11.96</v>
      </c>
      <c r="K760">
        <v>2</v>
      </c>
      <c r="L760" s="4"/>
    </row>
    <row r="761" spans="1:12" x14ac:dyDescent="0.3">
      <c r="A761" s="1">
        <v>41747</v>
      </c>
      <c r="B761" s="1">
        <v>41749</v>
      </c>
      <c r="C761" t="s">
        <v>0</v>
      </c>
      <c r="D761" t="s">
        <v>862</v>
      </c>
      <c r="E761" t="s">
        <v>863</v>
      </c>
      <c r="F761" t="s">
        <v>3</v>
      </c>
      <c r="G761" t="s">
        <v>4</v>
      </c>
      <c r="H761" t="s">
        <v>10</v>
      </c>
      <c r="I761" t="s">
        <v>1280</v>
      </c>
      <c r="J761" s="2">
        <v>947.17000000000007</v>
      </c>
      <c r="K761">
        <v>7</v>
      </c>
      <c r="L761" s="4"/>
    </row>
    <row r="762" spans="1:12" x14ac:dyDescent="0.3">
      <c r="A762" s="1">
        <v>41747</v>
      </c>
      <c r="B762" s="1">
        <v>41749</v>
      </c>
      <c r="C762" t="s">
        <v>0</v>
      </c>
      <c r="D762" t="s">
        <v>862</v>
      </c>
      <c r="E762" t="s">
        <v>863</v>
      </c>
      <c r="F762" t="s">
        <v>3</v>
      </c>
      <c r="G762" t="s">
        <v>4</v>
      </c>
      <c r="H762" t="s">
        <v>5</v>
      </c>
      <c r="I762" t="s">
        <v>1281</v>
      </c>
      <c r="J762" s="2">
        <v>61.96</v>
      </c>
      <c r="K762">
        <v>2</v>
      </c>
      <c r="L762" s="4"/>
    </row>
    <row r="763" spans="1:12" x14ac:dyDescent="0.3">
      <c r="A763" s="1">
        <v>41747</v>
      </c>
      <c r="B763" s="1">
        <v>41749</v>
      </c>
      <c r="C763" t="s">
        <v>22</v>
      </c>
      <c r="D763" t="s">
        <v>1282</v>
      </c>
      <c r="E763" t="s">
        <v>1283</v>
      </c>
      <c r="F763" t="s">
        <v>3</v>
      </c>
      <c r="G763" t="s">
        <v>4</v>
      </c>
      <c r="H763" t="s">
        <v>10</v>
      </c>
      <c r="I763" t="s">
        <v>544</v>
      </c>
      <c r="J763" s="2">
        <v>115.44</v>
      </c>
      <c r="K763">
        <v>3</v>
      </c>
      <c r="L763" s="4"/>
    </row>
    <row r="764" spans="1:12" x14ac:dyDescent="0.3">
      <c r="A764" s="1">
        <v>41751</v>
      </c>
      <c r="B764" s="1">
        <v>41755</v>
      </c>
      <c r="C764" t="s">
        <v>7</v>
      </c>
      <c r="D764" t="s">
        <v>1284</v>
      </c>
      <c r="E764" t="s">
        <v>1285</v>
      </c>
      <c r="F764" t="s">
        <v>3</v>
      </c>
      <c r="G764" t="s">
        <v>74</v>
      </c>
      <c r="H764" t="s">
        <v>147</v>
      </c>
      <c r="I764" t="s">
        <v>1286</v>
      </c>
      <c r="J764" s="2">
        <v>88.77600000000001</v>
      </c>
      <c r="K764">
        <v>3</v>
      </c>
      <c r="L764" s="4"/>
    </row>
    <row r="765" spans="1:12" x14ac:dyDescent="0.3">
      <c r="A765" s="1">
        <v>41751</v>
      </c>
      <c r="B765" s="1">
        <v>41755</v>
      </c>
      <c r="C765" t="s">
        <v>7</v>
      </c>
      <c r="D765" t="s">
        <v>1284</v>
      </c>
      <c r="E765" t="s">
        <v>1285</v>
      </c>
      <c r="F765" t="s">
        <v>3</v>
      </c>
      <c r="G765" t="s">
        <v>4</v>
      </c>
      <c r="H765" t="s">
        <v>15</v>
      </c>
      <c r="I765" t="s">
        <v>1287</v>
      </c>
      <c r="J765" s="2">
        <v>64.14</v>
      </c>
      <c r="K765">
        <v>3</v>
      </c>
      <c r="L765" s="4"/>
    </row>
    <row r="766" spans="1:12" x14ac:dyDescent="0.3">
      <c r="A766" s="1">
        <v>41754</v>
      </c>
      <c r="B766" s="1">
        <v>41757</v>
      </c>
      <c r="C766" t="s">
        <v>0</v>
      </c>
      <c r="D766" t="s">
        <v>1288</v>
      </c>
      <c r="E766" t="s">
        <v>1289</v>
      </c>
      <c r="F766" t="s">
        <v>3</v>
      </c>
      <c r="G766" t="s">
        <v>4</v>
      </c>
      <c r="H766" t="s">
        <v>26</v>
      </c>
      <c r="I766" t="s">
        <v>1290</v>
      </c>
      <c r="J766" s="2">
        <v>13.943999999999999</v>
      </c>
      <c r="K766">
        <v>3</v>
      </c>
      <c r="L766" s="4"/>
    </row>
    <row r="767" spans="1:12" x14ac:dyDescent="0.3">
      <c r="A767" s="1">
        <v>41754</v>
      </c>
      <c r="B767" s="1">
        <v>41761</v>
      </c>
      <c r="C767" t="s">
        <v>7</v>
      </c>
      <c r="D767" t="s">
        <v>1291</v>
      </c>
      <c r="E767" t="s">
        <v>1292</v>
      </c>
      <c r="F767" t="s">
        <v>3</v>
      </c>
      <c r="G767" t="s">
        <v>4</v>
      </c>
      <c r="H767" t="s">
        <v>29</v>
      </c>
      <c r="I767" t="s">
        <v>1293</v>
      </c>
      <c r="J767" s="2">
        <v>21.34</v>
      </c>
      <c r="K767">
        <v>2</v>
      </c>
      <c r="L767" s="4"/>
    </row>
    <row r="768" spans="1:12" x14ac:dyDescent="0.3">
      <c r="A768" s="1">
        <v>41755</v>
      </c>
      <c r="B768" s="1">
        <v>41760</v>
      </c>
      <c r="C768" t="s">
        <v>7</v>
      </c>
      <c r="D768" t="s">
        <v>1294</v>
      </c>
      <c r="E768" t="s">
        <v>1295</v>
      </c>
      <c r="F768" t="s">
        <v>3</v>
      </c>
      <c r="G768" t="s">
        <v>12</v>
      </c>
      <c r="H768" t="s">
        <v>70</v>
      </c>
      <c r="I768" t="s">
        <v>1296</v>
      </c>
      <c r="J768" s="2">
        <v>63.936000000000007</v>
      </c>
      <c r="K768">
        <v>3</v>
      </c>
      <c r="L768" s="4"/>
    </row>
    <row r="769" spans="1:12" x14ac:dyDescent="0.3">
      <c r="A769" s="1">
        <v>41755</v>
      </c>
      <c r="B769" s="1">
        <v>41760</v>
      </c>
      <c r="C769" t="s">
        <v>7</v>
      </c>
      <c r="D769" t="s">
        <v>1294</v>
      </c>
      <c r="E769" t="s">
        <v>1295</v>
      </c>
      <c r="F769" t="s">
        <v>3</v>
      </c>
      <c r="G769" t="s">
        <v>4</v>
      </c>
      <c r="H769" t="s">
        <v>15</v>
      </c>
      <c r="I769" t="s">
        <v>1297</v>
      </c>
      <c r="J769" s="2">
        <v>59.519999999999996</v>
      </c>
      <c r="K769">
        <v>3</v>
      </c>
      <c r="L769" s="4"/>
    </row>
    <row r="770" spans="1:12" x14ac:dyDescent="0.3">
      <c r="A770" s="1">
        <v>41755</v>
      </c>
      <c r="B770" s="1">
        <v>41760</v>
      </c>
      <c r="C770" t="s">
        <v>7</v>
      </c>
      <c r="D770" t="s">
        <v>1294</v>
      </c>
      <c r="E770" t="s">
        <v>1295</v>
      </c>
      <c r="F770" t="s">
        <v>3</v>
      </c>
      <c r="G770" t="s">
        <v>74</v>
      </c>
      <c r="H770" t="s">
        <v>147</v>
      </c>
      <c r="I770" t="s">
        <v>1298</v>
      </c>
      <c r="J770" s="2">
        <v>311.97600000000006</v>
      </c>
      <c r="K770">
        <v>3</v>
      </c>
      <c r="L770" s="4"/>
    </row>
    <row r="771" spans="1:12" x14ac:dyDescent="0.3">
      <c r="A771" s="1">
        <v>41755</v>
      </c>
      <c r="B771" s="1">
        <v>41760</v>
      </c>
      <c r="C771" t="s">
        <v>7</v>
      </c>
      <c r="D771" t="s">
        <v>1294</v>
      </c>
      <c r="E771" t="s">
        <v>1295</v>
      </c>
      <c r="F771" t="s">
        <v>3</v>
      </c>
      <c r="G771" t="s">
        <v>4</v>
      </c>
      <c r="H771" t="s">
        <v>26</v>
      </c>
      <c r="I771" t="s">
        <v>1299</v>
      </c>
      <c r="J771" s="2">
        <v>50.352000000000004</v>
      </c>
      <c r="K771">
        <v>3</v>
      </c>
      <c r="L771" s="4"/>
    </row>
    <row r="772" spans="1:12" x14ac:dyDescent="0.3">
      <c r="A772" s="1">
        <v>41756</v>
      </c>
      <c r="B772" s="1">
        <v>41761</v>
      </c>
      <c r="C772" t="s">
        <v>7</v>
      </c>
      <c r="D772" t="s">
        <v>1300</v>
      </c>
      <c r="E772" t="s">
        <v>1301</v>
      </c>
      <c r="F772" t="s">
        <v>115</v>
      </c>
      <c r="G772" t="s">
        <v>4</v>
      </c>
      <c r="H772" t="s">
        <v>20</v>
      </c>
      <c r="I772" t="s">
        <v>1302</v>
      </c>
      <c r="J772" s="2">
        <v>43.560000000000009</v>
      </c>
      <c r="K772">
        <v>5</v>
      </c>
      <c r="L772" s="4"/>
    </row>
    <row r="773" spans="1:12" x14ac:dyDescent="0.3">
      <c r="A773" s="1">
        <v>41756</v>
      </c>
      <c r="B773" s="1">
        <v>41761</v>
      </c>
      <c r="C773" t="s">
        <v>7</v>
      </c>
      <c r="D773" t="s">
        <v>1300</v>
      </c>
      <c r="E773" t="s">
        <v>1301</v>
      </c>
      <c r="F773" t="s">
        <v>115</v>
      </c>
      <c r="G773" t="s">
        <v>4</v>
      </c>
      <c r="H773" t="s">
        <v>78</v>
      </c>
      <c r="I773" t="s">
        <v>641</v>
      </c>
      <c r="J773" s="2">
        <v>5.84</v>
      </c>
      <c r="K773">
        <v>2</v>
      </c>
      <c r="L773" s="4"/>
    </row>
    <row r="774" spans="1:12" x14ac:dyDescent="0.3">
      <c r="A774" s="1">
        <v>41759</v>
      </c>
      <c r="B774" s="1">
        <v>41765</v>
      </c>
      <c r="C774" t="s">
        <v>7</v>
      </c>
      <c r="D774" t="s">
        <v>1303</v>
      </c>
      <c r="E774" t="s">
        <v>1304</v>
      </c>
      <c r="F774" t="s">
        <v>3</v>
      </c>
      <c r="G774" t="s">
        <v>4</v>
      </c>
      <c r="H774" t="s">
        <v>15</v>
      </c>
      <c r="I774" t="s">
        <v>473</v>
      </c>
      <c r="J774" s="2">
        <v>34.650000000000006</v>
      </c>
      <c r="K774">
        <v>3</v>
      </c>
      <c r="L774" s="4"/>
    </row>
    <row r="775" spans="1:12" x14ac:dyDescent="0.3">
      <c r="A775" s="1">
        <v>41759</v>
      </c>
      <c r="B775" s="1">
        <v>41765</v>
      </c>
      <c r="C775" t="s">
        <v>7</v>
      </c>
      <c r="D775" t="s">
        <v>1303</v>
      </c>
      <c r="E775" t="s">
        <v>1304</v>
      </c>
      <c r="F775" t="s">
        <v>3</v>
      </c>
      <c r="G775" t="s">
        <v>74</v>
      </c>
      <c r="H775" t="s">
        <v>147</v>
      </c>
      <c r="I775" t="s">
        <v>1305</v>
      </c>
      <c r="J775" s="2">
        <v>19.8</v>
      </c>
      <c r="K775">
        <v>5</v>
      </c>
      <c r="L775" s="4"/>
    </row>
    <row r="776" spans="1:12" x14ac:dyDescent="0.3">
      <c r="A776" s="1">
        <v>41760</v>
      </c>
      <c r="B776" s="1">
        <v>41766</v>
      </c>
      <c r="C776" t="s">
        <v>7</v>
      </c>
      <c r="D776" t="s">
        <v>1306</v>
      </c>
      <c r="E776" t="s">
        <v>1307</v>
      </c>
      <c r="F776" t="s">
        <v>3</v>
      </c>
      <c r="G776" t="s">
        <v>74</v>
      </c>
      <c r="H776" t="s">
        <v>147</v>
      </c>
      <c r="I776" t="s">
        <v>1308</v>
      </c>
      <c r="J776" s="2">
        <v>88.751999999999995</v>
      </c>
      <c r="K776">
        <v>3</v>
      </c>
      <c r="L776" s="4"/>
    </row>
    <row r="777" spans="1:12" x14ac:dyDescent="0.3">
      <c r="A777" s="1">
        <v>41760</v>
      </c>
      <c r="B777" s="1">
        <v>41765</v>
      </c>
      <c r="C777" t="s">
        <v>7</v>
      </c>
      <c r="D777" t="s">
        <v>1309</v>
      </c>
      <c r="E777" t="s">
        <v>1310</v>
      </c>
      <c r="F777" t="s">
        <v>3</v>
      </c>
      <c r="G777" t="s">
        <v>4</v>
      </c>
      <c r="H777" t="s">
        <v>26</v>
      </c>
      <c r="I777" t="s">
        <v>1311</v>
      </c>
      <c r="J777" s="2">
        <v>12.176000000000002</v>
      </c>
      <c r="K777">
        <v>1</v>
      </c>
      <c r="L777" s="4"/>
    </row>
    <row r="778" spans="1:12" x14ac:dyDescent="0.3">
      <c r="A778" s="1">
        <v>41760</v>
      </c>
      <c r="B778" s="1">
        <v>41765</v>
      </c>
      <c r="C778" t="s">
        <v>7</v>
      </c>
      <c r="D778" t="s">
        <v>1309</v>
      </c>
      <c r="E778" t="s">
        <v>1310</v>
      </c>
      <c r="F778" t="s">
        <v>3</v>
      </c>
      <c r="G778" t="s">
        <v>4</v>
      </c>
      <c r="H778" t="s">
        <v>10</v>
      </c>
      <c r="I778" t="s">
        <v>229</v>
      </c>
      <c r="J778" s="2">
        <v>37.32</v>
      </c>
      <c r="K778">
        <v>3</v>
      </c>
      <c r="L778" s="4"/>
    </row>
    <row r="779" spans="1:12" x14ac:dyDescent="0.3">
      <c r="A779" s="1">
        <v>41760</v>
      </c>
      <c r="B779" s="1">
        <v>41765</v>
      </c>
      <c r="C779" t="s">
        <v>7</v>
      </c>
      <c r="D779" t="s">
        <v>1309</v>
      </c>
      <c r="E779" t="s">
        <v>1310</v>
      </c>
      <c r="F779" t="s">
        <v>3</v>
      </c>
      <c r="G779" t="s">
        <v>4</v>
      </c>
      <c r="H779" t="s">
        <v>78</v>
      </c>
      <c r="I779" t="s">
        <v>1312</v>
      </c>
      <c r="J779" s="2">
        <v>35.06</v>
      </c>
      <c r="K779">
        <v>2</v>
      </c>
      <c r="L779" s="4"/>
    </row>
    <row r="780" spans="1:12" x14ac:dyDescent="0.3">
      <c r="A780" s="1">
        <v>41762</v>
      </c>
      <c r="B780" s="1">
        <v>41767</v>
      </c>
      <c r="C780" t="s">
        <v>7</v>
      </c>
      <c r="D780" t="s">
        <v>1313</v>
      </c>
      <c r="E780" t="s">
        <v>1314</v>
      </c>
      <c r="F780" t="s">
        <v>3</v>
      </c>
      <c r="G780" t="s">
        <v>12</v>
      </c>
      <c r="H780" t="s">
        <v>35</v>
      </c>
      <c r="I780" t="s">
        <v>1315</v>
      </c>
      <c r="J780" s="2">
        <v>665.88</v>
      </c>
      <c r="K780">
        <v>6</v>
      </c>
      <c r="L780" s="4"/>
    </row>
    <row r="781" spans="1:12" x14ac:dyDescent="0.3">
      <c r="A781" s="1">
        <v>41762</v>
      </c>
      <c r="B781" s="1">
        <v>41765</v>
      </c>
      <c r="C781" t="s">
        <v>22</v>
      </c>
      <c r="D781" t="s">
        <v>1316</v>
      </c>
      <c r="E781" t="s">
        <v>1317</v>
      </c>
      <c r="F781" t="s">
        <v>3</v>
      </c>
      <c r="G781" t="s">
        <v>4</v>
      </c>
      <c r="H781" t="s">
        <v>15</v>
      </c>
      <c r="I781" t="s">
        <v>1318</v>
      </c>
      <c r="J781" s="2">
        <v>8.82</v>
      </c>
      <c r="K781">
        <v>3</v>
      </c>
      <c r="L781" s="4"/>
    </row>
    <row r="782" spans="1:12" x14ac:dyDescent="0.3">
      <c r="A782" s="1">
        <v>41762</v>
      </c>
      <c r="B782" s="1">
        <v>41765</v>
      </c>
      <c r="C782" t="s">
        <v>22</v>
      </c>
      <c r="D782" t="s">
        <v>1316</v>
      </c>
      <c r="E782" t="s">
        <v>1317</v>
      </c>
      <c r="F782" t="s">
        <v>3</v>
      </c>
      <c r="G782" t="s">
        <v>4</v>
      </c>
      <c r="H782" t="s">
        <v>26</v>
      </c>
      <c r="I782" t="s">
        <v>1319</v>
      </c>
      <c r="J782" s="2">
        <v>62.496000000000009</v>
      </c>
      <c r="K782">
        <v>2</v>
      </c>
      <c r="L782" s="4"/>
    </row>
    <row r="783" spans="1:12" x14ac:dyDescent="0.3">
      <c r="A783" s="1">
        <v>41762</v>
      </c>
      <c r="B783" s="1">
        <v>41765</v>
      </c>
      <c r="C783" t="s">
        <v>22</v>
      </c>
      <c r="D783" t="s">
        <v>1316</v>
      </c>
      <c r="E783" t="s">
        <v>1317</v>
      </c>
      <c r="F783" t="s">
        <v>3</v>
      </c>
      <c r="G783" t="s">
        <v>74</v>
      </c>
      <c r="H783" t="s">
        <v>75</v>
      </c>
      <c r="I783" t="s">
        <v>1320</v>
      </c>
      <c r="J783" s="2">
        <v>339.96</v>
      </c>
      <c r="K783">
        <v>4</v>
      </c>
      <c r="L783" s="4"/>
    </row>
    <row r="784" spans="1:12" x14ac:dyDescent="0.3">
      <c r="A784" s="1">
        <v>41762</v>
      </c>
      <c r="B784" s="1">
        <v>41765</v>
      </c>
      <c r="C784" t="s">
        <v>22</v>
      </c>
      <c r="D784" t="s">
        <v>1316</v>
      </c>
      <c r="E784" t="s">
        <v>1317</v>
      </c>
      <c r="F784" t="s">
        <v>3</v>
      </c>
      <c r="G784" t="s">
        <v>4</v>
      </c>
      <c r="H784" t="s">
        <v>26</v>
      </c>
      <c r="I784" t="s">
        <v>576</v>
      </c>
      <c r="J784" s="2">
        <v>49.568000000000005</v>
      </c>
      <c r="K784">
        <v>2</v>
      </c>
      <c r="L784" s="4"/>
    </row>
    <row r="785" spans="1:12" x14ac:dyDescent="0.3">
      <c r="A785" s="1">
        <v>41762</v>
      </c>
      <c r="B785" s="1">
        <v>41765</v>
      </c>
      <c r="C785" t="s">
        <v>22</v>
      </c>
      <c r="D785" t="s">
        <v>251</v>
      </c>
      <c r="E785" t="s">
        <v>252</v>
      </c>
      <c r="F785" t="s">
        <v>3</v>
      </c>
      <c r="G785" t="s">
        <v>4</v>
      </c>
      <c r="H785" t="s">
        <v>26</v>
      </c>
      <c r="I785" t="s">
        <v>1321</v>
      </c>
      <c r="J785" s="2">
        <v>13.847999999999999</v>
      </c>
      <c r="K785">
        <v>3</v>
      </c>
      <c r="L785" s="4"/>
    </row>
    <row r="786" spans="1:12" x14ac:dyDescent="0.3">
      <c r="A786" s="1">
        <v>41767</v>
      </c>
      <c r="B786" s="1">
        <v>41771</v>
      </c>
      <c r="C786" t="s">
        <v>7</v>
      </c>
      <c r="D786" t="s">
        <v>257</v>
      </c>
      <c r="E786" t="s">
        <v>258</v>
      </c>
      <c r="F786" t="s">
        <v>19</v>
      </c>
      <c r="G786" t="s">
        <v>4</v>
      </c>
      <c r="H786" t="s">
        <v>15</v>
      </c>
      <c r="I786" t="s">
        <v>1322</v>
      </c>
      <c r="J786" s="2">
        <v>5.2480000000000002</v>
      </c>
      <c r="K786">
        <v>2</v>
      </c>
      <c r="L786" s="4"/>
    </row>
    <row r="787" spans="1:12" x14ac:dyDescent="0.3">
      <c r="A787" s="1">
        <v>41769</v>
      </c>
      <c r="B787" s="1">
        <v>41774</v>
      </c>
      <c r="C787" t="s">
        <v>7</v>
      </c>
      <c r="D787" t="s">
        <v>1225</v>
      </c>
      <c r="E787" t="s">
        <v>1226</v>
      </c>
      <c r="F787" t="s">
        <v>115</v>
      </c>
      <c r="G787" t="s">
        <v>74</v>
      </c>
      <c r="H787" t="s">
        <v>75</v>
      </c>
      <c r="I787" t="s">
        <v>899</v>
      </c>
      <c r="J787" s="2">
        <v>46.688000000000002</v>
      </c>
      <c r="K787">
        <v>4</v>
      </c>
      <c r="L787" s="4"/>
    </row>
    <row r="788" spans="1:12" x14ac:dyDescent="0.3">
      <c r="A788" s="1">
        <v>41770</v>
      </c>
      <c r="B788" s="1">
        <v>41775</v>
      </c>
      <c r="C788" t="s">
        <v>0</v>
      </c>
      <c r="D788" t="s">
        <v>241</v>
      </c>
      <c r="E788" t="s">
        <v>242</v>
      </c>
      <c r="F788" t="s">
        <v>25</v>
      </c>
      <c r="G788" t="s">
        <v>12</v>
      </c>
      <c r="H788" t="s">
        <v>70</v>
      </c>
      <c r="I788" t="s">
        <v>1323</v>
      </c>
      <c r="J788" s="2">
        <v>191.96800000000002</v>
      </c>
      <c r="K788">
        <v>7</v>
      </c>
      <c r="L788" s="4"/>
    </row>
    <row r="789" spans="1:12" x14ac:dyDescent="0.3">
      <c r="A789" s="1">
        <v>41771</v>
      </c>
      <c r="B789" s="1">
        <v>41775</v>
      </c>
      <c r="C789" t="s">
        <v>7</v>
      </c>
      <c r="D789" t="s">
        <v>166</v>
      </c>
      <c r="E789" t="s">
        <v>167</v>
      </c>
      <c r="F789" t="s">
        <v>3</v>
      </c>
      <c r="G789" t="s">
        <v>4</v>
      </c>
      <c r="H789" t="s">
        <v>5</v>
      </c>
      <c r="I789" t="s">
        <v>1324</v>
      </c>
      <c r="J789" s="2">
        <v>12.84</v>
      </c>
      <c r="K789">
        <v>3</v>
      </c>
      <c r="L789" s="4"/>
    </row>
    <row r="790" spans="1:12" x14ac:dyDescent="0.3">
      <c r="A790" s="1">
        <v>41771</v>
      </c>
      <c r="B790" s="1">
        <v>41775</v>
      </c>
      <c r="C790" t="s">
        <v>7</v>
      </c>
      <c r="D790" t="s">
        <v>166</v>
      </c>
      <c r="E790" t="s">
        <v>167</v>
      </c>
      <c r="F790" t="s">
        <v>3</v>
      </c>
      <c r="G790" t="s">
        <v>4</v>
      </c>
      <c r="H790" t="s">
        <v>5</v>
      </c>
      <c r="I790" t="s">
        <v>1325</v>
      </c>
      <c r="J790" s="2">
        <v>25.68</v>
      </c>
      <c r="K790">
        <v>6</v>
      </c>
      <c r="L790" s="4"/>
    </row>
    <row r="791" spans="1:12" x14ac:dyDescent="0.3">
      <c r="A791" s="1">
        <v>41771</v>
      </c>
      <c r="B791" s="1">
        <v>41775</v>
      </c>
      <c r="C791" t="s">
        <v>7</v>
      </c>
      <c r="D791" t="s">
        <v>609</v>
      </c>
      <c r="E791" t="s">
        <v>610</v>
      </c>
      <c r="F791" t="s">
        <v>115</v>
      </c>
      <c r="G791" t="s">
        <v>74</v>
      </c>
      <c r="H791" t="s">
        <v>147</v>
      </c>
      <c r="I791" t="s">
        <v>320</v>
      </c>
      <c r="J791" s="2">
        <v>201.584</v>
      </c>
      <c r="K791">
        <v>2</v>
      </c>
      <c r="L791" s="4"/>
    </row>
    <row r="792" spans="1:12" x14ac:dyDescent="0.3">
      <c r="A792" s="1">
        <v>41771</v>
      </c>
      <c r="B792" s="1">
        <v>41777</v>
      </c>
      <c r="C792" t="s">
        <v>7</v>
      </c>
      <c r="D792" t="s">
        <v>1326</v>
      </c>
      <c r="E792" t="s">
        <v>1327</v>
      </c>
      <c r="F792" t="s">
        <v>56</v>
      </c>
      <c r="G792" t="s">
        <v>4</v>
      </c>
      <c r="H792" t="s">
        <v>26</v>
      </c>
      <c r="I792" t="s">
        <v>1328</v>
      </c>
      <c r="J792" s="2">
        <v>14.592000000000002</v>
      </c>
      <c r="K792">
        <v>3</v>
      </c>
      <c r="L792" s="4"/>
    </row>
    <row r="793" spans="1:12" x14ac:dyDescent="0.3">
      <c r="A793" s="1">
        <v>41773</v>
      </c>
      <c r="B793" s="1">
        <v>41780</v>
      </c>
      <c r="C793" t="s">
        <v>7</v>
      </c>
      <c r="D793" t="s">
        <v>1329</v>
      </c>
      <c r="E793" t="s">
        <v>1330</v>
      </c>
      <c r="F793" t="s">
        <v>3</v>
      </c>
      <c r="G793" t="s">
        <v>4</v>
      </c>
      <c r="H793" t="s">
        <v>10</v>
      </c>
      <c r="I793" t="s">
        <v>1331</v>
      </c>
      <c r="J793" s="2">
        <v>1117.92</v>
      </c>
      <c r="K793">
        <v>4</v>
      </c>
      <c r="L793" s="4"/>
    </row>
    <row r="794" spans="1:12" x14ac:dyDescent="0.3">
      <c r="A794" s="1">
        <v>41773</v>
      </c>
      <c r="B794" s="1">
        <v>41778</v>
      </c>
      <c r="C794" t="s">
        <v>7</v>
      </c>
      <c r="D794" t="s">
        <v>1332</v>
      </c>
      <c r="E794" t="s">
        <v>1333</v>
      </c>
      <c r="F794" t="s">
        <v>3</v>
      </c>
      <c r="G794" t="s">
        <v>12</v>
      </c>
      <c r="H794" t="s">
        <v>13</v>
      </c>
      <c r="I794" t="s">
        <v>914</v>
      </c>
      <c r="J794" s="2">
        <v>509.95749999999992</v>
      </c>
      <c r="K794">
        <v>5</v>
      </c>
      <c r="L794" s="4"/>
    </row>
    <row r="795" spans="1:12" x14ac:dyDescent="0.3">
      <c r="A795" s="1">
        <v>41773</v>
      </c>
      <c r="B795" s="1">
        <v>41778</v>
      </c>
      <c r="C795" t="s">
        <v>7</v>
      </c>
      <c r="D795" t="s">
        <v>1332</v>
      </c>
      <c r="E795" t="s">
        <v>1333</v>
      </c>
      <c r="F795" t="s">
        <v>3</v>
      </c>
      <c r="G795" t="s">
        <v>12</v>
      </c>
      <c r="H795" t="s">
        <v>35</v>
      </c>
      <c r="I795" t="s">
        <v>537</v>
      </c>
      <c r="J795" s="2">
        <v>122.91</v>
      </c>
      <c r="K795">
        <v>3</v>
      </c>
      <c r="L795" s="4"/>
    </row>
    <row r="796" spans="1:12" x14ac:dyDescent="0.3">
      <c r="A796" s="1">
        <v>41773</v>
      </c>
      <c r="B796" s="1">
        <v>41778</v>
      </c>
      <c r="C796" t="s">
        <v>7</v>
      </c>
      <c r="D796" t="s">
        <v>1332</v>
      </c>
      <c r="E796" t="s">
        <v>1333</v>
      </c>
      <c r="F796" t="s">
        <v>3</v>
      </c>
      <c r="G796" t="s">
        <v>12</v>
      </c>
      <c r="H796" t="s">
        <v>70</v>
      </c>
      <c r="I796" t="s">
        <v>571</v>
      </c>
      <c r="J796" s="2">
        <v>97.567999999999998</v>
      </c>
      <c r="K796">
        <v>2</v>
      </c>
      <c r="L796" s="4"/>
    </row>
    <row r="797" spans="1:12" x14ac:dyDescent="0.3">
      <c r="A797" s="1">
        <v>41773</v>
      </c>
      <c r="B797" s="1">
        <v>41778</v>
      </c>
      <c r="C797" t="s">
        <v>7</v>
      </c>
      <c r="D797" t="s">
        <v>1332</v>
      </c>
      <c r="E797" t="s">
        <v>1333</v>
      </c>
      <c r="F797" t="s">
        <v>3</v>
      </c>
      <c r="G797" t="s">
        <v>12</v>
      </c>
      <c r="H797" t="s">
        <v>70</v>
      </c>
      <c r="I797" t="s">
        <v>112</v>
      </c>
      <c r="J797" s="2">
        <v>722.35200000000009</v>
      </c>
      <c r="K797">
        <v>3</v>
      </c>
      <c r="L797" s="4"/>
    </row>
    <row r="798" spans="1:12" x14ac:dyDescent="0.3">
      <c r="A798" s="1">
        <v>41777</v>
      </c>
      <c r="B798" s="1">
        <v>41781</v>
      </c>
      <c r="C798" t="s">
        <v>7</v>
      </c>
      <c r="D798" t="s">
        <v>1334</v>
      </c>
      <c r="E798" t="s">
        <v>1335</v>
      </c>
      <c r="F798" t="s">
        <v>3</v>
      </c>
      <c r="G798" t="s">
        <v>4</v>
      </c>
      <c r="H798" t="s">
        <v>5</v>
      </c>
      <c r="I798" t="s">
        <v>675</v>
      </c>
      <c r="J798" s="2">
        <v>10.86</v>
      </c>
      <c r="K798">
        <v>2</v>
      </c>
      <c r="L798" s="4"/>
    </row>
    <row r="799" spans="1:12" x14ac:dyDescent="0.3">
      <c r="A799" s="1">
        <v>41780</v>
      </c>
      <c r="B799" s="1">
        <v>41784</v>
      </c>
      <c r="C799" t="s">
        <v>7</v>
      </c>
      <c r="D799" t="s">
        <v>459</v>
      </c>
      <c r="E799" t="s">
        <v>460</v>
      </c>
      <c r="F799" t="s">
        <v>56</v>
      </c>
      <c r="G799" t="s">
        <v>4</v>
      </c>
      <c r="H799" t="s">
        <v>26</v>
      </c>
      <c r="I799" t="s">
        <v>679</v>
      </c>
      <c r="J799" s="2">
        <v>26.975999999999999</v>
      </c>
      <c r="K799">
        <v>4</v>
      </c>
      <c r="L799" s="4"/>
    </row>
    <row r="800" spans="1:12" x14ac:dyDescent="0.3">
      <c r="A800" s="1">
        <v>41781</v>
      </c>
      <c r="B800" s="1">
        <v>41785</v>
      </c>
      <c r="C800" t="s">
        <v>7</v>
      </c>
      <c r="D800" t="s">
        <v>1336</v>
      </c>
      <c r="E800" t="s">
        <v>1337</v>
      </c>
      <c r="F800" t="s">
        <v>3</v>
      </c>
      <c r="G800" t="s">
        <v>4</v>
      </c>
      <c r="H800" t="s">
        <v>168</v>
      </c>
      <c r="I800" t="s">
        <v>1338</v>
      </c>
      <c r="J800" s="2">
        <v>8.26</v>
      </c>
      <c r="K800">
        <v>2</v>
      </c>
      <c r="L800" s="4"/>
    </row>
    <row r="801" spans="1:12" x14ac:dyDescent="0.3">
      <c r="A801" s="1">
        <v>41781</v>
      </c>
      <c r="B801" s="1">
        <v>41785</v>
      </c>
      <c r="C801" t="s">
        <v>7</v>
      </c>
      <c r="D801" t="s">
        <v>1336</v>
      </c>
      <c r="E801" t="s">
        <v>1337</v>
      </c>
      <c r="F801" t="s">
        <v>3</v>
      </c>
      <c r="G801" t="s">
        <v>74</v>
      </c>
      <c r="H801" t="s">
        <v>138</v>
      </c>
      <c r="I801" t="s">
        <v>1339</v>
      </c>
      <c r="J801" s="2">
        <v>2973.32</v>
      </c>
      <c r="K801">
        <v>7</v>
      </c>
      <c r="L801" s="4"/>
    </row>
    <row r="802" spans="1:12" x14ac:dyDescent="0.3">
      <c r="A802" s="1">
        <v>41781</v>
      </c>
      <c r="B802" s="1">
        <v>41785</v>
      </c>
      <c r="C802" t="s">
        <v>7</v>
      </c>
      <c r="D802" t="s">
        <v>1336</v>
      </c>
      <c r="E802" t="s">
        <v>1337</v>
      </c>
      <c r="F802" t="s">
        <v>3</v>
      </c>
      <c r="G802" t="s">
        <v>4</v>
      </c>
      <c r="H802" t="s">
        <v>10</v>
      </c>
      <c r="I802" t="s">
        <v>623</v>
      </c>
      <c r="J802" s="2">
        <v>104.79</v>
      </c>
      <c r="K802">
        <v>7</v>
      </c>
      <c r="L802" s="4"/>
    </row>
    <row r="803" spans="1:12" x14ac:dyDescent="0.3">
      <c r="A803" s="1">
        <v>41781</v>
      </c>
      <c r="B803" s="1">
        <v>41785</v>
      </c>
      <c r="C803" t="s">
        <v>7</v>
      </c>
      <c r="D803" t="s">
        <v>1336</v>
      </c>
      <c r="E803" t="s">
        <v>1337</v>
      </c>
      <c r="F803" t="s">
        <v>3</v>
      </c>
      <c r="G803" t="s">
        <v>74</v>
      </c>
      <c r="H803" t="s">
        <v>147</v>
      </c>
      <c r="I803" t="s">
        <v>1264</v>
      </c>
      <c r="J803" s="2">
        <v>775.72800000000007</v>
      </c>
      <c r="K803">
        <v>6</v>
      </c>
      <c r="L803" s="4"/>
    </row>
    <row r="804" spans="1:12" x14ac:dyDescent="0.3">
      <c r="A804" s="1">
        <v>41782</v>
      </c>
      <c r="B804" s="1">
        <v>41789</v>
      </c>
      <c r="C804" t="s">
        <v>7</v>
      </c>
      <c r="D804" t="s">
        <v>871</v>
      </c>
      <c r="E804" t="s">
        <v>872</v>
      </c>
      <c r="F804" t="s">
        <v>25</v>
      </c>
      <c r="G804" t="s">
        <v>4</v>
      </c>
      <c r="H804" t="s">
        <v>26</v>
      </c>
      <c r="I804" t="s">
        <v>856</v>
      </c>
      <c r="J804" s="2">
        <v>19.194000000000003</v>
      </c>
      <c r="K804">
        <v>7</v>
      </c>
      <c r="L804" s="4"/>
    </row>
    <row r="805" spans="1:12" x14ac:dyDescent="0.3">
      <c r="A805" s="1">
        <v>41782</v>
      </c>
      <c r="B805" s="1">
        <v>41789</v>
      </c>
      <c r="C805" t="s">
        <v>7</v>
      </c>
      <c r="D805" t="s">
        <v>871</v>
      </c>
      <c r="E805" t="s">
        <v>872</v>
      </c>
      <c r="F805" t="s">
        <v>25</v>
      </c>
      <c r="G805" t="s">
        <v>4</v>
      </c>
      <c r="H805" t="s">
        <v>20</v>
      </c>
      <c r="I805" t="s">
        <v>533</v>
      </c>
      <c r="J805" s="2">
        <v>121.79200000000002</v>
      </c>
      <c r="K805">
        <v>4</v>
      </c>
      <c r="L805" s="4"/>
    </row>
    <row r="806" spans="1:12" x14ac:dyDescent="0.3">
      <c r="A806" s="1">
        <v>41784</v>
      </c>
      <c r="B806" s="1">
        <v>41788</v>
      </c>
      <c r="C806" t="s">
        <v>7</v>
      </c>
      <c r="D806" t="s">
        <v>1340</v>
      </c>
      <c r="E806" t="s">
        <v>1341</v>
      </c>
      <c r="F806" t="s">
        <v>115</v>
      </c>
      <c r="G806" t="s">
        <v>4</v>
      </c>
      <c r="H806" t="s">
        <v>20</v>
      </c>
      <c r="I806" t="s">
        <v>1342</v>
      </c>
      <c r="J806" s="2">
        <v>845.72799999999995</v>
      </c>
      <c r="K806">
        <v>13</v>
      </c>
      <c r="L806" s="4"/>
    </row>
    <row r="807" spans="1:12" x14ac:dyDescent="0.3">
      <c r="A807" s="1">
        <v>41784</v>
      </c>
      <c r="B807" s="1">
        <v>41786</v>
      </c>
      <c r="C807" t="s">
        <v>0</v>
      </c>
      <c r="D807" t="s">
        <v>104</v>
      </c>
      <c r="E807" t="s">
        <v>105</v>
      </c>
      <c r="F807" t="s">
        <v>3</v>
      </c>
      <c r="G807" t="s">
        <v>12</v>
      </c>
      <c r="H807" t="s">
        <v>35</v>
      </c>
      <c r="I807" t="s">
        <v>1343</v>
      </c>
      <c r="J807" s="2">
        <v>14.73</v>
      </c>
      <c r="K807">
        <v>3</v>
      </c>
      <c r="L807" s="4"/>
    </row>
    <row r="808" spans="1:12" x14ac:dyDescent="0.3">
      <c r="A808" s="1">
        <v>41785</v>
      </c>
      <c r="B808" s="1">
        <v>41790</v>
      </c>
      <c r="C808" t="s">
        <v>7</v>
      </c>
      <c r="D808" t="s">
        <v>881</v>
      </c>
      <c r="E808" t="s">
        <v>882</v>
      </c>
      <c r="F808" t="s">
        <v>56</v>
      </c>
      <c r="G808" t="s">
        <v>12</v>
      </c>
      <c r="H808" t="s">
        <v>35</v>
      </c>
      <c r="I808" t="s">
        <v>1344</v>
      </c>
      <c r="J808" s="2">
        <v>20.239999999999998</v>
      </c>
      <c r="K808">
        <v>1</v>
      </c>
      <c r="L808" s="4"/>
    </row>
    <row r="809" spans="1:12" x14ac:dyDescent="0.3">
      <c r="A809" s="1">
        <v>41787</v>
      </c>
      <c r="B809" s="1">
        <v>41793</v>
      </c>
      <c r="C809" t="s">
        <v>7</v>
      </c>
      <c r="D809" t="s">
        <v>1345</v>
      </c>
      <c r="E809" t="s">
        <v>1346</v>
      </c>
      <c r="F809" t="s">
        <v>56</v>
      </c>
      <c r="G809" t="s">
        <v>4</v>
      </c>
      <c r="H809" t="s">
        <v>15</v>
      </c>
      <c r="I809" t="s">
        <v>1347</v>
      </c>
      <c r="J809" s="2">
        <v>6.63</v>
      </c>
      <c r="K809">
        <v>3</v>
      </c>
      <c r="L809" s="4"/>
    </row>
    <row r="810" spans="1:12" x14ac:dyDescent="0.3">
      <c r="A810" s="1">
        <v>41788</v>
      </c>
      <c r="B810" s="1">
        <v>41793</v>
      </c>
      <c r="C810" t="s">
        <v>7</v>
      </c>
      <c r="D810" t="s">
        <v>1185</v>
      </c>
      <c r="E810" t="s">
        <v>1186</v>
      </c>
      <c r="F810" t="s">
        <v>56</v>
      </c>
      <c r="G810" t="s">
        <v>4</v>
      </c>
      <c r="H810" t="s">
        <v>5</v>
      </c>
      <c r="I810" t="s">
        <v>1348</v>
      </c>
      <c r="J810" s="2">
        <v>32.400000000000006</v>
      </c>
      <c r="K810">
        <v>5</v>
      </c>
      <c r="L810" s="4"/>
    </row>
    <row r="811" spans="1:12" x14ac:dyDescent="0.3">
      <c r="A811" s="1">
        <v>41788</v>
      </c>
      <c r="B811" s="1">
        <v>41793</v>
      </c>
      <c r="C811" t="s">
        <v>7</v>
      </c>
      <c r="D811" t="s">
        <v>1185</v>
      </c>
      <c r="E811" t="s">
        <v>1186</v>
      </c>
      <c r="F811" t="s">
        <v>56</v>
      </c>
      <c r="G811" t="s">
        <v>4</v>
      </c>
      <c r="H811" t="s">
        <v>10</v>
      </c>
      <c r="I811" t="s">
        <v>1001</v>
      </c>
      <c r="J811" s="2">
        <v>540.56999999999994</v>
      </c>
      <c r="K811">
        <v>3</v>
      </c>
      <c r="L811" s="4"/>
    </row>
    <row r="812" spans="1:12" x14ac:dyDescent="0.3">
      <c r="A812" s="1">
        <v>41788</v>
      </c>
      <c r="B812" s="1">
        <v>41793</v>
      </c>
      <c r="C812" t="s">
        <v>7</v>
      </c>
      <c r="D812" t="s">
        <v>1185</v>
      </c>
      <c r="E812" t="s">
        <v>1186</v>
      </c>
      <c r="F812" t="s">
        <v>56</v>
      </c>
      <c r="G812" t="s">
        <v>4</v>
      </c>
      <c r="H812" t="s">
        <v>26</v>
      </c>
      <c r="I812" t="s">
        <v>383</v>
      </c>
      <c r="J812" s="2">
        <v>167.76</v>
      </c>
      <c r="K812">
        <v>5</v>
      </c>
      <c r="L812" s="4"/>
    </row>
    <row r="813" spans="1:12" x14ac:dyDescent="0.3">
      <c r="A813" s="1">
        <v>41790</v>
      </c>
      <c r="B813" s="1">
        <v>41792</v>
      </c>
      <c r="C813" t="s">
        <v>22</v>
      </c>
      <c r="D813" t="s">
        <v>1349</v>
      </c>
      <c r="E813" t="s">
        <v>1350</v>
      </c>
      <c r="F813" t="s">
        <v>3</v>
      </c>
      <c r="G813" t="s">
        <v>4</v>
      </c>
      <c r="H813" t="s">
        <v>5</v>
      </c>
      <c r="I813" t="s">
        <v>1351</v>
      </c>
      <c r="J813" s="2">
        <v>58.379999999999995</v>
      </c>
      <c r="K813">
        <v>7</v>
      </c>
      <c r="L813" s="4"/>
    </row>
    <row r="814" spans="1:12" x14ac:dyDescent="0.3">
      <c r="A814" s="1">
        <v>41790</v>
      </c>
      <c r="B814" s="1">
        <v>41792</v>
      </c>
      <c r="C814" t="s">
        <v>22</v>
      </c>
      <c r="D814" t="s">
        <v>1349</v>
      </c>
      <c r="E814" t="s">
        <v>1350</v>
      </c>
      <c r="F814" t="s">
        <v>3</v>
      </c>
      <c r="G814" t="s">
        <v>4</v>
      </c>
      <c r="H814" t="s">
        <v>5</v>
      </c>
      <c r="I814" t="s">
        <v>1352</v>
      </c>
      <c r="J814" s="2">
        <v>105.52</v>
      </c>
      <c r="K814">
        <v>4</v>
      </c>
      <c r="L814" s="4"/>
    </row>
    <row r="815" spans="1:12" x14ac:dyDescent="0.3">
      <c r="A815" s="1">
        <v>41790</v>
      </c>
      <c r="B815" s="1">
        <v>41792</v>
      </c>
      <c r="C815" t="s">
        <v>22</v>
      </c>
      <c r="D815" t="s">
        <v>1349</v>
      </c>
      <c r="E815" t="s">
        <v>1350</v>
      </c>
      <c r="F815" t="s">
        <v>3</v>
      </c>
      <c r="G815" t="s">
        <v>4</v>
      </c>
      <c r="H815" t="s">
        <v>10</v>
      </c>
      <c r="I815" t="s">
        <v>1353</v>
      </c>
      <c r="J815" s="2">
        <v>80.88</v>
      </c>
      <c r="K815">
        <v>6</v>
      </c>
      <c r="L815" s="4"/>
    </row>
    <row r="816" spans="1:12" x14ac:dyDescent="0.3">
      <c r="A816" s="1">
        <v>41790</v>
      </c>
      <c r="B816" s="1">
        <v>41794</v>
      </c>
      <c r="C816" t="s">
        <v>7</v>
      </c>
      <c r="D816" t="s">
        <v>542</v>
      </c>
      <c r="E816" t="s">
        <v>543</v>
      </c>
      <c r="F816" t="s">
        <v>126</v>
      </c>
      <c r="G816" t="s">
        <v>12</v>
      </c>
      <c r="H816" t="s">
        <v>13</v>
      </c>
      <c r="I816" t="s">
        <v>1354</v>
      </c>
      <c r="J816" s="2">
        <v>1406.86</v>
      </c>
      <c r="K816">
        <v>7</v>
      </c>
      <c r="L816" s="4"/>
    </row>
    <row r="817" spans="1:12" x14ac:dyDescent="0.3">
      <c r="A817" s="1">
        <v>41790</v>
      </c>
      <c r="B817" s="1">
        <v>41794</v>
      </c>
      <c r="C817" t="s">
        <v>7</v>
      </c>
      <c r="D817" t="s">
        <v>542</v>
      </c>
      <c r="E817" t="s">
        <v>543</v>
      </c>
      <c r="F817" t="s">
        <v>126</v>
      </c>
      <c r="G817" t="s">
        <v>4</v>
      </c>
      <c r="H817" t="s">
        <v>168</v>
      </c>
      <c r="I817" t="s">
        <v>1355</v>
      </c>
      <c r="J817" s="2">
        <v>15.75</v>
      </c>
      <c r="K817">
        <v>5</v>
      </c>
      <c r="L817" s="4"/>
    </row>
    <row r="818" spans="1:12" x14ac:dyDescent="0.3">
      <c r="A818" s="1">
        <v>41790</v>
      </c>
      <c r="B818" s="1">
        <v>41794</v>
      </c>
      <c r="C818" t="s">
        <v>7</v>
      </c>
      <c r="D818" t="s">
        <v>542</v>
      </c>
      <c r="E818" t="s">
        <v>543</v>
      </c>
      <c r="F818" t="s">
        <v>126</v>
      </c>
      <c r="G818" t="s">
        <v>4</v>
      </c>
      <c r="H818" t="s">
        <v>10</v>
      </c>
      <c r="I818" t="s">
        <v>725</v>
      </c>
      <c r="J818" s="2">
        <v>323.10000000000002</v>
      </c>
      <c r="K818">
        <v>2</v>
      </c>
      <c r="L818" s="4"/>
    </row>
    <row r="819" spans="1:12" x14ac:dyDescent="0.3">
      <c r="A819" s="1">
        <v>41791</v>
      </c>
      <c r="B819" s="1">
        <v>41798</v>
      </c>
      <c r="C819" t="s">
        <v>7</v>
      </c>
      <c r="D819" t="s">
        <v>1356</v>
      </c>
      <c r="E819" t="s">
        <v>1357</v>
      </c>
      <c r="F819" t="s">
        <v>3</v>
      </c>
      <c r="G819" t="s">
        <v>4</v>
      </c>
      <c r="H819" t="s">
        <v>5</v>
      </c>
      <c r="I819" t="s">
        <v>733</v>
      </c>
      <c r="J819" s="2">
        <v>11.76</v>
      </c>
      <c r="K819">
        <v>2</v>
      </c>
      <c r="L819" s="4"/>
    </row>
    <row r="820" spans="1:12" x14ac:dyDescent="0.3">
      <c r="A820" s="1">
        <v>41794</v>
      </c>
      <c r="B820" s="1">
        <v>41794</v>
      </c>
      <c r="C820" t="s">
        <v>240</v>
      </c>
      <c r="D820" t="s">
        <v>1358</v>
      </c>
      <c r="E820" t="s">
        <v>1359</v>
      </c>
      <c r="F820" t="s">
        <v>56</v>
      </c>
      <c r="G820" t="s">
        <v>4</v>
      </c>
      <c r="H820" t="s">
        <v>168</v>
      </c>
      <c r="I820" t="s">
        <v>1360</v>
      </c>
      <c r="J820" s="2">
        <v>7.38</v>
      </c>
      <c r="K820">
        <v>2</v>
      </c>
      <c r="L820" s="4"/>
    </row>
    <row r="821" spans="1:12" x14ac:dyDescent="0.3">
      <c r="A821" s="1">
        <v>41794</v>
      </c>
      <c r="B821" s="1">
        <v>41794</v>
      </c>
      <c r="C821" t="s">
        <v>240</v>
      </c>
      <c r="D821" t="s">
        <v>1358</v>
      </c>
      <c r="E821" t="s">
        <v>1359</v>
      </c>
      <c r="F821" t="s">
        <v>56</v>
      </c>
      <c r="G821" t="s">
        <v>4</v>
      </c>
      <c r="H821" t="s">
        <v>15</v>
      </c>
      <c r="I821" t="s">
        <v>1361</v>
      </c>
      <c r="J821" s="2">
        <v>9.26</v>
      </c>
      <c r="K821">
        <v>2</v>
      </c>
      <c r="L821" s="4"/>
    </row>
    <row r="822" spans="1:12" x14ac:dyDescent="0.3">
      <c r="A822" s="1">
        <v>41794</v>
      </c>
      <c r="B822" s="1">
        <v>41799</v>
      </c>
      <c r="C822" t="s">
        <v>0</v>
      </c>
      <c r="D822" t="s">
        <v>1362</v>
      </c>
      <c r="E822" t="s">
        <v>1363</v>
      </c>
      <c r="F822" t="s">
        <v>3</v>
      </c>
      <c r="G822" t="s">
        <v>74</v>
      </c>
      <c r="H822" t="s">
        <v>75</v>
      </c>
      <c r="I822" t="s">
        <v>1364</v>
      </c>
      <c r="J822" s="2">
        <v>119.98</v>
      </c>
      <c r="K822">
        <v>2</v>
      </c>
      <c r="L822" s="4"/>
    </row>
    <row r="823" spans="1:12" x14ac:dyDescent="0.3">
      <c r="A823" s="1">
        <v>41794</v>
      </c>
      <c r="B823" s="1">
        <v>41799</v>
      </c>
      <c r="C823" t="s">
        <v>0</v>
      </c>
      <c r="D823" t="s">
        <v>1362</v>
      </c>
      <c r="E823" t="s">
        <v>1363</v>
      </c>
      <c r="F823" t="s">
        <v>3</v>
      </c>
      <c r="G823" t="s">
        <v>74</v>
      </c>
      <c r="H823" t="s">
        <v>75</v>
      </c>
      <c r="I823" t="s">
        <v>1365</v>
      </c>
      <c r="J823" s="2">
        <v>989.97</v>
      </c>
      <c r="K823">
        <v>3</v>
      </c>
      <c r="L823" s="4"/>
    </row>
    <row r="824" spans="1:12" x14ac:dyDescent="0.3">
      <c r="A824" s="1">
        <v>41797</v>
      </c>
      <c r="B824" s="1">
        <v>41799</v>
      </c>
      <c r="C824" t="s">
        <v>0</v>
      </c>
      <c r="D824" t="s">
        <v>1366</v>
      </c>
      <c r="E824" t="s">
        <v>1367</v>
      </c>
      <c r="F824" t="s">
        <v>3</v>
      </c>
      <c r="G824" t="s">
        <v>4</v>
      </c>
      <c r="H824" t="s">
        <v>26</v>
      </c>
      <c r="I824" t="s">
        <v>1368</v>
      </c>
      <c r="J824" s="2">
        <v>7.52</v>
      </c>
      <c r="K824">
        <v>5</v>
      </c>
      <c r="L824" s="4"/>
    </row>
    <row r="825" spans="1:12" x14ac:dyDescent="0.3">
      <c r="A825" s="1">
        <v>41799</v>
      </c>
      <c r="B825" s="1">
        <v>41801</v>
      </c>
      <c r="C825" t="s">
        <v>0</v>
      </c>
      <c r="D825" t="s">
        <v>1369</v>
      </c>
      <c r="E825" t="s">
        <v>1370</v>
      </c>
      <c r="F825" t="s">
        <v>224</v>
      </c>
      <c r="G825" t="s">
        <v>12</v>
      </c>
      <c r="H825" t="s">
        <v>35</v>
      </c>
      <c r="I825" t="s">
        <v>1371</v>
      </c>
      <c r="J825" s="2">
        <v>355.36</v>
      </c>
      <c r="K825">
        <v>4</v>
      </c>
      <c r="L825" s="4"/>
    </row>
    <row r="826" spans="1:12" x14ac:dyDescent="0.3">
      <c r="A826" s="1">
        <v>41799</v>
      </c>
      <c r="B826" s="1">
        <v>41801</v>
      </c>
      <c r="C826" t="s">
        <v>0</v>
      </c>
      <c r="D826" t="s">
        <v>1369</v>
      </c>
      <c r="E826" t="s">
        <v>1370</v>
      </c>
      <c r="F826" t="s">
        <v>224</v>
      </c>
      <c r="G826" t="s">
        <v>74</v>
      </c>
      <c r="H826" t="s">
        <v>147</v>
      </c>
      <c r="I826" t="s">
        <v>1372</v>
      </c>
      <c r="J826" s="2">
        <v>140.376</v>
      </c>
      <c r="K826">
        <v>3</v>
      </c>
      <c r="L826" s="4"/>
    </row>
    <row r="827" spans="1:12" x14ac:dyDescent="0.3">
      <c r="A827" s="1">
        <v>41803</v>
      </c>
      <c r="B827" s="1">
        <v>41804</v>
      </c>
      <c r="C827" t="s">
        <v>22</v>
      </c>
      <c r="D827" t="s">
        <v>1373</v>
      </c>
      <c r="E827" t="s">
        <v>1374</v>
      </c>
      <c r="F827" t="s">
        <v>3</v>
      </c>
      <c r="G827" t="s">
        <v>4</v>
      </c>
      <c r="H827" t="s">
        <v>26</v>
      </c>
      <c r="I827" t="s">
        <v>1375</v>
      </c>
      <c r="J827" s="2">
        <v>36.624000000000002</v>
      </c>
      <c r="K827">
        <v>3</v>
      </c>
      <c r="L827" s="4"/>
    </row>
    <row r="828" spans="1:12" x14ac:dyDescent="0.3">
      <c r="A828" s="1">
        <v>41805</v>
      </c>
      <c r="B828" s="1">
        <v>41810</v>
      </c>
      <c r="C828" t="s">
        <v>7</v>
      </c>
      <c r="D828" t="s">
        <v>1376</v>
      </c>
      <c r="E828" t="s">
        <v>1377</v>
      </c>
      <c r="F828" t="s">
        <v>25</v>
      </c>
      <c r="G828" t="s">
        <v>4</v>
      </c>
      <c r="H828" t="s">
        <v>5</v>
      </c>
      <c r="I828" t="s">
        <v>939</v>
      </c>
      <c r="J828" s="2">
        <v>9.5680000000000014</v>
      </c>
      <c r="K828">
        <v>2</v>
      </c>
      <c r="L828" s="4"/>
    </row>
    <row r="829" spans="1:12" x14ac:dyDescent="0.3">
      <c r="A829" s="1">
        <v>41805</v>
      </c>
      <c r="B829" s="1">
        <v>41810</v>
      </c>
      <c r="C829" t="s">
        <v>7</v>
      </c>
      <c r="D829" t="s">
        <v>1376</v>
      </c>
      <c r="E829" t="s">
        <v>1377</v>
      </c>
      <c r="F829" t="s">
        <v>25</v>
      </c>
      <c r="G829" t="s">
        <v>4</v>
      </c>
      <c r="H829" t="s">
        <v>10</v>
      </c>
      <c r="I829" t="s">
        <v>1378</v>
      </c>
      <c r="J829" s="2">
        <v>82.367999999999995</v>
      </c>
      <c r="K829">
        <v>2</v>
      </c>
      <c r="L829" s="4"/>
    </row>
    <row r="830" spans="1:12" x14ac:dyDescent="0.3">
      <c r="A830" s="1">
        <v>41805</v>
      </c>
      <c r="B830" s="1">
        <v>41810</v>
      </c>
      <c r="C830" t="s">
        <v>7</v>
      </c>
      <c r="D830" t="s">
        <v>1376</v>
      </c>
      <c r="E830" t="s">
        <v>1377</v>
      </c>
      <c r="F830" t="s">
        <v>25</v>
      </c>
      <c r="G830" t="s">
        <v>12</v>
      </c>
      <c r="H830" t="s">
        <v>35</v>
      </c>
      <c r="I830" t="s">
        <v>1379</v>
      </c>
      <c r="J830" s="2">
        <v>364.70400000000006</v>
      </c>
      <c r="K830">
        <v>6</v>
      </c>
      <c r="L830" s="4"/>
    </row>
    <row r="831" spans="1:12" x14ac:dyDescent="0.3">
      <c r="A831" s="1">
        <v>41805</v>
      </c>
      <c r="B831" s="1">
        <v>41810</v>
      </c>
      <c r="C831" t="s">
        <v>7</v>
      </c>
      <c r="D831" t="s">
        <v>1376</v>
      </c>
      <c r="E831" t="s">
        <v>1377</v>
      </c>
      <c r="F831" t="s">
        <v>25</v>
      </c>
      <c r="G831" t="s">
        <v>12</v>
      </c>
      <c r="H831" t="s">
        <v>35</v>
      </c>
      <c r="I831" t="s">
        <v>1380</v>
      </c>
      <c r="J831" s="2">
        <v>40.256</v>
      </c>
      <c r="K831">
        <v>4</v>
      </c>
      <c r="L831" s="4"/>
    </row>
    <row r="832" spans="1:12" x14ac:dyDescent="0.3">
      <c r="A832" s="1">
        <v>41805</v>
      </c>
      <c r="B832" s="1">
        <v>41809</v>
      </c>
      <c r="C832" t="s">
        <v>7</v>
      </c>
      <c r="D832" t="s">
        <v>396</v>
      </c>
      <c r="E832" t="s">
        <v>397</v>
      </c>
      <c r="F832" t="s">
        <v>3</v>
      </c>
      <c r="G832" t="s">
        <v>74</v>
      </c>
      <c r="H832" t="s">
        <v>147</v>
      </c>
      <c r="I832" t="s">
        <v>883</v>
      </c>
      <c r="J832" s="2">
        <v>225.57599999999996</v>
      </c>
      <c r="K832">
        <v>3</v>
      </c>
      <c r="L832" s="4"/>
    </row>
    <row r="833" spans="1:12" x14ac:dyDescent="0.3">
      <c r="A833" s="1">
        <v>41808</v>
      </c>
      <c r="B833" s="1">
        <v>41813</v>
      </c>
      <c r="C833" t="s">
        <v>7</v>
      </c>
      <c r="D833" t="s">
        <v>1381</v>
      </c>
      <c r="E833" t="s">
        <v>1382</v>
      </c>
      <c r="F833" t="s">
        <v>25</v>
      </c>
      <c r="G833" t="s">
        <v>4</v>
      </c>
      <c r="H833" t="s">
        <v>5</v>
      </c>
      <c r="I833" t="s">
        <v>1383</v>
      </c>
      <c r="J833" s="2">
        <v>11.952000000000002</v>
      </c>
      <c r="K833">
        <v>3</v>
      </c>
      <c r="L833" s="4"/>
    </row>
    <row r="834" spans="1:12" x14ac:dyDescent="0.3">
      <c r="A834" s="1">
        <v>41808</v>
      </c>
      <c r="B834" s="1">
        <v>41813</v>
      </c>
      <c r="C834" t="s">
        <v>7</v>
      </c>
      <c r="D834" t="s">
        <v>1381</v>
      </c>
      <c r="E834" t="s">
        <v>1382</v>
      </c>
      <c r="F834" t="s">
        <v>25</v>
      </c>
      <c r="G834" t="s">
        <v>4</v>
      </c>
      <c r="H834" t="s">
        <v>26</v>
      </c>
      <c r="I834" t="s">
        <v>950</v>
      </c>
      <c r="J834" s="2">
        <v>4.5360000000000014</v>
      </c>
      <c r="K834">
        <v>7</v>
      </c>
      <c r="L834" s="4"/>
    </row>
    <row r="835" spans="1:12" x14ac:dyDescent="0.3">
      <c r="A835" s="1">
        <v>41808</v>
      </c>
      <c r="B835" s="1">
        <v>41813</v>
      </c>
      <c r="C835" t="s">
        <v>7</v>
      </c>
      <c r="D835" t="s">
        <v>1381</v>
      </c>
      <c r="E835" t="s">
        <v>1382</v>
      </c>
      <c r="F835" t="s">
        <v>25</v>
      </c>
      <c r="G835" t="s">
        <v>4</v>
      </c>
      <c r="H835" t="s">
        <v>26</v>
      </c>
      <c r="I835" t="s">
        <v>1375</v>
      </c>
      <c r="J835" s="2">
        <v>9.1560000000000006</v>
      </c>
      <c r="K835">
        <v>2</v>
      </c>
      <c r="L835" s="4"/>
    </row>
    <row r="836" spans="1:12" x14ac:dyDescent="0.3">
      <c r="A836" s="1">
        <v>41808</v>
      </c>
      <c r="B836" s="1">
        <v>41813</v>
      </c>
      <c r="C836" t="s">
        <v>7</v>
      </c>
      <c r="D836" t="s">
        <v>1381</v>
      </c>
      <c r="E836" t="s">
        <v>1382</v>
      </c>
      <c r="F836" t="s">
        <v>25</v>
      </c>
      <c r="G836" t="s">
        <v>12</v>
      </c>
      <c r="H836" t="s">
        <v>35</v>
      </c>
      <c r="I836" t="s">
        <v>1263</v>
      </c>
      <c r="J836" s="2">
        <v>75.36</v>
      </c>
      <c r="K836">
        <v>5</v>
      </c>
      <c r="L836" s="4"/>
    </row>
    <row r="837" spans="1:12" x14ac:dyDescent="0.3">
      <c r="A837" s="1">
        <v>41808</v>
      </c>
      <c r="B837" s="1">
        <v>41812</v>
      </c>
      <c r="C837" t="s">
        <v>7</v>
      </c>
      <c r="D837" t="s">
        <v>1384</v>
      </c>
      <c r="E837" t="s">
        <v>1385</v>
      </c>
      <c r="F837" t="s">
        <v>3</v>
      </c>
      <c r="G837" t="s">
        <v>4</v>
      </c>
      <c r="H837" t="s">
        <v>15</v>
      </c>
      <c r="I837" t="s">
        <v>116</v>
      </c>
      <c r="J837" s="2">
        <v>51.98</v>
      </c>
      <c r="K837">
        <v>2</v>
      </c>
      <c r="L837" s="4"/>
    </row>
    <row r="838" spans="1:12" x14ac:dyDescent="0.3">
      <c r="A838" s="1">
        <v>41809</v>
      </c>
      <c r="B838" s="1">
        <v>41813</v>
      </c>
      <c r="C838" t="s">
        <v>7</v>
      </c>
      <c r="D838" t="s">
        <v>1040</v>
      </c>
      <c r="E838" t="s">
        <v>1041</v>
      </c>
      <c r="F838" t="s">
        <v>3</v>
      </c>
      <c r="G838" t="s">
        <v>12</v>
      </c>
      <c r="H838" t="s">
        <v>35</v>
      </c>
      <c r="I838" t="s">
        <v>1386</v>
      </c>
      <c r="J838" s="2">
        <v>12.56</v>
      </c>
      <c r="K838">
        <v>2</v>
      </c>
      <c r="L838" s="4"/>
    </row>
    <row r="839" spans="1:12" x14ac:dyDescent="0.3">
      <c r="A839" s="1">
        <v>41809</v>
      </c>
      <c r="B839" s="1">
        <v>41813</v>
      </c>
      <c r="C839" t="s">
        <v>7</v>
      </c>
      <c r="D839" t="s">
        <v>1040</v>
      </c>
      <c r="E839" t="s">
        <v>1041</v>
      </c>
      <c r="F839" t="s">
        <v>3</v>
      </c>
      <c r="G839" t="s">
        <v>4</v>
      </c>
      <c r="H839" t="s">
        <v>5</v>
      </c>
      <c r="I839" t="s">
        <v>1387</v>
      </c>
      <c r="J839" s="2">
        <v>6.48</v>
      </c>
      <c r="K839">
        <v>1</v>
      </c>
      <c r="L839" s="4"/>
    </row>
    <row r="840" spans="1:12" x14ac:dyDescent="0.3">
      <c r="A840" s="1">
        <v>41809</v>
      </c>
      <c r="B840" s="1">
        <v>41813</v>
      </c>
      <c r="C840" t="s">
        <v>7</v>
      </c>
      <c r="D840" t="s">
        <v>1040</v>
      </c>
      <c r="E840" t="s">
        <v>1041</v>
      </c>
      <c r="F840" t="s">
        <v>3</v>
      </c>
      <c r="G840" t="s">
        <v>4</v>
      </c>
      <c r="H840" t="s">
        <v>29</v>
      </c>
      <c r="I840" t="s">
        <v>1388</v>
      </c>
      <c r="J840" s="2">
        <v>186.69</v>
      </c>
      <c r="K840">
        <v>3</v>
      </c>
      <c r="L840" s="4"/>
    </row>
    <row r="841" spans="1:12" x14ac:dyDescent="0.3">
      <c r="A841" s="1">
        <v>41810</v>
      </c>
      <c r="B841" s="1">
        <v>41815</v>
      </c>
      <c r="C841" t="s">
        <v>0</v>
      </c>
      <c r="D841" t="s">
        <v>1389</v>
      </c>
      <c r="E841" t="s">
        <v>1390</v>
      </c>
      <c r="F841" t="s">
        <v>3</v>
      </c>
      <c r="G841" t="s">
        <v>12</v>
      </c>
      <c r="H841" t="s">
        <v>35</v>
      </c>
      <c r="I841" t="s">
        <v>1391</v>
      </c>
      <c r="J841" s="2">
        <v>257.64</v>
      </c>
      <c r="K841">
        <v>6</v>
      </c>
      <c r="L841" s="4"/>
    </row>
    <row r="842" spans="1:12" x14ac:dyDescent="0.3">
      <c r="A842" s="1">
        <v>41810</v>
      </c>
      <c r="B842" s="1">
        <v>41815</v>
      </c>
      <c r="C842" t="s">
        <v>0</v>
      </c>
      <c r="D842" t="s">
        <v>1389</v>
      </c>
      <c r="E842" t="s">
        <v>1390</v>
      </c>
      <c r="F842" t="s">
        <v>3</v>
      </c>
      <c r="G842" t="s">
        <v>74</v>
      </c>
      <c r="H842" t="s">
        <v>147</v>
      </c>
      <c r="I842" t="s">
        <v>321</v>
      </c>
      <c r="J842" s="2">
        <v>125.97600000000001</v>
      </c>
      <c r="K842">
        <v>3</v>
      </c>
      <c r="L842" s="4"/>
    </row>
    <row r="843" spans="1:12" x14ac:dyDescent="0.3">
      <c r="A843" s="1">
        <v>41810</v>
      </c>
      <c r="B843" s="1">
        <v>41813</v>
      </c>
      <c r="C843" t="s">
        <v>22</v>
      </c>
      <c r="D843" t="s">
        <v>1158</v>
      </c>
      <c r="E843" t="s">
        <v>1159</v>
      </c>
      <c r="F843" t="s">
        <v>115</v>
      </c>
      <c r="G843" t="s">
        <v>74</v>
      </c>
      <c r="H843" t="s">
        <v>147</v>
      </c>
      <c r="I843" t="s">
        <v>1392</v>
      </c>
      <c r="J843" s="2">
        <v>125.944</v>
      </c>
      <c r="K843">
        <v>7</v>
      </c>
      <c r="L843" s="4"/>
    </row>
    <row r="844" spans="1:12" x14ac:dyDescent="0.3">
      <c r="A844" s="1">
        <v>41812</v>
      </c>
      <c r="B844" s="1">
        <v>41816</v>
      </c>
      <c r="C844" t="s">
        <v>0</v>
      </c>
      <c r="D844" t="s">
        <v>480</v>
      </c>
      <c r="E844" t="s">
        <v>481</v>
      </c>
      <c r="F844" t="s">
        <v>126</v>
      </c>
      <c r="G844" t="s">
        <v>4</v>
      </c>
      <c r="H844" t="s">
        <v>52</v>
      </c>
      <c r="I844" t="s">
        <v>1393</v>
      </c>
      <c r="J844" s="2">
        <v>4.96</v>
      </c>
      <c r="K844">
        <v>4</v>
      </c>
      <c r="L844" s="4"/>
    </row>
    <row r="845" spans="1:12" x14ac:dyDescent="0.3">
      <c r="A845" s="1">
        <v>41813</v>
      </c>
      <c r="B845" s="1">
        <v>41815</v>
      </c>
      <c r="C845" t="s">
        <v>0</v>
      </c>
      <c r="D845" t="s">
        <v>1394</v>
      </c>
      <c r="E845" t="s">
        <v>1395</v>
      </c>
      <c r="F845" t="s">
        <v>56</v>
      </c>
      <c r="G845" t="s">
        <v>74</v>
      </c>
      <c r="H845" t="s">
        <v>147</v>
      </c>
      <c r="I845" t="s">
        <v>1396</v>
      </c>
      <c r="J845" s="2">
        <v>201.56800000000001</v>
      </c>
      <c r="K845">
        <v>4</v>
      </c>
      <c r="L845" s="4"/>
    </row>
    <row r="846" spans="1:12" x14ac:dyDescent="0.3">
      <c r="A846" s="1">
        <v>41813</v>
      </c>
      <c r="B846" s="1">
        <v>41818</v>
      </c>
      <c r="C846" t="s">
        <v>7</v>
      </c>
      <c r="D846" t="s">
        <v>1397</v>
      </c>
      <c r="E846" t="s">
        <v>1398</v>
      </c>
      <c r="F846" t="s">
        <v>3</v>
      </c>
      <c r="G846" t="s">
        <v>74</v>
      </c>
      <c r="H846" t="s">
        <v>147</v>
      </c>
      <c r="I846" t="s">
        <v>1399</v>
      </c>
      <c r="J846" s="2">
        <v>217.58400000000003</v>
      </c>
      <c r="K846">
        <v>2</v>
      </c>
      <c r="L846" s="4"/>
    </row>
    <row r="847" spans="1:12" x14ac:dyDescent="0.3">
      <c r="A847" s="1">
        <v>41813</v>
      </c>
      <c r="B847" s="1">
        <v>41818</v>
      </c>
      <c r="C847" t="s">
        <v>7</v>
      </c>
      <c r="D847" t="s">
        <v>1397</v>
      </c>
      <c r="E847" t="s">
        <v>1398</v>
      </c>
      <c r="F847" t="s">
        <v>3</v>
      </c>
      <c r="G847" t="s">
        <v>4</v>
      </c>
      <c r="H847" t="s">
        <v>52</v>
      </c>
      <c r="I847" t="s">
        <v>1400</v>
      </c>
      <c r="J847" s="2">
        <v>5.43</v>
      </c>
      <c r="K847">
        <v>3</v>
      </c>
      <c r="L847" s="4"/>
    </row>
    <row r="848" spans="1:12" x14ac:dyDescent="0.3">
      <c r="A848" s="1">
        <v>41813</v>
      </c>
      <c r="B848" s="1">
        <v>41818</v>
      </c>
      <c r="C848" t="s">
        <v>7</v>
      </c>
      <c r="D848" t="s">
        <v>1397</v>
      </c>
      <c r="E848" t="s">
        <v>1398</v>
      </c>
      <c r="F848" t="s">
        <v>3</v>
      </c>
      <c r="G848" t="s">
        <v>74</v>
      </c>
      <c r="H848" t="s">
        <v>147</v>
      </c>
      <c r="I848" t="s">
        <v>1401</v>
      </c>
      <c r="J848" s="2">
        <v>143.976</v>
      </c>
      <c r="K848">
        <v>3</v>
      </c>
      <c r="L848" s="4"/>
    </row>
    <row r="849" spans="1:12" x14ac:dyDescent="0.3">
      <c r="A849" s="1">
        <v>41815</v>
      </c>
      <c r="B849" s="1">
        <v>41820</v>
      </c>
      <c r="C849" t="s">
        <v>7</v>
      </c>
      <c r="D849" t="s">
        <v>1402</v>
      </c>
      <c r="E849" t="s">
        <v>1403</v>
      </c>
      <c r="F849" t="s">
        <v>3</v>
      </c>
      <c r="G849" t="s">
        <v>12</v>
      </c>
      <c r="H849" t="s">
        <v>35</v>
      </c>
      <c r="I849" t="s">
        <v>537</v>
      </c>
      <c r="J849" s="2">
        <v>204.85</v>
      </c>
      <c r="K849">
        <v>5</v>
      </c>
      <c r="L849" s="4"/>
    </row>
    <row r="850" spans="1:12" x14ac:dyDescent="0.3">
      <c r="A850" s="1">
        <v>41815</v>
      </c>
      <c r="B850" s="1">
        <v>41821</v>
      </c>
      <c r="C850" t="s">
        <v>7</v>
      </c>
      <c r="D850" t="s">
        <v>1225</v>
      </c>
      <c r="E850" t="s">
        <v>1226</v>
      </c>
      <c r="F850" t="s">
        <v>3</v>
      </c>
      <c r="G850" t="s">
        <v>4</v>
      </c>
      <c r="H850" t="s">
        <v>15</v>
      </c>
      <c r="I850" t="s">
        <v>371</v>
      </c>
      <c r="J850" s="2">
        <v>20.96</v>
      </c>
      <c r="K850">
        <v>2</v>
      </c>
      <c r="L850" s="4"/>
    </row>
    <row r="851" spans="1:12" x14ac:dyDescent="0.3">
      <c r="A851" s="1">
        <v>41815</v>
      </c>
      <c r="B851" s="1">
        <v>41821</v>
      </c>
      <c r="C851" t="s">
        <v>7</v>
      </c>
      <c r="D851" t="s">
        <v>1225</v>
      </c>
      <c r="E851" t="s">
        <v>1226</v>
      </c>
      <c r="F851" t="s">
        <v>3</v>
      </c>
      <c r="G851" t="s">
        <v>4</v>
      </c>
      <c r="H851" t="s">
        <v>26</v>
      </c>
      <c r="I851" t="s">
        <v>1404</v>
      </c>
      <c r="J851" s="2">
        <v>88.751999999999995</v>
      </c>
      <c r="K851">
        <v>3</v>
      </c>
      <c r="L851" s="4"/>
    </row>
    <row r="852" spans="1:12" x14ac:dyDescent="0.3">
      <c r="A852" s="1">
        <v>41815</v>
      </c>
      <c r="B852" s="1">
        <v>41821</v>
      </c>
      <c r="C852" t="s">
        <v>7</v>
      </c>
      <c r="D852" t="s">
        <v>1225</v>
      </c>
      <c r="E852" t="s">
        <v>1226</v>
      </c>
      <c r="F852" t="s">
        <v>3</v>
      </c>
      <c r="G852" t="s">
        <v>4</v>
      </c>
      <c r="H852" t="s">
        <v>10</v>
      </c>
      <c r="I852" t="s">
        <v>821</v>
      </c>
      <c r="J852" s="2">
        <v>304.23</v>
      </c>
      <c r="K852">
        <v>3</v>
      </c>
      <c r="L852" s="4"/>
    </row>
    <row r="853" spans="1:12" x14ac:dyDescent="0.3">
      <c r="A853" s="1">
        <v>41818</v>
      </c>
      <c r="B853" s="1">
        <v>41822</v>
      </c>
      <c r="C853" t="s">
        <v>7</v>
      </c>
      <c r="D853" t="s">
        <v>1405</v>
      </c>
      <c r="E853" t="s">
        <v>1406</v>
      </c>
      <c r="F853" t="s">
        <v>25</v>
      </c>
      <c r="G853" t="s">
        <v>4</v>
      </c>
      <c r="H853" t="s">
        <v>168</v>
      </c>
      <c r="I853" t="s">
        <v>1360</v>
      </c>
      <c r="J853" s="2">
        <v>5.9039999999999999</v>
      </c>
      <c r="K853">
        <v>2</v>
      </c>
      <c r="L853" s="4"/>
    </row>
    <row r="854" spans="1:12" x14ac:dyDescent="0.3">
      <c r="A854" s="1">
        <v>41818</v>
      </c>
      <c r="B854" s="1">
        <v>41822</v>
      </c>
      <c r="C854" t="s">
        <v>7</v>
      </c>
      <c r="D854" t="s">
        <v>1405</v>
      </c>
      <c r="E854" t="s">
        <v>1406</v>
      </c>
      <c r="F854" t="s">
        <v>25</v>
      </c>
      <c r="G854" t="s">
        <v>12</v>
      </c>
      <c r="H854" t="s">
        <v>35</v>
      </c>
      <c r="I854" t="s">
        <v>1407</v>
      </c>
      <c r="J854" s="2">
        <v>621.7600000000001</v>
      </c>
      <c r="K854">
        <v>4</v>
      </c>
      <c r="L854" s="4"/>
    </row>
    <row r="855" spans="1:12" x14ac:dyDescent="0.3">
      <c r="A855" s="1">
        <v>41824</v>
      </c>
      <c r="B855" s="1">
        <v>41828</v>
      </c>
      <c r="C855" t="s">
        <v>0</v>
      </c>
      <c r="D855" t="s">
        <v>1408</v>
      </c>
      <c r="E855" t="s">
        <v>1409</v>
      </c>
      <c r="F855" t="s">
        <v>3</v>
      </c>
      <c r="G855" t="s">
        <v>4</v>
      </c>
      <c r="H855" t="s">
        <v>26</v>
      </c>
      <c r="I855" t="s">
        <v>804</v>
      </c>
      <c r="J855" s="2">
        <v>22.847999999999999</v>
      </c>
      <c r="K855">
        <v>2</v>
      </c>
      <c r="L855" s="4"/>
    </row>
    <row r="856" spans="1:12" x14ac:dyDescent="0.3">
      <c r="A856" s="1">
        <v>41826</v>
      </c>
      <c r="B856" s="1">
        <v>41831</v>
      </c>
      <c r="C856" t="s">
        <v>7</v>
      </c>
      <c r="D856" t="s">
        <v>1156</v>
      </c>
      <c r="E856" t="s">
        <v>1157</v>
      </c>
      <c r="F856" t="s">
        <v>3</v>
      </c>
      <c r="G856" t="s">
        <v>12</v>
      </c>
      <c r="H856" t="s">
        <v>70</v>
      </c>
      <c r="I856" t="s">
        <v>1410</v>
      </c>
      <c r="J856" s="2">
        <v>170.35200000000003</v>
      </c>
      <c r="K856">
        <v>3</v>
      </c>
      <c r="L856" s="4"/>
    </row>
    <row r="857" spans="1:12" x14ac:dyDescent="0.3">
      <c r="A857" s="1">
        <v>41830</v>
      </c>
      <c r="B857" s="1">
        <v>41830</v>
      </c>
      <c r="C857" t="s">
        <v>240</v>
      </c>
      <c r="D857" t="s">
        <v>1411</v>
      </c>
      <c r="E857" t="s">
        <v>1412</v>
      </c>
      <c r="F857" t="s">
        <v>25</v>
      </c>
      <c r="G857" t="s">
        <v>4</v>
      </c>
      <c r="H857" t="s">
        <v>26</v>
      </c>
      <c r="I857" t="s">
        <v>793</v>
      </c>
      <c r="J857" s="2">
        <v>3.366000000000001</v>
      </c>
      <c r="K857">
        <v>3</v>
      </c>
      <c r="L857" s="4"/>
    </row>
    <row r="858" spans="1:12" x14ac:dyDescent="0.3">
      <c r="A858" s="1">
        <v>41830</v>
      </c>
      <c r="B858" s="1">
        <v>41834</v>
      </c>
      <c r="C858" t="s">
        <v>7</v>
      </c>
      <c r="D858" t="s">
        <v>1413</v>
      </c>
      <c r="E858" t="s">
        <v>1414</v>
      </c>
      <c r="F858" t="s">
        <v>3</v>
      </c>
      <c r="G858" t="s">
        <v>4</v>
      </c>
      <c r="H858" t="s">
        <v>26</v>
      </c>
      <c r="I858" t="s">
        <v>1415</v>
      </c>
      <c r="J858" s="2">
        <v>39.92</v>
      </c>
      <c r="K858">
        <v>2</v>
      </c>
      <c r="L858" s="4"/>
    </row>
    <row r="859" spans="1:12" x14ac:dyDescent="0.3">
      <c r="A859" s="1">
        <v>41831</v>
      </c>
      <c r="B859" s="1">
        <v>41833</v>
      </c>
      <c r="C859" t="s">
        <v>0</v>
      </c>
      <c r="D859" t="s">
        <v>1416</v>
      </c>
      <c r="E859" t="s">
        <v>1417</v>
      </c>
      <c r="F859" t="s">
        <v>56</v>
      </c>
      <c r="G859" t="s">
        <v>4</v>
      </c>
      <c r="H859" t="s">
        <v>5</v>
      </c>
      <c r="I859" t="s">
        <v>1418</v>
      </c>
      <c r="J859" s="2">
        <v>29.97</v>
      </c>
      <c r="K859">
        <v>3</v>
      </c>
      <c r="L859" s="4"/>
    </row>
    <row r="860" spans="1:12" x14ac:dyDescent="0.3">
      <c r="A860" s="1">
        <v>41831</v>
      </c>
      <c r="B860" s="1">
        <v>41833</v>
      </c>
      <c r="C860" t="s">
        <v>0</v>
      </c>
      <c r="D860" t="s">
        <v>1416</v>
      </c>
      <c r="E860" t="s">
        <v>1417</v>
      </c>
      <c r="F860" t="s">
        <v>56</v>
      </c>
      <c r="G860" t="s">
        <v>4</v>
      </c>
      <c r="H860" t="s">
        <v>26</v>
      </c>
      <c r="I860" t="s">
        <v>414</v>
      </c>
      <c r="J860" s="2">
        <v>98.352000000000004</v>
      </c>
      <c r="K860">
        <v>3</v>
      </c>
      <c r="L860" s="4"/>
    </row>
    <row r="861" spans="1:12" x14ac:dyDescent="0.3">
      <c r="A861" s="1">
        <v>41834</v>
      </c>
      <c r="B861" s="1">
        <v>41839</v>
      </c>
      <c r="C861" t="s">
        <v>0</v>
      </c>
      <c r="D861" t="s">
        <v>1419</v>
      </c>
      <c r="E861" t="s">
        <v>1420</v>
      </c>
      <c r="F861" t="s">
        <v>25</v>
      </c>
      <c r="G861" t="s">
        <v>4</v>
      </c>
      <c r="H861" t="s">
        <v>10</v>
      </c>
      <c r="I861" t="s">
        <v>876</v>
      </c>
      <c r="J861" s="2">
        <v>272.73599999999999</v>
      </c>
      <c r="K861">
        <v>3</v>
      </c>
      <c r="L861" s="4"/>
    </row>
    <row r="862" spans="1:12" x14ac:dyDescent="0.3">
      <c r="A862" s="1">
        <v>41834</v>
      </c>
      <c r="B862" s="1">
        <v>41839</v>
      </c>
      <c r="C862" t="s">
        <v>0</v>
      </c>
      <c r="D862" t="s">
        <v>1419</v>
      </c>
      <c r="E862" t="s">
        <v>1420</v>
      </c>
      <c r="F862" t="s">
        <v>25</v>
      </c>
      <c r="G862" t="s">
        <v>4</v>
      </c>
      <c r="H862" t="s">
        <v>5</v>
      </c>
      <c r="I862" t="s">
        <v>1421</v>
      </c>
      <c r="J862" s="2">
        <v>18.496000000000002</v>
      </c>
      <c r="K862">
        <v>4</v>
      </c>
      <c r="L862" s="4"/>
    </row>
    <row r="863" spans="1:12" x14ac:dyDescent="0.3">
      <c r="A863" s="1">
        <v>41834</v>
      </c>
      <c r="B863" s="1">
        <v>41839</v>
      </c>
      <c r="C863" t="s">
        <v>0</v>
      </c>
      <c r="D863" t="s">
        <v>1419</v>
      </c>
      <c r="E863" t="s">
        <v>1420</v>
      </c>
      <c r="F863" t="s">
        <v>25</v>
      </c>
      <c r="G863" t="s">
        <v>12</v>
      </c>
      <c r="H863" t="s">
        <v>70</v>
      </c>
      <c r="I863" t="s">
        <v>1082</v>
      </c>
      <c r="J863" s="2">
        <v>441.92</v>
      </c>
      <c r="K863">
        <v>2</v>
      </c>
      <c r="L863" s="4"/>
    </row>
    <row r="864" spans="1:12" x14ac:dyDescent="0.3">
      <c r="A864" s="1">
        <v>41834</v>
      </c>
      <c r="B864" s="1">
        <v>41839</v>
      </c>
      <c r="C864" t="s">
        <v>0</v>
      </c>
      <c r="D864" t="s">
        <v>1419</v>
      </c>
      <c r="E864" t="s">
        <v>1420</v>
      </c>
      <c r="F864" t="s">
        <v>25</v>
      </c>
      <c r="G864" t="s">
        <v>12</v>
      </c>
      <c r="H864" t="s">
        <v>13</v>
      </c>
      <c r="I864" t="s">
        <v>1422</v>
      </c>
      <c r="J864" s="2">
        <v>127.76400000000002</v>
      </c>
      <c r="K864">
        <v>6</v>
      </c>
      <c r="L864" s="4"/>
    </row>
    <row r="865" spans="1:12" x14ac:dyDescent="0.3">
      <c r="A865" s="1">
        <v>41836</v>
      </c>
      <c r="B865" s="1">
        <v>41836</v>
      </c>
      <c r="C865" t="s">
        <v>240</v>
      </c>
      <c r="D865" t="s">
        <v>1366</v>
      </c>
      <c r="E865" t="s">
        <v>1367</v>
      </c>
      <c r="F865" t="s">
        <v>3</v>
      </c>
      <c r="G865" t="s">
        <v>12</v>
      </c>
      <c r="H865" t="s">
        <v>70</v>
      </c>
      <c r="I865" t="s">
        <v>490</v>
      </c>
      <c r="J865" s="2">
        <v>1348.7040000000002</v>
      </c>
      <c r="K865">
        <v>6</v>
      </c>
      <c r="L865" s="4"/>
    </row>
    <row r="866" spans="1:12" x14ac:dyDescent="0.3">
      <c r="A866" s="1">
        <v>41836</v>
      </c>
      <c r="B866" s="1">
        <v>41836</v>
      </c>
      <c r="C866" t="s">
        <v>240</v>
      </c>
      <c r="D866" t="s">
        <v>1366</v>
      </c>
      <c r="E866" t="s">
        <v>1367</v>
      </c>
      <c r="F866" t="s">
        <v>3</v>
      </c>
      <c r="G866" t="s">
        <v>12</v>
      </c>
      <c r="H866" t="s">
        <v>70</v>
      </c>
      <c r="I866" t="s">
        <v>1423</v>
      </c>
      <c r="J866" s="2">
        <v>700.15200000000004</v>
      </c>
      <c r="K866">
        <v>3</v>
      </c>
      <c r="L866" s="4"/>
    </row>
    <row r="867" spans="1:12" x14ac:dyDescent="0.3">
      <c r="A867" s="1">
        <v>41837</v>
      </c>
      <c r="B867" s="1">
        <v>41839</v>
      </c>
      <c r="C867" t="s">
        <v>0</v>
      </c>
      <c r="D867" t="s">
        <v>1424</v>
      </c>
      <c r="E867" t="s">
        <v>1425</v>
      </c>
      <c r="F867" t="s">
        <v>3</v>
      </c>
      <c r="G867" t="s">
        <v>12</v>
      </c>
      <c r="H867" t="s">
        <v>13</v>
      </c>
      <c r="I867" t="s">
        <v>1426</v>
      </c>
      <c r="J867" s="2">
        <v>195.46600000000001</v>
      </c>
      <c r="K867">
        <v>2</v>
      </c>
      <c r="L867" s="4"/>
    </row>
    <row r="868" spans="1:12" x14ac:dyDescent="0.3">
      <c r="A868" s="1">
        <v>41838</v>
      </c>
      <c r="B868" s="1">
        <v>41842</v>
      </c>
      <c r="C868" t="s">
        <v>7</v>
      </c>
      <c r="D868" t="s">
        <v>1427</v>
      </c>
      <c r="E868" t="s">
        <v>1428</v>
      </c>
      <c r="F868" t="s">
        <v>3</v>
      </c>
      <c r="G868" t="s">
        <v>74</v>
      </c>
      <c r="H868" t="s">
        <v>75</v>
      </c>
      <c r="I868" t="s">
        <v>1429</v>
      </c>
      <c r="J868" s="2">
        <v>519.96</v>
      </c>
      <c r="K868">
        <v>4</v>
      </c>
      <c r="L868" s="4"/>
    </row>
    <row r="869" spans="1:12" x14ac:dyDescent="0.3">
      <c r="A869" s="1">
        <v>41839</v>
      </c>
      <c r="B869" s="1">
        <v>41840</v>
      </c>
      <c r="C869" t="s">
        <v>22</v>
      </c>
      <c r="D869" t="s">
        <v>1430</v>
      </c>
      <c r="E869" t="s">
        <v>1431</v>
      </c>
      <c r="F869" t="s">
        <v>25</v>
      </c>
      <c r="G869" t="s">
        <v>4</v>
      </c>
      <c r="H869" t="s">
        <v>26</v>
      </c>
      <c r="I869" t="s">
        <v>1432</v>
      </c>
      <c r="J869" s="2">
        <v>2.0250000000000004</v>
      </c>
      <c r="K869">
        <v>1</v>
      </c>
      <c r="L869" s="4"/>
    </row>
    <row r="870" spans="1:12" x14ac:dyDescent="0.3">
      <c r="A870" s="1">
        <v>41845</v>
      </c>
      <c r="B870" s="1">
        <v>41847</v>
      </c>
      <c r="C870" t="s">
        <v>0</v>
      </c>
      <c r="D870" t="s">
        <v>1433</v>
      </c>
      <c r="E870" t="s">
        <v>1434</v>
      </c>
      <c r="F870" t="s">
        <v>56</v>
      </c>
      <c r="G870" t="s">
        <v>4</v>
      </c>
      <c r="H870" t="s">
        <v>52</v>
      </c>
      <c r="I870" t="s">
        <v>1435</v>
      </c>
      <c r="J870" s="2">
        <v>9.42</v>
      </c>
      <c r="K870">
        <v>2</v>
      </c>
      <c r="L870" s="4"/>
    </row>
    <row r="871" spans="1:12" x14ac:dyDescent="0.3">
      <c r="A871" s="1">
        <v>41845</v>
      </c>
      <c r="B871" s="1">
        <v>41847</v>
      </c>
      <c r="C871" t="s">
        <v>0</v>
      </c>
      <c r="D871" t="s">
        <v>1433</v>
      </c>
      <c r="E871" t="s">
        <v>1434</v>
      </c>
      <c r="F871" t="s">
        <v>56</v>
      </c>
      <c r="G871" t="s">
        <v>4</v>
      </c>
      <c r="H871" t="s">
        <v>5</v>
      </c>
      <c r="I871" t="s">
        <v>1436</v>
      </c>
      <c r="J871" s="2">
        <v>12.96</v>
      </c>
      <c r="K871">
        <v>2</v>
      </c>
      <c r="L871" s="4"/>
    </row>
    <row r="872" spans="1:12" x14ac:dyDescent="0.3">
      <c r="A872" s="1">
        <v>41845</v>
      </c>
      <c r="B872" s="1">
        <v>41847</v>
      </c>
      <c r="C872" t="s">
        <v>0</v>
      </c>
      <c r="D872" t="s">
        <v>1433</v>
      </c>
      <c r="E872" t="s">
        <v>1434</v>
      </c>
      <c r="F872" t="s">
        <v>56</v>
      </c>
      <c r="G872" t="s">
        <v>12</v>
      </c>
      <c r="H872" t="s">
        <v>13</v>
      </c>
      <c r="I872" t="s">
        <v>1437</v>
      </c>
      <c r="J872" s="2">
        <v>704.9</v>
      </c>
      <c r="K872">
        <v>5</v>
      </c>
      <c r="L872" s="4"/>
    </row>
    <row r="873" spans="1:12" x14ac:dyDescent="0.3">
      <c r="A873" s="1">
        <v>41845</v>
      </c>
      <c r="B873" s="1">
        <v>41847</v>
      </c>
      <c r="C873" t="s">
        <v>0</v>
      </c>
      <c r="D873" t="s">
        <v>1433</v>
      </c>
      <c r="E873" t="s">
        <v>1434</v>
      </c>
      <c r="F873" t="s">
        <v>56</v>
      </c>
      <c r="G873" t="s">
        <v>12</v>
      </c>
      <c r="H873" t="s">
        <v>70</v>
      </c>
      <c r="I873" t="s">
        <v>1061</v>
      </c>
      <c r="J873" s="2">
        <v>561.5680000000001</v>
      </c>
      <c r="K873">
        <v>2</v>
      </c>
      <c r="L873" s="4"/>
    </row>
    <row r="874" spans="1:12" x14ac:dyDescent="0.3">
      <c r="A874" s="1">
        <v>41845</v>
      </c>
      <c r="B874" s="1">
        <v>41850</v>
      </c>
      <c r="C874" t="s">
        <v>7</v>
      </c>
      <c r="D874" t="s">
        <v>1438</v>
      </c>
      <c r="E874" t="s">
        <v>1439</v>
      </c>
      <c r="F874" t="s">
        <v>3</v>
      </c>
      <c r="G874" t="s">
        <v>74</v>
      </c>
      <c r="H874" t="s">
        <v>147</v>
      </c>
      <c r="I874" t="s">
        <v>1440</v>
      </c>
      <c r="J874" s="2">
        <v>623.96</v>
      </c>
      <c r="K874">
        <v>5</v>
      </c>
      <c r="L874" s="4"/>
    </row>
    <row r="875" spans="1:12" x14ac:dyDescent="0.3">
      <c r="A875" s="1">
        <v>41846</v>
      </c>
      <c r="B875" s="1">
        <v>41848</v>
      </c>
      <c r="C875" t="s">
        <v>22</v>
      </c>
      <c r="D875" t="s">
        <v>1441</v>
      </c>
      <c r="E875" t="s">
        <v>1442</v>
      </c>
      <c r="F875" t="s">
        <v>25</v>
      </c>
      <c r="G875" t="s">
        <v>12</v>
      </c>
      <c r="H875" t="s">
        <v>44</v>
      </c>
      <c r="I875" t="s">
        <v>902</v>
      </c>
      <c r="J875" s="2">
        <v>393.16500000000002</v>
      </c>
      <c r="K875">
        <v>3</v>
      </c>
      <c r="L875" s="4"/>
    </row>
    <row r="876" spans="1:12" x14ac:dyDescent="0.3">
      <c r="A876" s="1">
        <v>41846</v>
      </c>
      <c r="B876" s="1">
        <v>41853</v>
      </c>
      <c r="C876" t="s">
        <v>7</v>
      </c>
      <c r="D876" t="s">
        <v>767</v>
      </c>
      <c r="E876" t="s">
        <v>768</v>
      </c>
      <c r="F876" t="s">
        <v>3</v>
      </c>
      <c r="G876" t="s">
        <v>4</v>
      </c>
      <c r="H876" t="s">
        <v>29</v>
      </c>
      <c r="I876" t="s">
        <v>1443</v>
      </c>
      <c r="J876" s="2">
        <v>167.86</v>
      </c>
      <c r="K876">
        <v>2</v>
      </c>
      <c r="L876" s="4"/>
    </row>
    <row r="877" spans="1:12" x14ac:dyDescent="0.3">
      <c r="A877" s="1">
        <v>41846</v>
      </c>
      <c r="B877" s="1">
        <v>41851</v>
      </c>
      <c r="C877" t="s">
        <v>7</v>
      </c>
      <c r="D877" t="s">
        <v>1062</v>
      </c>
      <c r="E877" t="s">
        <v>1063</v>
      </c>
      <c r="F877" t="s">
        <v>3</v>
      </c>
      <c r="G877" t="s">
        <v>4</v>
      </c>
      <c r="H877" t="s">
        <v>26</v>
      </c>
      <c r="I877" t="s">
        <v>1444</v>
      </c>
      <c r="J877" s="2">
        <v>9.1440000000000001</v>
      </c>
      <c r="K877">
        <v>3</v>
      </c>
      <c r="L877" s="4"/>
    </row>
    <row r="878" spans="1:12" x14ac:dyDescent="0.3">
      <c r="A878" s="1">
        <v>41846</v>
      </c>
      <c r="B878" s="1">
        <v>41851</v>
      </c>
      <c r="C878" t="s">
        <v>7</v>
      </c>
      <c r="D878" t="s">
        <v>1062</v>
      </c>
      <c r="E878" t="s">
        <v>1063</v>
      </c>
      <c r="F878" t="s">
        <v>3</v>
      </c>
      <c r="G878" t="s">
        <v>4</v>
      </c>
      <c r="H878" t="s">
        <v>26</v>
      </c>
      <c r="I878" t="s">
        <v>426</v>
      </c>
      <c r="J878" s="2">
        <v>23.136000000000003</v>
      </c>
      <c r="K878">
        <v>6</v>
      </c>
      <c r="L878" s="4"/>
    </row>
    <row r="879" spans="1:12" x14ac:dyDescent="0.3">
      <c r="A879" s="1">
        <v>41846</v>
      </c>
      <c r="B879" s="1">
        <v>41851</v>
      </c>
      <c r="C879" t="s">
        <v>7</v>
      </c>
      <c r="D879" t="s">
        <v>1062</v>
      </c>
      <c r="E879" t="s">
        <v>1063</v>
      </c>
      <c r="F879" t="s">
        <v>3</v>
      </c>
      <c r="G879" t="s">
        <v>4</v>
      </c>
      <c r="H879" t="s">
        <v>15</v>
      </c>
      <c r="I879" t="s">
        <v>461</v>
      </c>
      <c r="J879" s="2">
        <v>99.2</v>
      </c>
      <c r="K879">
        <v>5</v>
      </c>
      <c r="L879" s="4"/>
    </row>
    <row r="880" spans="1:12" x14ac:dyDescent="0.3">
      <c r="A880" s="1">
        <v>41846</v>
      </c>
      <c r="B880" s="1">
        <v>41851</v>
      </c>
      <c r="C880" t="s">
        <v>7</v>
      </c>
      <c r="D880" t="s">
        <v>1024</v>
      </c>
      <c r="E880" t="s">
        <v>1025</v>
      </c>
      <c r="F880" t="s">
        <v>25</v>
      </c>
      <c r="G880" t="s">
        <v>12</v>
      </c>
      <c r="H880" t="s">
        <v>70</v>
      </c>
      <c r="I880" t="s">
        <v>1445</v>
      </c>
      <c r="J880" s="2">
        <v>266.35200000000003</v>
      </c>
      <c r="K880">
        <v>3</v>
      </c>
      <c r="L880" s="4"/>
    </row>
    <row r="881" spans="1:12" x14ac:dyDescent="0.3">
      <c r="A881" s="1">
        <v>41850</v>
      </c>
      <c r="B881" s="1">
        <v>41851</v>
      </c>
      <c r="C881" t="s">
        <v>22</v>
      </c>
      <c r="D881" t="s">
        <v>767</v>
      </c>
      <c r="E881" t="s">
        <v>768</v>
      </c>
      <c r="F881" t="s">
        <v>3</v>
      </c>
      <c r="G881" t="s">
        <v>74</v>
      </c>
      <c r="H881" t="s">
        <v>75</v>
      </c>
      <c r="I881" t="s">
        <v>1077</v>
      </c>
      <c r="J881" s="2">
        <v>209.92999999999998</v>
      </c>
      <c r="K881">
        <v>7</v>
      </c>
      <c r="L881" s="4"/>
    </row>
    <row r="882" spans="1:12" x14ac:dyDescent="0.3">
      <c r="A882" s="1">
        <v>41850</v>
      </c>
      <c r="B882" s="1">
        <v>41851</v>
      </c>
      <c r="C882" t="s">
        <v>22</v>
      </c>
      <c r="D882" t="s">
        <v>767</v>
      </c>
      <c r="E882" t="s">
        <v>768</v>
      </c>
      <c r="F882" t="s">
        <v>3</v>
      </c>
      <c r="G882" t="s">
        <v>12</v>
      </c>
      <c r="H882" t="s">
        <v>35</v>
      </c>
      <c r="I882" t="s">
        <v>581</v>
      </c>
      <c r="J882" s="2">
        <v>5.28</v>
      </c>
      <c r="K882">
        <v>3</v>
      </c>
      <c r="L882" s="4"/>
    </row>
    <row r="883" spans="1:12" x14ac:dyDescent="0.3">
      <c r="A883" s="1">
        <v>41850</v>
      </c>
      <c r="B883" s="1">
        <v>41851</v>
      </c>
      <c r="C883" t="s">
        <v>22</v>
      </c>
      <c r="D883" t="s">
        <v>767</v>
      </c>
      <c r="E883" t="s">
        <v>768</v>
      </c>
      <c r="F883" t="s">
        <v>3</v>
      </c>
      <c r="G883" t="s">
        <v>4</v>
      </c>
      <c r="H883" t="s">
        <v>26</v>
      </c>
      <c r="I883" t="s">
        <v>1446</v>
      </c>
      <c r="J883" s="2">
        <v>10.92</v>
      </c>
      <c r="K883">
        <v>3</v>
      </c>
      <c r="L883" s="4"/>
    </row>
    <row r="884" spans="1:12" x14ac:dyDescent="0.3">
      <c r="A884" s="1">
        <v>41852</v>
      </c>
      <c r="B884" s="1">
        <v>41858</v>
      </c>
      <c r="C884" t="s">
        <v>7</v>
      </c>
      <c r="D884" t="s">
        <v>217</v>
      </c>
      <c r="E884" t="s">
        <v>218</v>
      </c>
      <c r="F884" t="s">
        <v>3</v>
      </c>
      <c r="G884" t="s">
        <v>4</v>
      </c>
      <c r="H884" t="s">
        <v>15</v>
      </c>
      <c r="I884" t="s">
        <v>849</v>
      </c>
      <c r="J884" s="2">
        <v>6.72</v>
      </c>
      <c r="K884">
        <v>4</v>
      </c>
      <c r="L884" s="4"/>
    </row>
    <row r="885" spans="1:12" x14ac:dyDescent="0.3">
      <c r="A885" s="1">
        <v>41852</v>
      </c>
      <c r="B885" s="1">
        <v>41858</v>
      </c>
      <c r="C885" t="s">
        <v>7</v>
      </c>
      <c r="D885" t="s">
        <v>217</v>
      </c>
      <c r="E885" t="s">
        <v>218</v>
      </c>
      <c r="F885" t="s">
        <v>3</v>
      </c>
      <c r="G885" t="s">
        <v>12</v>
      </c>
      <c r="H885" t="s">
        <v>44</v>
      </c>
      <c r="I885" t="s">
        <v>413</v>
      </c>
      <c r="J885" s="2">
        <v>1004.9760000000001</v>
      </c>
      <c r="K885">
        <v>6</v>
      </c>
      <c r="L885" s="4"/>
    </row>
    <row r="886" spans="1:12" x14ac:dyDescent="0.3">
      <c r="A886" s="1">
        <v>41853</v>
      </c>
      <c r="B886" s="1">
        <v>41857</v>
      </c>
      <c r="C886" t="s">
        <v>7</v>
      </c>
      <c r="D886" t="s">
        <v>1447</v>
      </c>
      <c r="E886" t="s">
        <v>1448</v>
      </c>
      <c r="F886" t="s">
        <v>56</v>
      </c>
      <c r="G886" t="s">
        <v>4</v>
      </c>
      <c r="H886" t="s">
        <v>26</v>
      </c>
      <c r="I886" t="s">
        <v>1449</v>
      </c>
      <c r="J886" s="2">
        <v>6.3680000000000003</v>
      </c>
      <c r="K886">
        <v>2</v>
      </c>
      <c r="L886" s="4"/>
    </row>
    <row r="887" spans="1:12" x14ac:dyDescent="0.3">
      <c r="A887" s="1">
        <v>41853</v>
      </c>
      <c r="B887" s="1">
        <v>41857</v>
      </c>
      <c r="C887" t="s">
        <v>7</v>
      </c>
      <c r="D887" t="s">
        <v>1447</v>
      </c>
      <c r="E887" t="s">
        <v>1448</v>
      </c>
      <c r="F887" t="s">
        <v>56</v>
      </c>
      <c r="G887" t="s">
        <v>74</v>
      </c>
      <c r="H887" t="s">
        <v>138</v>
      </c>
      <c r="I887" t="s">
        <v>1450</v>
      </c>
      <c r="J887" s="2">
        <v>558.4</v>
      </c>
      <c r="K887">
        <v>2</v>
      </c>
      <c r="L887" s="4"/>
    </row>
    <row r="888" spans="1:12" x14ac:dyDescent="0.3">
      <c r="A888" s="1">
        <v>41853</v>
      </c>
      <c r="B888" s="1">
        <v>41857</v>
      </c>
      <c r="C888" t="s">
        <v>7</v>
      </c>
      <c r="D888" t="s">
        <v>1451</v>
      </c>
      <c r="E888" t="s">
        <v>1452</v>
      </c>
      <c r="F888" t="s">
        <v>19</v>
      </c>
      <c r="G888" t="s">
        <v>12</v>
      </c>
      <c r="H888" t="s">
        <v>44</v>
      </c>
      <c r="I888" t="s">
        <v>45</v>
      </c>
      <c r="J888" s="2">
        <v>277.5</v>
      </c>
      <c r="K888">
        <v>4</v>
      </c>
      <c r="L888" s="4"/>
    </row>
    <row r="889" spans="1:12" x14ac:dyDescent="0.3">
      <c r="A889" s="1">
        <v>41858</v>
      </c>
      <c r="B889" s="1">
        <v>41862</v>
      </c>
      <c r="C889" t="s">
        <v>7</v>
      </c>
      <c r="D889" t="s">
        <v>393</v>
      </c>
      <c r="E889" t="s">
        <v>394</v>
      </c>
      <c r="F889" t="s">
        <v>224</v>
      </c>
      <c r="G889" t="s">
        <v>4</v>
      </c>
      <c r="H889" t="s">
        <v>26</v>
      </c>
      <c r="I889" t="s">
        <v>1453</v>
      </c>
      <c r="J889" s="2">
        <v>3.3040000000000003</v>
      </c>
      <c r="K889">
        <v>1</v>
      </c>
      <c r="L889" s="4"/>
    </row>
    <row r="890" spans="1:12" x14ac:dyDescent="0.3">
      <c r="A890" s="1">
        <v>41858</v>
      </c>
      <c r="B890" s="1">
        <v>41863</v>
      </c>
      <c r="C890" t="s">
        <v>7</v>
      </c>
      <c r="D890" t="s">
        <v>1454</v>
      </c>
      <c r="E890" t="s">
        <v>1455</v>
      </c>
      <c r="F890" t="s">
        <v>3</v>
      </c>
      <c r="G890" t="s">
        <v>4</v>
      </c>
      <c r="H890" t="s">
        <v>26</v>
      </c>
      <c r="I890" t="s">
        <v>1456</v>
      </c>
      <c r="J890" s="2">
        <v>19.152000000000001</v>
      </c>
      <c r="K890">
        <v>3</v>
      </c>
      <c r="L890" s="4"/>
    </row>
    <row r="891" spans="1:12" x14ac:dyDescent="0.3">
      <c r="A891" s="1">
        <v>41859</v>
      </c>
      <c r="B891" s="1">
        <v>41859</v>
      </c>
      <c r="C891" t="s">
        <v>240</v>
      </c>
      <c r="D891" t="s">
        <v>1457</v>
      </c>
      <c r="E891" t="s">
        <v>1458</v>
      </c>
      <c r="F891" t="s">
        <v>3</v>
      </c>
      <c r="G891" t="s">
        <v>4</v>
      </c>
      <c r="H891" t="s">
        <v>26</v>
      </c>
      <c r="I891" t="s">
        <v>1453</v>
      </c>
      <c r="J891" s="2">
        <v>6.6080000000000005</v>
      </c>
      <c r="K891">
        <v>2</v>
      </c>
      <c r="L891" s="4"/>
    </row>
    <row r="892" spans="1:12" x14ac:dyDescent="0.3">
      <c r="A892" s="1">
        <v>41859</v>
      </c>
      <c r="B892" s="1">
        <v>41859</v>
      </c>
      <c r="C892" t="s">
        <v>240</v>
      </c>
      <c r="D892" t="s">
        <v>1457</v>
      </c>
      <c r="E892" t="s">
        <v>1458</v>
      </c>
      <c r="F892" t="s">
        <v>3</v>
      </c>
      <c r="G892" t="s">
        <v>4</v>
      </c>
      <c r="H892" t="s">
        <v>26</v>
      </c>
      <c r="I892" t="s">
        <v>1446</v>
      </c>
      <c r="J892" s="2">
        <v>7.28</v>
      </c>
      <c r="K892">
        <v>2</v>
      </c>
      <c r="L892" s="4"/>
    </row>
    <row r="893" spans="1:12" x14ac:dyDescent="0.3">
      <c r="A893" s="1">
        <v>41859</v>
      </c>
      <c r="B893" s="1">
        <v>41859</v>
      </c>
      <c r="C893" t="s">
        <v>240</v>
      </c>
      <c r="D893" t="s">
        <v>1457</v>
      </c>
      <c r="E893" t="s">
        <v>1458</v>
      </c>
      <c r="F893" t="s">
        <v>3</v>
      </c>
      <c r="G893" t="s">
        <v>12</v>
      </c>
      <c r="H893" t="s">
        <v>70</v>
      </c>
      <c r="I893" t="s">
        <v>1459</v>
      </c>
      <c r="J893" s="2">
        <v>144.78399999999999</v>
      </c>
      <c r="K893">
        <v>1</v>
      </c>
      <c r="L893" s="4"/>
    </row>
    <row r="894" spans="1:12" x14ac:dyDescent="0.3">
      <c r="A894" s="1">
        <v>41861</v>
      </c>
      <c r="B894" s="1">
        <v>41867</v>
      </c>
      <c r="C894" t="s">
        <v>7</v>
      </c>
      <c r="D894" t="s">
        <v>852</v>
      </c>
      <c r="E894" t="s">
        <v>853</v>
      </c>
      <c r="F894" t="s">
        <v>19</v>
      </c>
      <c r="G894" t="s">
        <v>74</v>
      </c>
      <c r="H894" t="s">
        <v>147</v>
      </c>
      <c r="I894" t="s">
        <v>235</v>
      </c>
      <c r="J894" s="2">
        <v>438.36800000000005</v>
      </c>
      <c r="K894">
        <v>4</v>
      </c>
      <c r="L894" s="4"/>
    </row>
    <row r="895" spans="1:12" x14ac:dyDescent="0.3">
      <c r="A895" s="1">
        <v>41861</v>
      </c>
      <c r="B895" s="1">
        <v>41867</v>
      </c>
      <c r="C895" t="s">
        <v>7</v>
      </c>
      <c r="D895" t="s">
        <v>852</v>
      </c>
      <c r="E895" t="s">
        <v>853</v>
      </c>
      <c r="F895" t="s">
        <v>19</v>
      </c>
      <c r="G895" t="s">
        <v>74</v>
      </c>
      <c r="H895" t="s">
        <v>147</v>
      </c>
      <c r="I895" t="s">
        <v>913</v>
      </c>
      <c r="J895" s="2">
        <v>139.94400000000002</v>
      </c>
      <c r="K895">
        <v>7</v>
      </c>
      <c r="L895" s="4"/>
    </row>
    <row r="896" spans="1:12" x14ac:dyDescent="0.3">
      <c r="A896" s="1">
        <v>41861</v>
      </c>
      <c r="B896" s="1">
        <v>41867</v>
      </c>
      <c r="C896" t="s">
        <v>7</v>
      </c>
      <c r="D896" t="s">
        <v>852</v>
      </c>
      <c r="E896" t="s">
        <v>853</v>
      </c>
      <c r="F896" t="s">
        <v>19</v>
      </c>
      <c r="G896" t="s">
        <v>4</v>
      </c>
      <c r="H896" t="s">
        <v>20</v>
      </c>
      <c r="I896" t="s">
        <v>994</v>
      </c>
      <c r="J896" s="2">
        <v>133.47200000000001</v>
      </c>
      <c r="K896">
        <v>4</v>
      </c>
      <c r="L896" s="4"/>
    </row>
    <row r="897" spans="1:12" x14ac:dyDescent="0.3">
      <c r="A897" s="1">
        <v>41864</v>
      </c>
      <c r="B897" s="1">
        <v>41871</v>
      </c>
      <c r="C897" t="s">
        <v>7</v>
      </c>
      <c r="D897" t="s">
        <v>635</v>
      </c>
      <c r="E897" t="s">
        <v>636</v>
      </c>
      <c r="F897" t="s">
        <v>3</v>
      </c>
      <c r="G897" t="s">
        <v>4</v>
      </c>
      <c r="H897" t="s">
        <v>15</v>
      </c>
      <c r="I897" t="s">
        <v>893</v>
      </c>
      <c r="J897" s="2">
        <v>50.8</v>
      </c>
      <c r="K897">
        <v>5</v>
      </c>
      <c r="L897" s="4"/>
    </row>
    <row r="898" spans="1:12" x14ac:dyDescent="0.3">
      <c r="A898" s="1">
        <v>41864</v>
      </c>
      <c r="B898" s="1">
        <v>41864</v>
      </c>
      <c r="C898" t="s">
        <v>240</v>
      </c>
      <c r="D898" t="s">
        <v>1460</v>
      </c>
      <c r="E898" t="s">
        <v>1461</v>
      </c>
      <c r="F898" t="s">
        <v>3</v>
      </c>
      <c r="G898" t="s">
        <v>12</v>
      </c>
      <c r="H898" t="s">
        <v>35</v>
      </c>
      <c r="I898" t="s">
        <v>1462</v>
      </c>
      <c r="J898" s="2">
        <v>31.56</v>
      </c>
      <c r="K898">
        <v>3</v>
      </c>
      <c r="L898" s="4"/>
    </row>
    <row r="899" spans="1:12" x14ac:dyDescent="0.3">
      <c r="A899" s="1">
        <v>41866</v>
      </c>
      <c r="B899" s="1">
        <v>41870</v>
      </c>
      <c r="C899" t="s">
        <v>7</v>
      </c>
      <c r="D899" t="s">
        <v>1463</v>
      </c>
      <c r="E899" t="s">
        <v>1464</v>
      </c>
      <c r="F899" t="s">
        <v>3</v>
      </c>
      <c r="G899" t="s">
        <v>4</v>
      </c>
      <c r="H899" t="s">
        <v>10</v>
      </c>
      <c r="I899" t="s">
        <v>725</v>
      </c>
      <c r="J899" s="2">
        <v>323.10000000000002</v>
      </c>
      <c r="K899">
        <v>2</v>
      </c>
      <c r="L899" s="4"/>
    </row>
    <row r="900" spans="1:12" x14ac:dyDescent="0.3">
      <c r="A900" s="1">
        <v>41866</v>
      </c>
      <c r="B900" s="1">
        <v>41870</v>
      </c>
      <c r="C900" t="s">
        <v>7</v>
      </c>
      <c r="D900" t="s">
        <v>1465</v>
      </c>
      <c r="E900" t="s">
        <v>1466</v>
      </c>
      <c r="F900" t="s">
        <v>3</v>
      </c>
      <c r="G900" t="s">
        <v>12</v>
      </c>
      <c r="H900" t="s">
        <v>35</v>
      </c>
      <c r="I900" t="s">
        <v>491</v>
      </c>
      <c r="J900" s="2">
        <v>104.23</v>
      </c>
      <c r="K900">
        <v>7</v>
      </c>
      <c r="L900" s="4"/>
    </row>
    <row r="901" spans="1:12" x14ac:dyDescent="0.3">
      <c r="A901" s="1">
        <v>41866</v>
      </c>
      <c r="B901" s="1">
        <v>41870</v>
      </c>
      <c r="C901" t="s">
        <v>7</v>
      </c>
      <c r="D901" t="s">
        <v>1465</v>
      </c>
      <c r="E901" t="s">
        <v>1466</v>
      </c>
      <c r="F901" t="s">
        <v>3</v>
      </c>
      <c r="G901" t="s">
        <v>4</v>
      </c>
      <c r="H901" t="s">
        <v>10</v>
      </c>
      <c r="I901" t="s">
        <v>1467</v>
      </c>
      <c r="J901" s="2">
        <v>70.260000000000005</v>
      </c>
      <c r="K901">
        <v>3</v>
      </c>
      <c r="L901" s="4"/>
    </row>
    <row r="902" spans="1:12" x14ac:dyDescent="0.3">
      <c r="A902" s="1">
        <v>41867</v>
      </c>
      <c r="B902" s="1">
        <v>41873</v>
      </c>
      <c r="C902" t="s">
        <v>7</v>
      </c>
      <c r="D902" t="s">
        <v>1468</v>
      </c>
      <c r="E902" t="s">
        <v>1469</v>
      </c>
      <c r="F902" t="s">
        <v>25</v>
      </c>
      <c r="G902" t="s">
        <v>4</v>
      </c>
      <c r="H902" t="s">
        <v>15</v>
      </c>
      <c r="I902" t="s">
        <v>1470</v>
      </c>
      <c r="J902" s="2">
        <v>2.3039999999999998</v>
      </c>
      <c r="K902">
        <v>1</v>
      </c>
      <c r="L902" s="4"/>
    </row>
    <row r="903" spans="1:12" x14ac:dyDescent="0.3">
      <c r="A903" s="1">
        <v>41867</v>
      </c>
      <c r="B903" s="1">
        <v>41873</v>
      </c>
      <c r="C903" t="s">
        <v>7</v>
      </c>
      <c r="D903" t="s">
        <v>1468</v>
      </c>
      <c r="E903" t="s">
        <v>1469</v>
      </c>
      <c r="F903" t="s">
        <v>25</v>
      </c>
      <c r="G903" t="s">
        <v>74</v>
      </c>
      <c r="H903" t="s">
        <v>147</v>
      </c>
      <c r="I903" t="s">
        <v>1471</v>
      </c>
      <c r="J903" s="2">
        <v>1879.96</v>
      </c>
      <c r="K903">
        <v>5</v>
      </c>
      <c r="L903" s="4"/>
    </row>
    <row r="904" spans="1:12" x14ac:dyDescent="0.3">
      <c r="A904" s="1">
        <v>41867</v>
      </c>
      <c r="B904" s="1">
        <v>41873</v>
      </c>
      <c r="C904" t="s">
        <v>7</v>
      </c>
      <c r="D904" t="s">
        <v>1468</v>
      </c>
      <c r="E904" t="s">
        <v>1469</v>
      </c>
      <c r="F904" t="s">
        <v>25</v>
      </c>
      <c r="G904" t="s">
        <v>4</v>
      </c>
      <c r="H904" t="s">
        <v>5</v>
      </c>
      <c r="I904" t="s">
        <v>260</v>
      </c>
      <c r="J904" s="2">
        <v>313.024</v>
      </c>
      <c r="K904">
        <v>8</v>
      </c>
      <c r="L904" s="4"/>
    </row>
    <row r="905" spans="1:12" x14ac:dyDescent="0.3">
      <c r="A905" s="1">
        <v>41867</v>
      </c>
      <c r="B905" s="1">
        <v>41873</v>
      </c>
      <c r="C905" t="s">
        <v>7</v>
      </c>
      <c r="D905" t="s">
        <v>1468</v>
      </c>
      <c r="E905" t="s">
        <v>1469</v>
      </c>
      <c r="F905" t="s">
        <v>25</v>
      </c>
      <c r="G905" t="s">
        <v>4</v>
      </c>
      <c r="H905" t="s">
        <v>168</v>
      </c>
      <c r="I905" t="s">
        <v>1472</v>
      </c>
      <c r="J905" s="2">
        <v>5.04</v>
      </c>
      <c r="K905">
        <v>2</v>
      </c>
      <c r="L905" s="4"/>
    </row>
    <row r="906" spans="1:12" x14ac:dyDescent="0.3">
      <c r="A906" s="1">
        <v>41868</v>
      </c>
      <c r="B906" s="1">
        <v>41874</v>
      </c>
      <c r="C906" t="s">
        <v>7</v>
      </c>
      <c r="D906" t="s">
        <v>345</v>
      </c>
      <c r="E906" t="s">
        <v>346</v>
      </c>
      <c r="F906" t="s">
        <v>25</v>
      </c>
      <c r="G906" t="s">
        <v>74</v>
      </c>
      <c r="H906" t="s">
        <v>75</v>
      </c>
      <c r="I906" t="s">
        <v>313</v>
      </c>
      <c r="J906" s="2">
        <v>30.080000000000002</v>
      </c>
      <c r="K906">
        <v>2</v>
      </c>
      <c r="L906" s="4"/>
    </row>
    <row r="907" spans="1:12" x14ac:dyDescent="0.3">
      <c r="A907" s="1">
        <v>41868</v>
      </c>
      <c r="B907" s="1">
        <v>41874</v>
      </c>
      <c r="C907" t="s">
        <v>7</v>
      </c>
      <c r="D907" t="s">
        <v>345</v>
      </c>
      <c r="E907" t="s">
        <v>346</v>
      </c>
      <c r="F907" t="s">
        <v>25</v>
      </c>
      <c r="G907" t="s">
        <v>4</v>
      </c>
      <c r="H907" t="s">
        <v>5</v>
      </c>
      <c r="I907" t="s">
        <v>1473</v>
      </c>
      <c r="J907" s="2">
        <v>36.288000000000011</v>
      </c>
      <c r="K907">
        <v>7</v>
      </c>
      <c r="L907" s="4"/>
    </row>
    <row r="908" spans="1:12" x14ac:dyDescent="0.3">
      <c r="A908" s="1">
        <v>41868</v>
      </c>
      <c r="B908" s="1">
        <v>41874</v>
      </c>
      <c r="C908" t="s">
        <v>7</v>
      </c>
      <c r="D908" t="s">
        <v>345</v>
      </c>
      <c r="E908" t="s">
        <v>346</v>
      </c>
      <c r="F908" t="s">
        <v>25</v>
      </c>
      <c r="G908" t="s">
        <v>4</v>
      </c>
      <c r="H908" t="s">
        <v>15</v>
      </c>
      <c r="I908" t="s">
        <v>1474</v>
      </c>
      <c r="J908" s="2">
        <v>10.272000000000002</v>
      </c>
      <c r="K908">
        <v>3</v>
      </c>
      <c r="L908" s="4"/>
    </row>
    <row r="909" spans="1:12" x14ac:dyDescent="0.3">
      <c r="A909" s="1">
        <v>41868</v>
      </c>
      <c r="B909" s="1">
        <v>41874</v>
      </c>
      <c r="C909" t="s">
        <v>7</v>
      </c>
      <c r="D909" t="s">
        <v>345</v>
      </c>
      <c r="E909" t="s">
        <v>346</v>
      </c>
      <c r="F909" t="s">
        <v>25</v>
      </c>
      <c r="G909" t="s">
        <v>74</v>
      </c>
      <c r="H909" t="s">
        <v>75</v>
      </c>
      <c r="I909" t="s">
        <v>1057</v>
      </c>
      <c r="J909" s="2">
        <v>252.8</v>
      </c>
      <c r="K909">
        <v>4</v>
      </c>
      <c r="L909" s="4"/>
    </row>
    <row r="910" spans="1:12" x14ac:dyDescent="0.3">
      <c r="A910" s="1">
        <v>41872</v>
      </c>
      <c r="B910" s="1">
        <v>41874</v>
      </c>
      <c r="C910" t="s">
        <v>22</v>
      </c>
      <c r="D910" t="s">
        <v>1475</v>
      </c>
      <c r="E910" t="s">
        <v>1476</v>
      </c>
      <c r="F910" t="s">
        <v>3</v>
      </c>
      <c r="G910" t="s">
        <v>12</v>
      </c>
      <c r="H910" t="s">
        <v>70</v>
      </c>
      <c r="I910" t="s">
        <v>957</v>
      </c>
      <c r="J910" s="2">
        <v>544.00800000000004</v>
      </c>
      <c r="K910">
        <v>3</v>
      </c>
      <c r="L910" s="4"/>
    </row>
    <row r="911" spans="1:12" x14ac:dyDescent="0.3">
      <c r="A911" s="1">
        <v>41872</v>
      </c>
      <c r="B911" s="1">
        <v>41874</v>
      </c>
      <c r="C911" t="s">
        <v>22</v>
      </c>
      <c r="D911" t="s">
        <v>1475</v>
      </c>
      <c r="E911" t="s">
        <v>1476</v>
      </c>
      <c r="F911" t="s">
        <v>3</v>
      </c>
      <c r="G911" t="s">
        <v>4</v>
      </c>
      <c r="H911" t="s">
        <v>5</v>
      </c>
      <c r="I911" t="s">
        <v>1477</v>
      </c>
      <c r="J911" s="2">
        <v>59.94</v>
      </c>
      <c r="K911">
        <v>3</v>
      </c>
      <c r="L911" s="4"/>
    </row>
    <row r="912" spans="1:12" x14ac:dyDescent="0.3">
      <c r="A912" s="1">
        <v>41872</v>
      </c>
      <c r="B912" s="1">
        <v>41874</v>
      </c>
      <c r="C912" t="s">
        <v>22</v>
      </c>
      <c r="D912" t="s">
        <v>1475</v>
      </c>
      <c r="E912" t="s">
        <v>1476</v>
      </c>
      <c r="F912" t="s">
        <v>3</v>
      </c>
      <c r="G912" t="s">
        <v>4</v>
      </c>
      <c r="H912" t="s">
        <v>5</v>
      </c>
      <c r="I912" t="s">
        <v>901</v>
      </c>
      <c r="J912" s="2">
        <v>23.92</v>
      </c>
      <c r="K912">
        <v>4</v>
      </c>
      <c r="L912" s="4"/>
    </row>
    <row r="913" spans="1:12" x14ac:dyDescent="0.3">
      <c r="A913" s="1">
        <v>41872</v>
      </c>
      <c r="B913" s="1">
        <v>41874</v>
      </c>
      <c r="C913" t="s">
        <v>22</v>
      </c>
      <c r="D913" t="s">
        <v>1475</v>
      </c>
      <c r="E913" t="s">
        <v>1476</v>
      </c>
      <c r="F913" t="s">
        <v>3</v>
      </c>
      <c r="G913" t="s">
        <v>4</v>
      </c>
      <c r="H913" t="s">
        <v>5</v>
      </c>
      <c r="I913" t="s">
        <v>1106</v>
      </c>
      <c r="J913" s="2">
        <v>4.28</v>
      </c>
      <c r="K913">
        <v>1</v>
      </c>
      <c r="L913" s="4"/>
    </row>
    <row r="914" spans="1:12" x14ac:dyDescent="0.3">
      <c r="A914" s="1">
        <v>41872</v>
      </c>
      <c r="B914" s="1">
        <v>41877</v>
      </c>
      <c r="C914" t="s">
        <v>7</v>
      </c>
      <c r="D914" t="s">
        <v>1478</v>
      </c>
      <c r="E914" t="s">
        <v>1479</v>
      </c>
      <c r="F914" t="s">
        <v>3</v>
      </c>
      <c r="G914" t="s">
        <v>12</v>
      </c>
      <c r="H914" t="s">
        <v>13</v>
      </c>
      <c r="I914" t="s">
        <v>1480</v>
      </c>
      <c r="J914" s="2">
        <v>586.39800000000002</v>
      </c>
      <c r="K914">
        <v>6</v>
      </c>
      <c r="L914" s="4"/>
    </row>
    <row r="915" spans="1:12" x14ac:dyDescent="0.3">
      <c r="A915" s="1">
        <v>41872</v>
      </c>
      <c r="B915" s="1">
        <v>41877</v>
      </c>
      <c r="C915" t="s">
        <v>7</v>
      </c>
      <c r="D915" t="s">
        <v>1478</v>
      </c>
      <c r="E915" t="s">
        <v>1479</v>
      </c>
      <c r="F915" t="s">
        <v>3</v>
      </c>
      <c r="G915" t="s">
        <v>4</v>
      </c>
      <c r="H915" t="s">
        <v>10</v>
      </c>
      <c r="I915" t="s">
        <v>128</v>
      </c>
      <c r="J915" s="2">
        <v>80.98</v>
      </c>
      <c r="K915">
        <v>1</v>
      </c>
      <c r="L915" s="4"/>
    </row>
    <row r="916" spans="1:12" x14ac:dyDescent="0.3">
      <c r="A916" s="1">
        <v>41875</v>
      </c>
      <c r="B916" s="1">
        <v>41877</v>
      </c>
      <c r="C916" t="s">
        <v>22</v>
      </c>
      <c r="D916" t="s">
        <v>1229</v>
      </c>
      <c r="E916" t="s">
        <v>1230</v>
      </c>
      <c r="F916" t="s">
        <v>19</v>
      </c>
      <c r="G916" t="s">
        <v>4</v>
      </c>
      <c r="H916" t="s">
        <v>15</v>
      </c>
      <c r="I916" t="s">
        <v>775</v>
      </c>
      <c r="J916" s="2">
        <v>7.1519999999999992</v>
      </c>
      <c r="K916">
        <v>3</v>
      </c>
      <c r="L916" s="4"/>
    </row>
    <row r="917" spans="1:12" x14ac:dyDescent="0.3">
      <c r="A917" s="1">
        <v>41876</v>
      </c>
      <c r="B917" s="1">
        <v>41881</v>
      </c>
      <c r="C917" t="s">
        <v>7</v>
      </c>
      <c r="D917" t="s">
        <v>826</v>
      </c>
      <c r="E917" t="s">
        <v>827</v>
      </c>
      <c r="F917" t="s">
        <v>3</v>
      </c>
      <c r="G917" t="s">
        <v>12</v>
      </c>
      <c r="H917" t="s">
        <v>70</v>
      </c>
      <c r="I917" t="s">
        <v>741</v>
      </c>
      <c r="J917" s="2">
        <v>40.783999999999999</v>
      </c>
      <c r="K917">
        <v>1</v>
      </c>
      <c r="L917" s="4"/>
    </row>
    <row r="918" spans="1:12" x14ac:dyDescent="0.3">
      <c r="A918" s="1">
        <v>41876</v>
      </c>
      <c r="B918" s="1">
        <v>41881</v>
      </c>
      <c r="C918" t="s">
        <v>7</v>
      </c>
      <c r="D918" t="s">
        <v>826</v>
      </c>
      <c r="E918" t="s">
        <v>827</v>
      </c>
      <c r="F918" t="s">
        <v>3</v>
      </c>
      <c r="G918" t="s">
        <v>4</v>
      </c>
      <c r="H918" t="s">
        <v>20</v>
      </c>
      <c r="I918" t="s">
        <v>184</v>
      </c>
      <c r="J918" s="2">
        <v>105.96</v>
      </c>
      <c r="K918">
        <v>4</v>
      </c>
      <c r="L918" s="4"/>
    </row>
    <row r="919" spans="1:12" x14ac:dyDescent="0.3">
      <c r="A919" s="1">
        <v>41878</v>
      </c>
      <c r="B919" s="1">
        <v>41882</v>
      </c>
      <c r="C919" t="s">
        <v>7</v>
      </c>
      <c r="D919" t="s">
        <v>1481</v>
      </c>
      <c r="E919" t="s">
        <v>1482</v>
      </c>
      <c r="F919" t="s">
        <v>3</v>
      </c>
      <c r="G919" t="s">
        <v>4</v>
      </c>
      <c r="H919" t="s">
        <v>10</v>
      </c>
      <c r="I919" t="s">
        <v>725</v>
      </c>
      <c r="J919" s="2">
        <v>484.65000000000003</v>
      </c>
      <c r="K919">
        <v>3</v>
      </c>
      <c r="L919" s="4"/>
    </row>
    <row r="920" spans="1:12" x14ac:dyDescent="0.3">
      <c r="A920" s="1">
        <v>41878</v>
      </c>
      <c r="B920" s="1">
        <v>41883</v>
      </c>
      <c r="C920" t="s">
        <v>7</v>
      </c>
      <c r="D920" t="s">
        <v>1483</v>
      </c>
      <c r="E920" t="s">
        <v>1484</v>
      </c>
      <c r="F920" t="s">
        <v>3</v>
      </c>
      <c r="G920" t="s">
        <v>4</v>
      </c>
      <c r="H920" t="s">
        <v>78</v>
      </c>
      <c r="I920" t="s">
        <v>1485</v>
      </c>
      <c r="J920" s="2">
        <v>32.94</v>
      </c>
      <c r="K920">
        <v>3</v>
      </c>
      <c r="L920" s="4"/>
    </row>
    <row r="921" spans="1:12" x14ac:dyDescent="0.3">
      <c r="A921" s="1">
        <v>41878</v>
      </c>
      <c r="B921" s="1">
        <v>41883</v>
      </c>
      <c r="C921" t="s">
        <v>7</v>
      </c>
      <c r="D921" t="s">
        <v>1483</v>
      </c>
      <c r="E921" t="s">
        <v>1484</v>
      </c>
      <c r="F921" t="s">
        <v>3</v>
      </c>
      <c r="G921" t="s">
        <v>4</v>
      </c>
      <c r="H921" t="s">
        <v>5</v>
      </c>
      <c r="I921" t="s">
        <v>1260</v>
      </c>
      <c r="J921" s="2">
        <v>114.2</v>
      </c>
      <c r="K921">
        <v>5</v>
      </c>
      <c r="L921" s="4"/>
    </row>
    <row r="922" spans="1:12" x14ac:dyDescent="0.3">
      <c r="A922" s="1">
        <v>41878</v>
      </c>
      <c r="B922" s="1">
        <v>41883</v>
      </c>
      <c r="C922" t="s">
        <v>7</v>
      </c>
      <c r="D922" t="s">
        <v>1483</v>
      </c>
      <c r="E922" t="s">
        <v>1484</v>
      </c>
      <c r="F922" t="s">
        <v>3</v>
      </c>
      <c r="G922" t="s">
        <v>4</v>
      </c>
      <c r="H922" t="s">
        <v>168</v>
      </c>
      <c r="I922" t="s">
        <v>1486</v>
      </c>
      <c r="J922" s="2">
        <v>3.08</v>
      </c>
      <c r="K922">
        <v>1</v>
      </c>
      <c r="L922" s="4"/>
    </row>
    <row r="923" spans="1:12" x14ac:dyDescent="0.3">
      <c r="A923" s="1">
        <v>41878</v>
      </c>
      <c r="B923" s="1">
        <v>41882</v>
      </c>
      <c r="C923" t="s">
        <v>7</v>
      </c>
      <c r="D923" t="s">
        <v>1054</v>
      </c>
      <c r="E923" t="s">
        <v>1055</v>
      </c>
      <c r="F923" t="s">
        <v>3</v>
      </c>
      <c r="G923" t="s">
        <v>4</v>
      </c>
      <c r="H923" t="s">
        <v>26</v>
      </c>
      <c r="I923" t="s">
        <v>1487</v>
      </c>
      <c r="J923" s="2">
        <v>5.1040000000000001</v>
      </c>
      <c r="K923">
        <v>1</v>
      </c>
      <c r="L923" s="4"/>
    </row>
    <row r="924" spans="1:12" x14ac:dyDescent="0.3">
      <c r="A924" s="1">
        <v>41879</v>
      </c>
      <c r="B924" s="1">
        <v>41886</v>
      </c>
      <c r="C924" t="s">
        <v>7</v>
      </c>
      <c r="D924" t="s">
        <v>1488</v>
      </c>
      <c r="E924" t="s">
        <v>1489</v>
      </c>
      <c r="F924" t="s">
        <v>3</v>
      </c>
      <c r="G924" t="s">
        <v>4</v>
      </c>
      <c r="H924" t="s">
        <v>10</v>
      </c>
      <c r="I924" t="s">
        <v>458</v>
      </c>
      <c r="J924" s="2">
        <v>892.35</v>
      </c>
      <c r="K924">
        <v>5</v>
      </c>
      <c r="L924" s="4"/>
    </row>
    <row r="925" spans="1:12" x14ac:dyDescent="0.3">
      <c r="A925" s="1">
        <v>41879</v>
      </c>
      <c r="B925" s="1">
        <v>41886</v>
      </c>
      <c r="C925" t="s">
        <v>7</v>
      </c>
      <c r="D925" t="s">
        <v>1488</v>
      </c>
      <c r="E925" t="s">
        <v>1489</v>
      </c>
      <c r="F925" t="s">
        <v>3</v>
      </c>
      <c r="G925" t="s">
        <v>12</v>
      </c>
      <c r="H925" t="s">
        <v>13</v>
      </c>
      <c r="I925" t="s">
        <v>1490</v>
      </c>
      <c r="J925" s="2">
        <v>307.666</v>
      </c>
      <c r="K925">
        <v>2</v>
      </c>
      <c r="L925" s="4"/>
    </row>
    <row r="926" spans="1:12" x14ac:dyDescent="0.3">
      <c r="A926" s="1">
        <v>41879</v>
      </c>
      <c r="B926" s="1">
        <v>41886</v>
      </c>
      <c r="C926" t="s">
        <v>7</v>
      </c>
      <c r="D926" t="s">
        <v>1488</v>
      </c>
      <c r="E926" t="s">
        <v>1489</v>
      </c>
      <c r="F926" t="s">
        <v>3</v>
      </c>
      <c r="G926" t="s">
        <v>4</v>
      </c>
      <c r="H926" t="s">
        <v>10</v>
      </c>
      <c r="I926" t="s">
        <v>128</v>
      </c>
      <c r="J926" s="2">
        <v>728.82</v>
      </c>
      <c r="K926">
        <v>9</v>
      </c>
      <c r="L926" s="4"/>
    </row>
    <row r="927" spans="1:12" x14ac:dyDescent="0.3">
      <c r="A927" s="1">
        <v>41879</v>
      </c>
      <c r="B927" s="1">
        <v>41886</v>
      </c>
      <c r="C927" t="s">
        <v>7</v>
      </c>
      <c r="D927" t="s">
        <v>1488</v>
      </c>
      <c r="E927" t="s">
        <v>1489</v>
      </c>
      <c r="F927" t="s">
        <v>3</v>
      </c>
      <c r="G927" t="s">
        <v>4</v>
      </c>
      <c r="H927" t="s">
        <v>26</v>
      </c>
      <c r="I927" t="s">
        <v>127</v>
      </c>
      <c r="J927" s="2">
        <v>41.36</v>
      </c>
      <c r="K927">
        <v>5</v>
      </c>
      <c r="L927" s="4"/>
    </row>
    <row r="928" spans="1:12" x14ac:dyDescent="0.3">
      <c r="A928" s="1">
        <v>41879</v>
      </c>
      <c r="B928" s="1">
        <v>41886</v>
      </c>
      <c r="C928" t="s">
        <v>7</v>
      </c>
      <c r="D928" t="s">
        <v>1488</v>
      </c>
      <c r="E928" t="s">
        <v>1489</v>
      </c>
      <c r="F928" t="s">
        <v>3</v>
      </c>
      <c r="G928" t="s">
        <v>74</v>
      </c>
      <c r="H928" t="s">
        <v>147</v>
      </c>
      <c r="I928" t="s">
        <v>1491</v>
      </c>
      <c r="J928" s="2">
        <v>43.176000000000002</v>
      </c>
      <c r="K928">
        <v>3</v>
      </c>
      <c r="L928" s="4"/>
    </row>
    <row r="929" spans="1:12" x14ac:dyDescent="0.3">
      <c r="A929" s="1">
        <v>41879</v>
      </c>
      <c r="B929" s="1">
        <v>41886</v>
      </c>
      <c r="C929" t="s">
        <v>7</v>
      </c>
      <c r="D929" t="s">
        <v>1488</v>
      </c>
      <c r="E929" t="s">
        <v>1489</v>
      </c>
      <c r="F929" t="s">
        <v>3</v>
      </c>
      <c r="G929" t="s">
        <v>12</v>
      </c>
      <c r="H929" t="s">
        <v>35</v>
      </c>
      <c r="I929" t="s">
        <v>374</v>
      </c>
      <c r="J929" s="2">
        <v>4.16</v>
      </c>
      <c r="K929">
        <v>2</v>
      </c>
      <c r="L929" s="4"/>
    </row>
    <row r="930" spans="1:12" x14ac:dyDescent="0.3">
      <c r="A930" s="1">
        <v>41882</v>
      </c>
      <c r="B930" s="1">
        <v>41887</v>
      </c>
      <c r="C930" t="s">
        <v>7</v>
      </c>
      <c r="D930" t="s">
        <v>1492</v>
      </c>
      <c r="E930" t="s">
        <v>1493</v>
      </c>
      <c r="F930" t="s">
        <v>3</v>
      </c>
      <c r="G930" t="s">
        <v>4</v>
      </c>
      <c r="H930" t="s">
        <v>5</v>
      </c>
      <c r="I930" t="s">
        <v>1494</v>
      </c>
      <c r="J930" s="2">
        <v>58.320000000000007</v>
      </c>
      <c r="K930">
        <v>9</v>
      </c>
      <c r="L930" s="4"/>
    </row>
    <row r="931" spans="1:12" x14ac:dyDescent="0.3">
      <c r="A931" s="1">
        <v>41882</v>
      </c>
      <c r="B931" s="1">
        <v>41884</v>
      </c>
      <c r="C931" t="s">
        <v>22</v>
      </c>
      <c r="D931" t="s">
        <v>198</v>
      </c>
      <c r="E931" t="s">
        <v>199</v>
      </c>
      <c r="F931" t="s">
        <v>3</v>
      </c>
      <c r="G931" t="s">
        <v>12</v>
      </c>
      <c r="H931" t="s">
        <v>13</v>
      </c>
      <c r="I931" t="s">
        <v>1495</v>
      </c>
      <c r="J931" s="2">
        <v>1552.8309999999999</v>
      </c>
      <c r="K931">
        <v>7</v>
      </c>
      <c r="L931" s="4"/>
    </row>
    <row r="932" spans="1:12" x14ac:dyDescent="0.3">
      <c r="A932" s="1">
        <v>41882</v>
      </c>
      <c r="B932" s="1">
        <v>41884</v>
      </c>
      <c r="C932" t="s">
        <v>22</v>
      </c>
      <c r="D932" t="s">
        <v>198</v>
      </c>
      <c r="E932" t="s">
        <v>199</v>
      </c>
      <c r="F932" t="s">
        <v>3</v>
      </c>
      <c r="G932" t="s">
        <v>4</v>
      </c>
      <c r="H932" t="s">
        <v>26</v>
      </c>
      <c r="I932" t="s">
        <v>649</v>
      </c>
      <c r="J932" s="2">
        <v>137.24</v>
      </c>
      <c r="K932">
        <v>5</v>
      </c>
      <c r="L932" s="4"/>
    </row>
    <row r="933" spans="1:12" x14ac:dyDescent="0.3">
      <c r="A933" s="1">
        <v>41882</v>
      </c>
      <c r="B933" s="1">
        <v>41884</v>
      </c>
      <c r="C933" t="s">
        <v>22</v>
      </c>
      <c r="D933" t="s">
        <v>198</v>
      </c>
      <c r="E933" t="s">
        <v>199</v>
      </c>
      <c r="F933" t="s">
        <v>3</v>
      </c>
      <c r="G933" t="s">
        <v>74</v>
      </c>
      <c r="H933" t="s">
        <v>75</v>
      </c>
      <c r="I933" t="s">
        <v>1496</v>
      </c>
      <c r="J933" s="2">
        <v>36.51</v>
      </c>
      <c r="K933">
        <v>1</v>
      </c>
      <c r="L933" s="4"/>
    </row>
    <row r="934" spans="1:12" x14ac:dyDescent="0.3">
      <c r="A934" s="1">
        <v>41882</v>
      </c>
      <c r="B934" s="1">
        <v>41884</v>
      </c>
      <c r="C934" t="s">
        <v>22</v>
      </c>
      <c r="D934" t="s">
        <v>198</v>
      </c>
      <c r="E934" t="s">
        <v>199</v>
      </c>
      <c r="F934" t="s">
        <v>3</v>
      </c>
      <c r="G934" t="s">
        <v>74</v>
      </c>
      <c r="H934" t="s">
        <v>138</v>
      </c>
      <c r="I934" t="s">
        <v>1497</v>
      </c>
      <c r="J934" s="2">
        <v>239.976</v>
      </c>
      <c r="K934">
        <v>3</v>
      </c>
      <c r="L934" s="4"/>
    </row>
    <row r="935" spans="1:12" x14ac:dyDescent="0.3">
      <c r="A935" s="1">
        <v>41882</v>
      </c>
      <c r="B935" s="1">
        <v>41886</v>
      </c>
      <c r="C935" t="s">
        <v>7</v>
      </c>
      <c r="D935" t="s">
        <v>1498</v>
      </c>
      <c r="E935" t="s">
        <v>1499</v>
      </c>
      <c r="F935" t="s">
        <v>3</v>
      </c>
      <c r="G935" t="s">
        <v>74</v>
      </c>
      <c r="H935" t="s">
        <v>147</v>
      </c>
      <c r="I935" t="s">
        <v>873</v>
      </c>
      <c r="J935" s="2">
        <v>555.96</v>
      </c>
      <c r="K935">
        <v>5</v>
      </c>
      <c r="L935" s="4"/>
    </row>
    <row r="936" spans="1:12" x14ac:dyDescent="0.3">
      <c r="A936" s="1">
        <v>41883</v>
      </c>
      <c r="B936" s="1">
        <v>41886</v>
      </c>
      <c r="C936" t="s">
        <v>0</v>
      </c>
      <c r="D936" t="s">
        <v>726</v>
      </c>
      <c r="E936" t="s">
        <v>727</v>
      </c>
      <c r="F936" t="s">
        <v>3</v>
      </c>
      <c r="G936" t="s">
        <v>4</v>
      </c>
      <c r="H936" t="s">
        <v>26</v>
      </c>
      <c r="I936" t="s">
        <v>1500</v>
      </c>
      <c r="J936" s="2">
        <v>4.7520000000000007</v>
      </c>
      <c r="K936">
        <v>1</v>
      </c>
      <c r="L936" s="4"/>
    </row>
    <row r="937" spans="1:12" x14ac:dyDescent="0.3">
      <c r="A937" s="1">
        <v>41883</v>
      </c>
      <c r="B937" s="1">
        <v>41886</v>
      </c>
      <c r="C937" t="s">
        <v>0</v>
      </c>
      <c r="D937" t="s">
        <v>726</v>
      </c>
      <c r="E937" t="s">
        <v>727</v>
      </c>
      <c r="F937" t="s">
        <v>3</v>
      </c>
      <c r="G937" t="s">
        <v>74</v>
      </c>
      <c r="H937" t="s">
        <v>534</v>
      </c>
      <c r="I937" t="s">
        <v>1501</v>
      </c>
      <c r="J937" s="2">
        <v>959.98400000000004</v>
      </c>
      <c r="K937">
        <v>2</v>
      </c>
      <c r="L937" s="4"/>
    </row>
    <row r="938" spans="1:12" x14ac:dyDescent="0.3">
      <c r="A938" s="1">
        <v>41883</v>
      </c>
      <c r="B938" s="1">
        <v>41886</v>
      </c>
      <c r="C938" t="s">
        <v>0</v>
      </c>
      <c r="D938" t="s">
        <v>726</v>
      </c>
      <c r="E938" t="s">
        <v>727</v>
      </c>
      <c r="F938" t="s">
        <v>3</v>
      </c>
      <c r="G938" t="s">
        <v>4</v>
      </c>
      <c r="H938" t="s">
        <v>26</v>
      </c>
      <c r="I938" t="s">
        <v>197</v>
      </c>
      <c r="J938" s="2">
        <v>14.368000000000002</v>
      </c>
      <c r="K938">
        <v>4</v>
      </c>
      <c r="L938" s="4"/>
    </row>
    <row r="939" spans="1:12" x14ac:dyDescent="0.3">
      <c r="A939" s="1">
        <v>41885</v>
      </c>
      <c r="B939" s="1">
        <v>41891</v>
      </c>
      <c r="C939" t="s">
        <v>7</v>
      </c>
      <c r="D939" t="s">
        <v>1502</v>
      </c>
      <c r="E939" t="s">
        <v>1503</v>
      </c>
      <c r="F939" t="s">
        <v>3</v>
      </c>
      <c r="G939" t="s">
        <v>4</v>
      </c>
      <c r="H939" t="s">
        <v>10</v>
      </c>
      <c r="I939" t="s">
        <v>1504</v>
      </c>
      <c r="J939" s="2">
        <v>31.44</v>
      </c>
      <c r="K939">
        <v>3</v>
      </c>
      <c r="L939" s="4"/>
    </row>
    <row r="940" spans="1:12" x14ac:dyDescent="0.3">
      <c r="A940" s="1">
        <v>41885</v>
      </c>
      <c r="B940" s="1">
        <v>41891</v>
      </c>
      <c r="C940" t="s">
        <v>7</v>
      </c>
      <c r="D940" t="s">
        <v>1502</v>
      </c>
      <c r="E940" t="s">
        <v>1503</v>
      </c>
      <c r="F940" t="s">
        <v>3</v>
      </c>
      <c r="G940" t="s">
        <v>74</v>
      </c>
      <c r="H940" t="s">
        <v>75</v>
      </c>
      <c r="I940" t="s">
        <v>737</v>
      </c>
      <c r="J940" s="2">
        <v>17.899999999999999</v>
      </c>
      <c r="K940">
        <v>2</v>
      </c>
      <c r="L940" s="4"/>
    </row>
    <row r="941" spans="1:12" x14ac:dyDescent="0.3">
      <c r="A941" s="1">
        <v>41885</v>
      </c>
      <c r="B941" s="1">
        <v>41891</v>
      </c>
      <c r="C941" t="s">
        <v>7</v>
      </c>
      <c r="D941" t="s">
        <v>1502</v>
      </c>
      <c r="E941" t="s">
        <v>1503</v>
      </c>
      <c r="F941" t="s">
        <v>3</v>
      </c>
      <c r="G941" t="s">
        <v>74</v>
      </c>
      <c r="H941" t="s">
        <v>75</v>
      </c>
      <c r="I941" t="s">
        <v>1505</v>
      </c>
      <c r="J941" s="2">
        <v>129.44999999999999</v>
      </c>
      <c r="K941">
        <v>5</v>
      </c>
      <c r="L941" s="4"/>
    </row>
    <row r="942" spans="1:12" x14ac:dyDescent="0.3">
      <c r="A942" s="1">
        <v>41885</v>
      </c>
      <c r="B942" s="1">
        <v>41890</v>
      </c>
      <c r="C942" t="s">
        <v>7</v>
      </c>
      <c r="D942" t="s">
        <v>1004</v>
      </c>
      <c r="E942" t="s">
        <v>1005</v>
      </c>
      <c r="F942" t="s">
        <v>3</v>
      </c>
      <c r="G942" t="s">
        <v>12</v>
      </c>
      <c r="H942" t="s">
        <v>70</v>
      </c>
      <c r="I942" t="s">
        <v>441</v>
      </c>
      <c r="J942" s="2">
        <v>129.56800000000001</v>
      </c>
      <c r="K942">
        <v>2</v>
      </c>
      <c r="L942" s="4"/>
    </row>
    <row r="943" spans="1:12" x14ac:dyDescent="0.3">
      <c r="A943" s="1">
        <v>41885</v>
      </c>
      <c r="B943" s="1">
        <v>41890</v>
      </c>
      <c r="C943" t="s">
        <v>7</v>
      </c>
      <c r="D943" t="s">
        <v>1004</v>
      </c>
      <c r="E943" t="s">
        <v>1005</v>
      </c>
      <c r="F943" t="s">
        <v>3</v>
      </c>
      <c r="G943" t="s">
        <v>4</v>
      </c>
      <c r="H943" t="s">
        <v>26</v>
      </c>
      <c r="I943" t="s">
        <v>1506</v>
      </c>
      <c r="J943" s="2">
        <v>6.3680000000000003</v>
      </c>
      <c r="K943">
        <v>2</v>
      </c>
      <c r="L943" s="4"/>
    </row>
    <row r="944" spans="1:12" x14ac:dyDescent="0.3">
      <c r="A944" s="1">
        <v>41885</v>
      </c>
      <c r="B944" s="1">
        <v>41890</v>
      </c>
      <c r="C944" t="s">
        <v>7</v>
      </c>
      <c r="D944" t="s">
        <v>1218</v>
      </c>
      <c r="E944" t="s">
        <v>1219</v>
      </c>
      <c r="F944" t="s">
        <v>25</v>
      </c>
      <c r="G944" t="s">
        <v>12</v>
      </c>
      <c r="H944" t="s">
        <v>35</v>
      </c>
      <c r="I944" t="s">
        <v>1507</v>
      </c>
      <c r="J944" s="2">
        <v>238.15200000000004</v>
      </c>
      <c r="K944">
        <v>3</v>
      </c>
      <c r="L944" s="4"/>
    </row>
    <row r="945" spans="1:12" x14ac:dyDescent="0.3">
      <c r="A945" s="1">
        <v>41886</v>
      </c>
      <c r="B945" s="1">
        <v>41891</v>
      </c>
      <c r="C945" t="s">
        <v>7</v>
      </c>
      <c r="D945" t="s">
        <v>1303</v>
      </c>
      <c r="E945" t="s">
        <v>1304</v>
      </c>
      <c r="F945" t="s">
        <v>19</v>
      </c>
      <c r="G945" t="s">
        <v>4</v>
      </c>
      <c r="H945" t="s">
        <v>26</v>
      </c>
      <c r="I945" t="s">
        <v>1508</v>
      </c>
      <c r="J945" s="2">
        <v>9.7620000000000005</v>
      </c>
      <c r="K945">
        <v>2</v>
      </c>
      <c r="L945" s="4"/>
    </row>
    <row r="946" spans="1:12" x14ac:dyDescent="0.3">
      <c r="A946" s="1">
        <v>41887</v>
      </c>
      <c r="B946" s="1">
        <v>41891</v>
      </c>
      <c r="C946" t="s">
        <v>7</v>
      </c>
      <c r="D946" t="s">
        <v>470</v>
      </c>
      <c r="E946" t="s">
        <v>471</v>
      </c>
      <c r="F946" t="s">
        <v>3</v>
      </c>
      <c r="G946" t="s">
        <v>12</v>
      </c>
      <c r="H946" t="s">
        <v>13</v>
      </c>
      <c r="I946" t="s">
        <v>972</v>
      </c>
      <c r="J946" s="2">
        <v>411.33199999999999</v>
      </c>
      <c r="K946">
        <v>4</v>
      </c>
      <c r="L946" s="4"/>
    </row>
    <row r="947" spans="1:12" x14ac:dyDescent="0.3">
      <c r="A947" s="1">
        <v>41887</v>
      </c>
      <c r="B947" s="1">
        <v>41891</v>
      </c>
      <c r="C947" t="s">
        <v>7</v>
      </c>
      <c r="D947" t="s">
        <v>470</v>
      </c>
      <c r="E947" t="s">
        <v>471</v>
      </c>
      <c r="F947" t="s">
        <v>3</v>
      </c>
      <c r="G947" t="s">
        <v>4</v>
      </c>
      <c r="H947" t="s">
        <v>26</v>
      </c>
      <c r="I947" t="s">
        <v>1509</v>
      </c>
      <c r="J947" s="2">
        <v>28.752000000000002</v>
      </c>
      <c r="K947">
        <v>6</v>
      </c>
      <c r="L947" s="4"/>
    </row>
    <row r="948" spans="1:12" x14ac:dyDescent="0.3">
      <c r="A948" s="1">
        <v>41887</v>
      </c>
      <c r="B948" s="1">
        <v>41891</v>
      </c>
      <c r="C948" t="s">
        <v>7</v>
      </c>
      <c r="D948" t="s">
        <v>470</v>
      </c>
      <c r="E948" t="s">
        <v>471</v>
      </c>
      <c r="F948" t="s">
        <v>3</v>
      </c>
      <c r="G948" t="s">
        <v>12</v>
      </c>
      <c r="H948" t="s">
        <v>13</v>
      </c>
      <c r="I948" t="s">
        <v>1426</v>
      </c>
      <c r="J948" s="2">
        <v>293.19900000000001</v>
      </c>
      <c r="K948">
        <v>3</v>
      </c>
      <c r="L948" s="4"/>
    </row>
    <row r="949" spans="1:12" x14ac:dyDescent="0.3">
      <c r="A949" s="1">
        <v>41888</v>
      </c>
      <c r="B949" s="1">
        <v>41894</v>
      </c>
      <c r="C949" t="s">
        <v>7</v>
      </c>
      <c r="D949" t="s">
        <v>261</v>
      </c>
      <c r="E949" t="s">
        <v>262</v>
      </c>
      <c r="F949" t="s">
        <v>56</v>
      </c>
      <c r="G949" t="s">
        <v>4</v>
      </c>
      <c r="H949" t="s">
        <v>26</v>
      </c>
      <c r="I949" t="s">
        <v>1510</v>
      </c>
      <c r="J949" s="2">
        <v>6.0960000000000001</v>
      </c>
      <c r="K949">
        <v>2</v>
      </c>
      <c r="L949" s="4"/>
    </row>
    <row r="950" spans="1:12" x14ac:dyDescent="0.3">
      <c r="A950" s="1">
        <v>41888</v>
      </c>
      <c r="B950" s="1">
        <v>41894</v>
      </c>
      <c r="C950" t="s">
        <v>7</v>
      </c>
      <c r="D950" t="s">
        <v>261</v>
      </c>
      <c r="E950" t="s">
        <v>262</v>
      </c>
      <c r="F950" t="s">
        <v>56</v>
      </c>
      <c r="G950" t="s">
        <v>12</v>
      </c>
      <c r="H950" t="s">
        <v>35</v>
      </c>
      <c r="I950" t="s">
        <v>1511</v>
      </c>
      <c r="J950" s="2">
        <v>191.82</v>
      </c>
      <c r="K950">
        <v>3</v>
      </c>
      <c r="L950" s="4"/>
    </row>
    <row r="951" spans="1:12" x14ac:dyDescent="0.3">
      <c r="A951" s="1">
        <v>41888</v>
      </c>
      <c r="B951" s="1">
        <v>41890</v>
      </c>
      <c r="C951" t="s">
        <v>22</v>
      </c>
      <c r="D951" t="s">
        <v>1512</v>
      </c>
      <c r="E951" t="s">
        <v>1513</v>
      </c>
      <c r="F951" t="s">
        <v>3</v>
      </c>
      <c r="G951" t="s">
        <v>74</v>
      </c>
      <c r="H951" t="s">
        <v>75</v>
      </c>
      <c r="I951" t="s">
        <v>1514</v>
      </c>
      <c r="J951" s="2">
        <v>46.32</v>
      </c>
      <c r="K951">
        <v>4</v>
      </c>
      <c r="L951" s="4"/>
    </row>
    <row r="952" spans="1:12" x14ac:dyDescent="0.3">
      <c r="A952" s="1">
        <v>41889</v>
      </c>
      <c r="B952" s="1">
        <v>41894</v>
      </c>
      <c r="C952" t="s">
        <v>7</v>
      </c>
      <c r="D952" t="s">
        <v>767</v>
      </c>
      <c r="E952" t="s">
        <v>768</v>
      </c>
      <c r="F952" t="s">
        <v>3</v>
      </c>
      <c r="G952" t="s">
        <v>4</v>
      </c>
      <c r="H952" t="s">
        <v>10</v>
      </c>
      <c r="I952" t="s">
        <v>1515</v>
      </c>
      <c r="J952" s="2">
        <v>671.93</v>
      </c>
      <c r="K952">
        <v>7</v>
      </c>
      <c r="L952" s="4"/>
    </row>
    <row r="953" spans="1:12" x14ac:dyDescent="0.3">
      <c r="A953" s="1">
        <v>41890</v>
      </c>
      <c r="B953" s="1">
        <v>41893</v>
      </c>
      <c r="C953" t="s">
        <v>22</v>
      </c>
      <c r="D953" t="s">
        <v>1516</v>
      </c>
      <c r="E953" t="s">
        <v>1517</v>
      </c>
      <c r="F953" t="s">
        <v>3</v>
      </c>
      <c r="G953" t="s">
        <v>4</v>
      </c>
      <c r="H953" t="s">
        <v>5</v>
      </c>
      <c r="I953" t="s">
        <v>1518</v>
      </c>
      <c r="J953" s="2">
        <v>26.400000000000002</v>
      </c>
      <c r="K953">
        <v>5</v>
      </c>
      <c r="L953" s="4"/>
    </row>
    <row r="954" spans="1:12" x14ac:dyDescent="0.3">
      <c r="A954" s="1">
        <v>41890</v>
      </c>
      <c r="B954" s="1">
        <v>41893</v>
      </c>
      <c r="C954" t="s">
        <v>22</v>
      </c>
      <c r="D954" t="s">
        <v>1516</v>
      </c>
      <c r="E954" t="s">
        <v>1517</v>
      </c>
      <c r="F954" t="s">
        <v>3</v>
      </c>
      <c r="G954" t="s">
        <v>4</v>
      </c>
      <c r="H954" t="s">
        <v>10</v>
      </c>
      <c r="I954" t="s">
        <v>1519</v>
      </c>
      <c r="J954" s="2">
        <v>41.88</v>
      </c>
      <c r="K954">
        <v>6</v>
      </c>
      <c r="L954" s="4"/>
    </row>
    <row r="955" spans="1:12" x14ac:dyDescent="0.3">
      <c r="A955" s="1">
        <v>41892</v>
      </c>
      <c r="B955" s="1">
        <v>41896</v>
      </c>
      <c r="C955" t="s">
        <v>7</v>
      </c>
      <c r="D955" t="s">
        <v>445</v>
      </c>
      <c r="E955" t="s">
        <v>446</v>
      </c>
      <c r="F955" t="s">
        <v>3</v>
      </c>
      <c r="G955" t="s">
        <v>4</v>
      </c>
      <c r="H955" t="s">
        <v>78</v>
      </c>
      <c r="I955" t="s">
        <v>1256</v>
      </c>
      <c r="J955" s="2">
        <v>51.52</v>
      </c>
      <c r="K955">
        <v>4</v>
      </c>
      <c r="L955" s="4"/>
    </row>
    <row r="956" spans="1:12" x14ac:dyDescent="0.3">
      <c r="A956" s="1">
        <v>41892</v>
      </c>
      <c r="B956" s="1">
        <v>41894</v>
      </c>
      <c r="C956" t="s">
        <v>0</v>
      </c>
      <c r="D956" t="s">
        <v>1520</v>
      </c>
      <c r="E956" t="s">
        <v>1521</v>
      </c>
      <c r="F956" t="s">
        <v>56</v>
      </c>
      <c r="G956" t="s">
        <v>4</v>
      </c>
      <c r="H956" t="s">
        <v>10</v>
      </c>
      <c r="I956" t="s">
        <v>1522</v>
      </c>
      <c r="J956" s="2">
        <v>353.88</v>
      </c>
      <c r="K956">
        <v>6</v>
      </c>
      <c r="L956" s="4"/>
    </row>
    <row r="957" spans="1:12" x14ac:dyDescent="0.3">
      <c r="A957" s="1">
        <v>41892</v>
      </c>
      <c r="B957" s="1">
        <v>41898</v>
      </c>
      <c r="C957" t="s">
        <v>7</v>
      </c>
      <c r="D957" t="s">
        <v>661</v>
      </c>
      <c r="E957" t="s">
        <v>662</v>
      </c>
      <c r="F957" t="s">
        <v>3</v>
      </c>
      <c r="G957" t="s">
        <v>12</v>
      </c>
      <c r="H957" t="s">
        <v>35</v>
      </c>
      <c r="I957" t="s">
        <v>1523</v>
      </c>
      <c r="J957" s="2">
        <v>106.68</v>
      </c>
      <c r="K957">
        <v>6</v>
      </c>
      <c r="L957" s="4"/>
    </row>
    <row r="958" spans="1:12" x14ac:dyDescent="0.3">
      <c r="A958" s="1">
        <v>41893</v>
      </c>
      <c r="B958" s="1">
        <v>41897</v>
      </c>
      <c r="C958" t="s">
        <v>7</v>
      </c>
      <c r="D958" t="s">
        <v>345</v>
      </c>
      <c r="E958" t="s">
        <v>346</v>
      </c>
      <c r="F958" t="s">
        <v>3</v>
      </c>
      <c r="G958" t="s">
        <v>4</v>
      </c>
      <c r="H958" t="s">
        <v>15</v>
      </c>
      <c r="I958" t="s">
        <v>1524</v>
      </c>
      <c r="J958" s="2">
        <v>181.35</v>
      </c>
      <c r="K958">
        <v>9</v>
      </c>
      <c r="L958" s="4"/>
    </row>
    <row r="959" spans="1:12" x14ac:dyDescent="0.3">
      <c r="A959" s="1">
        <v>41893</v>
      </c>
      <c r="B959" s="1">
        <v>41897</v>
      </c>
      <c r="C959" t="s">
        <v>7</v>
      </c>
      <c r="D959" t="s">
        <v>345</v>
      </c>
      <c r="E959" t="s">
        <v>346</v>
      </c>
      <c r="F959" t="s">
        <v>3</v>
      </c>
      <c r="G959" t="s">
        <v>4</v>
      </c>
      <c r="H959" t="s">
        <v>168</v>
      </c>
      <c r="I959" t="s">
        <v>1525</v>
      </c>
      <c r="J959" s="2">
        <v>8.64</v>
      </c>
      <c r="K959">
        <v>3</v>
      </c>
      <c r="L959" s="4"/>
    </row>
    <row r="960" spans="1:12" x14ac:dyDescent="0.3">
      <c r="A960" s="1">
        <v>41893</v>
      </c>
      <c r="B960" s="1">
        <v>41898</v>
      </c>
      <c r="C960" t="s">
        <v>7</v>
      </c>
      <c r="D960" t="s">
        <v>1526</v>
      </c>
      <c r="E960" t="s">
        <v>1527</v>
      </c>
      <c r="F960" t="s">
        <v>3</v>
      </c>
      <c r="G960" t="s">
        <v>4</v>
      </c>
      <c r="H960" t="s">
        <v>15</v>
      </c>
      <c r="I960" t="s">
        <v>629</v>
      </c>
      <c r="J960" s="2">
        <v>265.85999999999996</v>
      </c>
      <c r="K960">
        <v>7</v>
      </c>
      <c r="L960" s="4"/>
    </row>
    <row r="961" spans="1:12" x14ac:dyDescent="0.3">
      <c r="A961" s="1">
        <v>41893</v>
      </c>
      <c r="B961" s="1">
        <v>41894</v>
      </c>
      <c r="C961" t="s">
        <v>22</v>
      </c>
      <c r="D961" t="s">
        <v>1528</v>
      </c>
      <c r="E961" t="s">
        <v>1529</v>
      </c>
      <c r="F961" t="s">
        <v>115</v>
      </c>
      <c r="G961" t="s">
        <v>12</v>
      </c>
      <c r="H961" t="s">
        <v>35</v>
      </c>
      <c r="I961" t="s">
        <v>1530</v>
      </c>
      <c r="J961" s="2">
        <v>24.64</v>
      </c>
      <c r="K961">
        <v>4</v>
      </c>
      <c r="L961" s="4"/>
    </row>
    <row r="962" spans="1:12" x14ac:dyDescent="0.3">
      <c r="A962" s="1">
        <v>41894</v>
      </c>
      <c r="B962" s="1">
        <v>41899</v>
      </c>
      <c r="C962" t="s">
        <v>0</v>
      </c>
      <c r="D962" t="s">
        <v>1531</v>
      </c>
      <c r="E962" t="s">
        <v>1532</v>
      </c>
      <c r="F962" t="s">
        <v>56</v>
      </c>
      <c r="G962" t="s">
        <v>74</v>
      </c>
      <c r="H962" t="s">
        <v>75</v>
      </c>
      <c r="I962" t="s">
        <v>884</v>
      </c>
      <c r="J962" s="2">
        <v>21.98</v>
      </c>
      <c r="K962">
        <v>2</v>
      </c>
      <c r="L962" s="4"/>
    </row>
    <row r="963" spans="1:12" x14ac:dyDescent="0.3">
      <c r="A963" s="1">
        <v>41895</v>
      </c>
      <c r="B963" s="1">
        <v>41897</v>
      </c>
      <c r="C963" t="s">
        <v>22</v>
      </c>
      <c r="D963" t="s">
        <v>1533</v>
      </c>
      <c r="E963" t="s">
        <v>1534</v>
      </c>
      <c r="F963" t="s">
        <v>3</v>
      </c>
      <c r="G963" t="s">
        <v>12</v>
      </c>
      <c r="H963" t="s">
        <v>35</v>
      </c>
      <c r="I963" t="s">
        <v>1263</v>
      </c>
      <c r="J963" s="2">
        <v>131.88</v>
      </c>
      <c r="K963">
        <v>7</v>
      </c>
      <c r="L963" s="4"/>
    </row>
    <row r="964" spans="1:12" x14ac:dyDescent="0.3">
      <c r="A964" s="1">
        <v>41895</v>
      </c>
      <c r="B964" s="1">
        <v>41897</v>
      </c>
      <c r="C964" t="s">
        <v>22</v>
      </c>
      <c r="D964" t="s">
        <v>1533</v>
      </c>
      <c r="E964" t="s">
        <v>1534</v>
      </c>
      <c r="F964" t="s">
        <v>3</v>
      </c>
      <c r="G964" t="s">
        <v>4</v>
      </c>
      <c r="H964" t="s">
        <v>26</v>
      </c>
      <c r="I964" t="s">
        <v>1161</v>
      </c>
      <c r="J964" s="2">
        <v>25.031999999999996</v>
      </c>
      <c r="K964">
        <v>3</v>
      </c>
      <c r="L964" s="4"/>
    </row>
    <row r="965" spans="1:12" x14ac:dyDescent="0.3">
      <c r="A965" s="1">
        <v>41895</v>
      </c>
      <c r="B965" s="1">
        <v>41897</v>
      </c>
      <c r="C965" t="s">
        <v>22</v>
      </c>
      <c r="D965" t="s">
        <v>1533</v>
      </c>
      <c r="E965" t="s">
        <v>1534</v>
      </c>
      <c r="F965" t="s">
        <v>3</v>
      </c>
      <c r="G965" t="s">
        <v>12</v>
      </c>
      <c r="H965" t="s">
        <v>70</v>
      </c>
      <c r="I965" t="s">
        <v>410</v>
      </c>
      <c r="J965" s="2">
        <v>717.72</v>
      </c>
      <c r="K965">
        <v>3</v>
      </c>
      <c r="L965" s="4"/>
    </row>
    <row r="966" spans="1:12" x14ac:dyDescent="0.3">
      <c r="A966" s="1">
        <v>41895</v>
      </c>
      <c r="B966" s="1">
        <v>41897</v>
      </c>
      <c r="C966" t="s">
        <v>22</v>
      </c>
      <c r="D966" t="s">
        <v>1533</v>
      </c>
      <c r="E966" t="s">
        <v>1534</v>
      </c>
      <c r="F966" t="s">
        <v>3</v>
      </c>
      <c r="G966" t="s">
        <v>12</v>
      </c>
      <c r="H966" t="s">
        <v>35</v>
      </c>
      <c r="I966" t="s">
        <v>1535</v>
      </c>
      <c r="J966" s="2">
        <v>207.35</v>
      </c>
      <c r="K966">
        <v>5</v>
      </c>
      <c r="L966" s="4"/>
    </row>
    <row r="967" spans="1:12" x14ac:dyDescent="0.3">
      <c r="A967" s="1">
        <v>41895</v>
      </c>
      <c r="B967" s="1">
        <v>41897</v>
      </c>
      <c r="C967" t="s">
        <v>22</v>
      </c>
      <c r="D967" t="s">
        <v>1533</v>
      </c>
      <c r="E967" t="s">
        <v>1534</v>
      </c>
      <c r="F967" t="s">
        <v>3</v>
      </c>
      <c r="G967" t="s">
        <v>12</v>
      </c>
      <c r="H967" t="s">
        <v>35</v>
      </c>
      <c r="I967" t="s">
        <v>491</v>
      </c>
      <c r="J967" s="2">
        <v>44.67</v>
      </c>
      <c r="K967">
        <v>3</v>
      </c>
      <c r="L967" s="4"/>
    </row>
    <row r="968" spans="1:12" x14ac:dyDescent="0.3">
      <c r="A968" s="1">
        <v>41895</v>
      </c>
      <c r="B968" s="1">
        <v>41897</v>
      </c>
      <c r="C968" t="s">
        <v>22</v>
      </c>
      <c r="D968" t="s">
        <v>1533</v>
      </c>
      <c r="E968" t="s">
        <v>1534</v>
      </c>
      <c r="F968" t="s">
        <v>3</v>
      </c>
      <c r="G968" t="s">
        <v>4</v>
      </c>
      <c r="H968" t="s">
        <v>5</v>
      </c>
      <c r="I968" t="s">
        <v>1536</v>
      </c>
      <c r="J968" s="2">
        <v>209.7</v>
      </c>
      <c r="K968">
        <v>2</v>
      </c>
      <c r="L968" s="4"/>
    </row>
    <row r="969" spans="1:12" x14ac:dyDescent="0.3">
      <c r="A969" s="1">
        <v>41896</v>
      </c>
      <c r="B969" s="1">
        <v>41901</v>
      </c>
      <c r="C969" t="s">
        <v>7</v>
      </c>
      <c r="D969" t="s">
        <v>152</v>
      </c>
      <c r="E969" t="s">
        <v>153</v>
      </c>
      <c r="F969" t="s">
        <v>126</v>
      </c>
      <c r="G969" t="s">
        <v>12</v>
      </c>
      <c r="H969" t="s">
        <v>44</v>
      </c>
      <c r="I969" t="s">
        <v>927</v>
      </c>
      <c r="J969" s="2">
        <v>912.75</v>
      </c>
      <c r="K969">
        <v>5</v>
      </c>
      <c r="L969" s="4"/>
    </row>
    <row r="970" spans="1:12" x14ac:dyDescent="0.3">
      <c r="A970" s="1">
        <v>41896</v>
      </c>
      <c r="B970" s="1">
        <v>41900</v>
      </c>
      <c r="C970" t="s">
        <v>7</v>
      </c>
      <c r="D970" t="s">
        <v>1132</v>
      </c>
      <c r="E970" t="s">
        <v>1133</v>
      </c>
      <c r="F970" t="s">
        <v>3</v>
      </c>
      <c r="G970" t="s">
        <v>12</v>
      </c>
      <c r="H970" t="s">
        <v>44</v>
      </c>
      <c r="I970" t="s">
        <v>329</v>
      </c>
      <c r="J970" s="2">
        <v>170.13600000000002</v>
      </c>
      <c r="K970">
        <v>3</v>
      </c>
      <c r="L970" s="4"/>
    </row>
    <row r="971" spans="1:12" x14ac:dyDescent="0.3">
      <c r="A971" s="1">
        <v>41899</v>
      </c>
      <c r="B971" s="1">
        <v>41901</v>
      </c>
      <c r="C971" t="s">
        <v>0</v>
      </c>
      <c r="D971" t="s">
        <v>1537</v>
      </c>
      <c r="E971" t="s">
        <v>1538</v>
      </c>
      <c r="F971" t="s">
        <v>3</v>
      </c>
      <c r="G971" t="s">
        <v>4</v>
      </c>
      <c r="H971" t="s">
        <v>5</v>
      </c>
      <c r="I971" t="s">
        <v>1539</v>
      </c>
      <c r="J971" s="2">
        <v>32.400000000000006</v>
      </c>
      <c r="K971">
        <v>5</v>
      </c>
      <c r="L971" s="4"/>
    </row>
    <row r="972" spans="1:12" x14ac:dyDescent="0.3">
      <c r="A972" s="1">
        <v>41899</v>
      </c>
      <c r="B972" s="1">
        <v>41902</v>
      </c>
      <c r="C972" t="s">
        <v>22</v>
      </c>
      <c r="D972" t="s">
        <v>1540</v>
      </c>
      <c r="E972" t="s">
        <v>1541</v>
      </c>
      <c r="F972" t="s">
        <v>56</v>
      </c>
      <c r="G972" t="s">
        <v>4</v>
      </c>
      <c r="H972" t="s">
        <v>26</v>
      </c>
      <c r="I972" t="s">
        <v>1161</v>
      </c>
      <c r="J972" s="2">
        <v>25.031999999999996</v>
      </c>
      <c r="K972">
        <v>3</v>
      </c>
      <c r="L972" s="4"/>
    </row>
    <row r="973" spans="1:12" x14ac:dyDescent="0.3">
      <c r="A973" s="1">
        <v>41900</v>
      </c>
      <c r="B973" s="1">
        <v>41904</v>
      </c>
      <c r="C973" t="s">
        <v>0</v>
      </c>
      <c r="D973" t="s">
        <v>1369</v>
      </c>
      <c r="E973" t="s">
        <v>1370</v>
      </c>
      <c r="F973" t="s">
        <v>3</v>
      </c>
      <c r="G973" t="s">
        <v>4</v>
      </c>
      <c r="H973" t="s">
        <v>5</v>
      </c>
      <c r="I973" t="s">
        <v>1542</v>
      </c>
      <c r="J973" s="2">
        <v>160.72</v>
      </c>
      <c r="K973">
        <v>14</v>
      </c>
      <c r="L973" s="4"/>
    </row>
    <row r="974" spans="1:12" x14ac:dyDescent="0.3">
      <c r="A974" s="1">
        <v>41900</v>
      </c>
      <c r="B974" s="1">
        <v>41904</v>
      </c>
      <c r="C974" t="s">
        <v>0</v>
      </c>
      <c r="D974" t="s">
        <v>1369</v>
      </c>
      <c r="E974" t="s">
        <v>1370</v>
      </c>
      <c r="F974" t="s">
        <v>3</v>
      </c>
      <c r="G974" t="s">
        <v>4</v>
      </c>
      <c r="H974" t="s">
        <v>5</v>
      </c>
      <c r="I974" t="s">
        <v>1543</v>
      </c>
      <c r="J974" s="2">
        <v>19.920000000000002</v>
      </c>
      <c r="K974">
        <v>4</v>
      </c>
      <c r="L974" s="4"/>
    </row>
    <row r="975" spans="1:12" x14ac:dyDescent="0.3">
      <c r="A975" s="1">
        <v>41900</v>
      </c>
      <c r="B975" s="1">
        <v>41904</v>
      </c>
      <c r="C975" t="s">
        <v>0</v>
      </c>
      <c r="D975" t="s">
        <v>1369</v>
      </c>
      <c r="E975" t="s">
        <v>1370</v>
      </c>
      <c r="F975" t="s">
        <v>3</v>
      </c>
      <c r="G975" t="s">
        <v>4</v>
      </c>
      <c r="H975" t="s">
        <v>78</v>
      </c>
      <c r="I975" t="s">
        <v>641</v>
      </c>
      <c r="J975" s="2">
        <v>7.3</v>
      </c>
      <c r="K975">
        <v>2</v>
      </c>
      <c r="L975" s="4"/>
    </row>
    <row r="976" spans="1:12" x14ac:dyDescent="0.3">
      <c r="A976" s="1">
        <v>41900</v>
      </c>
      <c r="B976" s="1">
        <v>41905</v>
      </c>
      <c r="C976" t="s">
        <v>7</v>
      </c>
      <c r="D976" t="s">
        <v>1528</v>
      </c>
      <c r="E976" t="s">
        <v>1529</v>
      </c>
      <c r="F976" t="s">
        <v>3</v>
      </c>
      <c r="G976" t="s">
        <v>4</v>
      </c>
      <c r="H976" t="s">
        <v>15</v>
      </c>
      <c r="I976" t="s">
        <v>1544</v>
      </c>
      <c r="J976" s="2">
        <v>11.68</v>
      </c>
      <c r="K976">
        <v>2</v>
      </c>
      <c r="L976" s="4"/>
    </row>
    <row r="977" spans="1:12" x14ac:dyDescent="0.3">
      <c r="A977" s="1">
        <v>41900</v>
      </c>
      <c r="B977" s="1">
        <v>41905</v>
      </c>
      <c r="C977" t="s">
        <v>7</v>
      </c>
      <c r="D977" t="s">
        <v>1528</v>
      </c>
      <c r="E977" t="s">
        <v>1529</v>
      </c>
      <c r="F977" t="s">
        <v>3</v>
      </c>
      <c r="G977" t="s">
        <v>4</v>
      </c>
      <c r="H977" t="s">
        <v>78</v>
      </c>
      <c r="I977" t="s">
        <v>1545</v>
      </c>
      <c r="J977" s="2">
        <v>16.899999999999999</v>
      </c>
      <c r="K977">
        <v>2</v>
      </c>
      <c r="L977" s="4"/>
    </row>
    <row r="978" spans="1:12" x14ac:dyDescent="0.3">
      <c r="A978" s="1">
        <v>41900</v>
      </c>
      <c r="B978" s="1">
        <v>41905</v>
      </c>
      <c r="C978" t="s">
        <v>7</v>
      </c>
      <c r="D978" t="s">
        <v>1528</v>
      </c>
      <c r="E978" t="s">
        <v>1529</v>
      </c>
      <c r="F978" t="s">
        <v>3</v>
      </c>
      <c r="G978" t="s">
        <v>12</v>
      </c>
      <c r="H978" t="s">
        <v>35</v>
      </c>
      <c r="I978" t="s">
        <v>1546</v>
      </c>
      <c r="J978" s="2">
        <v>24.4</v>
      </c>
      <c r="K978">
        <v>2</v>
      </c>
      <c r="L978" s="4"/>
    </row>
    <row r="979" spans="1:12" x14ac:dyDescent="0.3">
      <c r="A979" s="1">
        <v>41900</v>
      </c>
      <c r="B979" s="1">
        <v>41906</v>
      </c>
      <c r="C979" t="s">
        <v>7</v>
      </c>
      <c r="D979" t="s">
        <v>1547</v>
      </c>
      <c r="E979" t="s">
        <v>1548</v>
      </c>
      <c r="F979" t="s">
        <v>56</v>
      </c>
      <c r="G979" t="s">
        <v>4</v>
      </c>
      <c r="H979" t="s">
        <v>5</v>
      </c>
      <c r="I979" t="s">
        <v>1549</v>
      </c>
      <c r="J979" s="2">
        <v>18.54</v>
      </c>
      <c r="K979">
        <v>2</v>
      </c>
      <c r="L979" s="4"/>
    </row>
    <row r="980" spans="1:12" x14ac:dyDescent="0.3">
      <c r="A980" s="1">
        <v>41900</v>
      </c>
      <c r="B980" s="1">
        <v>41903</v>
      </c>
      <c r="C980" t="s">
        <v>22</v>
      </c>
      <c r="D980" t="s">
        <v>1550</v>
      </c>
      <c r="E980" t="s">
        <v>1551</v>
      </c>
      <c r="F980" t="s">
        <v>3</v>
      </c>
      <c r="G980" t="s">
        <v>4</v>
      </c>
      <c r="H980" t="s">
        <v>10</v>
      </c>
      <c r="I980" t="s">
        <v>1552</v>
      </c>
      <c r="J980" s="2">
        <v>443.92</v>
      </c>
      <c r="K980">
        <v>4</v>
      </c>
      <c r="L980" s="4"/>
    </row>
    <row r="981" spans="1:12" x14ac:dyDescent="0.3">
      <c r="A981" s="1">
        <v>41901</v>
      </c>
      <c r="B981" s="1">
        <v>41904</v>
      </c>
      <c r="C981" t="s">
        <v>0</v>
      </c>
      <c r="D981" t="s">
        <v>1147</v>
      </c>
      <c r="E981" t="s">
        <v>1148</v>
      </c>
      <c r="F981" t="s">
        <v>3</v>
      </c>
      <c r="G981" t="s">
        <v>4</v>
      </c>
      <c r="H981" t="s">
        <v>5</v>
      </c>
      <c r="I981" t="s">
        <v>1542</v>
      </c>
      <c r="J981" s="2">
        <v>22.96</v>
      </c>
      <c r="K981">
        <v>2</v>
      </c>
      <c r="L981" s="4"/>
    </row>
    <row r="982" spans="1:12" x14ac:dyDescent="0.3">
      <c r="A982" s="1">
        <v>41901</v>
      </c>
      <c r="B982" s="1">
        <v>41906</v>
      </c>
      <c r="C982" t="s">
        <v>7</v>
      </c>
      <c r="D982" t="s">
        <v>270</v>
      </c>
      <c r="E982" t="s">
        <v>271</v>
      </c>
      <c r="F982" t="s">
        <v>172</v>
      </c>
      <c r="G982" t="s">
        <v>4</v>
      </c>
      <c r="H982" t="s">
        <v>15</v>
      </c>
      <c r="I982" t="s">
        <v>1553</v>
      </c>
      <c r="J982" s="2">
        <v>8.4</v>
      </c>
      <c r="K982">
        <v>5</v>
      </c>
      <c r="L982" s="4"/>
    </row>
    <row r="983" spans="1:12" x14ac:dyDescent="0.3">
      <c r="A983" s="1">
        <v>41901</v>
      </c>
      <c r="B983" s="1">
        <v>41905</v>
      </c>
      <c r="C983" t="s">
        <v>7</v>
      </c>
      <c r="D983" t="s">
        <v>1554</v>
      </c>
      <c r="E983" t="s">
        <v>1555</v>
      </c>
      <c r="F983" t="s">
        <v>3</v>
      </c>
      <c r="G983" t="s">
        <v>12</v>
      </c>
      <c r="H983" t="s">
        <v>35</v>
      </c>
      <c r="I983" t="s">
        <v>1556</v>
      </c>
      <c r="J983" s="2">
        <v>60.84</v>
      </c>
      <c r="K983">
        <v>3</v>
      </c>
      <c r="L983" s="4"/>
    </row>
    <row r="984" spans="1:12" x14ac:dyDescent="0.3">
      <c r="A984" s="1">
        <v>41902</v>
      </c>
      <c r="B984" s="1">
        <v>41908</v>
      </c>
      <c r="C984" t="s">
        <v>7</v>
      </c>
      <c r="D984" t="s">
        <v>1557</v>
      </c>
      <c r="E984" t="s">
        <v>1558</v>
      </c>
      <c r="F984" t="s">
        <v>39</v>
      </c>
      <c r="G984" t="s">
        <v>4</v>
      </c>
      <c r="H984" t="s">
        <v>26</v>
      </c>
      <c r="I984" t="s">
        <v>1559</v>
      </c>
      <c r="J984" s="2">
        <v>45.584000000000003</v>
      </c>
      <c r="K984">
        <v>11</v>
      </c>
      <c r="L984" s="4"/>
    </row>
    <row r="985" spans="1:12" x14ac:dyDescent="0.3">
      <c r="A985" s="1">
        <v>41903</v>
      </c>
      <c r="B985" s="1">
        <v>41909</v>
      </c>
      <c r="C985" t="s">
        <v>7</v>
      </c>
      <c r="D985" t="s">
        <v>521</v>
      </c>
      <c r="E985" t="s">
        <v>522</v>
      </c>
      <c r="F985" t="s">
        <v>56</v>
      </c>
      <c r="G985" t="s">
        <v>4</v>
      </c>
      <c r="H985" t="s">
        <v>10</v>
      </c>
      <c r="I985" t="s">
        <v>1122</v>
      </c>
      <c r="J985" s="2">
        <v>199.74</v>
      </c>
      <c r="K985">
        <v>6</v>
      </c>
      <c r="L985" s="4"/>
    </row>
    <row r="986" spans="1:12" x14ac:dyDescent="0.3">
      <c r="A986" s="1">
        <v>41903</v>
      </c>
      <c r="B986" s="1">
        <v>41905</v>
      </c>
      <c r="C986" t="s">
        <v>22</v>
      </c>
      <c r="D986" t="s">
        <v>50</v>
      </c>
      <c r="E986" t="s">
        <v>51</v>
      </c>
      <c r="F986" t="s">
        <v>3</v>
      </c>
      <c r="G986" t="s">
        <v>12</v>
      </c>
      <c r="H986" t="s">
        <v>70</v>
      </c>
      <c r="I986" t="s">
        <v>1560</v>
      </c>
      <c r="J986" s="2">
        <v>601.53599999999994</v>
      </c>
      <c r="K986">
        <v>4</v>
      </c>
      <c r="L986" s="4"/>
    </row>
    <row r="987" spans="1:12" x14ac:dyDescent="0.3">
      <c r="A987" s="1">
        <v>41903</v>
      </c>
      <c r="B987" s="1">
        <v>41905</v>
      </c>
      <c r="C987" t="s">
        <v>22</v>
      </c>
      <c r="D987" t="s">
        <v>50</v>
      </c>
      <c r="E987" t="s">
        <v>51</v>
      </c>
      <c r="F987" t="s">
        <v>3</v>
      </c>
      <c r="G987" t="s">
        <v>4</v>
      </c>
      <c r="H987" t="s">
        <v>52</v>
      </c>
      <c r="I987" t="s">
        <v>1561</v>
      </c>
      <c r="J987" s="2">
        <v>7.9</v>
      </c>
      <c r="K987">
        <v>2</v>
      </c>
      <c r="L987" s="4"/>
    </row>
    <row r="988" spans="1:12" x14ac:dyDescent="0.3">
      <c r="A988" s="1">
        <v>41904</v>
      </c>
      <c r="B988" s="1">
        <v>41904</v>
      </c>
      <c r="C988" t="s">
        <v>240</v>
      </c>
      <c r="D988" t="s">
        <v>1562</v>
      </c>
      <c r="E988" t="s">
        <v>1563</v>
      </c>
      <c r="F988" t="s">
        <v>3</v>
      </c>
      <c r="G988" t="s">
        <v>12</v>
      </c>
      <c r="H988" t="s">
        <v>35</v>
      </c>
      <c r="I988" t="s">
        <v>714</v>
      </c>
      <c r="J988" s="2">
        <v>204.6</v>
      </c>
      <c r="K988">
        <v>2</v>
      </c>
      <c r="L988" s="4"/>
    </row>
    <row r="989" spans="1:12" x14ac:dyDescent="0.3">
      <c r="A989" s="1">
        <v>41904</v>
      </c>
      <c r="B989" s="1">
        <v>41908</v>
      </c>
      <c r="C989" t="s">
        <v>0</v>
      </c>
      <c r="D989" t="s">
        <v>1564</v>
      </c>
      <c r="E989" t="s">
        <v>1565</v>
      </c>
      <c r="F989" t="s">
        <v>3</v>
      </c>
      <c r="G989" t="s">
        <v>4</v>
      </c>
      <c r="H989" t="s">
        <v>20</v>
      </c>
      <c r="I989" t="s">
        <v>1566</v>
      </c>
      <c r="J989" s="2">
        <v>61.44</v>
      </c>
      <c r="K989">
        <v>3</v>
      </c>
      <c r="L989" s="4"/>
    </row>
    <row r="990" spans="1:12" x14ac:dyDescent="0.3">
      <c r="A990" s="1">
        <v>41906</v>
      </c>
      <c r="B990" s="1">
        <v>41908</v>
      </c>
      <c r="C990" t="s">
        <v>0</v>
      </c>
      <c r="D990" t="s">
        <v>1567</v>
      </c>
      <c r="E990" t="s">
        <v>1568</v>
      </c>
      <c r="F990" t="s">
        <v>56</v>
      </c>
      <c r="G990" t="s">
        <v>4</v>
      </c>
      <c r="H990" t="s">
        <v>15</v>
      </c>
      <c r="I990" t="s">
        <v>611</v>
      </c>
      <c r="J990" s="2">
        <v>35.96</v>
      </c>
      <c r="K990">
        <v>2</v>
      </c>
      <c r="L990" s="4"/>
    </row>
    <row r="991" spans="1:12" x14ac:dyDescent="0.3">
      <c r="A991" s="1">
        <v>41906</v>
      </c>
      <c r="B991" s="1">
        <v>41908</v>
      </c>
      <c r="C991" t="s">
        <v>0</v>
      </c>
      <c r="D991" t="s">
        <v>1567</v>
      </c>
      <c r="E991" t="s">
        <v>1568</v>
      </c>
      <c r="F991" t="s">
        <v>56</v>
      </c>
      <c r="G991" t="s">
        <v>4</v>
      </c>
      <c r="H991" t="s">
        <v>26</v>
      </c>
      <c r="I991" t="s">
        <v>559</v>
      </c>
      <c r="J991" s="2">
        <v>14.952000000000002</v>
      </c>
      <c r="K991">
        <v>3</v>
      </c>
      <c r="L991" s="4"/>
    </row>
    <row r="992" spans="1:12" x14ac:dyDescent="0.3">
      <c r="A992" s="1">
        <v>41906</v>
      </c>
      <c r="B992" s="1">
        <v>41910</v>
      </c>
      <c r="C992" t="s">
        <v>7</v>
      </c>
      <c r="D992" t="s">
        <v>1569</v>
      </c>
      <c r="E992" t="s">
        <v>1570</v>
      </c>
      <c r="F992" t="s">
        <v>3</v>
      </c>
      <c r="G992" t="s">
        <v>12</v>
      </c>
      <c r="H992" t="s">
        <v>35</v>
      </c>
      <c r="I992" t="s">
        <v>1571</v>
      </c>
      <c r="J992" s="2">
        <v>14.91</v>
      </c>
      <c r="K992">
        <v>3</v>
      </c>
      <c r="L992" s="4"/>
    </row>
    <row r="993" spans="1:12" x14ac:dyDescent="0.3">
      <c r="A993" s="1">
        <v>41906</v>
      </c>
      <c r="B993" s="1">
        <v>41910</v>
      </c>
      <c r="C993" t="s">
        <v>7</v>
      </c>
      <c r="D993" t="s">
        <v>1569</v>
      </c>
      <c r="E993" t="s">
        <v>1570</v>
      </c>
      <c r="F993" t="s">
        <v>3</v>
      </c>
      <c r="G993" t="s">
        <v>4</v>
      </c>
      <c r="H993" t="s">
        <v>20</v>
      </c>
      <c r="I993" t="s">
        <v>1278</v>
      </c>
      <c r="J993" s="2">
        <v>1158.1199999999999</v>
      </c>
      <c r="K993">
        <v>4</v>
      </c>
      <c r="L993" s="4"/>
    </row>
    <row r="994" spans="1:12" x14ac:dyDescent="0.3">
      <c r="A994" s="1">
        <v>41906</v>
      </c>
      <c r="B994" s="1">
        <v>41908</v>
      </c>
      <c r="C994" t="s">
        <v>0</v>
      </c>
      <c r="D994" t="s">
        <v>1572</v>
      </c>
      <c r="E994" t="s">
        <v>1573</v>
      </c>
      <c r="F994" t="s">
        <v>25</v>
      </c>
      <c r="G994" t="s">
        <v>74</v>
      </c>
      <c r="H994" t="s">
        <v>147</v>
      </c>
      <c r="I994" t="s">
        <v>1012</v>
      </c>
      <c r="J994" s="2">
        <v>35.119999999999997</v>
      </c>
      <c r="K994">
        <v>2</v>
      </c>
      <c r="L994" s="4"/>
    </row>
    <row r="995" spans="1:12" x14ac:dyDescent="0.3">
      <c r="A995" s="1">
        <v>41906</v>
      </c>
      <c r="B995" s="1">
        <v>41911</v>
      </c>
      <c r="C995" t="s">
        <v>0</v>
      </c>
      <c r="D995" t="s">
        <v>185</v>
      </c>
      <c r="E995" t="s">
        <v>186</v>
      </c>
      <c r="F995" t="s">
        <v>25</v>
      </c>
      <c r="G995" t="s">
        <v>4</v>
      </c>
      <c r="H995" t="s">
        <v>15</v>
      </c>
      <c r="I995" t="s">
        <v>46</v>
      </c>
      <c r="J995" s="2">
        <v>14.576000000000001</v>
      </c>
      <c r="K995">
        <v>2</v>
      </c>
      <c r="L995" s="4"/>
    </row>
    <row r="996" spans="1:12" x14ac:dyDescent="0.3">
      <c r="A996" s="1">
        <v>41906</v>
      </c>
      <c r="B996" s="1">
        <v>41911</v>
      </c>
      <c r="C996" t="s">
        <v>0</v>
      </c>
      <c r="D996" t="s">
        <v>185</v>
      </c>
      <c r="E996" t="s">
        <v>186</v>
      </c>
      <c r="F996" t="s">
        <v>25</v>
      </c>
      <c r="G996" t="s">
        <v>74</v>
      </c>
      <c r="H996" t="s">
        <v>75</v>
      </c>
      <c r="I996" t="s">
        <v>1574</v>
      </c>
      <c r="J996" s="2">
        <v>23.200000000000003</v>
      </c>
      <c r="K996">
        <v>2</v>
      </c>
      <c r="L996" s="4"/>
    </row>
    <row r="997" spans="1:12" x14ac:dyDescent="0.3">
      <c r="A997" s="1">
        <v>41906</v>
      </c>
      <c r="B997" s="1">
        <v>41911</v>
      </c>
      <c r="C997" t="s">
        <v>0</v>
      </c>
      <c r="D997" t="s">
        <v>185</v>
      </c>
      <c r="E997" t="s">
        <v>186</v>
      </c>
      <c r="F997" t="s">
        <v>25</v>
      </c>
      <c r="G997" t="s">
        <v>4</v>
      </c>
      <c r="H997" t="s">
        <v>15</v>
      </c>
      <c r="I997" t="s">
        <v>1318</v>
      </c>
      <c r="J997" s="2">
        <v>16.463999999999999</v>
      </c>
      <c r="K997">
        <v>7</v>
      </c>
      <c r="L997" s="4"/>
    </row>
    <row r="998" spans="1:12" x14ac:dyDescent="0.3">
      <c r="A998" s="1">
        <v>41907</v>
      </c>
      <c r="B998" s="1">
        <v>41912</v>
      </c>
      <c r="C998" t="s">
        <v>7</v>
      </c>
      <c r="D998" t="s">
        <v>871</v>
      </c>
      <c r="E998" t="s">
        <v>872</v>
      </c>
      <c r="F998" t="s">
        <v>126</v>
      </c>
      <c r="G998" t="s">
        <v>12</v>
      </c>
      <c r="H998" t="s">
        <v>44</v>
      </c>
      <c r="I998" t="s">
        <v>1575</v>
      </c>
      <c r="J998" s="2">
        <v>1044.6299999999999</v>
      </c>
      <c r="K998">
        <v>3</v>
      </c>
      <c r="L998" s="4"/>
    </row>
    <row r="999" spans="1:12" x14ac:dyDescent="0.3">
      <c r="A999" s="1">
        <v>41907</v>
      </c>
      <c r="B999" s="1">
        <v>41913</v>
      </c>
      <c r="C999" t="s">
        <v>7</v>
      </c>
      <c r="D999" t="s">
        <v>1557</v>
      </c>
      <c r="E999" t="s">
        <v>1558</v>
      </c>
      <c r="F999" t="s">
        <v>3</v>
      </c>
      <c r="G999" t="s">
        <v>4</v>
      </c>
      <c r="H999" t="s">
        <v>29</v>
      </c>
      <c r="I999" t="s">
        <v>1576</v>
      </c>
      <c r="J999" s="2">
        <v>17.48</v>
      </c>
      <c r="K999">
        <v>2</v>
      </c>
      <c r="L999" s="4"/>
    </row>
    <row r="1000" spans="1:12" x14ac:dyDescent="0.3">
      <c r="A1000" s="1">
        <v>41907</v>
      </c>
      <c r="B1000" s="1">
        <v>41912</v>
      </c>
      <c r="C1000" t="s">
        <v>7</v>
      </c>
      <c r="D1000" t="s">
        <v>1030</v>
      </c>
      <c r="E1000" t="s">
        <v>1031</v>
      </c>
      <c r="F1000" t="s">
        <v>56</v>
      </c>
      <c r="G1000" t="s">
        <v>12</v>
      </c>
      <c r="H1000" t="s">
        <v>70</v>
      </c>
      <c r="I1000" t="s">
        <v>1577</v>
      </c>
      <c r="J1000" s="2">
        <v>307.13600000000002</v>
      </c>
      <c r="K1000">
        <v>4</v>
      </c>
      <c r="L1000" s="4"/>
    </row>
    <row r="1001" spans="1:12" x14ac:dyDescent="0.3">
      <c r="A1001" s="1">
        <v>41907</v>
      </c>
      <c r="B1001" s="1">
        <v>41912</v>
      </c>
      <c r="C1001" t="s">
        <v>7</v>
      </c>
      <c r="D1001" t="s">
        <v>1030</v>
      </c>
      <c r="E1001" t="s">
        <v>1031</v>
      </c>
      <c r="F1001" t="s">
        <v>56</v>
      </c>
      <c r="G1001" t="s">
        <v>4</v>
      </c>
      <c r="H1001" t="s">
        <v>168</v>
      </c>
      <c r="I1001" t="s">
        <v>1578</v>
      </c>
      <c r="J1001" s="2">
        <v>12.6</v>
      </c>
      <c r="K1001">
        <v>2</v>
      </c>
      <c r="L1001" s="4"/>
    </row>
    <row r="1002" spans="1:12" x14ac:dyDescent="0.3">
      <c r="A1002" s="1">
        <v>41907</v>
      </c>
      <c r="B1002" s="1">
        <v>41912</v>
      </c>
      <c r="C1002" t="s">
        <v>7</v>
      </c>
      <c r="D1002" t="s">
        <v>1030</v>
      </c>
      <c r="E1002" t="s">
        <v>1031</v>
      </c>
      <c r="F1002" t="s">
        <v>56</v>
      </c>
      <c r="G1002" t="s">
        <v>74</v>
      </c>
      <c r="H1002" t="s">
        <v>75</v>
      </c>
      <c r="I1002" t="s">
        <v>1579</v>
      </c>
      <c r="J1002" s="2">
        <v>159.97999999999999</v>
      </c>
      <c r="K1002">
        <v>2</v>
      </c>
      <c r="L1002" s="4"/>
    </row>
    <row r="1003" spans="1:12" x14ac:dyDescent="0.3">
      <c r="A1003" s="1">
        <v>41908</v>
      </c>
      <c r="B1003" s="1">
        <v>41914</v>
      </c>
      <c r="C1003" t="s">
        <v>7</v>
      </c>
      <c r="D1003" t="s">
        <v>1580</v>
      </c>
      <c r="E1003" t="s">
        <v>1581</v>
      </c>
      <c r="F1003" t="s">
        <v>19</v>
      </c>
      <c r="G1003" t="s">
        <v>4</v>
      </c>
      <c r="H1003" t="s">
        <v>5</v>
      </c>
      <c r="I1003" t="s">
        <v>839</v>
      </c>
      <c r="J1003" s="2">
        <v>141.76</v>
      </c>
      <c r="K1003">
        <v>5</v>
      </c>
      <c r="L1003" s="4"/>
    </row>
    <row r="1004" spans="1:12" x14ac:dyDescent="0.3">
      <c r="A1004" s="1">
        <v>41908</v>
      </c>
      <c r="B1004" s="1">
        <v>41914</v>
      </c>
      <c r="C1004" t="s">
        <v>7</v>
      </c>
      <c r="D1004" t="s">
        <v>1580</v>
      </c>
      <c r="E1004" t="s">
        <v>1581</v>
      </c>
      <c r="F1004" t="s">
        <v>19</v>
      </c>
      <c r="G1004" t="s">
        <v>74</v>
      </c>
      <c r="H1004" t="s">
        <v>75</v>
      </c>
      <c r="I1004" t="s">
        <v>1582</v>
      </c>
      <c r="J1004" s="2">
        <v>239.80000000000004</v>
      </c>
      <c r="K1004">
        <v>5</v>
      </c>
      <c r="L1004" s="4"/>
    </row>
    <row r="1005" spans="1:12" x14ac:dyDescent="0.3">
      <c r="A1005" s="1">
        <v>41908</v>
      </c>
      <c r="B1005" s="1">
        <v>41914</v>
      </c>
      <c r="C1005" t="s">
        <v>7</v>
      </c>
      <c r="D1005" t="s">
        <v>1580</v>
      </c>
      <c r="E1005" t="s">
        <v>1581</v>
      </c>
      <c r="F1005" t="s">
        <v>19</v>
      </c>
      <c r="G1005" t="s">
        <v>4</v>
      </c>
      <c r="H1005" t="s">
        <v>5</v>
      </c>
      <c r="I1005" t="s">
        <v>1539</v>
      </c>
      <c r="J1005" s="2">
        <v>31.104000000000006</v>
      </c>
      <c r="K1005">
        <v>6</v>
      </c>
      <c r="L1005" s="4"/>
    </row>
    <row r="1006" spans="1:12" x14ac:dyDescent="0.3">
      <c r="A1006" s="1">
        <v>41908</v>
      </c>
      <c r="B1006" s="1">
        <v>41912</v>
      </c>
      <c r="C1006" t="s">
        <v>7</v>
      </c>
      <c r="D1006" t="s">
        <v>1147</v>
      </c>
      <c r="E1006" t="s">
        <v>1148</v>
      </c>
      <c r="F1006" t="s">
        <v>25</v>
      </c>
      <c r="G1006" t="s">
        <v>4</v>
      </c>
      <c r="H1006" t="s">
        <v>5</v>
      </c>
      <c r="I1006" t="s">
        <v>1583</v>
      </c>
      <c r="J1006" s="2">
        <v>86.272000000000006</v>
      </c>
      <c r="K1006">
        <v>4</v>
      </c>
      <c r="L1006" s="4"/>
    </row>
    <row r="1007" spans="1:12" x14ac:dyDescent="0.3">
      <c r="A1007" s="1">
        <v>41908</v>
      </c>
      <c r="B1007" s="1">
        <v>41912</v>
      </c>
      <c r="C1007" t="s">
        <v>7</v>
      </c>
      <c r="D1007" t="s">
        <v>1147</v>
      </c>
      <c r="E1007" t="s">
        <v>1148</v>
      </c>
      <c r="F1007" t="s">
        <v>25</v>
      </c>
      <c r="G1007" t="s">
        <v>4</v>
      </c>
      <c r="H1007" t="s">
        <v>26</v>
      </c>
      <c r="I1007" t="s">
        <v>1584</v>
      </c>
      <c r="J1007" s="2">
        <v>72.588000000000008</v>
      </c>
      <c r="K1007">
        <v>2</v>
      </c>
      <c r="L1007" s="4"/>
    </row>
    <row r="1008" spans="1:12" x14ac:dyDescent="0.3">
      <c r="A1008" s="1">
        <v>41908</v>
      </c>
      <c r="B1008" s="1">
        <v>41912</v>
      </c>
      <c r="C1008" t="s">
        <v>7</v>
      </c>
      <c r="D1008" t="s">
        <v>1147</v>
      </c>
      <c r="E1008" t="s">
        <v>1148</v>
      </c>
      <c r="F1008" t="s">
        <v>25</v>
      </c>
      <c r="G1008" t="s">
        <v>4</v>
      </c>
      <c r="H1008" t="s">
        <v>20</v>
      </c>
      <c r="I1008" t="s">
        <v>1265</v>
      </c>
      <c r="J1008" s="2">
        <v>60.672000000000004</v>
      </c>
      <c r="K1008">
        <v>2</v>
      </c>
      <c r="L1008" s="4"/>
    </row>
    <row r="1009" spans="1:12" x14ac:dyDescent="0.3">
      <c r="A1009" s="1">
        <v>41908</v>
      </c>
      <c r="B1009" s="1">
        <v>41912</v>
      </c>
      <c r="C1009" t="s">
        <v>7</v>
      </c>
      <c r="D1009" t="s">
        <v>1147</v>
      </c>
      <c r="E1009" t="s">
        <v>1148</v>
      </c>
      <c r="F1009" t="s">
        <v>25</v>
      </c>
      <c r="G1009" t="s">
        <v>4</v>
      </c>
      <c r="H1009" t="s">
        <v>26</v>
      </c>
      <c r="I1009" t="s">
        <v>1585</v>
      </c>
      <c r="J1009" s="2">
        <v>77.031000000000006</v>
      </c>
      <c r="K1009">
        <v>9</v>
      </c>
      <c r="L1009" s="4"/>
    </row>
    <row r="1010" spans="1:12" x14ac:dyDescent="0.3">
      <c r="A1010" s="1">
        <v>41908</v>
      </c>
      <c r="B1010" s="1">
        <v>41912</v>
      </c>
      <c r="C1010" t="s">
        <v>7</v>
      </c>
      <c r="D1010" t="s">
        <v>1147</v>
      </c>
      <c r="E1010" t="s">
        <v>1148</v>
      </c>
      <c r="F1010" t="s">
        <v>25</v>
      </c>
      <c r="G1010" t="s">
        <v>4</v>
      </c>
      <c r="H1010" t="s">
        <v>10</v>
      </c>
      <c r="I1010" t="s">
        <v>1586</v>
      </c>
      <c r="J1010" s="2">
        <v>119.90400000000001</v>
      </c>
      <c r="K1010">
        <v>6</v>
      </c>
      <c r="L1010" s="4"/>
    </row>
    <row r="1011" spans="1:12" x14ac:dyDescent="0.3">
      <c r="A1011" s="1">
        <v>41908</v>
      </c>
      <c r="B1011" s="1">
        <v>41912</v>
      </c>
      <c r="C1011" t="s">
        <v>7</v>
      </c>
      <c r="D1011" t="s">
        <v>1147</v>
      </c>
      <c r="E1011" t="s">
        <v>1148</v>
      </c>
      <c r="F1011" t="s">
        <v>25</v>
      </c>
      <c r="G1011" t="s">
        <v>74</v>
      </c>
      <c r="H1011" t="s">
        <v>147</v>
      </c>
      <c r="I1011" t="s">
        <v>846</v>
      </c>
      <c r="J1011" s="2">
        <v>263.96000000000004</v>
      </c>
      <c r="K1011">
        <v>5</v>
      </c>
      <c r="L1011" s="4"/>
    </row>
    <row r="1012" spans="1:12" x14ac:dyDescent="0.3">
      <c r="A1012" s="1">
        <v>41908</v>
      </c>
      <c r="B1012" s="1">
        <v>41912</v>
      </c>
      <c r="C1012" t="s">
        <v>7</v>
      </c>
      <c r="D1012" t="s">
        <v>1147</v>
      </c>
      <c r="E1012" t="s">
        <v>1148</v>
      </c>
      <c r="F1012" t="s">
        <v>25</v>
      </c>
      <c r="G1012" t="s">
        <v>4</v>
      </c>
      <c r="H1012" t="s">
        <v>10</v>
      </c>
      <c r="I1012" t="s">
        <v>876</v>
      </c>
      <c r="J1012" s="2">
        <v>363.64800000000002</v>
      </c>
      <c r="K1012">
        <v>4</v>
      </c>
      <c r="L1012" s="4"/>
    </row>
    <row r="1013" spans="1:12" x14ac:dyDescent="0.3">
      <c r="A1013" s="1">
        <v>41908</v>
      </c>
      <c r="B1013" s="1">
        <v>41913</v>
      </c>
      <c r="C1013" t="s">
        <v>7</v>
      </c>
      <c r="D1013" t="s">
        <v>1587</v>
      </c>
      <c r="E1013" t="s">
        <v>1588</v>
      </c>
      <c r="F1013" t="s">
        <v>3</v>
      </c>
      <c r="G1013" t="s">
        <v>4</v>
      </c>
      <c r="H1013" t="s">
        <v>10</v>
      </c>
      <c r="I1013" t="s">
        <v>776</v>
      </c>
      <c r="J1013" s="2">
        <v>64.17</v>
      </c>
      <c r="K1013">
        <v>3</v>
      </c>
      <c r="L1013" s="4"/>
    </row>
    <row r="1014" spans="1:12" x14ac:dyDescent="0.3">
      <c r="A1014" s="1">
        <v>41908</v>
      </c>
      <c r="B1014" s="1">
        <v>41913</v>
      </c>
      <c r="C1014" t="s">
        <v>7</v>
      </c>
      <c r="D1014" t="s">
        <v>1587</v>
      </c>
      <c r="E1014" t="s">
        <v>1588</v>
      </c>
      <c r="F1014" t="s">
        <v>3</v>
      </c>
      <c r="G1014" t="s">
        <v>4</v>
      </c>
      <c r="H1014" t="s">
        <v>29</v>
      </c>
      <c r="I1014" t="s">
        <v>1388</v>
      </c>
      <c r="J1014" s="2">
        <v>124.46</v>
      </c>
      <c r="K1014">
        <v>2</v>
      </c>
      <c r="L1014" s="4"/>
    </row>
    <row r="1015" spans="1:12" x14ac:dyDescent="0.3">
      <c r="A1015" s="1">
        <v>41909</v>
      </c>
      <c r="B1015" s="1">
        <v>41911</v>
      </c>
      <c r="C1015" t="s">
        <v>0</v>
      </c>
      <c r="D1015" t="s">
        <v>1498</v>
      </c>
      <c r="E1015" t="s">
        <v>1499</v>
      </c>
      <c r="F1015" t="s">
        <v>3</v>
      </c>
      <c r="G1015" t="s">
        <v>4</v>
      </c>
      <c r="H1015" t="s">
        <v>10</v>
      </c>
      <c r="I1015" t="s">
        <v>1589</v>
      </c>
      <c r="J1015" s="2">
        <v>15.51</v>
      </c>
      <c r="K1015">
        <v>1</v>
      </c>
      <c r="L1015" s="4"/>
    </row>
    <row r="1016" spans="1:12" x14ac:dyDescent="0.3">
      <c r="A1016" s="1">
        <v>41909</v>
      </c>
      <c r="B1016" s="1">
        <v>41911</v>
      </c>
      <c r="C1016" t="s">
        <v>0</v>
      </c>
      <c r="D1016" t="s">
        <v>1498</v>
      </c>
      <c r="E1016" t="s">
        <v>1499</v>
      </c>
      <c r="F1016" t="s">
        <v>3</v>
      </c>
      <c r="G1016" t="s">
        <v>4</v>
      </c>
      <c r="H1016" t="s">
        <v>5</v>
      </c>
      <c r="I1016" t="s">
        <v>1590</v>
      </c>
      <c r="J1016" s="2">
        <v>146.82</v>
      </c>
      <c r="K1016">
        <v>3</v>
      </c>
      <c r="L1016" s="4"/>
    </row>
    <row r="1017" spans="1:12" x14ac:dyDescent="0.3">
      <c r="A1017" s="1">
        <v>41909</v>
      </c>
      <c r="B1017" s="1">
        <v>41911</v>
      </c>
      <c r="C1017" t="s">
        <v>0</v>
      </c>
      <c r="D1017" t="s">
        <v>1498</v>
      </c>
      <c r="E1017" t="s">
        <v>1499</v>
      </c>
      <c r="F1017" t="s">
        <v>3</v>
      </c>
      <c r="G1017" t="s">
        <v>4</v>
      </c>
      <c r="H1017" t="s">
        <v>5</v>
      </c>
      <c r="I1017" t="s">
        <v>1494</v>
      </c>
      <c r="J1017" s="2">
        <v>12.96</v>
      </c>
      <c r="K1017">
        <v>2</v>
      </c>
      <c r="L1017" s="4"/>
    </row>
    <row r="1018" spans="1:12" x14ac:dyDescent="0.3">
      <c r="A1018" s="1">
        <v>41909</v>
      </c>
      <c r="B1018" s="1">
        <v>41911</v>
      </c>
      <c r="C1018" t="s">
        <v>0</v>
      </c>
      <c r="D1018" t="s">
        <v>1591</v>
      </c>
      <c r="E1018" t="s">
        <v>1592</v>
      </c>
      <c r="F1018" t="s">
        <v>56</v>
      </c>
      <c r="G1018" t="s">
        <v>4</v>
      </c>
      <c r="H1018" t="s">
        <v>15</v>
      </c>
      <c r="I1018" t="s">
        <v>461</v>
      </c>
      <c r="J1018" s="2">
        <v>99.2</v>
      </c>
      <c r="K1018">
        <v>5</v>
      </c>
      <c r="L1018" s="4"/>
    </row>
    <row r="1019" spans="1:12" x14ac:dyDescent="0.3">
      <c r="A1019" s="1">
        <v>41910</v>
      </c>
      <c r="B1019" s="1">
        <v>41913</v>
      </c>
      <c r="C1019" t="s">
        <v>22</v>
      </c>
      <c r="D1019" t="s">
        <v>680</v>
      </c>
      <c r="E1019" t="s">
        <v>681</v>
      </c>
      <c r="F1019" t="s">
        <v>3</v>
      </c>
      <c r="G1019" t="s">
        <v>4</v>
      </c>
      <c r="H1019" t="s">
        <v>20</v>
      </c>
      <c r="I1019" t="s">
        <v>280</v>
      </c>
      <c r="J1019" s="2">
        <v>43.26</v>
      </c>
      <c r="K1019">
        <v>3</v>
      </c>
      <c r="L1019" s="4"/>
    </row>
    <row r="1020" spans="1:12" x14ac:dyDescent="0.3">
      <c r="A1020" s="1">
        <v>41910</v>
      </c>
      <c r="B1020" s="1">
        <v>41913</v>
      </c>
      <c r="C1020" t="s">
        <v>22</v>
      </c>
      <c r="D1020" t="s">
        <v>680</v>
      </c>
      <c r="E1020" t="s">
        <v>681</v>
      </c>
      <c r="F1020" t="s">
        <v>3</v>
      </c>
      <c r="G1020" t="s">
        <v>4</v>
      </c>
      <c r="H1020" t="s">
        <v>20</v>
      </c>
      <c r="I1020" t="s">
        <v>1593</v>
      </c>
      <c r="J1020" s="2">
        <v>43.56</v>
      </c>
      <c r="K1020">
        <v>2</v>
      </c>
      <c r="L1020" s="4"/>
    </row>
    <row r="1021" spans="1:12" x14ac:dyDescent="0.3">
      <c r="A1021" s="1">
        <v>41910</v>
      </c>
      <c r="B1021" s="1">
        <v>41916</v>
      </c>
      <c r="C1021" t="s">
        <v>7</v>
      </c>
      <c r="D1021" t="s">
        <v>777</v>
      </c>
      <c r="E1021" t="s">
        <v>778</v>
      </c>
      <c r="F1021" t="s">
        <v>115</v>
      </c>
      <c r="G1021" t="s">
        <v>4</v>
      </c>
      <c r="H1021" t="s">
        <v>29</v>
      </c>
      <c r="I1021" t="s">
        <v>687</v>
      </c>
      <c r="J1021" s="2">
        <v>12.536000000000001</v>
      </c>
      <c r="K1021">
        <v>1</v>
      </c>
      <c r="L1021" s="4"/>
    </row>
    <row r="1022" spans="1:12" x14ac:dyDescent="0.3">
      <c r="A1022" s="1">
        <v>41910</v>
      </c>
      <c r="B1022" s="1">
        <v>41916</v>
      </c>
      <c r="C1022" t="s">
        <v>7</v>
      </c>
      <c r="D1022" t="s">
        <v>777</v>
      </c>
      <c r="E1022" t="s">
        <v>778</v>
      </c>
      <c r="F1022" t="s">
        <v>115</v>
      </c>
      <c r="G1022" t="s">
        <v>4</v>
      </c>
      <c r="H1022" t="s">
        <v>26</v>
      </c>
      <c r="I1022" t="s">
        <v>967</v>
      </c>
      <c r="J1022" s="2">
        <v>1.0800000000000003</v>
      </c>
      <c r="K1022">
        <v>2</v>
      </c>
      <c r="L1022" s="4"/>
    </row>
    <row r="1023" spans="1:12" x14ac:dyDescent="0.3">
      <c r="A1023" s="1">
        <v>41910</v>
      </c>
      <c r="B1023" s="1">
        <v>41916</v>
      </c>
      <c r="C1023" t="s">
        <v>7</v>
      </c>
      <c r="D1023" t="s">
        <v>777</v>
      </c>
      <c r="E1023" t="s">
        <v>778</v>
      </c>
      <c r="F1023" t="s">
        <v>115</v>
      </c>
      <c r="G1023" t="s">
        <v>4</v>
      </c>
      <c r="H1023" t="s">
        <v>52</v>
      </c>
      <c r="I1023" t="s">
        <v>53</v>
      </c>
      <c r="J1023" s="2">
        <v>4.5120000000000005</v>
      </c>
      <c r="K1023">
        <v>3</v>
      </c>
      <c r="L1023" s="4"/>
    </row>
    <row r="1024" spans="1:12" x14ac:dyDescent="0.3">
      <c r="A1024" s="1">
        <v>41910</v>
      </c>
      <c r="B1024" s="1">
        <v>41917</v>
      </c>
      <c r="C1024" t="s">
        <v>7</v>
      </c>
      <c r="D1024" t="s">
        <v>1594</v>
      </c>
      <c r="E1024" t="s">
        <v>1595</v>
      </c>
      <c r="F1024" t="s">
        <v>3</v>
      </c>
      <c r="G1024" t="s">
        <v>4</v>
      </c>
      <c r="H1024" t="s">
        <v>20</v>
      </c>
      <c r="I1024" t="s">
        <v>1596</v>
      </c>
      <c r="J1024" s="2">
        <v>186.14999999999998</v>
      </c>
      <c r="K1024">
        <v>3</v>
      </c>
      <c r="L1024" s="4"/>
    </row>
    <row r="1025" spans="1:12" x14ac:dyDescent="0.3">
      <c r="A1025" s="1">
        <v>41910</v>
      </c>
      <c r="B1025" s="1">
        <v>41917</v>
      </c>
      <c r="C1025" t="s">
        <v>7</v>
      </c>
      <c r="D1025" t="s">
        <v>1594</v>
      </c>
      <c r="E1025" t="s">
        <v>1595</v>
      </c>
      <c r="F1025" t="s">
        <v>3</v>
      </c>
      <c r="G1025" t="s">
        <v>4</v>
      </c>
      <c r="H1025" t="s">
        <v>26</v>
      </c>
      <c r="I1025" t="s">
        <v>1597</v>
      </c>
      <c r="J1025" s="2">
        <v>81.792000000000002</v>
      </c>
      <c r="K1025">
        <v>6</v>
      </c>
      <c r="L1025" s="4"/>
    </row>
    <row r="1026" spans="1:12" x14ac:dyDescent="0.3">
      <c r="A1026" s="1">
        <v>41910</v>
      </c>
      <c r="B1026" s="1">
        <v>41917</v>
      </c>
      <c r="C1026" t="s">
        <v>7</v>
      </c>
      <c r="D1026" t="s">
        <v>1594</v>
      </c>
      <c r="E1026" t="s">
        <v>1595</v>
      </c>
      <c r="F1026" t="s">
        <v>3</v>
      </c>
      <c r="G1026" t="s">
        <v>4</v>
      </c>
      <c r="H1026" t="s">
        <v>78</v>
      </c>
      <c r="I1026" t="s">
        <v>1598</v>
      </c>
      <c r="J1026" s="2">
        <v>47.19</v>
      </c>
      <c r="K1026">
        <v>3</v>
      </c>
      <c r="L1026" s="4"/>
    </row>
    <row r="1027" spans="1:12" x14ac:dyDescent="0.3">
      <c r="A1027" s="1">
        <v>41910</v>
      </c>
      <c r="B1027" s="1">
        <v>41917</v>
      </c>
      <c r="C1027" t="s">
        <v>7</v>
      </c>
      <c r="D1027" t="s">
        <v>1594</v>
      </c>
      <c r="E1027" t="s">
        <v>1595</v>
      </c>
      <c r="F1027" t="s">
        <v>3</v>
      </c>
      <c r="G1027" t="s">
        <v>74</v>
      </c>
      <c r="H1027" t="s">
        <v>147</v>
      </c>
      <c r="I1027" t="s">
        <v>1599</v>
      </c>
      <c r="J1027" s="2">
        <v>36.783999999999999</v>
      </c>
      <c r="K1027">
        <v>2</v>
      </c>
      <c r="L1027" s="4"/>
    </row>
    <row r="1028" spans="1:12" x14ac:dyDescent="0.3">
      <c r="A1028" s="1">
        <v>41913</v>
      </c>
      <c r="B1028" s="1">
        <v>41918</v>
      </c>
      <c r="C1028" t="s">
        <v>7</v>
      </c>
      <c r="D1028" t="s">
        <v>1569</v>
      </c>
      <c r="E1028" t="s">
        <v>1570</v>
      </c>
      <c r="F1028" t="s">
        <v>115</v>
      </c>
      <c r="G1028" t="s">
        <v>4</v>
      </c>
      <c r="H1028" t="s">
        <v>10</v>
      </c>
      <c r="I1028" t="s">
        <v>1600</v>
      </c>
      <c r="J1028" s="2">
        <v>139.42400000000001</v>
      </c>
      <c r="K1028">
        <v>4</v>
      </c>
      <c r="L1028" s="4"/>
    </row>
    <row r="1029" spans="1:12" x14ac:dyDescent="0.3">
      <c r="A1029" s="1">
        <v>41913</v>
      </c>
      <c r="B1029" s="1">
        <v>41916</v>
      </c>
      <c r="C1029" t="s">
        <v>22</v>
      </c>
      <c r="D1029" t="s">
        <v>1601</v>
      </c>
      <c r="E1029" t="s">
        <v>1602</v>
      </c>
      <c r="F1029" t="s">
        <v>19</v>
      </c>
      <c r="G1029" t="s">
        <v>74</v>
      </c>
      <c r="H1029" t="s">
        <v>147</v>
      </c>
      <c r="I1029" t="s">
        <v>296</v>
      </c>
      <c r="J1029" s="2">
        <v>572.80000000000007</v>
      </c>
      <c r="K1029">
        <v>2</v>
      </c>
      <c r="L1029" s="4"/>
    </row>
    <row r="1030" spans="1:12" x14ac:dyDescent="0.3">
      <c r="A1030" s="1">
        <v>41914</v>
      </c>
      <c r="B1030" s="1">
        <v>41920</v>
      </c>
      <c r="C1030" t="s">
        <v>7</v>
      </c>
      <c r="D1030" t="s">
        <v>411</v>
      </c>
      <c r="E1030" t="s">
        <v>412</v>
      </c>
      <c r="F1030" t="s">
        <v>3</v>
      </c>
      <c r="G1030" t="s">
        <v>4</v>
      </c>
      <c r="H1030" t="s">
        <v>26</v>
      </c>
      <c r="I1030" t="s">
        <v>225</v>
      </c>
      <c r="J1030" s="2">
        <v>57.504000000000005</v>
      </c>
      <c r="K1030">
        <v>6</v>
      </c>
      <c r="L1030" s="4"/>
    </row>
    <row r="1031" spans="1:12" x14ac:dyDescent="0.3">
      <c r="A1031" s="1">
        <v>41914</v>
      </c>
      <c r="B1031" s="1">
        <v>41919</v>
      </c>
      <c r="C1031" t="s">
        <v>0</v>
      </c>
      <c r="D1031" t="s">
        <v>704</v>
      </c>
      <c r="E1031" t="s">
        <v>705</v>
      </c>
      <c r="F1031" t="s">
        <v>3</v>
      </c>
      <c r="G1031" t="s">
        <v>4</v>
      </c>
      <c r="H1031" t="s">
        <v>10</v>
      </c>
      <c r="I1031" t="s">
        <v>647</v>
      </c>
      <c r="J1031" s="2">
        <v>270.33999999999997</v>
      </c>
      <c r="K1031">
        <v>14</v>
      </c>
      <c r="L1031" s="4"/>
    </row>
    <row r="1032" spans="1:12" x14ac:dyDescent="0.3">
      <c r="A1032" s="1">
        <v>41914</v>
      </c>
      <c r="B1032" s="1">
        <v>41915</v>
      </c>
      <c r="C1032" t="s">
        <v>22</v>
      </c>
      <c r="D1032" t="s">
        <v>1603</v>
      </c>
      <c r="E1032" t="s">
        <v>1604</v>
      </c>
      <c r="F1032" t="s">
        <v>3</v>
      </c>
      <c r="G1032" t="s">
        <v>4</v>
      </c>
      <c r="H1032" t="s">
        <v>26</v>
      </c>
      <c r="I1032" t="s">
        <v>1605</v>
      </c>
      <c r="J1032" s="2">
        <v>11.808</v>
      </c>
      <c r="K1032">
        <v>3</v>
      </c>
      <c r="L1032" s="4"/>
    </row>
    <row r="1033" spans="1:12" x14ac:dyDescent="0.3">
      <c r="A1033" s="1">
        <v>41914</v>
      </c>
      <c r="B1033" s="1">
        <v>41915</v>
      </c>
      <c r="C1033" t="s">
        <v>22</v>
      </c>
      <c r="D1033" t="s">
        <v>1603</v>
      </c>
      <c r="E1033" t="s">
        <v>1604</v>
      </c>
      <c r="F1033" t="s">
        <v>3</v>
      </c>
      <c r="G1033" t="s">
        <v>4</v>
      </c>
      <c r="H1033" t="s">
        <v>26</v>
      </c>
      <c r="I1033" t="s">
        <v>1606</v>
      </c>
      <c r="J1033" s="2">
        <v>53.567999999999998</v>
      </c>
      <c r="K1033">
        <v>4</v>
      </c>
      <c r="L1033" s="4"/>
    </row>
    <row r="1034" spans="1:12" x14ac:dyDescent="0.3">
      <c r="A1034" s="1">
        <v>41914</v>
      </c>
      <c r="B1034" s="1">
        <v>41915</v>
      </c>
      <c r="C1034" t="s">
        <v>22</v>
      </c>
      <c r="D1034" t="s">
        <v>1603</v>
      </c>
      <c r="E1034" t="s">
        <v>1604</v>
      </c>
      <c r="F1034" t="s">
        <v>3</v>
      </c>
      <c r="G1034" t="s">
        <v>74</v>
      </c>
      <c r="H1034" t="s">
        <v>147</v>
      </c>
      <c r="I1034" t="s">
        <v>1607</v>
      </c>
      <c r="J1034" s="2">
        <v>503.96000000000004</v>
      </c>
      <c r="K1034">
        <v>5</v>
      </c>
      <c r="L1034" s="4"/>
    </row>
    <row r="1035" spans="1:12" x14ac:dyDescent="0.3">
      <c r="A1035" s="1">
        <v>41914</v>
      </c>
      <c r="B1035" s="1">
        <v>41919</v>
      </c>
      <c r="C1035" t="s">
        <v>7</v>
      </c>
      <c r="D1035" t="s">
        <v>638</v>
      </c>
      <c r="E1035" t="s">
        <v>639</v>
      </c>
      <c r="F1035" t="s">
        <v>115</v>
      </c>
      <c r="G1035" t="s">
        <v>4</v>
      </c>
      <c r="H1035" t="s">
        <v>78</v>
      </c>
      <c r="I1035" t="s">
        <v>617</v>
      </c>
      <c r="J1035" s="2">
        <v>10.944000000000001</v>
      </c>
      <c r="K1035">
        <v>2</v>
      </c>
      <c r="L1035" s="4"/>
    </row>
    <row r="1036" spans="1:12" x14ac:dyDescent="0.3">
      <c r="A1036" s="1">
        <v>41914</v>
      </c>
      <c r="B1036" s="1">
        <v>41916</v>
      </c>
      <c r="C1036" t="s">
        <v>22</v>
      </c>
      <c r="D1036" t="s">
        <v>1608</v>
      </c>
      <c r="E1036" t="s">
        <v>1609</v>
      </c>
      <c r="F1036" t="s">
        <v>19</v>
      </c>
      <c r="G1036" t="s">
        <v>12</v>
      </c>
      <c r="H1036" t="s">
        <v>35</v>
      </c>
      <c r="I1036" t="s">
        <v>1610</v>
      </c>
      <c r="J1036" s="2">
        <v>11.032</v>
      </c>
      <c r="K1036">
        <v>1</v>
      </c>
      <c r="L1036" s="4"/>
    </row>
    <row r="1037" spans="1:12" x14ac:dyDescent="0.3">
      <c r="A1037" s="1">
        <v>41914</v>
      </c>
      <c r="B1037" s="1">
        <v>41916</v>
      </c>
      <c r="C1037" t="s">
        <v>22</v>
      </c>
      <c r="D1037" t="s">
        <v>1608</v>
      </c>
      <c r="E1037" t="s">
        <v>1609</v>
      </c>
      <c r="F1037" t="s">
        <v>19</v>
      </c>
      <c r="G1037" t="s">
        <v>74</v>
      </c>
      <c r="H1037" t="s">
        <v>75</v>
      </c>
      <c r="I1037" t="s">
        <v>160</v>
      </c>
      <c r="J1037" s="2">
        <v>53.040000000000006</v>
      </c>
      <c r="K1037">
        <v>3</v>
      </c>
      <c r="L1037" s="4"/>
    </row>
    <row r="1038" spans="1:12" x14ac:dyDescent="0.3">
      <c r="A1038" s="1">
        <v>41915</v>
      </c>
      <c r="B1038" s="1">
        <v>41920</v>
      </c>
      <c r="C1038" t="s">
        <v>7</v>
      </c>
      <c r="D1038" t="s">
        <v>508</v>
      </c>
      <c r="E1038" t="s">
        <v>509</v>
      </c>
      <c r="F1038" t="s">
        <v>3</v>
      </c>
      <c r="G1038" t="s">
        <v>12</v>
      </c>
      <c r="H1038" t="s">
        <v>13</v>
      </c>
      <c r="I1038" t="s">
        <v>1190</v>
      </c>
      <c r="J1038" s="2">
        <v>120.666</v>
      </c>
      <c r="K1038">
        <v>2</v>
      </c>
      <c r="L1038" s="4"/>
    </row>
    <row r="1039" spans="1:12" x14ac:dyDescent="0.3">
      <c r="A1039" s="1">
        <v>41916</v>
      </c>
      <c r="B1039" s="1">
        <v>41919</v>
      </c>
      <c r="C1039" t="s">
        <v>22</v>
      </c>
      <c r="D1039" t="s">
        <v>181</v>
      </c>
      <c r="E1039" t="s">
        <v>182</v>
      </c>
      <c r="F1039" t="s">
        <v>3</v>
      </c>
      <c r="G1039" t="s">
        <v>4</v>
      </c>
      <c r="H1039" t="s">
        <v>10</v>
      </c>
      <c r="I1039" t="s">
        <v>1353</v>
      </c>
      <c r="J1039" s="2">
        <v>26.96</v>
      </c>
      <c r="K1039">
        <v>2</v>
      </c>
      <c r="L1039" s="4"/>
    </row>
    <row r="1040" spans="1:12" x14ac:dyDescent="0.3">
      <c r="A1040" s="1">
        <v>41917</v>
      </c>
      <c r="B1040" s="1">
        <v>41921</v>
      </c>
      <c r="C1040" t="s">
        <v>7</v>
      </c>
      <c r="D1040" t="s">
        <v>788</v>
      </c>
      <c r="E1040" t="s">
        <v>789</v>
      </c>
      <c r="F1040" t="s">
        <v>19</v>
      </c>
      <c r="G1040" t="s">
        <v>12</v>
      </c>
      <c r="H1040" t="s">
        <v>13</v>
      </c>
      <c r="I1040" t="s">
        <v>1611</v>
      </c>
      <c r="J1040" s="2">
        <v>66.294000000000011</v>
      </c>
      <c r="K1040">
        <v>1</v>
      </c>
      <c r="L1040" s="4"/>
    </row>
    <row r="1041" spans="1:12" x14ac:dyDescent="0.3">
      <c r="A1041" s="1">
        <v>41917</v>
      </c>
      <c r="B1041" s="1">
        <v>41921</v>
      </c>
      <c r="C1041" t="s">
        <v>7</v>
      </c>
      <c r="D1041" t="s">
        <v>788</v>
      </c>
      <c r="E1041" t="s">
        <v>789</v>
      </c>
      <c r="F1041" t="s">
        <v>19</v>
      </c>
      <c r="G1041" t="s">
        <v>12</v>
      </c>
      <c r="H1041" t="s">
        <v>70</v>
      </c>
      <c r="I1041" t="s">
        <v>1612</v>
      </c>
      <c r="J1041" s="2">
        <v>291.16800000000001</v>
      </c>
      <c r="K1041">
        <v>4</v>
      </c>
      <c r="L1041" s="4"/>
    </row>
    <row r="1042" spans="1:12" x14ac:dyDescent="0.3">
      <c r="A1042" s="1">
        <v>41920</v>
      </c>
      <c r="B1042" s="1">
        <v>41924</v>
      </c>
      <c r="C1042" t="s">
        <v>7</v>
      </c>
      <c r="D1042" t="s">
        <v>538</v>
      </c>
      <c r="E1042" t="s">
        <v>539</v>
      </c>
      <c r="F1042" t="s">
        <v>3</v>
      </c>
      <c r="G1042" t="s">
        <v>12</v>
      </c>
      <c r="H1042" t="s">
        <v>35</v>
      </c>
      <c r="I1042" t="s">
        <v>1613</v>
      </c>
      <c r="J1042" s="2">
        <v>145.9</v>
      </c>
      <c r="K1042">
        <v>5</v>
      </c>
      <c r="L1042" s="4"/>
    </row>
    <row r="1043" spans="1:12" x14ac:dyDescent="0.3">
      <c r="A1043" s="1">
        <v>41922</v>
      </c>
      <c r="B1043" s="1">
        <v>41923</v>
      </c>
      <c r="C1043" t="s">
        <v>22</v>
      </c>
      <c r="D1043" t="s">
        <v>1021</v>
      </c>
      <c r="E1043" t="s">
        <v>1022</v>
      </c>
      <c r="F1043" t="s">
        <v>3</v>
      </c>
      <c r="G1043" t="s">
        <v>4</v>
      </c>
      <c r="H1043" t="s">
        <v>5</v>
      </c>
      <c r="I1043" t="s">
        <v>1348</v>
      </c>
      <c r="J1043" s="2">
        <v>45.36</v>
      </c>
      <c r="K1043">
        <v>7</v>
      </c>
      <c r="L1043" s="4"/>
    </row>
    <row r="1044" spans="1:12" x14ac:dyDescent="0.3">
      <c r="A1044" s="1">
        <v>41922</v>
      </c>
      <c r="B1044" s="1">
        <v>41924</v>
      </c>
      <c r="C1044" t="s">
        <v>22</v>
      </c>
      <c r="D1044" t="s">
        <v>1614</v>
      </c>
      <c r="E1044" t="s">
        <v>1615</v>
      </c>
      <c r="F1044" t="s">
        <v>3</v>
      </c>
      <c r="G1044" t="s">
        <v>12</v>
      </c>
      <c r="H1044" t="s">
        <v>70</v>
      </c>
      <c r="I1044" t="s">
        <v>952</v>
      </c>
      <c r="J1044" s="2">
        <v>362.13599999999997</v>
      </c>
      <c r="K1044">
        <v>3</v>
      </c>
      <c r="L1044" s="4"/>
    </row>
    <row r="1045" spans="1:12" x14ac:dyDescent="0.3">
      <c r="A1045" s="1">
        <v>41922</v>
      </c>
      <c r="B1045" s="1">
        <v>41924</v>
      </c>
      <c r="C1045" t="s">
        <v>22</v>
      </c>
      <c r="D1045" t="s">
        <v>1614</v>
      </c>
      <c r="E1045" t="s">
        <v>1615</v>
      </c>
      <c r="F1045" t="s">
        <v>3</v>
      </c>
      <c r="G1045" t="s">
        <v>4</v>
      </c>
      <c r="H1045" t="s">
        <v>168</v>
      </c>
      <c r="I1045" t="s">
        <v>1616</v>
      </c>
      <c r="J1045" s="2">
        <v>31.049999999999997</v>
      </c>
      <c r="K1045">
        <v>3</v>
      </c>
      <c r="L1045" s="4"/>
    </row>
    <row r="1046" spans="1:12" x14ac:dyDescent="0.3">
      <c r="A1046" s="1">
        <v>41924</v>
      </c>
      <c r="B1046" s="1">
        <v>41929</v>
      </c>
      <c r="C1046" t="s">
        <v>7</v>
      </c>
      <c r="D1046" t="s">
        <v>1617</v>
      </c>
      <c r="E1046" t="s">
        <v>1618</v>
      </c>
      <c r="F1046" t="s">
        <v>56</v>
      </c>
      <c r="G1046" t="s">
        <v>74</v>
      </c>
      <c r="H1046" t="s">
        <v>75</v>
      </c>
      <c r="I1046" t="s">
        <v>737</v>
      </c>
      <c r="J1046" s="2">
        <v>17.899999999999999</v>
      </c>
      <c r="K1046">
        <v>2</v>
      </c>
      <c r="L1046" s="4"/>
    </row>
    <row r="1047" spans="1:12" x14ac:dyDescent="0.3">
      <c r="A1047" s="1">
        <v>41924</v>
      </c>
      <c r="B1047" s="1">
        <v>41929</v>
      </c>
      <c r="C1047" t="s">
        <v>7</v>
      </c>
      <c r="D1047" t="s">
        <v>1617</v>
      </c>
      <c r="E1047" t="s">
        <v>1618</v>
      </c>
      <c r="F1047" t="s">
        <v>56</v>
      </c>
      <c r="G1047" t="s">
        <v>4</v>
      </c>
      <c r="H1047" t="s">
        <v>10</v>
      </c>
      <c r="I1047" t="s">
        <v>110</v>
      </c>
      <c r="J1047" s="2">
        <v>81.96</v>
      </c>
      <c r="K1047">
        <v>2</v>
      </c>
      <c r="L1047" s="4"/>
    </row>
    <row r="1048" spans="1:12" x14ac:dyDescent="0.3">
      <c r="A1048" s="1">
        <v>41929</v>
      </c>
      <c r="B1048" s="1">
        <v>41929</v>
      </c>
      <c r="C1048" t="s">
        <v>240</v>
      </c>
      <c r="D1048" t="s">
        <v>1550</v>
      </c>
      <c r="E1048" t="s">
        <v>1551</v>
      </c>
      <c r="F1048" t="s">
        <v>3</v>
      </c>
      <c r="G1048" t="s">
        <v>4</v>
      </c>
      <c r="H1048" t="s">
        <v>10</v>
      </c>
      <c r="I1048" t="s">
        <v>1619</v>
      </c>
      <c r="J1048" s="2">
        <v>77.88</v>
      </c>
      <c r="K1048">
        <v>2</v>
      </c>
      <c r="L1048" s="4"/>
    </row>
    <row r="1049" spans="1:12" x14ac:dyDescent="0.3">
      <c r="A1049" s="1">
        <v>41930</v>
      </c>
      <c r="B1049" s="1">
        <v>41934</v>
      </c>
      <c r="C1049" t="s">
        <v>7</v>
      </c>
      <c r="D1049" t="s">
        <v>1620</v>
      </c>
      <c r="E1049" t="s">
        <v>1621</v>
      </c>
      <c r="F1049" t="s">
        <v>56</v>
      </c>
      <c r="G1049" t="s">
        <v>74</v>
      </c>
      <c r="H1049" t="s">
        <v>147</v>
      </c>
      <c r="I1049" t="s">
        <v>1440</v>
      </c>
      <c r="J1049" s="2">
        <v>249.58400000000003</v>
      </c>
      <c r="K1049">
        <v>2</v>
      </c>
      <c r="L1049" s="4"/>
    </row>
    <row r="1050" spans="1:12" x14ac:dyDescent="0.3">
      <c r="A1050" s="1">
        <v>41930</v>
      </c>
      <c r="B1050" s="1">
        <v>41934</v>
      </c>
      <c r="C1050" t="s">
        <v>7</v>
      </c>
      <c r="D1050" t="s">
        <v>1620</v>
      </c>
      <c r="E1050" t="s">
        <v>1621</v>
      </c>
      <c r="F1050" t="s">
        <v>56</v>
      </c>
      <c r="G1050" t="s">
        <v>4</v>
      </c>
      <c r="H1050" t="s">
        <v>5</v>
      </c>
      <c r="I1050" t="s">
        <v>1279</v>
      </c>
      <c r="J1050" s="2">
        <v>17.940000000000001</v>
      </c>
      <c r="K1050">
        <v>3</v>
      </c>
      <c r="L1050" s="4"/>
    </row>
    <row r="1051" spans="1:12" x14ac:dyDescent="0.3">
      <c r="A1051" s="1">
        <v>41930</v>
      </c>
      <c r="B1051" s="1">
        <v>41934</v>
      </c>
      <c r="C1051" t="s">
        <v>7</v>
      </c>
      <c r="D1051" t="s">
        <v>1620</v>
      </c>
      <c r="E1051" t="s">
        <v>1621</v>
      </c>
      <c r="F1051" t="s">
        <v>56</v>
      </c>
      <c r="G1051" t="s">
        <v>12</v>
      </c>
      <c r="H1051" t="s">
        <v>35</v>
      </c>
      <c r="I1051" t="s">
        <v>905</v>
      </c>
      <c r="J1051" s="2">
        <v>10.11</v>
      </c>
      <c r="K1051">
        <v>3</v>
      </c>
      <c r="L1051" s="4"/>
    </row>
    <row r="1052" spans="1:12" x14ac:dyDescent="0.3">
      <c r="A1052" s="1">
        <v>41931</v>
      </c>
      <c r="B1052" s="1">
        <v>41936</v>
      </c>
      <c r="C1052" t="s">
        <v>7</v>
      </c>
      <c r="D1052" t="s">
        <v>1622</v>
      </c>
      <c r="E1052" t="s">
        <v>1623</v>
      </c>
      <c r="F1052" t="s">
        <v>3</v>
      </c>
      <c r="G1052" t="s">
        <v>4</v>
      </c>
      <c r="H1052" t="s">
        <v>20</v>
      </c>
      <c r="I1052" t="s">
        <v>1624</v>
      </c>
      <c r="J1052" s="2">
        <v>1640.6999999999998</v>
      </c>
      <c r="K1052">
        <v>5</v>
      </c>
      <c r="L1052" s="4"/>
    </row>
    <row r="1053" spans="1:12" x14ac:dyDescent="0.3">
      <c r="A1053" s="1">
        <v>41931</v>
      </c>
      <c r="B1053" s="1">
        <v>41936</v>
      </c>
      <c r="C1053" t="s">
        <v>7</v>
      </c>
      <c r="D1053" t="s">
        <v>1622</v>
      </c>
      <c r="E1053" t="s">
        <v>1623</v>
      </c>
      <c r="F1053" t="s">
        <v>3</v>
      </c>
      <c r="G1053" t="s">
        <v>74</v>
      </c>
      <c r="H1053" t="s">
        <v>75</v>
      </c>
      <c r="I1053" t="s">
        <v>1625</v>
      </c>
      <c r="J1053" s="2">
        <v>270</v>
      </c>
      <c r="K1053">
        <v>3</v>
      </c>
      <c r="L1053" s="4"/>
    </row>
    <row r="1054" spans="1:12" x14ac:dyDescent="0.3">
      <c r="A1054" s="1">
        <v>41932</v>
      </c>
      <c r="B1054" s="1">
        <v>41936</v>
      </c>
      <c r="C1054" t="s">
        <v>7</v>
      </c>
      <c r="D1054" t="s">
        <v>393</v>
      </c>
      <c r="E1054" t="s">
        <v>394</v>
      </c>
      <c r="F1054" t="s">
        <v>3</v>
      </c>
      <c r="G1054" t="s">
        <v>74</v>
      </c>
      <c r="H1054" t="s">
        <v>75</v>
      </c>
      <c r="I1054" t="s">
        <v>1579</v>
      </c>
      <c r="J1054" s="2">
        <v>239.96999999999997</v>
      </c>
      <c r="K1054">
        <v>3</v>
      </c>
      <c r="L1054" s="4"/>
    </row>
    <row r="1055" spans="1:12" x14ac:dyDescent="0.3">
      <c r="A1055" s="1">
        <v>41932</v>
      </c>
      <c r="B1055" s="1">
        <v>41936</v>
      </c>
      <c r="C1055" t="s">
        <v>7</v>
      </c>
      <c r="D1055" t="s">
        <v>393</v>
      </c>
      <c r="E1055" t="s">
        <v>394</v>
      </c>
      <c r="F1055" t="s">
        <v>3</v>
      </c>
      <c r="G1055" t="s">
        <v>12</v>
      </c>
      <c r="H1055" t="s">
        <v>35</v>
      </c>
      <c r="I1055" t="s">
        <v>392</v>
      </c>
      <c r="J1055" s="2">
        <v>16.02</v>
      </c>
      <c r="K1055">
        <v>6</v>
      </c>
      <c r="L1055" s="4"/>
    </row>
    <row r="1056" spans="1:12" x14ac:dyDescent="0.3">
      <c r="A1056" s="1">
        <v>41932</v>
      </c>
      <c r="B1056" s="1">
        <v>41936</v>
      </c>
      <c r="C1056" t="s">
        <v>7</v>
      </c>
      <c r="D1056" t="s">
        <v>380</v>
      </c>
      <c r="E1056" t="s">
        <v>381</v>
      </c>
      <c r="F1056" t="s">
        <v>3</v>
      </c>
      <c r="G1056" t="s">
        <v>12</v>
      </c>
      <c r="H1056" t="s">
        <v>35</v>
      </c>
      <c r="I1056" t="s">
        <v>1626</v>
      </c>
      <c r="J1056" s="2">
        <v>74.759999999999991</v>
      </c>
      <c r="K1056">
        <v>7</v>
      </c>
      <c r="L1056" s="4"/>
    </row>
    <row r="1057" spans="1:12" x14ac:dyDescent="0.3">
      <c r="A1057" s="1">
        <v>41932</v>
      </c>
      <c r="B1057" s="1">
        <v>41936</v>
      </c>
      <c r="C1057" t="s">
        <v>7</v>
      </c>
      <c r="D1057" t="s">
        <v>380</v>
      </c>
      <c r="E1057" t="s">
        <v>381</v>
      </c>
      <c r="F1057" t="s">
        <v>3</v>
      </c>
      <c r="G1057" t="s">
        <v>12</v>
      </c>
      <c r="H1057" t="s">
        <v>44</v>
      </c>
      <c r="I1057" t="s">
        <v>1627</v>
      </c>
      <c r="J1057" s="2">
        <v>364.77600000000007</v>
      </c>
      <c r="K1057">
        <v>3</v>
      </c>
      <c r="L1057" s="4"/>
    </row>
    <row r="1058" spans="1:12" x14ac:dyDescent="0.3">
      <c r="A1058" s="1">
        <v>41935</v>
      </c>
      <c r="B1058" s="1">
        <v>41939</v>
      </c>
      <c r="C1058" t="s">
        <v>0</v>
      </c>
      <c r="D1058" t="s">
        <v>1628</v>
      </c>
      <c r="E1058" t="s">
        <v>1629</v>
      </c>
      <c r="F1058" t="s">
        <v>3</v>
      </c>
      <c r="G1058" t="s">
        <v>74</v>
      </c>
      <c r="H1058" t="s">
        <v>75</v>
      </c>
      <c r="I1058" t="s">
        <v>1630</v>
      </c>
      <c r="J1058" s="2">
        <v>148.32</v>
      </c>
      <c r="K1058">
        <v>9</v>
      </c>
      <c r="L1058" s="4"/>
    </row>
    <row r="1059" spans="1:12" x14ac:dyDescent="0.3">
      <c r="A1059" s="1">
        <v>41935</v>
      </c>
      <c r="B1059" s="1">
        <v>41939</v>
      </c>
      <c r="C1059" t="s">
        <v>0</v>
      </c>
      <c r="D1059" t="s">
        <v>1628</v>
      </c>
      <c r="E1059" t="s">
        <v>1629</v>
      </c>
      <c r="F1059" t="s">
        <v>3</v>
      </c>
      <c r="G1059" t="s">
        <v>12</v>
      </c>
      <c r="H1059" t="s">
        <v>70</v>
      </c>
      <c r="I1059" t="s">
        <v>112</v>
      </c>
      <c r="J1059" s="2">
        <v>240.78400000000002</v>
      </c>
      <c r="K1059">
        <v>1</v>
      </c>
      <c r="L1059" s="4"/>
    </row>
    <row r="1060" spans="1:12" x14ac:dyDescent="0.3">
      <c r="A1060" s="1">
        <v>41935</v>
      </c>
      <c r="B1060" s="1">
        <v>41939</v>
      </c>
      <c r="C1060" t="s">
        <v>0</v>
      </c>
      <c r="D1060" t="s">
        <v>1628</v>
      </c>
      <c r="E1060" t="s">
        <v>1629</v>
      </c>
      <c r="F1060" t="s">
        <v>3</v>
      </c>
      <c r="G1060" t="s">
        <v>12</v>
      </c>
      <c r="H1060" t="s">
        <v>70</v>
      </c>
      <c r="I1060" t="s">
        <v>1323</v>
      </c>
      <c r="J1060" s="2">
        <v>191.96800000000002</v>
      </c>
      <c r="K1060">
        <v>7</v>
      </c>
      <c r="L1060" s="4"/>
    </row>
    <row r="1061" spans="1:12" x14ac:dyDescent="0.3">
      <c r="A1061" s="1">
        <v>41935</v>
      </c>
      <c r="B1061" s="1">
        <v>41939</v>
      </c>
      <c r="C1061" t="s">
        <v>0</v>
      </c>
      <c r="D1061" t="s">
        <v>1628</v>
      </c>
      <c r="E1061" t="s">
        <v>1629</v>
      </c>
      <c r="F1061" t="s">
        <v>3</v>
      </c>
      <c r="G1061" t="s">
        <v>4</v>
      </c>
      <c r="H1061" t="s">
        <v>5</v>
      </c>
      <c r="I1061" t="s">
        <v>1631</v>
      </c>
      <c r="J1061" s="2">
        <v>11.56</v>
      </c>
      <c r="K1061">
        <v>2</v>
      </c>
      <c r="L1061" s="4"/>
    </row>
    <row r="1062" spans="1:12" x14ac:dyDescent="0.3">
      <c r="A1062" s="1">
        <v>41935</v>
      </c>
      <c r="B1062" s="1">
        <v>41939</v>
      </c>
      <c r="C1062" t="s">
        <v>0</v>
      </c>
      <c r="D1062" t="s">
        <v>1628</v>
      </c>
      <c r="E1062" t="s">
        <v>1629</v>
      </c>
      <c r="F1062" t="s">
        <v>3</v>
      </c>
      <c r="G1062" t="s">
        <v>4</v>
      </c>
      <c r="H1062" t="s">
        <v>29</v>
      </c>
      <c r="I1062" t="s">
        <v>1632</v>
      </c>
      <c r="J1062" s="2">
        <v>11.8</v>
      </c>
      <c r="K1062">
        <v>4</v>
      </c>
      <c r="L1062" s="4"/>
    </row>
    <row r="1063" spans="1:12" x14ac:dyDescent="0.3">
      <c r="A1063" s="1">
        <v>41935</v>
      </c>
      <c r="B1063" s="1">
        <v>41939</v>
      </c>
      <c r="C1063" t="s">
        <v>0</v>
      </c>
      <c r="D1063" t="s">
        <v>1628</v>
      </c>
      <c r="E1063" t="s">
        <v>1629</v>
      </c>
      <c r="F1063" t="s">
        <v>3</v>
      </c>
      <c r="G1063" t="s">
        <v>12</v>
      </c>
      <c r="H1063" t="s">
        <v>70</v>
      </c>
      <c r="I1063" t="s">
        <v>1061</v>
      </c>
      <c r="J1063" s="2">
        <v>842.35200000000009</v>
      </c>
      <c r="K1063">
        <v>3</v>
      </c>
      <c r="L1063" s="4"/>
    </row>
    <row r="1064" spans="1:12" x14ac:dyDescent="0.3">
      <c r="A1064" s="1">
        <v>41935</v>
      </c>
      <c r="B1064" s="1">
        <v>41940</v>
      </c>
      <c r="C1064" t="s">
        <v>7</v>
      </c>
      <c r="D1064" t="s">
        <v>1633</v>
      </c>
      <c r="E1064" t="s">
        <v>1634</v>
      </c>
      <c r="F1064" t="s">
        <v>56</v>
      </c>
      <c r="G1064" t="s">
        <v>4</v>
      </c>
      <c r="H1064" t="s">
        <v>26</v>
      </c>
      <c r="I1064" t="s">
        <v>197</v>
      </c>
      <c r="J1064" s="2">
        <v>3.5920000000000005</v>
      </c>
      <c r="K1064">
        <v>1</v>
      </c>
      <c r="L1064" s="4"/>
    </row>
    <row r="1065" spans="1:12" x14ac:dyDescent="0.3">
      <c r="A1065" s="1">
        <v>41936</v>
      </c>
      <c r="B1065" s="1">
        <v>41939</v>
      </c>
      <c r="C1065" t="s">
        <v>22</v>
      </c>
      <c r="D1065" t="s">
        <v>1250</v>
      </c>
      <c r="E1065" t="s">
        <v>1251</v>
      </c>
      <c r="F1065" t="s">
        <v>3</v>
      </c>
      <c r="G1065" t="s">
        <v>12</v>
      </c>
      <c r="H1065" t="s">
        <v>70</v>
      </c>
      <c r="I1065" t="s">
        <v>1635</v>
      </c>
      <c r="J1065" s="2">
        <v>454.27200000000005</v>
      </c>
      <c r="K1065">
        <v>8</v>
      </c>
      <c r="L1065" s="4"/>
    </row>
    <row r="1066" spans="1:12" x14ac:dyDescent="0.3">
      <c r="A1066" s="1">
        <v>41937</v>
      </c>
      <c r="B1066" s="1">
        <v>41942</v>
      </c>
      <c r="C1066" t="s">
        <v>7</v>
      </c>
      <c r="D1066" t="s">
        <v>1636</v>
      </c>
      <c r="E1066" t="s">
        <v>1637</v>
      </c>
      <c r="F1066" t="s">
        <v>3</v>
      </c>
      <c r="G1066" t="s">
        <v>4</v>
      </c>
      <c r="H1066" t="s">
        <v>15</v>
      </c>
      <c r="I1066" t="s">
        <v>1524</v>
      </c>
      <c r="J1066" s="2">
        <v>60.449999999999996</v>
      </c>
      <c r="K1066">
        <v>3</v>
      </c>
      <c r="L1066" s="4"/>
    </row>
    <row r="1067" spans="1:12" x14ac:dyDescent="0.3">
      <c r="A1067" s="1">
        <v>41937</v>
      </c>
      <c r="B1067" s="1">
        <v>41942</v>
      </c>
      <c r="C1067" t="s">
        <v>7</v>
      </c>
      <c r="D1067" t="s">
        <v>1636</v>
      </c>
      <c r="E1067" t="s">
        <v>1637</v>
      </c>
      <c r="F1067" t="s">
        <v>3</v>
      </c>
      <c r="G1067" t="s">
        <v>12</v>
      </c>
      <c r="H1067" t="s">
        <v>44</v>
      </c>
      <c r="I1067" t="s">
        <v>1638</v>
      </c>
      <c r="J1067" s="2">
        <v>253.17599999999999</v>
      </c>
      <c r="K1067">
        <v>3</v>
      </c>
      <c r="L1067" s="4"/>
    </row>
    <row r="1068" spans="1:12" x14ac:dyDescent="0.3">
      <c r="A1068" s="1">
        <v>41937</v>
      </c>
      <c r="B1068" s="1">
        <v>41939</v>
      </c>
      <c r="C1068" t="s">
        <v>0</v>
      </c>
      <c r="D1068" t="s">
        <v>1240</v>
      </c>
      <c r="E1068" t="s">
        <v>1241</v>
      </c>
      <c r="F1068" t="s">
        <v>39</v>
      </c>
      <c r="G1068" t="s">
        <v>4</v>
      </c>
      <c r="H1068" t="s">
        <v>15</v>
      </c>
      <c r="I1068" t="s">
        <v>1639</v>
      </c>
      <c r="J1068" s="2">
        <v>79.36</v>
      </c>
      <c r="K1068">
        <v>4</v>
      </c>
      <c r="L1068" s="4"/>
    </row>
    <row r="1069" spans="1:12" x14ac:dyDescent="0.3">
      <c r="A1069" s="1">
        <v>41937</v>
      </c>
      <c r="B1069" s="1">
        <v>41937</v>
      </c>
      <c r="C1069" t="s">
        <v>240</v>
      </c>
      <c r="D1069" t="s">
        <v>1640</v>
      </c>
      <c r="E1069" t="s">
        <v>1641</v>
      </c>
      <c r="F1069" t="s">
        <v>115</v>
      </c>
      <c r="G1069" t="s">
        <v>12</v>
      </c>
      <c r="H1069" t="s">
        <v>70</v>
      </c>
      <c r="I1069" t="s">
        <v>1612</v>
      </c>
      <c r="J1069" s="2">
        <v>582.33600000000001</v>
      </c>
      <c r="K1069">
        <v>8</v>
      </c>
      <c r="L1069" s="4"/>
    </row>
    <row r="1070" spans="1:12" x14ac:dyDescent="0.3">
      <c r="A1070" s="1">
        <v>41938</v>
      </c>
      <c r="B1070" s="1">
        <v>41942</v>
      </c>
      <c r="C1070" t="s">
        <v>7</v>
      </c>
      <c r="D1070" t="s">
        <v>1642</v>
      </c>
      <c r="E1070" t="s">
        <v>1643</v>
      </c>
      <c r="F1070" t="s">
        <v>3</v>
      </c>
      <c r="G1070" t="s">
        <v>4</v>
      </c>
      <c r="H1070" t="s">
        <v>168</v>
      </c>
      <c r="I1070" t="s">
        <v>1644</v>
      </c>
      <c r="J1070" s="2">
        <v>5.76</v>
      </c>
      <c r="K1070">
        <v>2</v>
      </c>
      <c r="L1070" s="4"/>
    </row>
    <row r="1071" spans="1:12" x14ac:dyDescent="0.3">
      <c r="A1071" s="1">
        <v>41938</v>
      </c>
      <c r="B1071" s="1">
        <v>41942</v>
      </c>
      <c r="C1071" t="s">
        <v>0</v>
      </c>
      <c r="D1071" t="s">
        <v>1633</v>
      </c>
      <c r="E1071" t="s">
        <v>1634</v>
      </c>
      <c r="F1071" t="s">
        <v>25</v>
      </c>
      <c r="G1071" t="s">
        <v>74</v>
      </c>
      <c r="H1071" t="s">
        <v>147</v>
      </c>
      <c r="I1071" t="s">
        <v>1645</v>
      </c>
      <c r="J1071" s="2">
        <v>105.584</v>
      </c>
      <c r="K1071">
        <v>2</v>
      </c>
      <c r="L1071" s="4"/>
    </row>
    <row r="1072" spans="1:12" x14ac:dyDescent="0.3">
      <c r="A1072" s="1">
        <v>41938</v>
      </c>
      <c r="B1072" s="1">
        <v>41942</v>
      </c>
      <c r="C1072" t="s">
        <v>0</v>
      </c>
      <c r="D1072" t="s">
        <v>1633</v>
      </c>
      <c r="E1072" t="s">
        <v>1634</v>
      </c>
      <c r="F1072" t="s">
        <v>25</v>
      </c>
      <c r="G1072" t="s">
        <v>74</v>
      </c>
      <c r="H1072" t="s">
        <v>147</v>
      </c>
      <c r="I1072" t="s">
        <v>1646</v>
      </c>
      <c r="J1072" s="2">
        <v>68.720000000000013</v>
      </c>
      <c r="K1072">
        <v>2</v>
      </c>
      <c r="L1072" s="4"/>
    </row>
    <row r="1073" spans="1:12" x14ac:dyDescent="0.3">
      <c r="A1073" s="1">
        <v>41938</v>
      </c>
      <c r="B1073" s="1">
        <v>41944</v>
      </c>
      <c r="C1073" t="s">
        <v>7</v>
      </c>
      <c r="D1073" t="s">
        <v>1647</v>
      </c>
      <c r="E1073" t="s">
        <v>1648</v>
      </c>
      <c r="F1073" t="s">
        <v>19</v>
      </c>
      <c r="G1073" t="s">
        <v>4</v>
      </c>
      <c r="H1073" t="s">
        <v>168</v>
      </c>
      <c r="I1073" t="s">
        <v>1117</v>
      </c>
      <c r="J1073" s="2">
        <v>146.54400000000001</v>
      </c>
      <c r="K1073">
        <v>6</v>
      </c>
      <c r="L1073" s="4"/>
    </row>
    <row r="1074" spans="1:12" x14ac:dyDescent="0.3">
      <c r="A1074" s="1">
        <v>41938</v>
      </c>
      <c r="B1074" s="1">
        <v>41944</v>
      </c>
      <c r="C1074" t="s">
        <v>7</v>
      </c>
      <c r="D1074" t="s">
        <v>1647</v>
      </c>
      <c r="E1074" t="s">
        <v>1648</v>
      </c>
      <c r="F1074" t="s">
        <v>19</v>
      </c>
      <c r="G1074" t="s">
        <v>4</v>
      </c>
      <c r="H1074" t="s">
        <v>5</v>
      </c>
      <c r="I1074" t="s">
        <v>1649</v>
      </c>
      <c r="J1074" s="2">
        <v>131.904</v>
      </c>
      <c r="K1074">
        <v>3</v>
      </c>
      <c r="L1074" s="4"/>
    </row>
    <row r="1075" spans="1:12" x14ac:dyDescent="0.3">
      <c r="A1075" s="1">
        <v>41938</v>
      </c>
      <c r="B1075" s="1">
        <v>41944</v>
      </c>
      <c r="C1075" t="s">
        <v>7</v>
      </c>
      <c r="D1075" t="s">
        <v>1647</v>
      </c>
      <c r="E1075" t="s">
        <v>1648</v>
      </c>
      <c r="F1075" t="s">
        <v>19</v>
      </c>
      <c r="G1075" t="s">
        <v>4</v>
      </c>
      <c r="H1075" t="s">
        <v>20</v>
      </c>
      <c r="I1075" t="s">
        <v>567</v>
      </c>
      <c r="J1075" s="2">
        <v>203.88000000000002</v>
      </c>
      <c r="K1075">
        <v>5</v>
      </c>
      <c r="L1075" s="4"/>
    </row>
    <row r="1076" spans="1:12" x14ac:dyDescent="0.3">
      <c r="A1076" s="1">
        <v>41938</v>
      </c>
      <c r="B1076" s="1">
        <v>41944</v>
      </c>
      <c r="C1076" t="s">
        <v>7</v>
      </c>
      <c r="D1076" t="s">
        <v>1647</v>
      </c>
      <c r="E1076" t="s">
        <v>1648</v>
      </c>
      <c r="F1076" t="s">
        <v>19</v>
      </c>
      <c r="G1076" t="s">
        <v>4</v>
      </c>
      <c r="H1076" t="s">
        <v>26</v>
      </c>
      <c r="I1076" t="s">
        <v>1650</v>
      </c>
      <c r="J1076" s="2">
        <v>14.301000000000002</v>
      </c>
      <c r="K1076">
        <v>7</v>
      </c>
      <c r="L1076" s="4"/>
    </row>
    <row r="1077" spans="1:12" x14ac:dyDescent="0.3">
      <c r="A1077" s="1">
        <v>41938</v>
      </c>
      <c r="B1077" s="1">
        <v>41944</v>
      </c>
      <c r="C1077" t="s">
        <v>7</v>
      </c>
      <c r="D1077" t="s">
        <v>1647</v>
      </c>
      <c r="E1077" t="s">
        <v>1648</v>
      </c>
      <c r="F1077" t="s">
        <v>19</v>
      </c>
      <c r="G1077" t="s">
        <v>4</v>
      </c>
      <c r="H1077" t="s">
        <v>10</v>
      </c>
      <c r="I1077" t="s">
        <v>330</v>
      </c>
      <c r="J1077" s="2">
        <v>718.6400000000001</v>
      </c>
      <c r="K1077">
        <v>10</v>
      </c>
      <c r="L1077" s="4"/>
    </row>
    <row r="1078" spans="1:12" x14ac:dyDescent="0.3">
      <c r="A1078" s="1">
        <v>41941</v>
      </c>
      <c r="B1078" s="1">
        <v>41945</v>
      </c>
      <c r="C1078" t="s">
        <v>7</v>
      </c>
      <c r="D1078" t="s">
        <v>1651</v>
      </c>
      <c r="E1078" t="s">
        <v>1652</v>
      </c>
      <c r="F1078" t="s">
        <v>3</v>
      </c>
      <c r="G1078" t="s">
        <v>4</v>
      </c>
      <c r="H1078" t="s">
        <v>5</v>
      </c>
      <c r="I1078" t="s">
        <v>1653</v>
      </c>
      <c r="J1078" s="2">
        <v>33.4</v>
      </c>
      <c r="K1078">
        <v>5</v>
      </c>
      <c r="L1078" s="4"/>
    </row>
    <row r="1079" spans="1:12" x14ac:dyDescent="0.3">
      <c r="A1079" s="1">
        <v>41941</v>
      </c>
      <c r="B1079" s="1">
        <v>41945</v>
      </c>
      <c r="C1079" t="s">
        <v>7</v>
      </c>
      <c r="D1079" t="s">
        <v>1651</v>
      </c>
      <c r="E1079" t="s">
        <v>1652</v>
      </c>
      <c r="F1079" t="s">
        <v>3</v>
      </c>
      <c r="G1079" t="s">
        <v>4</v>
      </c>
      <c r="H1079" t="s">
        <v>29</v>
      </c>
      <c r="I1079" t="s">
        <v>291</v>
      </c>
      <c r="J1079" s="2">
        <v>210.84</v>
      </c>
      <c r="K1079">
        <v>4</v>
      </c>
      <c r="L1079" s="4"/>
    </row>
    <row r="1080" spans="1:12" x14ac:dyDescent="0.3">
      <c r="A1080" s="1">
        <v>41942</v>
      </c>
      <c r="B1080" s="1">
        <v>41945</v>
      </c>
      <c r="C1080" t="s">
        <v>0</v>
      </c>
      <c r="D1080" t="s">
        <v>661</v>
      </c>
      <c r="E1080" t="s">
        <v>662</v>
      </c>
      <c r="F1080" t="s">
        <v>115</v>
      </c>
      <c r="G1080" t="s">
        <v>74</v>
      </c>
      <c r="H1080" t="s">
        <v>138</v>
      </c>
      <c r="I1080" t="s">
        <v>1497</v>
      </c>
      <c r="J1080" s="2">
        <v>59.994000000000007</v>
      </c>
      <c r="K1080">
        <v>2</v>
      </c>
      <c r="L1080" s="4"/>
    </row>
    <row r="1081" spans="1:12" x14ac:dyDescent="0.3">
      <c r="A1081" s="1">
        <v>41942</v>
      </c>
      <c r="B1081" s="1">
        <v>41945</v>
      </c>
      <c r="C1081" t="s">
        <v>0</v>
      </c>
      <c r="D1081" t="s">
        <v>661</v>
      </c>
      <c r="E1081" t="s">
        <v>662</v>
      </c>
      <c r="F1081" t="s">
        <v>115</v>
      </c>
      <c r="G1081" t="s">
        <v>74</v>
      </c>
      <c r="H1081" t="s">
        <v>534</v>
      </c>
      <c r="I1081" t="s">
        <v>1654</v>
      </c>
      <c r="J1081" s="2">
        <v>439.99200000000002</v>
      </c>
      <c r="K1081">
        <v>1</v>
      </c>
      <c r="L1081" s="4"/>
    </row>
    <row r="1082" spans="1:12" x14ac:dyDescent="0.3">
      <c r="A1082" s="1">
        <v>41942</v>
      </c>
      <c r="B1082" s="1">
        <v>41945</v>
      </c>
      <c r="C1082" t="s">
        <v>0</v>
      </c>
      <c r="D1082" t="s">
        <v>661</v>
      </c>
      <c r="E1082" t="s">
        <v>662</v>
      </c>
      <c r="F1082" t="s">
        <v>115</v>
      </c>
      <c r="G1082" t="s">
        <v>74</v>
      </c>
      <c r="H1082" t="s">
        <v>147</v>
      </c>
      <c r="I1082" t="s">
        <v>1655</v>
      </c>
      <c r="J1082" s="2">
        <v>87.96</v>
      </c>
      <c r="K1082">
        <v>5</v>
      </c>
      <c r="L1082" s="4"/>
    </row>
    <row r="1083" spans="1:12" x14ac:dyDescent="0.3">
      <c r="A1083" s="1">
        <v>41942</v>
      </c>
      <c r="B1083" s="1">
        <v>41945</v>
      </c>
      <c r="C1083" t="s">
        <v>0</v>
      </c>
      <c r="D1083" t="s">
        <v>661</v>
      </c>
      <c r="E1083" t="s">
        <v>662</v>
      </c>
      <c r="F1083" t="s">
        <v>115</v>
      </c>
      <c r="G1083" t="s">
        <v>12</v>
      </c>
      <c r="H1083" t="s">
        <v>35</v>
      </c>
      <c r="I1083" t="s">
        <v>1656</v>
      </c>
      <c r="J1083" s="2">
        <v>15.488</v>
      </c>
      <c r="K1083">
        <v>4</v>
      </c>
      <c r="L1083" s="4"/>
    </row>
    <row r="1084" spans="1:12" x14ac:dyDescent="0.3">
      <c r="A1084" s="1">
        <v>41943</v>
      </c>
      <c r="B1084" s="1">
        <v>41949</v>
      </c>
      <c r="C1084" t="s">
        <v>7</v>
      </c>
      <c r="D1084" t="s">
        <v>195</v>
      </c>
      <c r="E1084" t="s">
        <v>196</v>
      </c>
      <c r="F1084" t="s">
        <v>3</v>
      </c>
      <c r="G1084" t="s">
        <v>4</v>
      </c>
      <c r="H1084" t="s">
        <v>29</v>
      </c>
      <c r="I1084" t="s">
        <v>1657</v>
      </c>
      <c r="J1084" s="2">
        <v>14.280000000000001</v>
      </c>
      <c r="K1084">
        <v>7</v>
      </c>
      <c r="L1084" s="4"/>
    </row>
    <row r="1085" spans="1:12" x14ac:dyDescent="0.3">
      <c r="A1085" s="1">
        <v>41943</v>
      </c>
      <c r="B1085" s="1">
        <v>41947</v>
      </c>
      <c r="C1085" t="s">
        <v>0</v>
      </c>
      <c r="D1085" t="s">
        <v>161</v>
      </c>
      <c r="E1085" t="s">
        <v>162</v>
      </c>
      <c r="F1085" t="s">
        <v>3</v>
      </c>
      <c r="G1085" t="s">
        <v>4</v>
      </c>
      <c r="H1085" t="s">
        <v>26</v>
      </c>
      <c r="I1085" t="s">
        <v>1328</v>
      </c>
      <c r="J1085" s="2">
        <v>9.7280000000000015</v>
      </c>
      <c r="K1085">
        <v>2</v>
      </c>
      <c r="L1085" s="4"/>
    </row>
    <row r="1086" spans="1:12" x14ac:dyDescent="0.3">
      <c r="A1086" s="1">
        <v>41943</v>
      </c>
      <c r="B1086" s="1">
        <v>41947</v>
      </c>
      <c r="C1086" t="s">
        <v>0</v>
      </c>
      <c r="D1086" t="s">
        <v>161</v>
      </c>
      <c r="E1086" t="s">
        <v>162</v>
      </c>
      <c r="F1086" t="s">
        <v>3</v>
      </c>
      <c r="G1086" t="s">
        <v>4</v>
      </c>
      <c r="H1086" t="s">
        <v>29</v>
      </c>
      <c r="I1086" t="s">
        <v>1632</v>
      </c>
      <c r="J1086" s="2">
        <v>14.75</v>
      </c>
      <c r="K1086">
        <v>5</v>
      </c>
      <c r="L1086" s="4"/>
    </row>
    <row r="1087" spans="1:12" x14ac:dyDescent="0.3">
      <c r="A1087" s="1">
        <v>41943</v>
      </c>
      <c r="B1087" s="1">
        <v>41947</v>
      </c>
      <c r="C1087" t="s">
        <v>0</v>
      </c>
      <c r="D1087" t="s">
        <v>161</v>
      </c>
      <c r="E1087" t="s">
        <v>162</v>
      </c>
      <c r="F1087" t="s">
        <v>3</v>
      </c>
      <c r="G1087" t="s">
        <v>4</v>
      </c>
      <c r="H1087" t="s">
        <v>26</v>
      </c>
      <c r="I1087" t="s">
        <v>1658</v>
      </c>
      <c r="J1087" s="2">
        <v>29.800000000000004</v>
      </c>
      <c r="K1087">
        <v>5</v>
      </c>
      <c r="L1087" s="4"/>
    </row>
    <row r="1088" spans="1:12" x14ac:dyDescent="0.3">
      <c r="A1088" s="1">
        <v>41943</v>
      </c>
      <c r="B1088" s="1">
        <v>41947</v>
      </c>
      <c r="C1088" t="s">
        <v>0</v>
      </c>
      <c r="D1088" t="s">
        <v>161</v>
      </c>
      <c r="E1088" t="s">
        <v>162</v>
      </c>
      <c r="F1088" t="s">
        <v>3</v>
      </c>
      <c r="G1088" t="s">
        <v>4</v>
      </c>
      <c r="H1088" t="s">
        <v>168</v>
      </c>
      <c r="I1088" t="s">
        <v>1173</v>
      </c>
      <c r="J1088" s="2">
        <v>427.42</v>
      </c>
      <c r="K1088">
        <v>14</v>
      </c>
      <c r="L1088" s="4"/>
    </row>
    <row r="1089" spans="1:12" x14ac:dyDescent="0.3">
      <c r="A1089" s="1">
        <v>41943</v>
      </c>
      <c r="B1089" s="1">
        <v>41943</v>
      </c>
      <c r="C1089" t="s">
        <v>240</v>
      </c>
      <c r="D1089" t="s">
        <v>1659</v>
      </c>
      <c r="E1089" t="s">
        <v>1660</v>
      </c>
      <c r="F1089" t="s">
        <v>3</v>
      </c>
      <c r="G1089" t="s">
        <v>4</v>
      </c>
      <c r="H1089" t="s">
        <v>5</v>
      </c>
      <c r="I1089" t="s">
        <v>1477</v>
      </c>
      <c r="J1089" s="2">
        <v>19.98</v>
      </c>
      <c r="K1089">
        <v>1</v>
      </c>
      <c r="L1089" s="4"/>
    </row>
    <row r="1090" spans="1:12" x14ac:dyDescent="0.3">
      <c r="A1090" s="1">
        <v>41943</v>
      </c>
      <c r="B1090" s="1">
        <v>41943</v>
      </c>
      <c r="C1090" t="s">
        <v>240</v>
      </c>
      <c r="D1090" t="s">
        <v>1659</v>
      </c>
      <c r="E1090" t="s">
        <v>1660</v>
      </c>
      <c r="F1090" t="s">
        <v>3</v>
      </c>
      <c r="G1090" t="s">
        <v>4</v>
      </c>
      <c r="H1090" t="s">
        <v>26</v>
      </c>
      <c r="I1090" t="s">
        <v>1661</v>
      </c>
      <c r="J1090" s="2">
        <v>398.35199999999998</v>
      </c>
      <c r="K1090">
        <v>3</v>
      </c>
      <c r="L1090" s="4"/>
    </row>
    <row r="1091" spans="1:12" x14ac:dyDescent="0.3">
      <c r="A1091" s="1">
        <v>41943</v>
      </c>
      <c r="B1091" s="1">
        <v>41943</v>
      </c>
      <c r="C1091" t="s">
        <v>240</v>
      </c>
      <c r="D1091" t="s">
        <v>1659</v>
      </c>
      <c r="E1091" t="s">
        <v>1660</v>
      </c>
      <c r="F1091" t="s">
        <v>3</v>
      </c>
      <c r="G1091" t="s">
        <v>4</v>
      </c>
      <c r="H1091" t="s">
        <v>15</v>
      </c>
      <c r="I1091" t="s">
        <v>163</v>
      </c>
      <c r="J1091" s="2">
        <v>5.04</v>
      </c>
      <c r="K1091">
        <v>3</v>
      </c>
      <c r="L1091" s="4"/>
    </row>
    <row r="1092" spans="1:12" x14ac:dyDescent="0.3">
      <c r="A1092" s="1">
        <v>41943</v>
      </c>
      <c r="B1092" s="1">
        <v>41943</v>
      </c>
      <c r="C1092" t="s">
        <v>240</v>
      </c>
      <c r="D1092" t="s">
        <v>1659</v>
      </c>
      <c r="E1092" t="s">
        <v>1660</v>
      </c>
      <c r="F1092" t="s">
        <v>3</v>
      </c>
      <c r="G1092" t="s">
        <v>4</v>
      </c>
      <c r="H1092" t="s">
        <v>52</v>
      </c>
      <c r="I1092" t="s">
        <v>1662</v>
      </c>
      <c r="J1092" s="2">
        <v>17.450000000000003</v>
      </c>
      <c r="K1092">
        <v>5</v>
      </c>
      <c r="L1092" s="4"/>
    </row>
    <row r="1093" spans="1:12" x14ac:dyDescent="0.3">
      <c r="A1093" s="1">
        <v>41943</v>
      </c>
      <c r="B1093" s="1">
        <v>41943</v>
      </c>
      <c r="C1093" t="s">
        <v>240</v>
      </c>
      <c r="D1093" t="s">
        <v>1659</v>
      </c>
      <c r="E1093" t="s">
        <v>1660</v>
      </c>
      <c r="F1093" t="s">
        <v>3</v>
      </c>
      <c r="G1093" t="s">
        <v>12</v>
      </c>
      <c r="H1093" t="s">
        <v>70</v>
      </c>
      <c r="I1093" t="s">
        <v>1663</v>
      </c>
      <c r="J1093" s="2">
        <v>323.13600000000002</v>
      </c>
      <c r="K1093">
        <v>4</v>
      </c>
      <c r="L1093" s="4"/>
    </row>
    <row r="1094" spans="1:12" x14ac:dyDescent="0.3">
      <c r="A1094" s="1">
        <v>41943</v>
      </c>
      <c r="B1094" s="1">
        <v>41943</v>
      </c>
      <c r="C1094" t="s">
        <v>240</v>
      </c>
      <c r="D1094" t="s">
        <v>1659</v>
      </c>
      <c r="E1094" t="s">
        <v>1660</v>
      </c>
      <c r="F1094" t="s">
        <v>3</v>
      </c>
      <c r="G1094" t="s">
        <v>4</v>
      </c>
      <c r="H1094" t="s">
        <v>78</v>
      </c>
      <c r="I1094" t="s">
        <v>1664</v>
      </c>
      <c r="J1094" s="2">
        <v>29.700000000000003</v>
      </c>
      <c r="K1094">
        <v>3</v>
      </c>
      <c r="L1094" s="4"/>
    </row>
    <row r="1095" spans="1:12" x14ac:dyDescent="0.3">
      <c r="A1095" s="1">
        <v>41943</v>
      </c>
      <c r="B1095" s="1">
        <v>41943</v>
      </c>
      <c r="C1095" t="s">
        <v>240</v>
      </c>
      <c r="D1095" t="s">
        <v>1659</v>
      </c>
      <c r="E1095" t="s">
        <v>1660</v>
      </c>
      <c r="F1095" t="s">
        <v>3</v>
      </c>
      <c r="G1095" t="s">
        <v>74</v>
      </c>
      <c r="H1095" t="s">
        <v>147</v>
      </c>
      <c r="I1095" t="s">
        <v>1665</v>
      </c>
      <c r="J1095" s="2">
        <v>1295.8400000000001</v>
      </c>
      <c r="K1095">
        <v>4</v>
      </c>
      <c r="L1095" s="4"/>
    </row>
    <row r="1096" spans="1:12" x14ac:dyDescent="0.3">
      <c r="A1096" s="1">
        <v>41943</v>
      </c>
      <c r="B1096" s="1">
        <v>41943</v>
      </c>
      <c r="C1096" t="s">
        <v>240</v>
      </c>
      <c r="D1096" t="s">
        <v>1659</v>
      </c>
      <c r="E1096" t="s">
        <v>1660</v>
      </c>
      <c r="F1096" t="s">
        <v>3</v>
      </c>
      <c r="G1096" t="s">
        <v>4</v>
      </c>
      <c r="H1096" t="s">
        <v>10</v>
      </c>
      <c r="I1096" t="s">
        <v>1467</v>
      </c>
      <c r="J1096" s="2">
        <v>46.84</v>
      </c>
      <c r="K1096">
        <v>2</v>
      </c>
      <c r="L1096" s="4"/>
    </row>
    <row r="1097" spans="1:12" x14ac:dyDescent="0.3">
      <c r="A1097" s="1">
        <v>41943</v>
      </c>
      <c r="B1097" s="1">
        <v>41943</v>
      </c>
      <c r="C1097" t="s">
        <v>240</v>
      </c>
      <c r="D1097" t="s">
        <v>1659</v>
      </c>
      <c r="E1097" t="s">
        <v>1660</v>
      </c>
      <c r="F1097" t="s">
        <v>3</v>
      </c>
      <c r="G1097" t="s">
        <v>12</v>
      </c>
      <c r="H1097" t="s">
        <v>13</v>
      </c>
      <c r="I1097" t="s">
        <v>1666</v>
      </c>
      <c r="J1097" s="2">
        <v>425.83300000000003</v>
      </c>
      <c r="K1097">
        <v>1</v>
      </c>
      <c r="L1097" s="4"/>
    </row>
    <row r="1098" spans="1:12" x14ac:dyDescent="0.3">
      <c r="A1098" s="1">
        <v>41944</v>
      </c>
      <c r="B1098" s="1">
        <v>41947</v>
      </c>
      <c r="C1098" t="s">
        <v>22</v>
      </c>
      <c r="D1098" t="s">
        <v>178</v>
      </c>
      <c r="E1098" t="s">
        <v>179</v>
      </c>
      <c r="F1098" t="s">
        <v>19</v>
      </c>
      <c r="G1098" t="s">
        <v>4</v>
      </c>
      <c r="H1098" t="s">
        <v>15</v>
      </c>
      <c r="I1098" t="s">
        <v>1667</v>
      </c>
      <c r="J1098" s="2">
        <v>7.88</v>
      </c>
      <c r="K1098">
        <v>1</v>
      </c>
      <c r="L1098" s="4"/>
    </row>
    <row r="1099" spans="1:12" x14ac:dyDescent="0.3">
      <c r="A1099" s="1">
        <v>41945</v>
      </c>
      <c r="B1099" s="1">
        <v>41949</v>
      </c>
      <c r="C1099" t="s">
        <v>7</v>
      </c>
      <c r="D1099" t="s">
        <v>1051</v>
      </c>
      <c r="E1099" t="s">
        <v>1052</v>
      </c>
      <c r="F1099" t="s">
        <v>3</v>
      </c>
      <c r="G1099" t="s">
        <v>12</v>
      </c>
      <c r="H1099" t="s">
        <v>44</v>
      </c>
      <c r="I1099" t="s">
        <v>779</v>
      </c>
      <c r="J1099" s="2">
        <v>1038.8399999999999</v>
      </c>
      <c r="K1099">
        <v>5</v>
      </c>
      <c r="L1099" s="4"/>
    </row>
    <row r="1100" spans="1:12" x14ac:dyDescent="0.3">
      <c r="A1100" s="1">
        <v>41945</v>
      </c>
      <c r="B1100" s="1">
        <v>41945</v>
      </c>
      <c r="C1100" t="s">
        <v>240</v>
      </c>
      <c r="D1100" t="s">
        <v>1668</v>
      </c>
      <c r="E1100" t="s">
        <v>1669</v>
      </c>
      <c r="F1100" t="s">
        <v>56</v>
      </c>
      <c r="G1100" t="s">
        <v>74</v>
      </c>
      <c r="H1100" t="s">
        <v>75</v>
      </c>
      <c r="I1100" t="s">
        <v>1670</v>
      </c>
      <c r="J1100" s="2">
        <v>447.93</v>
      </c>
      <c r="K1100">
        <v>9</v>
      </c>
      <c r="L1100" s="4"/>
    </row>
    <row r="1101" spans="1:12" x14ac:dyDescent="0.3">
      <c r="A1101" s="1">
        <v>41945</v>
      </c>
      <c r="B1101" s="1">
        <v>41949</v>
      </c>
      <c r="C1101" t="s">
        <v>7</v>
      </c>
      <c r="D1101" t="s">
        <v>1671</v>
      </c>
      <c r="E1101" t="s">
        <v>1672</v>
      </c>
      <c r="F1101" t="s">
        <v>3</v>
      </c>
      <c r="G1101" t="s">
        <v>12</v>
      </c>
      <c r="H1101" t="s">
        <v>35</v>
      </c>
      <c r="I1101" t="s">
        <v>1673</v>
      </c>
      <c r="J1101" s="2">
        <v>96.960000000000008</v>
      </c>
      <c r="K1101">
        <v>6</v>
      </c>
      <c r="L1101" s="4"/>
    </row>
    <row r="1102" spans="1:12" x14ac:dyDescent="0.3">
      <c r="A1102" s="1">
        <v>41945</v>
      </c>
      <c r="B1102" s="1">
        <v>41949</v>
      </c>
      <c r="C1102" t="s">
        <v>7</v>
      </c>
      <c r="D1102" t="s">
        <v>1671</v>
      </c>
      <c r="E1102" t="s">
        <v>1672</v>
      </c>
      <c r="F1102" t="s">
        <v>3</v>
      </c>
      <c r="G1102" t="s">
        <v>4</v>
      </c>
      <c r="H1102" t="s">
        <v>26</v>
      </c>
      <c r="I1102" t="s">
        <v>1299</v>
      </c>
      <c r="J1102" s="2">
        <v>117.48800000000001</v>
      </c>
      <c r="K1102">
        <v>7</v>
      </c>
      <c r="L1102" s="4"/>
    </row>
    <row r="1103" spans="1:12" x14ac:dyDescent="0.3">
      <c r="A1103" s="1">
        <v>41945</v>
      </c>
      <c r="B1103" s="1">
        <v>41949</v>
      </c>
      <c r="C1103" t="s">
        <v>7</v>
      </c>
      <c r="D1103" t="s">
        <v>1671</v>
      </c>
      <c r="E1103" t="s">
        <v>1672</v>
      </c>
      <c r="F1103" t="s">
        <v>3</v>
      </c>
      <c r="G1103" t="s">
        <v>4</v>
      </c>
      <c r="H1103" t="s">
        <v>26</v>
      </c>
      <c r="I1103" t="s">
        <v>404</v>
      </c>
      <c r="J1103" s="2">
        <v>11.952000000000002</v>
      </c>
      <c r="K1103">
        <v>3</v>
      </c>
      <c r="L1103" s="4"/>
    </row>
    <row r="1104" spans="1:12" x14ac:dyDescent="0.3">
      <c r="A1104" s="1">
        <v>41945</v>
      </c>
      <c r="B1104" s="1">
        <v>41949</v>
      </c>
      <c r="C1104" t="s">
        <v>7</v>
      </c>
      <c r="D1104" t="s">
        <v>1671</v>
      </c>
      <c r="E1104" t="s">
        <v>1672</v>
      </c>
      <c r="F1104" t="s">
        <v>3</v>
      </c>
      <c r="G1104" t="s">
        <v>12</v>
      </c>
      <c r="H1104" t="s">
        <v>13</v>
      </c>
      <c r="I1104" t="s">
        <v>1354</v>
      </c>
      <c r="J1104" s="2">
        <v>512.49900000000002</v>
      </c>
      <c r="K1104">
        <v>3</v>
      </c>
      <c r="L1104" s="4"/>
    </row>
    <row r="1105" spans="1:12" x14ac:dyDescent="0.3">
      <c r="A1105" s="1">
        <v>41946</v>
      </c>
      <c r="B1105" s="1">
        <v>41950</v>
      </c>
      <c r="C1105" t="s">
        <v>7</v>
      </c>
      <c r="D1105" t="s">
        <v>1674</v>
      </c>
      <c r="E1105" t="s">
        <v>1675</v>
      </c>
      <c r="F1105" t="s">
        <v>3</v>
      </c>
      <c r="G1105" t="s">
        <v>74</v>
      </c>
      <c r="H1105" t="s">
        <v>147</v>
      </c>
      <c r="I1105" t="s">
        <v>1676</v>
      </c>
      <c r="J1105" s="2">
        <v>1212.848</v>
      </c>
      <c r="K1105">
        <v>7</v>
      </c>
      <c r="L1105" s="4"/>
    </row>
    <row r="1106" spans="1:12" x14ac:dyDescent="0.3">
      <c r="A1106" s="1">
        <v>41946</v>
      </c>
      <c r="B1106" s="1">
        <v>41950</v>
      </c>
      <c r="C1106" t="s">
        <v>7</v>
      </c>
      <c r="D1106" t="s">
        <v>1674</v>
      </c>
      <c r="E1106" t="s">
        <v>1675</v>
      </c>
      <c r="F1106" t="s">
        <v>3</v>
      </c>
      <c r="G1106" t="s">
        <v>74</v>
      </c>
      <c r="H1106" t="s">
        <v>75</v>
      </c>
      <c r="I1106" t="s">
        <v>1677</v>
      </c>
      <c r="J1106" s="2">
        <v>89.97</v>
      </c>
      <c r="K1106">
        <v>3</v>
      </c>
      <c r="L1106" s="4"/>
    </row>
    <row r="1107" spans="1:12" x14ac:dyDescent="0.3">
      <c r="A1107" s="1">
        <v>41946</v>
      </c>
      <c r="B1107" s="1">
        <v>41950</v>
      </c>
      <c r="C1107" t="s">
        <v>7</v>
      </c>
      <c r="D1107" t="s">
        <v>1674</v>
      </c>
      <c r="E1107" t="s">
        <v>1675</v>
      </c>
      <c r="F1107" t="s">
        <v>3</v>
      </c>
      <c r="G1107" t="s">
        <v>12</v>
      </c>
      <c r="H1107" t="s">
        <v>35</v>
      </c>
      <c r="I1107" t="s">
        <v>1678</v>
      </c>
      <c r="J1107" s="2">
        <v>42.599999999999994</v>
      </c>
      <c r="K1107">
        <v>3</v>
      </c>
      <c r="L1107" s="4"/>
    </row>
    <row r="1108" spans="1:12" x14ac:dyDescent="0.3">
      <c r="A1108" s="1">
        <v>41948</v>
      </c>
      <c r="B1108" s="1">
        <v>41948</v>
      </c>
      <c r="C1108" t="s">
        <v>240</v>
      </c>
      <c r="D1108" t="s">
        <v>1158</v>
      </c>
      <c r="E1108" t="s">
        <v>1159</v>
      </c>
      <c r="F1108" t="s">
        <v>3</v>
      </c>
      <c r="G1108" t="s">
        <v>4</v>
      </c>
      <c r="H1108" t="s">
        <v>10</v>
      </c>
      <c r="I1108" t="s">
        <v>1679</v>
      </c>
      <c r="J1108" s="2">
        <v>62.8</v>
      </c>
      <c r="K1108">
        <v>4</v>
      </c>
      <c r="L1108" s="4"/>
    </row>
    <row r="1109" spans="1:12" x14ac:dyDescent="0.3">
      <c r="A1109" s="1">
        <v>41948</v>
      </c>
      <c r="B1109" s="1">
        <v>41948</v>
      </c>
      <c r="C1109" t="s">
        <v>240</v>
      </c>
      <c r="D1109" t="s">
        <v>480</v>
      </c>
      <c r="E1109" t="s">
        <v>481</v>
      </c>
      <c r="F1109" t="s">
        <v>56</v>
      </c>
      <c r="G1109" t="s">
        <v>4</v>
      </c>
      <c r="H1109" t="s">
        <v>26</v>
      </c>
      <c r="I1109" t="s">
        <v>211</v>
      </c>
      <c r="J1109" s="2">
        <v>98.352000000000004</v>
      </c>
      <c r="K1109">
        <v>3</v>
      </c>
      <c r="L1109" s="4"/>
    </row>
    <row r="1110" spans="1:12" x14ac:dyDescent="0.3">
      <c r="A1110" s="1">
        <v>41949</v>
      </c>
      <c r="B1110" s="1">
        <v>41952</v>
      </c>
      <c r="C1110" t="s">
        <v>22</v>
      </c>
      <c r="D1110" t="s">
        <v>1680</v>
      </c>
      <c r="E1110" t="s">
        <v>1681</v>
      </c>
      <c r="F1110" t="s">
        <v>25</v>
      </c>
      <c r="G1110" t="s">
        <v>4</v>
      </c>
      <c r="H1110" t="s">
        <v>29</v>
      </c>
      <c r="I1110" t="s">
        <v>1632</v>
      </c>
      <c r="J1110" s="2">
        <v>7.080000000000001</v>
      </c>
      <c r="K1110">
        <v>3</v>
      </c>
      <c r="L1110" s="4"/>
    </row>
    <row r="1111" spans="1:12" x14ac:dyDescent="0.3">
      <c r="A1111" s="1">
        <v>41949</v>
      </c>
      <c r="B1111" s="1">
        <v>41952</v>
      </c>
      <c r="C1111" t="s">
        <v>22</v>
      </c>
      <c r="D1111" t="s">
        <v>1680</v>
      </c>
      <c r="E1111" t="s">
        <v>1681</v>
      </c>
      <c r="F1111" t="s">
        <v>25</v>
      </c>
      <c r="G1111" t="s">
        <v>4</v>
      </c>
      <c r="H1111" t="s">
        <v>26</v>
      </c>
      <c r="I1111" t="s">
        <v>1682</v>
      </c>
      <c r="J1111" s="2">
        <v>4.4009999999999998</v>
      </c>
      <c r="K1111">
        <v>3</v>
      </c>
      <c r="L1111" s="4"/>
    </row>
    <row r="1112" spans="1:12" x14ac:dyDescent="0.3">
      <c r="A1112" s="1">
        <v>41950</v>
      </c>
      <c r="B1112" s="1">
        <v>41952</v>
      </c>
      <c r="C1112" t="s">
        <v>0</v>
      </c>
      <c r="D1112" t="s">
        <v>1683</v>
      </c>
      <c r="E1112" t="s">
        <v>1684</v>
      </c>
      <c r="F1112" t="s">
        <v>3</v>
      </c>
      <c r="G1112" t="s">
        <v>12</v>
      </c>
      <c r="H1112" t="s">
        <v>70</v>
      </c>
      <c r="I1112" t="s">
        <v>943</v>
      </c>
      <c r="J1112" s="2">
        <v>190.72000000000003</v>
      </c>
      <c r="K1112">
        <v>1</v>
      </c>
      <c r="L1112" s="4"/>
    </row>
    <row r="1113" spans="1:12" x14ac:dyDescent="0.3">
      <c r="A1113" s="1">
        <v>41951</v>
      </c>
      <c r="B1113" s="1">
        <v>41953</v>
      </c>
      <c r="C1113" t="s">
        <v>0</v>
      </c>
      <c r="D1113" t="s">
        <v>1685</v>
      </c>
      <c r="E1113" t="s">
        <v>1686</v>
      </c>
      <c r="F1113" t="s">
        <v>3</v>
      </c>
      <c r="G1113" t="s">
        <v>4</v>
      </c>
      <c r="H1113" t="s">
        <v>52</v>
      </c>
      <c r="I1113" t="s">
        <v>991</v>
      </c>
      <c r="J1113" s="2">
        <v>5</v>
      </c>
      <c r="K1113">
        <v>1</v>
      </c>
      <c r="L1113" s="4"/>
    </row>
    <row r="1114" spans="1:12" x14ac:dyDescent="0.3">
      <c r="A1114" s="1">
        <v>41951</v>
      </c>
      <c r="B1114" s="1">
        <v>41953</v>
      </c>
      <c r="C1114" t="s">
        <v>0</v>
      </c>
      <c r="D1114" t="s">
        <v>1685</v>
      </c>
      <c r="E1114" t="s">
        <v>1686</v>
      </c>
      <c r="F1114" t="s">
        <v>3</v>
      </c>
      <c r="G1114" t="s">
        <v>74</v>
      </c>
      <c r="H1114" t="s">
        <v>75</v>
      </c>
      <c r="I1114" t="s">
        <v>1687</v>
      </c>
      <c r="J1114" s="2">
        <v>371.96999999999997</v>
      </c>
      <c r="K1114">
        <v>3</v>
      </c>
      <c r="L1114" s="4"/>
    </row>
    <row r="1115" spans="1:12" x14ac:dyDescent="0.3">
      <c r="A1115" s="1">
        <v>41951</v>
      </c>
      <c r="B1115" s="1">
        <v>41957</v>
      </c>
      <c r="C1115" t="s">
        <v>7</v>
      </c>
      <c r="D1115" t="s">
        <v>68</v>
      </c>
      <c r="E1115" t="s">
        <v>69</v>
      </c>
      <c r="F1115" t="s">
        <v>126</v>
      </c>
      <c r="G1115" t="s">
        <v>4</v>
      </c>
      <c r="H1115" t="s">
        <v>52</v>
      </c>
      <c r="I1115" t="s">
        <v>1688</v>
      </c>
      <c r="J1115" s="2">
        <v>5.04</v>
      </c>
      <c r="K1115">
        <v>3</v>
      </c>
      <c r="L1115" s="4"/>
    </row>
    <row r="1116" spans="1:12" x14ac:dyDescent="0.3">
      <c r="A1116" s="1">
        <v>41951</v>
      </c>
      <c r="B1116" s="1">
        <v>41957</v>
      </c>
      <c r="C1116" t="s">
        <v>7</v>
      </c>
      <c r="D1116" t="s">
        <v>68</v>
      </c>
      <c r="E1116" t="s">
        <v>69</v>
      </c>
      <c r="F1116" t="s">
        <v>126</v>
      </c>
      <c r="G1116" t="s">
        <v>4</v>
      </c>
      <c r="H1116" t="s">
        <v>5</v>
      </c>
      <c r="I1116" t="s">
        <v>584</v>
      </c>
      <c r="J1116" s="2">
        <v>92.94</v>
      </c>
      <c r="K1116">
        <v>3</v>
      </c>
      <c r="L1116" s="4"/>
    </row>
    <row r="1117" spans="1:12" x14ac:dyDescent="0.3">
      <c r="A1117" s="1">
        <v>41951</v>
      </c>
      <c r="B1117" s="1">
        <v>41957</v>
      </c>
      <c r="C1117" t="s">
        <v>7</v>
      </c>
      <c r="D1117" t="s">
        <v>68</v>
      </c>
      <c r="E1117" t="s">
        <v>69</v>
      </c>
      <c r="F1117" t="s">
        <v>126</v>
      </c>
      <c r="G1117" t="s">
        <v>12</v>
      </c>
      <c r="H1117" t="s">
        <v>35</v>
      </c>
      <c r="I1117" t="s">
        <v>1056</v>
      </c>
      <c r="J1117" s="2">
        <v>66.69</v>
      </c>
      <c r="K1117">
        <v>3</v>
      </c>
      <c r="L1117" s="4"/>
    </row>
    <row r="1118" spans="1:12" x14ac:dyDescent="0.3">
      <c r="A1118" s="1">
        <v>41951</v>
      </c>
      <c r="B1118" s="1">
        <v>41957</v>
      </c>
      <c r="C1118" t="s">
        <v>7</v>
      </c>
      <c r="D1118" t="s">
        <v>68</v>
      </c>
      <c r="E1118" t="s">
        <v>69</v>
      </c>
      <c r="F1118" t="s">
        <v>126</v>
      </c>
      <c r="G1118" t="s">
        <v>4</v>
      </c>
      <c r="H1118" t="s">
        <v>26</v>
      </c>
      <c r="I1118" t="s">
        <v>1689</v>
      </c>
      <c r="J1118" s="2">
        <v>91.68</v>
      </c>
      <c r="K1118">
        <v>5</v>
      </c>
      <c r="L1118" s="4"/>
    </row>
    <row r="1119" spans="1:12" x14ac:dyDescent="0.3">
      <c r="A1119" s="1">
        <v>41951</v>
      </c>
      <c r="B1119" s="1">
        <v>41955</v>
      </c>
      <c r="C1119" t="s">
        <v>7</v>
      </c>
      <c r="D1119" t="s">
        <v>1690</v>
      </c>
      <c r="E1119" t="s">
        <v>1691</v>
      </c>
      <c r="F1119" t="s">
        <v>3</v>
      </c>
      <c r="G1119" t="s">
        <v>74</v>
      </c>
      <c r="H1119" t="s">
        <v>75</v>
      </c>
      <c r="I1119" t="s">
        <v>1582</v>
      </c>
      <c r="J1119" s="2">
        <v>119.9</v>
      </c>
      <c r="K1119">
        <v>2</v>
      </c>
      <c r="L1119" s="4"/>
    </row>
    <row r="1120" spans="1:12" x14ac:dyDescent="0.3">
      <c r="A1120" s="1">
        <v>41952</v>
      </c>
      <c r="B1120" s="1">
        <v>41956</v>
      </c>
      <c r="C1120" t="s">
        <v>7</v>
      </c>
      <c r="D1120" t="s">
        <v>1199</v>
      </c>
      <c r="E1120" t="s">
        <v>1200</v>
      </c>
      <c r="F1120" t="s">
        <v>3</v>
      </c>
      <c r="G1120" t="s">
        <v>4</v>
      </c>
      <c r="H1120" t="s">
        <v>52</v>
      </c>
      <c r="I1120" t="s">
        <v>1393</v>
      </c>
      <c r="J1120" s="2">
        <v>2.48</v>
      </c>
      <c r="K1120">
        <v>2</v>
      </c>
      <c r="L1120" s="4"/>
    </row>
    <row r="1121" spans="1:12" x14ac:dyDescent="0.3">
      <c r="A1121" s="1">
        <v>41953</v>
      </c>
      <c r="B1121" s="1">
        <v>41958</v>
      </c>
      <c r="C1121" t="s">
        <v>7</v>
      </c>
      <c r="D1121" t="s">
        <v>977</v>
      </c>
      <c r="E1121" t="s">
        <v>978</v>
      </c>
      <c r="F1121" t="s">
        <v>3</v>
      </c>
      <c r="G1121" t="s">
        <v>74</v>
      </c>
      <c r="H1121" t="s">
        <v>75</v>
      </c>
      <c r="I1121" t="s">
        <v>1692</v>
      </c>
      <c r="J1121" s="2">
        <v>79.900000000000006</v>
      </c>
      <c r="K1121">
        <v>2</v>
      </c>
      <c r="L1121" s="4"/>
    </row>
    <row r="1122" spans="1:12" x14ac:dyDescent="0.3">
      <c r="A1122" s="1">
        <v>41955</v>
      </c>
      <c r="B1122" s="1">
        <v>41957</v>
      </c>
      <c r="C1122" t="s">
        <v>22</v>
      </c>
      <c r="D1122" t="s">
        <v>1693</v>
      </c>
      <c r="E1122" t="s">
        <v>1694</v>
      </c>
      <c r="F1122" t="s">
        <v>3</v>
      </c>
      <c r="G1122" t="s">
        <v>4</v>
      </c>
      <c r="H1122" t="s">
        <v>5</v>
      </c>
      <c r="I1122" t="s">
        <v>925</v>
      </c>
      <c r="J1122" s="2">
        <v>15.700000000000001</v>
      </c>
      <c r="K1122">
        <v>5</v>
      </c>
      <c r="L1122" s="4"/>
    </row>
    <row r="1123" spans="1:12" x14ac:dyDescent="0.3">
      <c r="A1123" s="1">
        <v>41956</v>
      </c>
      <c r="B1123" s="1">
        <v>41960</v>
      </c>
      <c r="C1123" t="s">
        <v>7</v>
      </c>
      <c r="D1123" t="s">
        <v>1316</v>
      </c>
      <c r="E1123" t="s">
        <v>1317</v>
      </c>
      <c r="F1123" t="s">
        <v>115</v>
      </c>
      <c r="G1123" t="s">
        <v>74</v>
      </c>
      <c r="H1123" t="s">
        <v>75</v>
      </c>
      <c r="I1123" t="s">
        <v>1670</v>
      </c>
      <c r="J1123" s="2">
        <v>238.89600000000002</v>
      </c>
      <c r="K1123">
        <v>6</v>
      </c>
      <c r="L1123" s="4"/>
    </row>
    <row r="1124" spans="1:12" x14ac:dyDescent="0.3">
      <c r="A1124" s="1">
        <v>41956</v>
      </c>
      <c r="B1124" s="1">
        <v>41960</v>
      </c>
      <c r="C1124" t="s">
        <v>7</v>
      </c>
      <c r="D1124" t="s">
        <v>1316</v>
      </c>
      <c r="E1124" t="s">
        <v>1317</v>
      </c>
      <c r="F1124" t="s">
        <v>115</v>
      </c>
      <c r="G1124" t="s">
        <v>12</v>
      </c>
      <c r="H1124" t="s">
        <v>35</v>
      </c>
      <c r="I1124" t="s">
        <v>634</v>
      </c>
      <c r="J1124" s="2">
        <v>102.35999999999999</v>
      </c>
      <c r="K1124">
        <v>3</v>
      </c>
      <c r="L1124" s="4"/>
    </row>
    <row r="1125" spans="1:12" x14ac:dyDescent="0.3">
      <c r="A1125" s="1">
        <v>41956</v>
      </c>
      <c r="B1125" s="1">
        <v>41960</v>
      </c>
      <c r="C1125" t="s">
        <v>7</v>
      </c>
      <c r="D1125" t="s">
        <v>1316</v>
      </c>
      <c r="E1125" t="s">
        <v>1317</v>
      </c>
      <c r="F1125" t="s">
        <v>115</v>
      </c>
      <c r="G1125" t="s">
        <v>4</v>
      </c>
      <c r="H1125" t="s">
        <v>26</v>
      </c>
      <c r="I1125" t="s">
        <v>211</v>
      </c>
      <c r="J1125" s="2">
        <v>36.882000000000005</v>
      </c>
      <c r="K1125">
        <v>3</v>
      </c>
      <c r="L1125" s="4"/>
    </row>
    <row r="1126" spans="1:12" x14ac:dyDescent="0.3">
      <c r="A1126" s="1">
        <v>41956</v>
      </c>
      <c r="B1126" s="1">
        <v>41960</v>
      </c>
      <c r="C1126" t="s">
        <v>7</v>
      </c>
      <c r="D1126" t="s">
        <v>1695</v>
      </c>
      <c r="E1126" t="s">
        <v>1696</v>
      </c>
      <c r="F1126" t="s">
        <v>228</v>
      </c>
      <c r="G1126" t="s">
        <v>74</v>
      </c>
      <c r="H1126" t="s">
        <v>147</v>
      </c>
      <c r="I1126" t="s">
        <v>1129</v>
      </c>
      <c r="J1126" s="2">
        <v>339.96000000000004</v>
      </c>
      <c r="K1126">
        <v>5</v>
      </c>
      <c r="L1126" s="4"/>
    </row>
    <row r="1127" spans="1:12" x14ac:dyDescent="0.3">
      <c r="A1127" s="1">
        <v>41956</v>
      </c>
      <c r="B1127" s="1">
        <v>41960</v>
      </c>
      <c r="C1127" t="s">
        <v>7</v>
      </c>
      <c r="D1127" t="s">
        <v>1695</v>
      </c>
      <c r="E1127" t="s">
        <v>1696</v>
      </c>
      <c r="F1127" t="s">
        <v>228</v>
      </c>
      <c r="G1127" t="s">
        <v>12</v>
      </c>
      <c r="H1127" t="s">
        <v>35</v>
      </c>
      <c r="I1127" t="s">
        <v>1697</v>
      </c>
      <c r="J1127" s="2">
        <v>63.980000000000004</v>
      </c>
      <c r="K1127">
        <v>7</v>
      </c>
      <c r="L1127" s="4"/>
    </row>
    <row r="1128" spans="1:12" x14ac:dyDescent="0.3">
      <c r="A1128" s="1">
        <v>41956</v>
      </c>
      <c r="B1128" s="1">
        <v>41960</v>
      </c>
      <c r="C1128" t="s">
        <v>7</v>
      </c>
      <c r="D1128" t="s">
        <v>749</v>
      </c>
      <c r="E1128" t="s">
        <v>750</v>
      </c>
      <c r="F1128" t="s">
        <v>3</v>
      </c>
      <c r="G1128" t="s">
        <v>4</v>
      </c>
      <c r="H1128" t="s">
        <v>26</v>
      </c>
      <c r="I1128" t="s">
        <v>1698</v>
      </c>
      <c r="J1128" s="2">
        <v>9.8719999999999999</v>
      </c>
      <c r="K1128">
        <v>2</v>
      </c>
      <c r="L1128" s="4"/>
    </row>
    <row r="1129" spans="1:12" x14ac:dyDescent="0.3">
      <c r="A1129" s="1">
        <v>41956</v>
      </c>
      <c r="B1129" s="1">
        <v>41960</v>
      </c>
      <c r="C1129" t="s">
        <v>7</v>
      </c>
      <c r="D1129" t="s">
        <v>749</v>
      </c>
      <c r="E1129" t="s">
        <v>750</v>
      </c>
      <c r="F1129" t="s">
        <v>3</v>
      </c>
      <c r="G1129" t="s">
        <v>12</v>
      </c>
      <c r="H1129" t="s">
        <v>13</v>
      </c>
      <c r="I1129" t="s">
        <v>1354</v>
      </c>
      <c r="J1129" s="2">
        <v>683.33199999999999</v>
      </c>
      <c r="K1129">
        <v>4</v>
      </c>
      <c r="L1129" s="4"/>
    </row>
    <row r="1130" spans="1:12" x14ac:dyDescent="0.3">
      <c r="A1130" s="1">
        <v>41956</v>
      </c>
      <c r="B1130" s="1">
        <v>41960</v>
      </c>
      <c r="C1130" t="s">
        <v>7</v>
      </c>
      <c r="D1130" t="s">
        <v>749</v>
      </c>
      <c r="E1130" t="s">
        <v>750</v>
      </c>
      <c r="F1130" t="s">
        <v>3</v>
      </c>
      <c r="G1130" t="s">
        <v>4</v>
      </c>
      <c r="H1130" t="s">
        <v>5</v>
      </c>
      <c r="I1130" t="s">
        <v>682</v>
      </c>
      <c r="J1130" s="2">
        <v>29.96</v>
      </c>
      <c r="K1130">
        <v>7</v>
      </c>
      <c r="L1130" s="4"/>
    </row>
    <row r="1131" spans="1:12" x14ac:dyDescent="0.3">
      <c r="A1131" s="1">
        <v>41957</v>
      </c>
      <c r="B1131" s="1">
        <v>41960</v>
      </c>
      <c r="C1131" t="s">
        <v>22</v>
      </c>
      <c r="D1131" t="s">
        <v>1303</v>
      </c>
      <c r="E1131" t="s">
        <v>1304</v>
      </c>
      <c r="F1131" t="s">
        <v>19</v>
      </c>
      <c r="G1131" t="s">
        <v>4</v>
      </c>
      <c r="H1131" t="s">
        <v>52</v>
      </c>
      <c r="I1131" t="s">
        <v>1699</v>
      </c>
      <c r="J1131" s="2">
        <v>8.7200000000000006</v>
      </c>
      <c r="K1131">
        <v>5</v>
      </c>
      <c r="L1131" s="4"/>
    </row>
    <row r="1132" spans="1:12" x14ac:dyDescent="0.3">
      <c r="A1132" s="1">
        <v>41957</v>
      </c>
      <c r="B1132" s="1">
        <v>41960</v>
      </c>
      <c r="C1132" t="s">
        <v>22</v>
      </c>
      <c r="D1132" t="s">
        <v>1303</v>
      </c>
      <c r="E1132" t="s">
        <v>1304</v>
      </c>
      <c r="F1132" t="s">
        <v>19</v>
      </c>
      <c r="G1132" t="s">
        <v>74</v>
      </c>
      <c r="H1132" t="s">
        <v>75</v>
      </c>
      <c r="I1132" t="s">
        <v>1700</v>
      </c>
      <c r="J1132" s="2">
        <v>91.176000000000016</v>
      </c>
      <c r="K1132">
        <v>3</v>
      </c>
      <c r="L1132" s="4"/>
    </row>
    <row r="1133" spans="1:12" x14ac:dyDescent="0.3">
      <c r="A1133" s="1">
        <v>41957</v>
      </c>
      <c r="B1133" s="1">
        <v>41960</v>
      </c>
      <c r="C1133" t="s">
        <v>22</v>
      </c>
      <c r="D1133" t="s">
        <v>1303</v>
      </c>
      <c r="E1133" t="s">
        <v>1304</v>
      </c>
      <c r="F1133" t="s">
        <v>19</v>
      </c>
      <c r="G1133" t="s">
        <v>74</v>
      </c>
      <c r="H1133" t="s">
        <v>75</v>
      </c>
      <c r="I1133" t="s">
        <v>304</v>
      </c>
      <c r="J1133" s="2">
        <v>159.96800000000002</v>
      </c>
      <c r="K1133">
        <v>4</v>
      </c>
      <c r="L1133" s="4"/>
    </row>
    <row r="1134" spans="1:12" x14ac:dyDescent="0.3">
      <c r="A1134" s="1">
        <v>41957</v>
      </c>
      <c r="B1134" s="1">
        <v>41962</v>
      </c>
      <c r="C1134" t="s">
        <v>7</v>
      </c>
      <c r="D1134" t="s">
        <v>619</v>
      </c>
      <c r="E1134" t="s">
        <v>620</v>
      </c>
      <c r="F1134" t="s">
        <v>172</v>
      </c>
      <c r="G1134" t="s">
        <v>12</v>
      </c>
      <c r="H1134" t="s">
        <v>70</v>
      </c>
      <c r="I1134" t="s">
        <v>1082</v>
      </c>
      <c r="J1134" s="2">
        <v>883.84</v>
      </c>
      <c r="K1134">
        <v>4</v>
      </c>
      <c r="L1134" s="4"/>
    </row>
    <row r="1135" spans="1:12" x14ac:dyDescent="0.3">
      <c r="A1135" s="1">
        <v>41957</v>
      </c>
      <c r="B1135" s="1">
        <v>41962</v>
      </c>
      <c r="C1135" t="s">
        <v>7</v>
      </c>
      <c r="D1135" t="s">
        <v>619</v>
      </c>
      <c r="E1135" t="s">
        <v>620</v>
      </c>
      <c r="F1135" t="s">
        <v>172</v>
      </c>
      <c r="G1135" t="s">
        <v>12</v>
      </c>
      <c r="H1135" t="s">
        <v>70</v>
      </c>
      <c r="I1135" t="s">
        <v>1099</v>
      </c>
      <c r="J1135" s="2">
        <v>230.35200000000003</v>
      </c>
      <c r="K1135">
        <v>3</v>
      </c>
      <c r="L1135" s="4"/>
    </row>
    <row r="1136" spans="1:12" x14ac:dyDescent="0.3">
      <c r="A1136" s="1">
        <v>41959</v>
      </c>
      <c r="B1136" s="1">
        <v>41963</v>
      </c>
      <c r="C1136" t="s">
        <v>7</v>
      </c>
      <c r="D1136" t="s">
        <v>1701</v>
      </c>
      <c r="E1136" t="s">
        <v>1702</v>
      </c>
      <c r="F1136" t="s">
        <v>224</v>
      </c>
      <c r="G1136" t="s">
        <v>12</v>
      </c>
      <c r="H1136" t="s">
        <v>44</v>
      </c>
      <c r="I1136" t="s">
        <v>1575</v>
      </c>
      <c r="J1136" s="2">
        <v>696.42</v>
      </c>
      <c r="K1136">
        <v>2</v>
      </c>
      <c r="L1136" s="4"/>
    </row>
    <row r="1137" spans="1:12" x14ac:dyDescent="0.3">
      <c r="A1137" s="1">
        <v>41959</v>
      </c>
      <c r="B1137" s="1">
        <v>41963</v>
      </c>
      <c r="C1137" t="s">
        <v>7</v>
      </c>
      <c r="D1137" t="s">
        <v>1701</v>
      </c>
      <c r="E1137" t="s">
        <v>1702</v>
      </c>
      <c r="F1137" t="s">
        <v>224</v>
      </c>
      <c r="G1137" t="s">
        <v>74</v>
      </c>
      <c r="H1137" t="s">
        <v>147</v>
      </c>
      <c r="I1137" t="s">
        <v>1703</v>
      </c>
      <c r="J1137" s="2">
        <v>304.77600000000001</v>
      </c>
      <c r="K1137">
        <v>3</v>
      </c>
      <c r="L1137" s="4"/>
    </row>
    <row r="1138" spans="1:12" x14ac:dyDescent="0.3">
      <c r="A1138" s="1">
        <v>41959</v>
      </c>
      <c r="B1138" s="1">
        <v>41961</v>
      </c>
      <c r="C1138" t="s">
        <v>22</v>
      </c>
      <c r="D1138" t="s">
        <v>923</v>
      </c>
      <c r="E1138" t="s">
        <v>924</v>
      </c>
      <c r="F1138" t="s">
        <v>3</v>
      </c>
      <c r="G1138" t="s">
        <v>4</v>
      </c>
      <c r="H1138" t="s">
        <v>168</v>
      </c>
      <c r="I1138" t="s">
        <v>1704</v>
      </c>
      <c r="J1138" s="2">
        <v>18.899999999999999</v>
      </c>
      <c r="K1138">
        <v>3</v>
      </c>
      <c r="L1138" s="4"/>
    </row>
    <row r="1139" spans="1:12" x14ac:dyDescent="0.3">
      <c r="A1139" s="1">
        <v>41960</v>
      </c>
      <c r="B1139" s="1">
        <v>41964</v>
      </c>
      <c r="C1139" t="s">
        <v>7</v>
      </c>
      <c r="D1139" t="s">
        <v>1705</v>
      </c>
      <c r="E1139" t="s">
        <v>1706</v>
      </c>
      <c r="F1139" t="s">
        <v>3</v>
      </c>
      <c r="G1139" t="s">
        <v>74</v>
      </c>
      <c r="H1139" t="s">
        <v>147</v>
      </c>
      <c r="I1139" t="s">
        <v>1298</v>
      </c>
      <c r="J1139" s="2">
        <v>415.96800000000007</v>
      </c>
      <c r="K1139">
        <v>4</v>
      </c>
      <c r="L1139" s="4"/>
    </row>
    <row r="1140" spans="1:12" x14ac:dyDescent="0.3">
      <c r="A1140" s="1">
        <v>41960</v>
      </c>
      <c r="B1140" s="1">
        <v>41964</v>
      </c>
      <c r="C1140" t="s">
        <v>7</v>
      </c>
      <c r="D1140" t="s">
        <v>1705</v>
      </c>
      <c r="E1140" t="s">
        <v>1706</v>
      </c>
      <c r="F1140" t="s">
        <v>3</v>
      </c>
      <c r="G1140" t="s">
        <v>4</v>
      </c>
      <c r="H1140" t="s">
        <v>10</v>
      </c>
      <c r="I1140" t="s">
        <v>1707</v>
      </c>
      <c r="J1140" s="2">
        <v>304.89999999999998</v>
      </c>
      <c r="K1140">
        <v>5</v>
      </c>
      <c r="L1140" s="4"/>
    </row>
    <row r="1141" spans="1:12" x14ac:dyDescent="0.3">
      <c r="A1141" s="1">
        <v>41960</v>
      </c>
      <c r="B1141" s="1">
        <v>41964</v>
      </c>
      <c r="C1141" t="s">
        <v>7</v>
      </c>
      <c r="D1141" t="s">
        <v>1705</v>
      </c>
      <c r="E1141" t="s">
        <v>1706</v>
      </c>
      <c r="F1141" t="s">
        <v>3</v>
      </c>
      <c r="G1141" t="s">
        <v>12</v>
      </c>
      <c r="H1141" t="s">
        <v>35</v>
      </c>
      <c r="I1141" t="s">
        <v>151</v>
      </c>
      <c r="J1141" s="2">
        <v>80.959999999999994</v>
      </c>
      <c r="K1141">
        <v>4</v>
      </c>
      <c r="L1141" s="4"/>
    </row>
    <row r="1142" spans="1:12" x14ac:dyDescent="0.3">
      <c r="A1142" s="1">
        <v>41960</v>
      </c>
      <c r="B1142" s="1">
        <v>41964</v>
      </c>
      <c r="C1142" t="s">
        <v>7</v>
      </c>
      <c r="D1142" t="s">
        <v>1705</v>
      </c>
      <c r="E1142" t="s">
        <v>1706</v>
      </c>
      <c r="F1142" t="s">
        <v>3</v>
      </c>
      <c r="G1142" t="s">
        <v>4</v>
      </c>
      <c r="H1142" t="s">
        <v>10</v>
      </c>
      <c r="I1142" t="s">
        <v>1708</v>
      </c>
      <c r="J1142" s="2">
        <v>777.21</v>
      </c>
      <c r="K1142">
        <v>7</v>
      </c>
      <c r="L1142" s="4"/>
    </row>
    <row r="1143" spans="1:12" x14ac:dyDescent="0.3">
      <c r="A1143" s="1">
        <v>41960</v>
      </c>
      <c r="B1143" s="1">
        <v>41964</v>
      </c>
      <c r="C1143" t="s">
        <v>7</v>
      </c>
      <c r="D1143" t="s">
        <v>1705</v>
      </c>
      <c r="E1143" t="s">
        <v>1706</v>
      </c>
      <c r="F1143" t="s">
        <v>3</v>
      </c>
      <c r="G1143" t="s">
        <v>4</v>
      </c>
      <c r="H1143" t="s">
        <v>5</v>
      </c>
      <c r="I1143" t="s">
        <v>1709</v>
      </c>
      <c r="J1143" s="2">
        <v>32.400000000000006</v>
      </c>
      <c r="K1143">
        <v>5</v>
      </c>
      <c r="L1143" s="4"/>
    </row>
    <row r="1144" spans="1:12" x14ac:dyDescent="0.3">
      <c r="A1144" s="1">
        <v>41960</v>
      </c>
      <c r="B1144" s="1">
        <v>41964</v>
      </c>
      <c r="C1144" t="s">
        <v>7</v>
      </c>
      <c r="D1144" t="s">
        <v>1705</v>
      </c>
      <c r="E1144" t="s">
        <v>1706</v>
      </c>
      <c r="F1144" t="s">
        <v>3</v>
      </c>
      <c r="G1144" t="s">
        <v>12</v>
      </c>
      <c r="H1144" t="s">
        <v>70</v>
      </c>
      <c r="I1144" t="s">
        <v>1032</v>
      </c>
      <c r="J1144" s="2">
        <v>225.56799999999998</v>
      </c>
      <c r="K1144">
        <v>2</v>
      </c>
      <c r="L1144" s="4"/>
    </row>
    <row r="1145" spans="1:12" x14ac:dyDescent="0.3">
      <c r="A1145" s="1">
        <v>41960</v>
      </c>
      <c r="B1145" s="1">
        <v>41964</v>
      </c>
      <c r="C1145" t="s">
        <v>7</v>
      </c>
      <c r="D1145" t="s">
        <v>1705</v>
      </c>
      <c r="E1145" t="s">
        <v>1706</v>
      </c>
      <c r="F1145" t="s">
        <v>3</v>
      </c>
      <c r="G1145" t="s">
        <v>12</v>
      </c>
      <c r="H1145" t="s">
        <v>35</v>
      </c>
      <c r="I1145" t="s">
        <v>1546</v>
      </c>
      <c r="J1145" s="2">
        <v>36.599999999999994</v>
      </c>
      <c r="K1145">
        <v>3</v>
      </c>
      <c r="L1145" s="4"/>
    </row>
    <row r="1146" spans="1:12" x14ac:dyDescent="0.3">
      <c r="A1146" s="1">
        <v>41962</v>
      </c>
      <c r="B1146" s="1">
        <v>41964</v>
      </c>
      <c r="C1146" t="s">
        <v>0</v>
      </c>
      <c r="D1146" t="s">
        <v>1300</v>
      </c>
      <c r="E1146" t="s">
        <v>1301</v>
      </c>
      <c r="F1146" t="s">
        <v>56</v>
      </c>
      <c r="G1146" t="s">
        <v>12</v>
      </c>
      <c r="H1146" t="s">
        <v>35</v>
      </c>
      <c r="I1146" t="s">
        <v>1710</v>
      </c>
      <c r="J1146" s="2">
        <v>141.96</v>
      </c>
      <c r="K1146">
        <v>2</v>
      </c>
      <c r="L1146" s="4"/>
    </row>
    <row r="1147" spans="1:12" x14ac:dyDescent="0.3">
      <c r="A1147" s="1">
        <v>41962</v>
      </c>
      <c r="B1147" s="1">
        <v>41969</v>
      </c>
      <c r="C1147" t="s">
        <v>7</v>
      </c>
      <c r="D1147" t="s">
        <v>266</v>
      </c>
      <c r="E1147" t="s">
        <v>267</v>
      </c>
      <c r="F1147" t="s">
        <v>39</v>
      </c>
      <c r="G1147" t="s">
        <v>4</v>
      </c>
      <c r="H1147" t="s">
        <v>20</v>
      </c>
      <c r="I1147" t="s">
        <v>1711</v>
      </c>
      <c r="J1147" s="2">
        <v>31.08</v>
      </c>
      <c r="K1147">
        <v>4</v>
      </c>
      <c r="L1147" s="4"/>
    </row>
    <row r="1148" spans="1:12" x14ac:dyDescent="0.3">
      <c r="A1148" s="1">
        <v>41963</v>
      </c>
      <c r="B1148" s="1">
        <v>41969</v>
      </c>
      <c r="C1148" t="s">
        <v>7</v>
      </c>
      <c r="D1148" t="s">
        <v>1381</v>
      </c>
      <c r="E1148" t="s">
        <v>1382</v>
      </c>
      <c r="F1148" t="s">
        <v>3</v>
      </c>
      <c r="G1148" t="s">
        <v>4</v>
      </c>
      <c r="H1148" t="s">
        <v>15</v>
      </c>
      <c r="I1148" t="s">
        <v>1712</v>
      </c>
      <c r="J1148" s="2">
        <v>19.459999999999997</v>
      </c>
      <c r="K1148">
        <v>7</v>
      </c>
      <c r="L1148" s="4"/>
    </row>
    <row r="1149" spans="1:12" x14ac:dyDescent="0.3">
      <c r="A1149" s="1">
        <v>41963</v>
      </c>
      <c r="B1149" s="1">
        <v>41967</v>
      </c>
      <c r="C1149" t="s">
        <v>7</v>
      </c>
      <c r="D1149" t="s">
        <v>331</v>
      </c>
      <c r="E1149" t="s">
        <v>332</v>
      </c>
      <c r="F1149" t="s">
        <v>3</v>
      </c>
      <c r="G1149" t="s">
        <v>74</v>
      </c>
      <c r="H1149" t="s">
        <v>147</v>
      </c>
      <c r="I1149" t="s">
        <v>1713</v>
      </c>
      <c r="J1149" s="2">
        <v>72.744000000000014</v>
      </c>
      <c r="K1149">
        <v>7</v>
      </c>
      <c r="L1149" s="4"/>
    </row>
    <row r="1150" spans="1:12" x14ac:dyDescent="0.3">
      <c r="A1150" s="1">
        <v>41963</v>
      </c>
      <c r="B1150" s="1">
        <v>41967</v>
      </c>
      <c r="C1150" t="s">
        <v>7</v>
      </c>
      <c r="D1150" t="s">
        <v>331</v>
      </c>
      <c r="E1150" t="s">
        <v>332</v>
      </c>
      <c r="F1150" t="s">
        <v>3</v>
      </c>
      <c r="G1150" t="s">
        <v>12</v>
      </c>
      <c r="H1150" t="s">
        <v>70</v>
      </c>
      <c r="I1150" t="s">
        <v>943</v>
      </c>
      <c r="J1150" s="2">
        <v>572.16000000000008</v>
      </c>
      <c r="K1150">
        <v>3</v>
      </c>
      <c r="L1150" s="4"/>
    </row>
    <row r="1151" spans="1:12" x14ac:dyDescent="0.3">
      <c r="A1151" s="1">
        <v>41963</v>
      </c>
      <c r="B1151" s="1">
        <v>41967</v>
      </c>
      <c r="C1151" t="s">
        <v>7</v>
      </c>
      <c r="D1151" t="s">
        <v>1714</v>
      </c>
      <c r="E1151" t="s">
        <v>1715</v>
      </c>
      <c r="F1151" t="s">
        <v>3</v>
      </c>
      <c r="G1151" t="s">
        <v>4</v>
      </c>
      <c r="H1151" t="s">
        <v>26</v>
      </c>
      <c r="I1151" t="s">
        <v>1716</v>
      </c>
      <c r="J1151" s="2">
        <v>24.192</v>
      </c>
      <c r="K1151">
        <v>9</v>
      </c>
      <c r="L1151" s="4"/>
    </row>
    <row r="1152" spans="1:12" x14ac:dyDescent="0.3">
      <c r="A1152" s="1">
        <v>41963</v>
      </c>
      <c r="B1152" s="1">
        <v>41968</v>
      </c>
      <c r="C1152" t="s">
        <v>7</v>
      </c>
      <c r="D1152" t="s">
        <v>1717</v>
      </c>
      <c r="E1152" t="s">
        <v>1718</v>
      </c>
      <c r="F1152" t="s">
        <v>56</v>
      </c>
      <c r="G1152" t="s">
        <v>4</v>
      </c>
      <c r="H1152" t="s">
        <v>15</v>
      </c>
      <c r="I1152" t="s">
        <v>461</v>
      </c>
      <c r="J1152" s="2">
        <v>119.03999999999999</v>
      </c>
      <c r="K1152">
        <v>6</v>
      </c>
      <c r="L1152" s="4"/>
    </row>
    <row r="1153" spans="1:12" x14ac:dyDescent="0.3">
      <c r="A1153" s="1">
        <v>41963</v>
      </c>
      <c r="B1153" s="1">
        <v>41968</v>
      </c>
      <c r="C1153" t="s">
        <v>7</v>
      </c>
      <c r="D1153" t="s">
        <v>1717</v>
      </c>
      <c r="E1153" t="s">
        <v>1718</v>
      </c>
      <c r="F1153" t="s">
        <v>56</v>
      </c>
      <c r="G1153" t="s">
        <v>12</v>
      </c>
      <c r="H1153" t="s">
        <v>35</v>
      </c>
      <c r="I1153" t="s">
        <v>1719</v>
      </c>
      <c r="J1153" s="2">
        <v>22.14</v>
      </c>
      <c r="K1153">
        <v>3</v>
      </c>
      <c r="L1153" s="4"/>
    </row>
    <row r="1154" spans="1:12" x14ac:dyDescent="0.3">
      <c r="A1154" s="1">
        <v>41963</v>
      </c>
      <c r="B1154" s="1">
        <v>41968</v>
      </c>
      <c r="C1154" t="s">
        <v>7</v>
      </c>
      <c r="D1154" t="s">
        <v>1717</v>
      </c>
      <c r="E1154" t="s">
        <v>1718</v>
      </c>
      <c r="F1154" t="s">
        <v>56</v>
      </c>
      <c r="G1154" t="s">
        <v>74</v>
      </c>
      <c r="H1154" t="s">
        <v>75</v>
      </c>
      <c r="I1154" t="s">
        <v>1720</v>
      </c>
      <c r="J1154" s="2">
        <v>13.98</v>
      </c>
      <c r="K1154">
        <v>2</v>
      </c>
      <c r="L1154" s="4"/>
    </row>
    <row r="1155" spans="1:12" x14ac:dyDescent="0.3">
      <c r="A1155" s="1">
        <v>41963</v>
      </c>
      <c r="B1155" s="1">
        <v>41966</v>
      </c>
      <c r="C1155" t="s">
        <v>0</v>
      </c>
      <c r="D1155" t="s">
        <v>226</v>
      </c>
      <c r="E1155" t="s">
        <v>227</v>
      </c>
      <c r="F1155" t="s">
        <v>115</v>
      </c>
      <c r="G1155" t="s">
        <v>4</v>
      </c>
      <c r="H1155" t="s">
        <v>26</v>
      </c>
      <c r="I1155" t="s">
        <v>448</v>
      </c>
      <c r="J1155" s="2">
        <v>4.8960000000000008</v>
      </c>
      <c r="K1155">
        <v>3</v>
      </c>
      <c r="L1155" s="4"/>
    </row>
    <row r="1156" spans="1:12" x14ac:dyDescent="0.3">
      <c r="A1156" s="1">
        <v>41963</v>
      </c>
      <c r="B1156" s="1">
        <v>41966</v>
      </c>
      <c r="C1156" t="s">
        <v>0</v>
      </c>
      <c r="D1156" t="s">
        <v>226</v>
      </c>
      <c r="E1156" t="s">
        <v>227</v>
      </c>
      <c r="F1156" t="s">
        <v>115</v>
      </c>
      <c r="G1156" t="s">
        <v>12</v>
      </c>
      <c r="H1156" t="s">
        <v>13</v>
      </c>
      <c r="I1156" t="s">
        <v>1721</v>
      </c>
      <c r="J1156" s="2">
        <v>145.76400000000001</v>
      </c>
      <c r="K1156">
        <v>6</v>
      </c>
      <c r="L1156" s="4"/>
    </row>
    <row r="1157" spans="1:12" x14ac:dyDescent="0.3">
      <c r="A1157" s="1">
        <v>41963</v>
      </c>
      <c r="B1157" s="1">
        <v>41966</v>
      </c>
      <c r="C1157" t="s">
        <v>0</v>
      </c>
      <c r="D1157" t="s">
        <v>226</v>
      </c>
      <c r="E1157" t="s">
        <v>227</v>
      </c>
      <c r="F1157" t="s">
        <v>115</v>
      </c>
      <c r="G1157" t="s">
        <v>4</v>
      </c>
      <c r="H1157" t="s">
        <v>26</v>
      </c>
      <c r="I1157" t="s">
        <v>1722</v>
      </c>
      <c r="J1157" s="2">
        <v>9.6120000000000001</v>
      </c>
      <c r="K1157">
        <v>6</v>
      </c>
      <c r="L1157" s="4"/>
    </row>
    <row r="1158" spans="1:12" x14ac:dyDescent="0.3">
      <c r="A1158" s="1">
        <v>41963</v>
      </c>
      <c r="B1158" s="1">
        <v>41964</v>
      </c>
      <c r="C1158" t="s">
        <v>22</v>
      </c>
      <c r="D1158" t="s">
        <v>1723</v>
      </c>
      <c r="E1158" t="s">
        <v>1724</v>
      </c>
      <c r="F1158" t="s">
        <v>3</v>
      </c>
      <c r="G1158" t="s">
        <v>4</v>
      </c>
      <c r="H1158" t="s">
        <v>26</v>
      </c>
      <c r="I1158" t="s">
        <v>1725</v>
      </c>
      <c r="J1158" s="2">
        <v>89.696000000000012</v>
      </c>
      <c r="K1158">
        <v>4</v>
      </c>
      <c r="L1158" s="4"/>
    </row>
    <row r="1159" spans="1:12" x14ac:dyDescent="0.3">
      <c r="A1159" s="1">
        <v>41963</v>
      </c>
      <c r="B1159" s="1">
        <v>41964</v>
      </c>
      <c r="C1159" t="s">
        <v>22</v>
      </c>
      <c r="D1159" t="s">
        <v>1723</v>
      </c>
      <c r="E1159" t="s">
        <v>1724</v>
      </c>
      <c r="F1159" t="s">
        <v>3</v>
      </c>
      <c r="G1159" t="s">
        <v>4</v>
      </c>
      <c r="H1159" t="s">
        <v>168</v>
      </c>
      <c r="I1159" t="s">
        <v>1167</v>
      </c>
      <c r="J1159" s="2">
        <v>50.12</v>
      </c>
      <c r="K1159">
        <v>4</v>
      </c>
      <c r="L1159" s="4"/>
    </row>
    <row r="1160" spans="1:12" x14ac:dyDescent="0.3">
      <c r="A1160" s="1">
        <v>41963</v>
      </c>
      <c r="B1160" s="1">
        <v>41967</v>
      </c>
      <c r="C1160" t="s">
        <v>7</v>
      </c>
      <c r="D1160" t="s">
        <v>1726</v>
      </c>
      <c r="E1160" t="s">
        <v>1727</v>
      </c>
      <c r="F1160" t="s">
        <v>3</v>
      </c>
      <c r="G1160" t="s">
        <v>12</v>
      </c>
      <c r="H1160" t="s">
        <v>35</v>
      </c>
      <c r="I1160" t="s">
        <v>1728</v>
      </c>
      <c r="J1160" s="2">
        <v>32.04</v>
      </c>
      <c r="K1160">
        <v>3</v>
      </c>
      <c r="L1160" s="4"/>
    </row>
    <row r="1161" spans="1:12" x14ac:dyDescent="0.3">
      <c r="A1161" s="1">
        <v>41964</v>
      </c>
      <c r="B1161" s="1">
        <v>41968</v>
      </c>
      <c r="C1161" t="s">
        <v>7</v>
      </c>
      <c r="D1161" t="s">
        <v>958</v>
      </c>
      <c r="E1161" t="s">
        <v>959</v>
      </c>
      <c r="F1161" t="s">
        <v>39</v>
      </c>
      <c r="G1161" t="s">
        <v>12</v>
      </c>
      <c r="H1161" t="s">
        <v>13</v>
      </c>
      <c r="I1161" t="s">
        <v>1729</v>
      </c>
      <c r="J1161" s="2">
        <v>141.96</v>
      </c>
      <c r="K1161">
        <v>2</v>
      </c>
      <c r="L1161" s="4"/>
    </row>
    <row r="1162" spans="1:12" x14ac:dyDescent="0.3">
      <c r="A1162" s="1">
        <v>41964</v>
      </c>
      <c r="B1162" s="1">
        <v>41968</v>
      </c>
      <c r="C1162" t="s">
        <v>7</v>
      </c>
      <c r="D1162" t="s">
        <v>958</v>
      </c>
      <c r="E1162" t="s">
        <v>959</v>
      </c>
      <c r="F1162" t="s">
        <v>39</v>
      </c>
      <c r="G1162" t="s">
        <v>4</v>
      </c>
      <c r="H1162" t="s">
        <v>26</v>
      </c>
      <c r="I1162" t="s">
        <v>1730</v>
      </c>
      <c r="J1162" s="2">
        <v>66.048000000000002</v>
      </c>
      <c r="K1162">
        <v>4</v>
      </c>
      <c r="L1162" s="4"/>
    </row>
    <row r="1163" spans="1:12" x14ac:dyDescent="0.3">
      <c r="A1163" s="1">
        <v>41964</v>
      </c>
      <c r="B1163" s="1">
        <v>41966</v>
      </c>
      <c r="C1163" t="s">
        <v>0</v>
      </c>
      <c r="D1163" t="s">
        <v>1731</v>
      </c>
      <c r="E1163" t="s">
        <v>1732</v>
      </c>
      <c r="F1163" t="s">
        <v>25</v>
      </c>
      <c r="G1163" t="s">
        <v>4</v>
      </c>
      <c r="H1163" t="s">
        <v>20</v>
      </c>
      <c r="I1163" t="s">
        <v>1733</v>
      </c>
      <c r="J1163" s="2">
        <v>325.63200000000006</v>
      </c>
      <c r="K1163">
        <v>6</v>
      </c>
      <c r="L1163" s="4"/>
    </row>
    <row r="1164" spans="1:12" x14ac:dyDescent="0.3">
      <c r="A1164" s="1">
        <v>41964</v>
      </c>
      <c r="B1164" s="1">
        <v>41966</v>
      </c>
      <c r="C1164" t="s">
        <v>0</v>
      </c>
      <c r="D1164" t="s">
        <v>1731</v>
      </c>
      <c r="E1164" t="s">
        <v>1732</v>
      </c>
      <c r="F1164" t="s">
        <v>25</v>
      </c>
      <c r="G1164" t="s">
        <v>74</v>
      </c>
      <c r="H1164" t="s">
        <v>75</v>
      </c>
      <c r="I1164" t="s">
        <v>899</v>
      </c>
      <c r="J1164" s="2">
        <v>23.344000000000001</v>
      </c>
      <c r="K1164">
        <v>2</v>
      </c>
      <c r="L1164" s="4"/>
    </row>
    <row r="1165" spans="1:12" x14ac:dyDescent="0.3">
      <c r="A1165" s="1">
        <v>41964</v>
      </c>
      <c r="B1165" s="1">
        <v>41966</v>
      </c>
      <c r="C1165" t="s">
        <v>0</v>
      </c>
      <c r="D1165" t="s">
        <v>1731</v>
      </c>
      <c r="E1165" t="s">
        <v>1732</v>
      </c>
      <c r="F1165" t="s">
        <v>25</v>
      </c>
      <c r="G1165" t="s">
        <v>4</v>
      </c>
      <c r="H1165" t="s">
        <v>168</v>
      </c>
      <c r="I1165" t="s">
        <v>1734</v>
      </c>
      <c r="J1165" s="2">
        <v>16.520000000000003</v>
      </c>
      <c r="K1165">
        <v>5</v>
      </c>
      <c r="L1165" s="4"/>
    </row>
    <row r="1166" spans="1:12" x14ac:dyDescent="0.3">
      <c r="A1166" s="1">
        <v>41965</v>
      </c>
      <c r="B1166" s="1">
        <v>41968</v>
      </c>
      <c r="C1166" t="s">
        <v>0</v>
      </c>
      <c r="D1166" t="s">
        <v>1735</v>
      </c>
      <c r="E1166" t="s">
        <v>1736</v>
      </c>
      <c r="F1166" t="s">
        <v>3</v>
      </c>
      <c r="G1166" t="s">
        <v>4</v>
      </c>
      <c r="H1166" t="s">
        <v>5</v>
      </c>
      <c r="I1166" t="s">
        <v>1737</v>
      </c>
      <c r="J1166" s="2">
        <v>37.94</v>
      </c>
      <c r="K1166">
        <v>2</v>
      </c>
      <c r="L1166" s="4"/>
    </row>
    <row r="1167" spans="1:12" x14ac:dyDescent="0.3">
      <c r="A1167" s="1">
        <v>41965</v>
      </c>
      <c r="B1167" s="1">
        <v>41968</v>
      </c>
      <c r="C1167" t="s">
        <v>0</v>
      </c>
      <c r="D1167" t="s">
        <v>1735</v>
      </c>
      <c r="E1167" t="s">
        <v>1736</v>
      </c>
      <c r="F1167" t="s">
        <v>3</v>
      </c>
      <c r="G1167" t="s">
        <v>4</v>
      </c>
      <c r="H1167" t="s">
        <v>5</v>
      </c>
      <c r="I1167" t="s">
        <v>689</v>
      </c>
      <c r="J1167" s="2">
        <v>42.800000000000004</v>
      </c>
      <c r="K1167">
        <v>10</v>
      </c>
      <c r="L1167" s="4"/>
    </row>
    <row r="1168" spans="1:12" x14ac:dyDescent="0.3">
      <c r="A1168" s="1">
        <v>41965</v>
      </c>
      <c r="B1168" s="1">
        <v>41968</v>
      </c>
      <c r="C1168" t="s">
        <v>0</v>
      </c>
      <c r="D1168" t="s">
        <v>1735</v>
      </c>
      <c r="E1168" t="s">
        <v>1736</v>
      </c>
      <c r="F1168" t="s">
        <v>3</v>
      </c>
      <c r="G1168" t="s">
        <v>4</v>
      </c>
      <c r="H1168" t="s">
        <v>10</v>
      </c>
      <c r="I1168" t="s">
        <v>1738</v>
      </c>
      <c r="J1168" s="2">
        <v>33.630000000000003</v>
      </c>
      <c r="K1168">
        <v>3</v>
      </c>
      <c r="L1168" s="4"/>
    </row>
    <row r="1169" spans="1:12" x14ac:dyDescent="0.3">
      <c r="A1169" s="1">
        <v>41967</v>
      </c>
      <c r="B1169" s="1">
        <v>41973</v>
      </c>
      <c r="C1169" t="s">
        <v>7</v>
      </c>
      <c r="D1169" t="s">
        <v>185</v>
      </c>
      <c r="E1169" t="s">
        <v>186</v>
      </c>
      <c r="F1169" t="s">
        <v>3</v>
      </c>
      <c r="G1169" t="s">
        <v>74</v>
      </c>
      <c r="H1169" t="s">
        <v>75</v>
      </c>
      <c r="I1169" t="s">
        <v>660</v>
      </c>
      <c r="J1169" s="2">
        <v>13.98</v>
      </c>
      <c r="K1169">
        <v>2</v>
      </c>
      <c r="L1169" s="4"/>
    </row>
    <row r="1170" spans="1:12" x14ac:dyDescent="0.3">
      <c r="A1170" s="1">
        <v>41967</v>
      </c>
      <c r="B1170" s="1">
        <v>41973</v>
      </c>
      <c r="C1170" t="s">
        <v>7</v>
      </c>
      <c r="D1170" t="s">
        <v>185</v>
      </c>
      <c r="E1170" t="s">
        <v>186</v>
      </c>
      <c r="F1170" t="s">
        <v>3</v>
      </c>
      <c r="G1170" t="s">
        <v>4</v>
      </c>
      <c r="H1170" t="s">
        <v>26</v>
      </c>
      <c r="I1170" t="s">
        <v>1739</v>
      </c>
      <c r="J1170" s="2">
        <v>25.824000000000002</v>
      </c>
      <c r="K1170">
        <v>6</v>
      </c>
      <c r="L1170" s="4"/>
    </row>
    <row r="1171" spans="1:12" x14ac:dyDescent="0.3">
      <c r="A1171" s="1">
        <v>41967</v>
      </c>
      <c r="B1171" s="1">
        <v>41973</v>
      </c>
      <c r="C1171" t="s">
        <v>7</v>
      </c>
      <c r="D1171" t="s">
        <v>185</v>
      </c>
      <c r="E1171" t="s">
        <v>186</v>
      </c>
      <c r="F1171" t="s">
        <v>3</v>
      </c>
      <c r="G1171" t="s">
        <v>4</v>
      </c>
      <c r="H1171" t="s">
        <v>5</v>
      </c>
      <c r="I1171" t="s">
        <v>1740</v>
      </c>
      <c r="J1171" s="2">
        <v>146.72999999999999</v>
      </c>
      <c r="K1171">
        <v>3</v>
      </c>
      <c r="L1171" s="4"/>
    </row>
    <row r="1172" spans="1:12" x14ac:dyDescent="0.3">
      <c r="A1172" s="1">
        <v>41967</v>
      </c>
      <c r="B1172" s="1">
        <v>41973</v>
      </c>
      <c r="C1172" t="s">
        <v>7</v>
      </c>
      <c r="D1172" t="s">
        <v>185</v>
      </c>
      <c r="E1172" t="s">
        <v>186</v>
      </c>
      <c r="F1172" t="s">
        <v>3</v>
      </c>
      <c r="G1172" t="s">
        <v>12</v>
      </c>
      <c r="H1172" t="s">
        <v>35</v>
      </c>
      <c r="I1172" t="s">
        <v>885</v>
      </c>
      <c r="J1172" s="2">
        <v>79.760000000000005</v>
      </c>
      <c r="K1172">
        <v>4</v>
      </c>
      <c r="L1172" s="4"/>
    </row>
    <row r="1173" spans="1:12" x14ac:dyDescent="0.3">
      <c r="A1173" s="1">
        <v>41967</v>
      </c>
      <c r="B1173" s="1">
        <v>41971</v>
      </c>
      <c r="C1173" t="s">
        <v>7</v>
      </c>
      <c r="D1173" t="s">
        <v>1741</v>
      </c>
      <c r="E1173" t="s">
        <v>1742</v>
      </c>
      <c r="F1173" t="s">
        <v>3</v>
      </c>
      <c r="G1173" t="s">
        <v>4</v>
      </c>
      <c r="H1173" t="s">
        <v>5</v>
      </c>
      <c r="I1173" t="s">
        <v>713</v>
      </c>
      <c r="J1173" s="2">
        <v>368.91</v>
      </c>
      <c r="K1173">
        <v>9</v>
      </c>
      <c r="L1173" s="4"/>
    </row>
    <row r="1174" spans="1:12" x14ac:dyDescent="0.3">
      <c r="A1174" s="1">
        <v>41967</v>
      </c>
      <c r="B1174" s="1">
        <v>41971</v>
      </c>
      <c r="C1174" t="s">
        <v>7</v>
      </c>
      <c r="D1174" t="s">
        <v>1741</v>
      </c>
      <c r="E1174" t="s">
        <v>1742</v>
      </c>
      <c r="F1174" t="s">
        <v>3</v>
      </c>
      <c r="G1174" t="s">
        <v>4</v>
      </c>
      <c r="H1174" t="s">
        <v>15</v>
      </c>
      <c r="I1174" t="s">
        <v>627</v>
      </c>
      <c r="J1174" s="2">
        <v>14.7</v>
      </c>
      <c r="K1174">
        <v>5</v>
      </c>
      <c r="L1174" s="4"/>
    </row>
    <row r="1175" spans="1:12" x14ac:dyDescent="0.3">
      <c r="A1175" s="1">
        <v>41967</v>
      </c>
      <c r="B1175" s="1">
        <v>41972</v>
      </c>
      <c r="C1175" t="s">
        <v>7</v>
      </c>
      <c r="D1175" t="s">
        <v>23</v>
      </c>
      <c r="E1175" t="s">
        <v>24</v>
      </c>
      <c r="F1175" t="s">
        <v>3</v>
      </c>
      <c r="G1175" t="s">
        <v>4</v>
      </c>
      <c r="H1175" t="s">
        <v>26</v>
      </c>
      <c r="I1175" t="s">
        <v>1743</v>
      </c>
      <c r="J1175" s="2">
        <v>3.1680000000000001</v>
      </c>
      <c r="K1175">
        <v>2</v>
      </c>
      <c r="L1175" s="4"/>
    </row>
    <row r="1176" spans="1:12" x14ac:dyDescent="0.3">
      <c r="A1176" s="1">
        <v>41967</v>
      </c>
      <c r="B1176" s="1">
        <v>41972</v>
      </c>
      <c r="C1176" t="s">
        <v>7</v>
      </c>
      <c r="D1176" t="s">
        <v>23</v>
      </c>
      <c r="E1176" t="s">
        <v>24</v>
      </c>
      <c r="F1176" t="s">
        <v>3</v>
      </c>
      <c r="G1176" t="s">
        <v>4</v>
      </c>
      <c r="H1176" t="s">
        <v>5</v>
      </c>
      <c r="I1176" t="s">
        <v>6</v>
      </c>
      <c r="J1176" s="2">
        <v>19.440000000000001</v>
      </c>
      <c r="K1176">
        <v>3</v>
      </c>
      <c r="L1176" s="4"/>
    </row>
    <row r="1177" spans="1:12" x14ac:dyDescent="0.3">
      <c r="A1177" s="1">
        <v>41967</v>
      </c>
      <c r="B1177" s="1">
        <v>41972</v>
      </c>
      <c r="C1177" t="s">
        <v>7</v>
      </c>
      <c r="D1177" t="s">
        <v>23</v>
      </c>
      <c r="E1177" t="s">
        <v>24</v>
      </c>
      <c r="F1177" t="s">
        <v>3</v>
      </c>
      <c r="G1177" t="s">
        <v>4</v>
      </c>
      <c r="H1177" t="s">
        <v>10</v>
      </c>
      <c r="I1177" t="s">
        <v>1744</v>
      </c>
      <c r="J1177" s="2">
        <v>454.86</v>
      </c>
      <c r="K1177">
        <v>7</v>
      </c>
      <c r="L1177" s="4"/>
    </row>
    <row r="1178" spans="1:12" x14ac:dyDescent="0.3">
      <c r="A1178" s="1">
        <v>41967</v>
      </c>
      <c r="B1178" s="1">
        <v>41972</v>
      </c>
      <c r="C1178" t="s">
        <v>7</v>
      </c>
      <c r="D1178" t="s">
        <v>23</v>
      </c>
      <c r="E1178" t="s">
        <v>24</v>
      </c>
      <c r="F1178" t="s">
        <v>3</v>
      </c>
      <c r="G1178" t="s">
        <v>4</v>
      </c>
      <c r="H1178" t="s">
        <v>26</v>
      </c>
      <c r="I1178" t="s">
        <v>804</v>
      </c>
      <c r="J1178" s="2">
        <v>91.391999999999996</v>
      </c>
      <c r="K1178">
        <v>8</v>
      </c>
      <c r="L1178" s="4"/>
    </row>
    <row r="1179" spans="1:12" x14ac:dyDescent="0.3">
      <c r="A1179" s="1">
        <v>41970</v>
      </c>
      <c r="B1179" s="1">
        <v>41976</v>
      </c>
      <c r="C1179" t="s">
        <v>7</v>
      </c>
      <c r="D1179" t="s">
        <v>1745</v>
      </c>
      <c r="E1179" t="s">
        <v>1746</v>
      </c>
      <c r="F1179" t="s">
        <v>3</v>
      </c>
      <c r="G1179" t="s">
        <v>12</v>
      </c>
      <c r="H1179" t="s">
        <v>70</v>
      </c>
      <c r="I1179" t="s">
        <v>1747</v>
      </c>
      <c r="J1179" s="2">
        <v>283.92</v>
      </c>
      <c r="K1179">
        <v>5</v>
      </c>
      <c r="L1179" s="4"/>
    </row>
    <row r="1180" spans="1:12" x14ac:dyDescent="0.3">
      <c r="A1180" s="1">
        <v>41970</v>
      </c>
      <c r="B1180" s="1">
        <v>41974</v>
      </c>
      <c r="C1180" t="s">
        <v>7</v>
      </c>
      <c r="D1180" t="s">
        <v>284</v>
      </c>
      <c r="E1180" t="s">
        <v>285</v>
      </c>
      <c r="F1180" t="s">
        <v>3</v>
      </c>
      <c r="G1180" t="s">
        <v>74</v>
      </c>
      <c r="H1180" t="s">
        <v>75</v>
      </c>
      <c r="I1180" t="s">
        <v>1748</v>
      </c>
      <c r="J1180" s="2">
        <v>107.97</v>
      </c>
      <c r="K1180">
        <v>3</v>
      </c>
      <c r="L1180" s="4"/>
    </row>
    <row r="1181" spans="1:12" x14ac:dyDescent="0.3">
      <c r="A1181" s="1">
        <v>41970</v>
      </c>
      <c r="B1181" s="1">
        <v>41974</v>
      </c>
      <c r="C1181" t="s">
        <v>7</v>
      </c>
      <c r="D1181" t="s">
        <v>284</v>
      </c>
      <c r="E1181" t="s">
        <v>285</v>
      </c>
      <c r="F1181" t="s">
        <v>3</v>
      </c>
      <c r="G1181" t="s">
        <v>4</v>
      </c>
      <c r="H1181" t="s">
        <v>5</v>
      </c>
      <c r="I1181" t="s">
        <v>1749</v>
      </c>
      <c r="J1181" s="2">
        <v>113.82</v>
      </c>
      <c r="K1181">
        <v>3</v>
      </c>
      <c r="L1181" s="4"/>
    </row>
    <row r="1182" spans="1:12" x14ac:dyDescent="0.3">
      <c r="A1182" s="1">
        <v>41971</v>
      </c>
      <c r="B1182" s="1">
        <v>41976</v>
      </c>
      <c r="C1182" t="s">
        <v>7</v>
      </c>
      <c r="D1182" t="s">
        <v>676</v>
      </c>
      <c r="E1182" t="s">
        <v>677</v>
      </c>
      <c r="F1182" t="s">
        <v>172</v>
      </c>
      <c r="G1182" t="s">
        <v>4</v>
      </c>
      <c r="H1182" t="s">
        <v>15</v>
      </c>
      <c r="I1182" t="s">
        <v>1750</v>
      </c>
      <c r="J1182" s="2">
        <v>8.2799999999999994</v>
      </c>
      <c r="K1182">
        <v>2</v>
      </c>
      <c r="L1182" s="4"/>
    </row>
    <row r="1183" spans="1:12" x14ac:dyDescent="0.3">
      <c r="A1183" s="1">
        <v>41971</v>
      </c>
      <c r="B1183" s="1">
        <v>41973</v>
      </c>
      <c r="C1183" t="s">
        <v>22</v>
      </c>
      <c r="D1183" t="s">
        <v>1751</v>
      </c>
      <c r="E1183" t="s">
        <v>1752</v>
      </c>
      <c r="F1183" t="s">
        <v>3</v>
      </c>
      <c r="G1183" t="s">
        <v>4</v>
      </c>
      <c r="H1183" t="s">
        <v>20</v>
      </c>
      <c r="I1183" t="s">
        <v>1753</v>
      </c>
      <c r="J1183" s="2">
        <v>45.28</v>
      </c>
      <c r="K1183">
        <v>4</v>
      </c>
      <c r="L1183" s="4"/>
    </row>
    <row r="1184" spans="1:12" x14ac:dyDescent="0.3">
      <c r="A1184" s="1">
        <v>41972</v>
      </c>
      <c r="B1184" s="1">
        <v>41973</v>
      </c>
      <c r="C1184" t="s">
        <v>240</v>
      </c>
      <c r="D1184" t="s">
        <v>1754</v>
      </c>
      <c r="E1184" t="s">
        <v>1755</v>
      </c>
      <c r="F1184" t="s">
        <v>3</v>
      </c>
      <c r="G1184" t="s">
        <v>4</v>
      </c>
      <c r="H1184" t="s">
        <v>26</v>
      </c>
      <c r="I1184" t="s">
        <v>1739</v>
      </c>
      <c r="J1184" s="2">
        <v>4.3040000000000003</v>
      </c>
      <c r="K1184">
        <v>1</v>
      </c>
      <c r="L1184" s="4"/>
    </row>
    <row r="1185" spans="1:12" x14ac:dyDescent="0.3">
      <c r="A1185" s="1">
        <v>41972</v>
      </c>
      <c r="B1185" s="1">
        <v>41973</v>
      </c>
      <c r="C1185" t="s">
        <v>22</v>
      </c>
      <c r="D1185" t="s">
        <v>132</v>
      </c>
      <c r="E1185" t="s">
        <v>133</v>
      </c>
      <c r="F1185" t="s">
        <v>3</v>
      </c>
      <c r="G1185" t="s">
        <v>4</v>
      </c>
      <c r="H1185" t="s">
        <v>15</v>
      </c>
      <c r="I1185" t="s">
        <v>1756</v>
      </c>
      <c r="J1185" s="2">
        <v>56.3</v>
      </c>
      <c r="K1185">
        <v>2</v>
      </c>
      <c r="L1185" s="4"/>
    </row>
    <row r="1186" spans="1:12" x14ac:dyDescent="0.3">
      <c r="A1186" s="1">
        <v>41973</v>
      </c>
      <c r="B1186" s="1">
        <v>41975</v>
      </c>
      <c r="C1186" t="s">
        <v>0</v>
      </c>
      <c r="D1186" t="s">
        <v>1468</v>
      </c>
      <c r="E1186" t="s">
        <v>1469</v>
      </c>
      <c r="F1186" t="s">
        <v>39</v>
      </c>
      <c r="G1186" t="s">
        <v>12</v>
      </c>
      <c r="H1186" t="s">
        <v>35</v>
      </c>
      <c r="I1186" t="s">
        <v>151</v>
      </c>
      <c r="J1186" s="2">
        <v>80.959999999999994</v>
      </c>
      <c r="K1186">
        <v>4</v>
      </c>
      <c r="L1186" s="4"/>
    </row>
    <row r="1187" spans="1:12" x14ac:dyDescent="0.3">
      <c r="A1187" s="1">
        <v>41973</v>
      </c>
      <c r="B1187" s="1">
        <v>41975</v>
      </c>
      <c r="C1187" t="s">
        <v>0</v>
      </c>
      <c r="D1187" t="s">
        <v>1468</v>
      </c>
      <c r="E1187" t="s">
        <v>1469</v>
      </c>
      <c r="F1187" t="s">
        <v>39</v>
      </c>
      <c r="G1187" t="s">
        <v>4</v>
      </c>
      <c r="H1187" t="s">
        <v>5</v>
      </c>
      <c r="I1187" t="s">
        <v>1757</v>
      </c>
      <c r="J1187" s="2">
        <v>25.92</v>
      </c>
      <c r="K1187">
        <v>4</v>
      </c>
      <c r="L1187" s="4"/>
    </row>
    <row r="1188" spans="1:12" x14ac:dyDescent="0.3">
      <c r="A1188" s="1">
        <v>41974</v>
      </c>
      <c r="B1188" s="1">
        <v>41981</v>
      </c>
      <c r="C1188" t="s">
        <v>7</v>
      </c>
      <c r="D1188" t="s">
        <v>1758</v>
      </c>
      <c r="E1188" t="s">
        <v>1759</v>
      </c>
      <c r="F1188" t="s">
        <v>56</v>
      </c>
      <c r="G1188" t="s">
        <v>4</v>
      </c>
      <c r="H1188" t="s">
        <v>26</v>
      </c>
      <c r="I1188" t="s">
        <v>1760</v>
      </c>
      <c r="J1188" s="2">
        <v>55.424000000000007</v>
      </c>
      <c r="K1188">
        <v>2</v>
      </c>
      <c r="L1188" s="4"/>
    </row>
    <row r="1189" spans="1:12" x14ac:dyDescent="0.3">
      <c r="A1189" s="1">
        <v>41974</v>
      </c>
      <c r="B1189" s="1">
        <v>41979</v>
      </c>
      <c r="C1189" t="s">
        <v>7</v>
      </c>
      <c r="D1189" t="s">
        <v>261</v>
      </c>
      <c r="E1189" t="s">
        <v>262</v>
      </c>
      <c r="F1189" t="s">
        <v>56</v>
      </c>
      <c r="G1189" t="s">
        <v>4</v>
      </c>
      <c r="H1189" t="s">
        <v>15</v>
      </c>
      <c r="I1189" t="s">
        <v>422</v>
      </c>
      <c r="J1189" s="2">
        <v>13.899999999999999</v>
      </c>
      <c r="K1189">
        <v>5</v>
      </c>
      <c r="L1189" s="4"/>
    </row>
    <row r="1190" spans="1:12" x14ac:dyDescent="0.3">
      <c r="A1190" s="1">
        <v>41974</v>
      </c>
      <c r="B1190" s="1">
        <v>41978</v>
      </c>
      <c r="C1190" t="s">
        <v>0</v>
      </c>
      <c r="D1190" t="s">
        <v>1761</v>
      </c>
      <c r="E1190" t="s">
        <v>1762</v>
      </c>
      <c r="F1190" t="s">
        <v>56</v>
      </c>
      <c r="G1190" t="s">
        <v>12</v>
      </c>
      <c r="H1190" t="s">
        <v>70</v>
      </c>
      <c r="I1190" t="s">
        <v>462</v>
      </c>
      <c r="J1190" s="2">
        <v>2003.9200000000003</v>
      </c>
      <c r="K1190">
        <v>5</v>
      </c>
      <c r="L1190" s="4"/>
    </row>
    <row r="1191" spans="1:12" x14ac:dyDescent="0.3">
      <c r="A1191" s="1">
        <v>41974</v>
      </c>
      <c r="B1191" s="1">
        <v>41978</v>
      </c>
      <c r="C1191" t="s">
        <v>0</v>
      </c>
      <c r="D1191" t="s">
        <v>1761</v>
      </c>
      <c r="E1191" t="s">
        <v>1762</v>
      </c>
      <c r="F1191" t="s">
        <v>56</v>
      </c>
      <c r="G1191" t="s">
        <v>4</v>
      </c>
      <c r="H1191" t="s">
        <v>5</v>
      </c>
      <c r="I1191" t="s">
        <v>1763</v>
      </c>
      <c r="J1191" s="2">
        <v>32.400000000000006</v>
      </c>
      <c r="K1191">
        <v>5</v>
      </c>
      <c r="L1191" s="4"/>
    </row>
    <row r="1192" spans="1:12" x14ac:dyDescent="0.3">
      <c r="A1192" s="1">
        <v>41974</v>
      </c>
      <c r="B1192" s="1">
        <v>41978</v>
      </c>
      <c r="C1192" t="s">
        <v>0</v>
      </c>
      <c r="D1192" t="s">
        <v>1761</v>
      </c>
      <c r="E1192" t="s">
        <v>1762</v>
      </c>
      <c r="F1192" t="s">
        <v>56</v>
      </c>
      <c r="G1192" t="s">
        <v>12</v>
      </c>
      <c r="H1192" t="s">
        <v>44</v>
      </c>
      <c r="I1192" t="s">
        <v>1764</v>
      </c>
      <c r="J1192" s="2">
        <v>1913.3999999999999</v>
      </c>
      <c r="K1192">
        <v>9</v>
      </c>
      <c r="L1192" s="4"/>
    </row>
    <row r="1193" spans="1:12" x14ac:dyDescent="0.3">
      <c r="A1193" s="1">
        <v>41974</v>
      </c>
      <c r="B1193" s="1">
        <v>41978</v>
      </c>
      <c r="C1193" t="s">
        <v>0</v>
      </c>
      <c r="D1193" t="s">
        <v>1761</v>
      </c>
      <c r="E1193" t="s">
        <v>1762</v>
      </c>
      <c r="F1193" t="s">
        <v>56</v>
      </c>
      <c r="G1193" t="s">
        <v>4</v>
      </c>
      <c r="H1193" t="s">
        <v>10</v>
      </c>
      <c r="I1193" t="s">
        <v>1765</v>
      </c>
      <c r="J1193" s="2">
        <v>146.72999999999999</v>
      </c>
      <c r="K1193">
        <v>3</v>
      </c>
      <c r="L1193" s="4"/>
    </row>
    <row r="1194" spans="1:12" x14ac:dyDescent="0.3">
      <c r="A1194" s="1">
        <v>41974</v>
      </c>
      <c r="B1194" s="1">
        <v>41978</v>
      </c>
      <c r="C1194" t="s">
        <v>0</v>
      </c>
      <c r="D1194" t="s">
        <v>1761</v>
      </c>
      <c r="E1194" t="s">
        <v>1762</v>
      </c>
      <c r="F1194" t="s">
        <v>56</v>
      </c>
      <c r="G1194" t="s">
        <v>4</v>
      </c>
      <c r="H1194" t="s">
        <v>5</v>
      </c>
      <c r="I1194" t="s">
        <v>1033</v>
      </c>
      <c r="J1194" s="2">
        <v>114.2</v>
      </c>
      <c r="K1194">
        <v>5</v>
      </c>
      <c r="L1194" s="4"/>
    </row>
    <row r="1195" spans="1:12" x14ac:dyDescent="0.3">
      <c r="A1195" s="1">
        <v>41974</v>
      </c>
      <c r="B1195" s="1">
        <v>41979</v>
      </c>
      <c r="C1195" t="s">
        <v>7</v>
      </c>
      <c r="D1195" t="s">
        <v>1766</v>
      </c>
      <c r="E1195" t="s">
        <v>1767</v>
      </c>
      <c r="F1195" t="s">
        <v>3</v>
      </c>
      <c r="G1195" t="s">
        <v>12</v>
      </c>
      <c r="H1195" t="s">
        <v>70</v>
      </c>
      <c r="I1195" t="s">
        <v>265</v>
      </c>
      <c r="J1195" s="2">
        <v>2676.672</v>
      </c>
      <c r="K1195">
        <v>9</v>
      </c>
      <c r="L1195" s="4"/>
    </row>
    <row r="1196" spans="1:12" x14ac:dyDescent="0.3">
      <c r="A1196" s="1">
        <v>41976</v>
      </c>
      <c r="B1196" s="1">
        <v>41980</v>
      </c>
      <c r="C1196" t="s">
        <v>7</v>
      </c>
      <c r="D1196" t="s">
        <v>919</v>
      </c>
      <c r="E1196" t="s">
        <v>920</v>
      </c>
      <c r="F1196" t="s">
        <v>3</v>
      </c>
      <c r="G1196" t="s">
        <v>12</v>
      </c>
      <c r="H1196" t="s">
        <v>13</v>
      </c>
      <c r="I1196" t="s">
        <v>1437</v>
      </c>
      <c r="J1196" s="2">
        <v>359.49899999999997</v>
      </c>
      <c r="K1196">
        <v>3</v>
      </c>
      <c r="L1196" s="4"/>
    </row>
    <row r="1197" spans="1:12" x14ac:dyDescent="0.3">
      <c r="A1197" s="1">
        <v>41977</v>
      </c>
      <c r="B1197" s="1">
        <v>41982</v>
      </c>
      <c r="C1197" t="s">
        <v>0</v>
      </c>
      <c r="D1197" t="s">
        <v>1768</v>
      </c>
      <c r="E1197" t="s">
        <v>1769</v>
      </c>
      <c r="F1197" t="s">
        <v>3</v>
      </c>
      <c r="G1197" t="s">
        <v>4</v>
      </c>
      <c r="H1197" t="s">
        <v>29</v>
      </c>
      <c r="I1197" t="s">
        <v>1770</v>
      </c>
      <c r="J1197" s="2">
        <v>271.44</v>
      </c>
      <c r="K1197">
        <v>3</v>
      </c>
      <c r="L1197" s="4"/>
    </row>
    <row r="1198" spans="1:12" x14ac:dyDescent="0.3">
      <c r="A1198" s="1">
        <v>41977</v>
      </c>
      <c r="B1198" s="1">
        <v>41982</v>
      </c>
      <c r="C1198" t="s">
        <v>0</v>
      </c>
      <c r="D1198" t="s">
        <v>1768</v>
      </c>
      <c r="E1198" t="s">
        <v>1769</v>
      </c>
      <c r="F1198" t="s">
        <v>3</v>
      </c>
      <c r="G1198" t="s">
        <v>74</v>
      </c>
      <c r="H1198" t="s">
        <v>147</v>
      </c>
      <c r="I1198" t="s">
        <v>1771</v>
      </c>
      <c r="J1198" s="2">
        <v>110.352</v>
      </c>
      <c r="K1198">
        <v>3</v>
      </c>
      <c r="L1198" s="4"/>
    </row>
    <row r="1199" spans="1:12" x14ac:dyDescent="0.3">
      <c r="A1199" s="1">
        <v>41977</v>
      </c>
      <c r="B1199" s="1">
        <v>41982</v>
      </c>
      <c r="C1199" t="s">
        <v>0</v>
      </c>
      <c r="D1199" t="s">
        <v>1768</v>
      </c>
      <c r="E1199" t="s">
        <v>1769</v>
      </c>
      <c r="F1199" t="s">
        <v>3</v>
      </c>
      <c r="G1199" t="s">
        <v>12</v>
      </c>
      <c r="H1199" t="s">
        <v>35</v>
      </c>
      <c r="I1199" t="s">
        <v>67</v>
      </c>
      <c r="J1199" s="2">
        <v>36.4</v>
      </c>
      <c r="K1199">
        <v>5</v>
      </c>
      <c r="L1199" s="4"/>
    </row>
    <row r="1200" spans="1:12" x14ac:dyDescent="0.3">
      <c r="A1200" s="1">
        <v>41977</v>
      </c>
      <c r="B1200" s="1">
        <v>41982</v>
      </c>
      <c r="C1200" t="s">
        <v>7</v>
      </c>
      <c r="D1200" t="s">
        <v>889</v>
      </c>
      <c r="E1200" t="s">
        <v>890</v>
      </c>
      <c r="F1200" t="s">
        <v>3</v>
      </c>
      <c r="G1200" t="s">
        <v>4</v>
      </c>
      <c r="H1200" t="s">
        <v>15</v>
      </c>
      <c r="I1200" t="s">
        <v>123</v>
      </c>
      <c r="J1200" s="2">
        <v>16.899999999999999</v>
      </c>
      <c r="K1200">
        <v>5</v>
      </c>
      <c r="L1200" s="4"/>
    </row>
    <row r="1201" spans="1:12" x14ac:dyDescent="0.3">
      <c r="A1201" s="1">
        <v>41977</v>
      </c>
      <c r="B1201" s="1">
        <v>41982</v>
      </c>
      <c r="C1201" t="s">
        <v>7</v>
      </c>
      <c r="D1201" t="s">
        <v>889</v>
      </c>
      <c r="E1201" t="s">
        <v>890</v>
      </c>
      <c r="F1201" t="s">
        <v>3</v>
      </c>
      <c r="G1201" t="s">
        <v>12</v>
      </c>
      <c r="H1201" t="s">
        <v>35</v>
      </c>
      <c r="I1201" t="s">
        <v>1042</v>
      </c>
      <c r="J1201" s="2">
        <v>25.08</v>
      </c>
      <c r="K1201">
        <v>6</v>
      </c>
      <c r="L1201" s="4"/>
    </row>
    <row r="1202" spans="1:12" x14ac:dyDescent="0.3">
      <c r="A1202" s="1">
        <v>41978</v>
      </c>
      <c r="B1202" s="1">
        <v>41982</v>
      </c>
      <c r="C1202" t="s">
        <v>7</v>
      </c>
      <c r="D1202" t="s">
        <v>1772</v>
      </c>
      <c r="E1202" t="s">
        <v>1773</v>
      </c>
      <c r="F1202" t="s">
        <v>3</v>
      </c>
      <c r="G1202" t="s">
        <v>12</v>
      </c>
      <c r="H1202" t="s">
        <v>35</v>
      </c>
      <c r="I1202" t="s">
        <v>1056</v>
      </c>
      <c r="J1202" s="2">
        <v>44.46</v>
      </c>
      <c r="K1202">
        <v>2</v>
      </c>
      <c r="L1202" s="4"/>
    </row>
    <row r="1203" spans="1:12" x14ac:dyDescent="0.3">
      <c r="A1203" s="1">
        <v>41978</v>
      </c>
      <c r="B1203" s="1">
        <v>41983</v>
      </c>
      <c r="C1203" t="s">
        <v>7</v>
      </c>
      <c r="D1203" t="s">
        <v>1528</v>
      </c>
      <c r="E1203" t="s">
        <v>1529</v>
      </c>
      <c r="F1203" t="s">
        <v>3</v>
      </c>
      <c r="G1203" t="s">
        <v>74</v>
      </c>
      <c r="H1203" t="s">
        <v>75</v>
      </c>
      <c r="I1203" t="s">
        <v>1774</v>
      </c>
      <c r="J1203" s="2">
        <v>39</v>
      </c>
      <c r="K1203">
        <v>3</v>
      </c>
      <c r="L1203" s="4"/>
    </row>
    <row r="1204" spans="1:12" x14ac:dyDescent="0.3">
      <c r="A1204" s="1">
        <v>41978</v>
      </c>
      <c r="B1204" s="1">
        <v>41983</v>
      </c>
      <c r="C1204" t="s">
        <v>7</v>
      </c>
      <c r="D1204" t="s">
        <v>1528</v>
      </c>
      <c r="E1204" t="s">
        <v>1529</v>
      </c>
      <c r="F1204" t="s">
        <v>3</v>
      </c>
      <c r="G1204" t="s">
        <v>4</v>
      </c>
      <c r="H1204" t="s">
        <v>168</v>
      </c>
      <c r="I1204" t="s">
        <v>1472</v>
      </c>
      <c r="J1204" s="2">
        <v>12.6</v>
      </c>
      <c r="K1204">
        <v>4</v>
      </c>
      <c r="L1204" s="4"/>
    </row>
    <row r="1205" spans="1:12" x14ac:dyDescent="0.3">
      <c r="A1205" s="1">
        <v>41979</v>
      </c>
      <c r="B1205" s="1">
        <v>41986</v>
      </c>
      <c r="C1205" t="s">
        <v>7</v>
      </c>
      <c r="D1205" t="s">
        <v>302</v>
      </c>
      <c r="E1205" t="s">
        <v>303</v>
      </c>
      <c r="F1205" t="s">
        <v>3</v>
      </c>
      <c r="G1205" t="s">
        <v>4</v>
      </c>
      <c r="H1205" t="s">
        <v>15</v>
      </c>
      <c r="I1205" t="s">
        <v>1775</v>
      </c>
      <c r="J1205" s="2">
        <v>120.14999999999999</v>
      </c>
      <c r="K1205">
        <v>9</v>
      </c>
      <c r="L1205" s="4"/>
    </row>
    <row r="1206" spans="1:12" x14ac:dyDescent="0.3">
      <c r="A1206" s="1">
        <v>41979</v>
      </c>
      <c r="B1206" s="1">
        <v>41986</v>
      </c>
      <c r="C1206" t="s">
        <v>7</v>
      </c>
      <c r="D1206" t="s">
        <v>302</v>
      </c>
      <c r="E1206" t="s">
        <v>303</v>
      </c>
      <c r="F1206" t="s">
        <v>3</v>
      </c>
      <c r="G1206" t="s">
        <v>74</v>
      </c>
      <c r="H1206" t="s">
        <v>147</v>
      </c>
      <c r="I1206" t="s">
        <v>235</v>
      </c>
      <c r="J1206" s="2">
        <v>219.18400000000003</v>
      </c>
      <c r="K1206">
        <v>2</v>
      </c>
      <c r="L1206" s="4"/>
    </row>
    <row r="1207" spans="1:12" x14ac:dyDescent="0.3">
      <c r="A1207" s="1">
        <v>41979</v>
      </c>
      <c r="B1207" s="1">
        <v>41984</v>
      </c>
      <c r="C1207" t="s">
        <v>7</v>
      </c>
      <c r="D1207" t="s">
        <v>372</v>
      </c>
      <c r="E1207" t="s">
        <v>373</v>
      </c>
      <c r="F1207" t="s">
        <v>25</v>
      </c>
      <c r="G1207" t="s">
        <v>12</v>
      </c>
      <c r="H1207" t="s">
        <v>35</v>
      </c>
      <c r="I1207" t="s">
        <v>1391</v>
      </c>
      <c r="J1207" s="2">
        <v>206.11199999999997</v>
      </c>
      <c r="K1207">
        <v>6</v>
      </c>
      <c r="L1207" s="4"/>
    </row>
    <row r="1208" spans="1:12" x14ac:dyDescent="0.3">
      <c r="A1208" s="1">
        <v>41979</v>
      </c>
      <c r="B1208" s="1">
        <v>41984</v>
      </c>
      <c r="C1208" t="s">
        <v>7</v>
      </c>
      <c r="D1208" t="s">
        <v>372</v>
      </c>
      <c r="E1208" t="s">
        <v>373</v>
      </c>
      <c r="F1208" t="s">
        <v>25</v>
      </c>
      <c r="G1208" t="s">
        <v>4</v>
      </c>
      <c r="H1208" t="s">
        <v>5</v>
      </c>
      <c r="I1208" t="s">
        <v>968</v>
      </c>
      <c r="J1208" s="2">
        <v>19.920000000000002</v>
      </c>
      <c r="K1208">
        <v>5</v>
      </c>
      <c r="L1208" s="4"/>
    </row>
    <row r="1209" spans="1:12" x14ac:dyDescent="0.3">
      <c r="A1209" s="1">
        <v>41979</v>
      </c>
      <c r="B1209" s="1">
        <v>41984</v>
      </c>
      <c r="C1209" t="s">
        <v>7</v>
      </c>
      <c r="D1209" t="s">
        <v>372</v>
      </c>
      <c r="E1209" t="s">
        <v>373</v>
      </c>
      <c r="F1209" t="s">
        <v>25</v>
      </c>
      <c r="G1209" t="s">
        <v>4</v>
      </c>
      <c r="H1209" t="s">
        <v>5</v>
      </c>
      <c r="I1209" t="s">
        <v>659</v>
      </c>
      <c r="J1209" s="2">
        <v>198.27200000000002</v>
      </c>
      <c r="K1209">
        <v>8</v>
      </c>
      <c r="L1209" s="4"/>
    </row>
    <row r="1210" spans="1:12" x14ac:dyDescent="0.3">
      <c r="A1210" s="1">
        <v>41979</v>
      </c>
      <c r="B1210" s="1">
        <v>41984</v>
      </c>
      <c r="C1210" t="s">
        <v>7</v>
      </c>
      <c r="D1210" t="s">
        <v>372</v>
      </c>
      <c r="E1210" t="s">
        <v>373</v>
      </c>
      <c r="F1210" t="s">
        <v>25</v>
      </c>
      <c r="G1210" t="s">
        <v>4</v>
      </c>
      <c r="H1210" t="s">
        <v>10</v>
      </c>
      <c r="I1210" t="s">
        <v>1378</v>
      </c>
      <c r="J1210" s="2">
        <v>247.10399999999998</v>
      </c>
      <c r="K1210">
        <v>6</v>
      </c>
      <c r="L1210" s="4"/>
    </row>
    <row r="1211" spans="1:12" x14ac:dyDescent="0.3">
      <c r="A1211" s="1">
        <v>41979</v>
      </c>
      <c r="B1211" s="1">
        <v>41984</v>
      </c>
      <c r="C1211" t="s">
        <v>7</v>
      </c>
      <c r="D1211" t="s">
        <v>372</v>
      </c>
      <c r="E1211" t="s">
        <v>373</v>
      </c>
      <c r="F1211" t="s">
        <v>25</v>
      </c>
      <c r="G1211" t="s">
        <v>4</v>
      </c>
      <c r="H1211" t="s">
        <v>15</v>
      </c>
      <c r="I1211" t="s">
        <v>611</v>
      </c>
      <c r="J1211" s="2">
        <v>86.304000000000002</v>
      </c>
      <c r="K1211">
        <v>6</v>
      </c>
      <c r="L1211" s="4"/>
    </row>
    <row r="1212" spans="1:12" x14ac:dyDescent="0.3">
      <c r="A1212" s="1">
        <v>41979</v>
      </c>
      <c r="B1212" s="1">
        <v>41984</v>
      </c>
      <c r="C1212" t="s">
        <v>7</v>
      </c>
      <c r="D1212" t="s">
        <v>1776</v>
      </c>
      <c r="E1212" t="s">
        <v>1777</v>
      </c>
      <c r="F1212" t="s">
        <v>3</v>
      </c>
      <c r="G1212" t="s">
        <v>4</v>
      </c>
      <c r="H1212" t="s">
        <v>5</v>
      </c>
      <c r="I1212" t="s">
        <v>1778</v>
      </c>
      <c r="J1212" s="2">
        <v>32.75</v>
      </c>
      <c r="K1212">
        <v>5</v>
      </c>
      <c r="L1212" s="4"/>
    </row>
    <row r="1213" spans="1:12" x14ac:dyDescent="0.3">
      <c r="A1213" s="1">
        <v>41979</v>
      </c>
      <c r="B1213" s="1">
        <v>41983</v>
      </c>
      <c r="C1213" t="s">
        <v>7</v>
      </c>
      <c r="D1213" t="s">
        <v>505</v>
      </c>
      <c r="E1213" t="s">
        <v>506</v>
      </c>
      <c r="F1213" t="s">
        <v>39</v>
      </c>
      <c r="G1213" t="s">
        <v>4</v>
      </c>
      <c r="H1213" t="s">
        <v>5</v>
      </c>
      <c r="I1213" t="s">
        <v>1779</v>
      </c>
      <c r="J1213" s="2">
        <v>6.48</v>
      </c>
      <c r="K1213">
        <v>1</v>
      </c>
      <c r="L1213" s="4"/>
    </row>
    <row r="1214" spans="1:12" x14ac:dyDescent="0.3">
      <c r="A1214" s="1">
        <v>41979</v>
      </c>
      <c r="B1214" s="1">
        <v>41983</v>
      </c>
      <c r="C1214" t="s">
        <v>7</v>
      </c>
      <c r="D1214" t="s">
        <v>505</v>
      </c>
      <c r="E1214" t="s">
        <v>506</v>
      </c>
      <c r="F1214" t="s">
        <v>39</v>
      </c>
      <c r="G1214" t="s">
        <v>4</v>
      </c>
      <c r="H1214" t="s">
        <v>10</v>
      </c>
      <c r="I1214" t="s">
        <v>11</v>
      </c>
      <c r="J1214" s="2">
        <v>1325.8500000000001</v>
      </c>
      <c r="K1214">
        <v>5</v>
      </c>
      <c r="L1214" s="4"/>
    </row>
    <row r="1215" spans="1:12" x14ac:dyDescent="0.3">
      <c r="A1215" s="1">
        <v>41979</v>
      </c>
      <c r="B1215" s="1">
        <v>41983</v>
      </c>
      <c r="C1215" t="s">
        <v>7</v>
      </c>
      <c r="D1215" t="s">
        <v>505</v>
      </c>
      <c r="E1215" t="s">
        <v>506</v>
      </c>
      <c r="F1215" t="s">
        <v>39</v>
      </c>
      <c r="G1215" t="s">
        <v>4</v>
      </c>
      <c r="H1215" t="s">
        <v>168</v>
      </c>
      <c r="I1215" t="s">
        <v>1780</v>
      </c>
      <c r="J1215" s="2">
        <v>14.940000000000001</v>
      </c>
      <c r="K1215">
        <v>3</v>
      </c>
      <c r="L1215" s="4"/>
    </row>
    <row r="1216" spans="1:12" x14ac:dyDescent="0.3">
      <c r="A1216" s="1">
        <v>41979</v>
      </c>
      <c r="B1216" s="1">
        <v>41984</v>
      </c>
      <c r="C1216" t="s">
        <v>7</v>
      </c>
      <c r="D1216" t="s">
        <v>1781</v>
      </c>
      <c r="E1216" t="s">
        <v>1782</v>
      </c>
      <c r="F1216" t="s">
        <v>3</v>
      </c>
      <c r="G1216" t="s">
        <v>4</v>
      </c>
      <c r="H1216" t="s">
        <v>20</v>
      </c>
      <c r="I1216" t="s">
        <v>897</v>
      </c>
      <c r="J1216" s="2">
        <v>7.78</v>
      </c>
      <c r="K1216">
        <v>2</v>
      </c>
      <c r="L1216" s="4"/>
    </row>
    <row r="1217" spans="1:12" x14ac:dyDescent="0.3">
      <c r="A1217" s="1">
        <v>41979</v>
      </c>
      <c r="B1217" s="1">
        <v>41984</v>
      </c>
      <c r="C1217" t="s">
        <v>0</v>
      </c>
      <c r="D1217" t="s">
        <v>1502</v>
      </c>
      <c r="E1217" t="s">
        <v>1503</v>
      </c>
      <c r="F1217" t="s">
        <v>3</v>
      </c>
      <c r="G1217" t="s">
        <v>4</v>
      </c>
      <c r="H1217" t="s">
        <v>5</v>
      </c>
      <c r="I1217" t="s">
        <v>790</v>
      </c>
      <c r="J1217" s="2">
        <v>8.9600000000000009</v>
      </c>
      <c r="K1217">
        <v>2</v>
      </c>
      <c r="L1217" s="4"/>
    </row>
    <row r="1218" spans="1:12" x14ac:dyDescent="0.3">
      <c r="A1218" s="1">
        <v>41980</v>
      </c>
      <c r="B1218" s="1">
        <v>41982</v>
      </c>
      <c r="C1218" t="s">
        <v>22</v>
      </c>
      <c r="D1218" t="s">
        <v>788</v>
      </c>
      <c r="E1218" t="s">
        <v>789</v>
      </c>
      <c r="F1218" t="s">
        <v>56</v>
      </c>
      <c r="G1218" t="s">
        <v>4</v>
      </c>
      <c r="H1218" t="s">
        <v>52</v>
      </c>
      <c r="I1218" t="s">
        <v>1783</v>
      </c>
      <c r="J1218" s="2">
        <v>3.96</v>
      </c>
      <c r="K1218">
        <v>2</v>
      </c>
      <c r="L1218" s="4"/>
    </row>
    <row r="1219" spans="1:12" x14ac:dyDescent="0.3">
      <c r="A1219" s="1">
        <v>41980</v>
      </c>
      <c r="B1219" s="1">
        <v>41982</v>
      </c>
      <c r="C1219" t="s">
        <v>22</v>
      </c>
      <c r="D1219" t="s">
        <v>788</v>
      </c>
      <c r="E1219" t="s">
        <v>789</v>
      </c>
      <c r="F1219" t="s">
        <v>56</v>
      </c>
      <c r="G1219" t="s">
        <v>4</v>
      </c>
      <c r="H1219" t="s">
        <v>168</v>
      </c>
      <c r="I1219" t="s">
        <v>1784</v>
      </c>
      <c r="J1219" s="2">
        <v>2.61</v>
      </c>
      <c r="K1219">
        <v>1</v>
      </c>
      <c r="L1219" s="4"/>
    </row>
    <row r="1220" spans="1:12" x14ac:dyDescent="0.3">
      <c r="A1220" s="1">
        <v>41980</v>
      </c>
      <c r="B1220" s="1">
        <v>41985</v>
      </c>
      <c r="C1220" t="s">
        <v>7</v>
      </c>
      <c r="D1220" t="s">
        <v>1785</v>
      </c>
      <c r="E1220" t="s">
        <v>1786</v>
      </c>
      <c r="F1220" t="s">
        <v>3</v>
      </c>
      <c r="G1220" t="s">
        <v>12</v>
      </c>
      <c r="H1220" t="s">
        <v>35</v>
      </c>
      <c r="I1220" t="s">
        <v>1787</v>
      </c>
      <c r="J1220" s="2">
        <v>79.92</v>
      </c>
      <c r="K1220">
        <v>4</v>
      </c>
      <c r="L1220" s="4"/>
    </row>
    <row r="1221" spans="1:12" x14ac:dyDescent="0.3">
      <c r="A1221" s="1">
        <v>41980</v>
      </c>
      <c r="B1221" s="1">
        <v>41980</v>
      </c>
      <c r="C1221" t="s">
        <v>240</v>
      </c>
      <c r="D1221" t="s">
        <v>1647</v>
      </c>
      <c r="E1221" t="s">
        <v>1648</v>
      </c>
      <c r="F1221" t="s">
        <v>3</v>
      </c>
      <c r="G1221" t="s">
        <v>4</v>
      </c>
      <c r="H1221" t="s">
        <v>5</v>
      </c>
      <c r="I1221" t="s">
        <v>1788</v>
      </c>
      <c r="J1221" s="2">
        <v>12.96</v>
      </c>
      <c r="K1221">
        <v>2</v>
      </c>
      <c r="L1221" s="4"/>
    </row>
    <row r="1222" spans="1:12" x14ac:dyDescent="0.3">
      <c r="A1222" s="1">
        <v>41981</v>
      </c>
      <c r="B1222" s="1">
        <v>41985</v>
      </c>
      <c r="C1222" t="s">
        <v>7</v>
      </c>
      <c r="D1222" t="s">
        <v>1789</v>
      </c>
      <c r="E1222" t="s">
        <v>1790</v>
      </c>
      <c r="F1222" t="s">
        <v>3</v>
      </c>
      <c r="G1222" t="s">
        <v>4</v>
      </c>
      <c r="H1222" t="s">
        <v>10</v>
      </c>
      <c r="I1222" t="s">
        <v>1552</v>
      </c>
      <c r="J1222" s="2">
        <v>221.96</v>
      </c>
      <c r="K1222">
        <v>2</v>
      </c>
      <c r="L1222" s="4"/>
    </row>
    <row r="1223" spans="1:12" x14ac:dyDescent="0.3">
      <c r="A1223" s="1">
        <v>41981</v>
      </c>
      <c r="B1223" s="1">
        <v>41985</v>
      </c>
      <c r="C1223" t="s">
        <v>7</v>
      </c>
      <c r="D1223" t="s">
        <v>1789</v>
      </c>
      <c r="E1223" t="s">
        <v>1790</v>
      </c>
      <c r="F1223" t="s">
        <v>3</v>
      </c>
      <c r="G1223" t="s">
        <v>74</v>
      </c>
      <c r="H1223" t="s">
        <v>75</v>
      </c>
      <c r="I1223" t="s">
        <v>642</v>
      </c>
      <c r="J1223" s="2">
        <v>236</v>
      </c>
      <c r="K1223">
        <v>4</v>
      </c>
      <c r="L1223" s="4"/>
    </row>
    <row r="1224" spans="1:12" x14ac:dyDescent="0.3">
      <c r="A1224" s="1">
        <v>41981</v>
      </c>
      <c r="B1224" s="1">
        <v>41985</v>
      </c>
      <c r="C1224" t="s">
        <v>7</v>
      </c>
      <c r="D1224" t="s">
        <v>680</v>
      </c>
      <c r="E1224" t="s">
        <v>681</v>
      </c>
      <c r="F1224" t="s">
        <v>115</v>
      </c>
      <c r="G1224" t="s">
        <v>4</v>
      </c>
      <c r="H1224" t="s">
        <v>5</v>
      </c>
      <c r="I1224" t="s">
        <v>1791</v>
      </c>
      <c r="J1224" s="2">
        <v>15.696000000000002</v>
      </c>
      <c r="K1224">
        <v>3</v>
      </c>
      <c r="L1224" s="4"/>
    </row>
    <row r="1225" spans="1:12" x14ac:dyDescent="0.3">
      <c r="A1225" s="1">
        <v>41983</v>
      </c>
      <c r="B1225" s="1">
        <v>41988</v>
      </c>
      <c r="C1225" t="s">
        <v>7</v>
      </c>
      <c r="D1225" t="s">
        <v>1554</v>
      </c>
      <c r="E1225" t="s">
        <v>1555</v>
      </c>
      <c r="F1225" t="s">
        <v>3</v>
      </c>
      <c r="G1225" t="s">
        <v>4</v>
      </c>
      <c r="H1225" t="s">
        <v>15</v>
      </c>
      <c r="I1225" t="s">
        <v>1756</v>
      </c>
      <c r="J1225" s="2">
        <v>56.3</v>
      </c>
      <c r="K1225">
        <v>2</v>
      </c>
      <c r="L1225" s="4"/>
    </row>
    <row r="1226" spans="1:12" x14ac:dyDescent="0.3">
      <c r="A1226" s="1">
        <v>41983</v>
      </c>
      <c r="B1226" s="1">
        <v>41987</v>
      </c>
      <c r="C1226" t="s">
        <v>7</v>
      </c>
      <c r="D1226" t="s">
        <v>1680</v>
      </c>
      <c r="E1226" t="s">
        <v>1681</v>
      </c>
      <c r="F1226" t="s">
        <v>3</v>
      </c>
      <c r="G1226" t="s">
        <v>4</v>
      </c>
      <c r="H1226" t="s">
        <v>168</v>
      </c>
      <c r="I1226" t="s">
        <v>1792</v>
      </c>
      <c r="J1226" s="2">
        <v>5.76</v>
      </c>
      <c r="K1226">
        <v>2</v>
      </c>
      <c r="L1226" s="4"/>
    </row>
    <row r="1227" spans="1:12" x14ac:dyDescent="0.3">
      <c r="A1227" s="1">
        <v>41984</v>
      </c>
      <c r="B1227" s="1">
        <v>41989</v>
      </c>
      <c r="C1227" t="s">
        <v>7</v>
      </c>
      <c r="D1227" t="s">
        <v>1793</v>
      </c>
      <c r="E1227" t="s">
        <v>1794</v>
      </c>
      <c r="F1227" t="s">
        <v>115</v>
      </c>
      <c r="G1227" t="s">
        <v>4</v>
      </c>
      <c r="H1227" t="s">
        <v>15</v>
      </c>
      <c r="I1227" t="s">
        <v>655</v>
      </c>
      <c r="J1227" s="2">
        <v>13.120000000000001</v>
      </c>
      <c r="K1227">
        <v>5</v>
      </c>
      <c r="L1227" s="4"/>
    </row>
    <row r="1228" spans="1:12" x14ac:dyDescent="0.3">
      <c r="A1228" s="1">
        <v>41984</v>
      </c>
      <c r="B1228" s="1">
        <v>41989</v>
      </c>
      <c r="C1228" t="s">
        <v>7</v>
      </c>
      <c r="D1228" t="s">
        <v>1793</v>
      </c>
      <c r="E1228" t="s">
        <v>1794</v>
      </c>
      <c r="F1228" t="s">
        <v>115</v>
      </c>
      <c r="G1228" t="s">
        <v>12</v>
      </c>
      <c r="H1228" t="s">
        <v>13</v>
      </c>
      <c r="I1228" t="s">
        <v>1795</v>
      </c>
      <c r="J1228" s="2">
        <v>69.576000000000008</v>
      </c>
      <c r="K1228">
        <v>4</v>
      </c>
      <c r="L1228" s="4"/>
    </row>
    <row r="1229" spans="1:12" x14ac:dyDescent="0.3">
      <c r="A1229" s="1">
        <v>41984</v>
      </c>
      <c r="B1229" s="1">
        <v>41989</v>
      </c>
      <c r="C1229" t="s">
        <v>7</v>
      </c>
      <c r="D1229" t="s">
        <v>1793</v>
      </c>
      <c r="E1229" t="s">
        <v>1794</v>
      </c>
      <c r="F1229" t="s">
        <v>115</v>
      </c>
      <c r="G1229" t="s">
        <v>4</v>
      </c>
      <c r="H1229" t="s">
        <v>15</v>
      </c>
      <c r="I1229" t="s">
        <v>1796</v>
      </c>
      <c r="J1229" s="2">
        <v>4.2240000000000002</v>
      </c>
      <c r="K1229">
        <v>3</v>
      </c>
      <c r="L1229" s="4"/>
    </row>
    <row r="1230" spans="1:12" x14ac:dyDescent="0.3">
      <c r="A1230" s="1">
        <v>41984</v>
      </c>
      <c r="B1230" s="1">
        <v>41989</v>
      </c>
      <c r="C1230" t="s">
        <v>7</v>
      </c>
      <c r="D1230" t="s">
        <v>1793</v>
      </c>
      <c r="E1230" t="s">
        <v>1794</v>
      </c>
      <c r="F1230" t="s">
        <v>115</v>
      </c>
      <c r="G1230" t="s">
        <v>74</v>
      </c>
      <c r="H1230" t="s">
        <v>75</v>
      </c>
      <c r="I1230" t="s">
        <v>1797</v>
      </c>
      <c r="J1230" s="2">
        <v>58.08</v>
      </c>
      <c r="K1230">
        <v>4</v>
      </c>
      <c r="L1230" s="4"/>
    </row>
    <row r="1231" spans="1:12" x14ac:dyDescent="0.3">
      <c r="A1231" s="1">
        <v>41984</v>
      </c>
      <c r="B1231" s="1">
        <v>41989</v>
      </c>
      <c r="C1231" t="s">
        <v>7</v>
      </c>
      <c r="D1231" t="s">
        <v>1793</v>
      </c>
      <c r="E1231" t="s">
        <v>1794</v>
      </c>
      <c r="F1231" t="s">
        <v>115</v>
      </c>
      <c r="G1231" t="s">
        <v>12</v>
      </c>
      <c r="H1231" t="s">
        <v>35</v>
      </c>
      <c r="I1231" t="s">
        <v>1798</v>
      </c>
      <c r="J1231" s="2">
        <v>52.416000000000004</v>
      </c>
      <c r="K1231">
        <v>9</v>
      </c>
      <c r="L1231" s="4"/>
    </row>
    <row r="1232" spans="1:12" x14ac:dyDescent="0.3">
      <c r="A1232" s="1">
        <v>41984</v>
      </c>
      <c r="B1232" s="1">
        <v>41989</v>
      </c>
      <c r="C1232" t="s">
        <v>7</v>
      </c>
      <c r="D1232" t="s">
        <v>1793</v>
      </c>
      <c r="E1232" t="s">
        <v>1794</v>
      </c>
      <c r="F1232" t="s">
        <v>115</v>
      </c>
      <c r="G1232" t="s">
        <v>12</v>
      </c>
      <c r="H1232" t="s">
        <v>35</v>
      </c>
      <c r="I1232" t="s">
        <v>1799</v>
      </c>
      <c r="J1232" s="2">
        <v>54.920000000000009</v>
      </c>
      <c r="K1232">
        <v>5</v>
      </c>
      <c r="L1232" s="4"/>
    </row>
    <row r="1233" spans="1:12" x14ac:dyDescent="0.3">
      <c r="A1233" s="1">
        <v>41984</v>
      </c>
      <c r="B1233" s="1">
        <v>41989</v>
      </c>
      <c r="C1233" t="s">
        <v>7</v>
      </c>
      <c r="D1233" t="s">
        <v>1793</v>
      </c>
      <c r="E1233" t="s">
        <v>1794</v>
      </c>
      <c r="F1233" t="s">
        <v>115</v>
      </c>
      <c r="G1233" t="s">
        <v>12</v>
      </c>
      <c r="H1233" t="s">
        <v>44</v>
      </c>
      <c r="I1233" t="s">
        <v>921</v>
      </c>
      <c r="J1233" s="2">
        <v>364.95</v>
      </c>
      <c r="K1233">
        <v>5</v>
      </c>
      <c r="L1233" s="4"/>
    </row>
    <row r="1234" spans="1:12" x14ac:dyDescent="0.3">
      <c r="A1234" s="1">
        <v>41984</v>
      </c>
      <c r="B1234" s="1">
        <v>41989</v>
      </c>
      <c r="C1234" t="s">
        <v>7</v>
      </c>
      <c r="D1234" t="s">
        <v>1793</v>
      </c>
      <c r="E1234" t="s">
        <v>1794</v>
      </c>
      <c r="F1234" t="s">
        <v>115</v>
      </c>
      <c r="G1234" t="s">
        <v>4</v>
      </c>
      <c r="H1234" t="s">
        <v>5</v>
      </c>
      <c r="I1234" t="s">
        <v>1800</v>
      </c>
      <c r="J1234" s="2">
        <v>85.055999999999997</v>
      </c>
      <c r="K1234">
        <v>3</v>
      </c>
      <c r="L1234" s="4"/>
    </row>
    <row r="1235" spans="1:12" x14ac:dyDescent="0.3">
      <c r="A1235" s="1">
        <v>41984</v>
      </c>
      <c r="B1235" s="1">
        <v>41989</v>
      </c>
      <c r="C1235" t="s">
        <v>7</v>
      </c>
      <c r="D1235" t="s">
        <v>1793</v>
      </c>
      <c r="E1235" t="s">
        <v>1794</v>
      </c>
      <c r="F1235" t="s">
        <v>115</v>
      </c>
      <c r="G1235" t="s">
        <v>4</v>
      </c>
      <c r="H1235" t="s">
        <v>5</v>
      </c>
      <c r="I1235" t="s">
        <v>1801</v>
      </c>
      <c r="J1235" s="2">
        <v>27.695999999999998</v>
      </c>
      <c r="K1235">
        <v>3</v>
      </c>
      <c r="L1235" s="4"/>
    </row>
    <row r="1236" spans="1:12" x14ac:dyDescent="0.3">
      <c r="A1236" s="1">
        <v>41984</v>
      </c>
      <c r="B1236" s="1">
        <v>41990</v>
      </c>
      <c r="C1236" t="s">
        <v>7</v>
      </c>
      <c r="D1236" t="s">
        <v>666</v>
      </c>
      <c r="E1236" t="s">
        <v>667</v>
      </c>
      <c r="F1236" t="s">
        <v>3</v>
      </c>
      <c r="G1236" t="s">
        <v>4</v>
      </c>
      <c r="H1236" t="s">
        <v>26</v>
      </c>
      <c r="I1236" t="s">
        <v>61</v>
      </c>
      <c r="J1236" s="2">
        <v>110.52800000000001</v>
      </c>
      <c r="K1236">
        <v>4</v>
      </c>
      <c r="L1236" s="4"/>
    </row>
    <row r="1237" spans="1:12" x14ac:dyDescent="0.3">
      <c r="A1237" s="1">
        <v>41985</v>
      </c>
      <c r="B1237" s="1">
        <v>41989</v>
      </c>
      <c r="C1237" t="s">
        <v>7</v>
      </c>
      <c r="D1237" t="s">
        <v>1671</v>
      </c>
      <c r="E1237" t="s">
        <v>1672</v>
      </c>
      <c r="F1237" t="s">
        <v>3</v>
      </c>
      <c r="G1237" t="s">
        <v>12</v>
      </c>
      <c r="H1237" t="s">
        <v>70</v>
      </c>
      <c r="I1237" t="s">
        <v>1802</v>
      </c>
      <c r="J1237" s="2">
        <v>348.92800000000005</v>
      </c>
      <c r="K1237">
        <v>2</v>
      </c>
      <c r="L1237" s="4"/>
    </row>
    <row r="1238" spans="1:12" x14ac:dyDescent="0.3">
      <c r="A1238" s="1">
        <v>41985</v>
      </c>
      <c r="B1238" s="1">
        <v>41988</v>
      </c>
      <c r="C1238" t="s">
        <v>22</v>
      </c>
      <c r="D1238" t="s">
        <v>1803</v>
      </c>
      <c r="E1238" t="s">
        <v>1804</v>
      </c>
      <c r="F1238" t="s">
        <v>3</v>
      </c>
      <c r="G1238" t="s">
        <v>4</v>
      </c>
      <c r="H1238" t="s">
        <v>52</v>
      </c>
      <c r="I1238" t="s">
        <v>53</v>
      </c>
      <c r="J1238" s="2">
        <v>7.86</v>
      </c>
      <c r="K1238">
        <v>2</v>
      </c>
      <c r="L1238" s="4"/>
    </row>
    <row r="1239" spans="1:12" x14ac:dyDescent="0.3">
      <c r="A1239" s="1">
        <v>41985</v>
      </c>
      <c r="B1239" s="1">
        <v>41988</v>
      </c>
      <c r="C1239" t="s">
        <v>22</v>
      </c>
      <c r="D1239" t="s">
        <v>1803</v>
      </c>
      <c r="E1239" t="s">
        <v>1804</v>
      </c>
      <c r="F1239" t="s">
        <v>3</v>
      </c>
      <c r="G1239" t="s">
        <v>4</v>
      </c>
      <c r="H1239" t="s">
        <v>26</v>
      </c>
      <c r="I1239" t="s">
        <v>1805</v>
      </c>
      <c r="J1239" s="2">
        <v>24.448</v>
      </c>
      <c r="K1239">
        <v>2</v>
      </c>
      <c r="L1239" s="4"/>
    </row>
    <row r="1240" spans="1:12" x14ac:dyDescent="0.3">
      <c r="A1240" s="1">
        <v>41985</v>
      </c>
      <c r="B1240" s="1">
        <v>41989</v>
      </c>
      <c r="C1240" t="s">
        <v>0</v>
      </c>
      <c r="D1240" t="s">
        <v>751</v>
      </c>
      <c r="E1240" t="s">
        <v>752</v>
      </c>
      <c r="F1240" t="s">
        <v>3</v>
      </c>
      <c r="G1240" t="s">
        <v>4</v>
      </c>
      <c r="H1240" t="s">
        <v>15</v>
      </c>
      <c r="I1240" t="s">
        <v>1347</v>
      </c>
      <c r="J1240" s="2">
        <v>2.21</v>
      </c>
      <c r="K1240">
        <v>1</v>
      </c>
      <c r="L1240" s="4"/>
    </row>
    <row r="1241" spans="1:12" x14ac:dyDescent="0.3">
      <c r="A1241" s="1">
        <v>41985</v>
      </c>
      <c r="B1241" s="1">
        <v>41989</v>
      </c>
      <c r="C1241" t="s">
        <v>0</v>
      </c>
      <c r="D1241" t="s">
        <v>751</v>
      </c>
      <c r="E1241" t="s">
        <v>752</v>
      </c>
      <c r="F1241" t="s">
        <v>3</v>
      </c>
      <c r="G1241" t="s">
        <v>4</v>
      </c>
      <c r="H1241" t="s">
        <v>29</v>
      </c>
      <c r="I1241" t="s">
        <v>631</v>
      </c>
      <c r="J1241" s="2">
        <v>15.52</v>
      </c>
      <c r="K1241">
        <v>4</v>
      </c>
      <c r="L1241" s="4"/>
    </row>
    <row r="1242" spans="1:12" x14ac:dyDescent="0.3">
      <c r="A1242" s="1">
        <v>41985</v>
      </c>
      <c r="B1242" s="1">
        <v>41989</v>
      </c>
      <c r="C1242" t="s">
        <v>0</v>
      </c>
      <c r="D1242" t="s">
        <v>751</v>
      </c>
      <c r="E1242" t="s">
        <v>752</v>
      </c>
      <c r="F1242" t="s">
        <v>3</v>
      </c>
      <c r="G1242" t="s">
        <v>4</v>
      </c>
      <c r="H1242" t="s">
        <v>5</v>
      </c>
      <c r="I1242" t="s">
        <v>1806</v>
      </c>
      <c r="J1242" s="2">
        <v>36.44</v>
      </c>
      <c r="K1242">
        <v>4</v>
      </c>
      <c r="L1242" s="4"/>
    </row>
    <row r="1243" spans="1:12" x14ac:dyDescent="0.3">
      <c r="A1243" s="1">
        <v>41985</v>
      </c>
      <c r="B1243" s="1">
        <v>41989</v>
      </c>
      <c r="C1243" t="s">
        <v>7</v>
      </c>
      <c r="D1243" t="s">
        <v>1807</v>
      </c>
      <c r="E1243" t="s">
        <v>1808</v>
      </c>
      <c r="F1243" t="s">
        <v>3</v>
      </c>
      <c r="G1243" t="s">
        <v>12</v>
      </c>
      <c r="H1243" t="s">
        <v>35</v>
      </c>
      <c r="I1243" t="s">
        <v>137</v>
      </c>
      <c r="J1243" s="2">
        <v>166.5</v>
      </c>
      <c r="K1243">
        <v>3</v>
      </c>
      <c r="L1243" s="4"/>
    </row>
    <row r="1244" spans="1:12" x14ac:dyDescent="0.3">
      <c r="A1244" s="1">
        <v>41985</v>
      </c>
      <c r="B1244" s="1">
        <v>41989</v>
      </c>
      <c r="C1244" t="s">
        <v>7</v>
      </c>
      <c r="D1244" t="s">
        <v>1807</v>
      </c>
      <c r="E1244" t="s">
        <v>1808</v>
      </c>
      <c r="F1244" t="s">
        <v>3</v>
      </c>
      <c r="G1244" t="s">
        <v>4</v>
      </c>
      <c r="H1244" t="s">
        <v>10</v>
      </c>
      <c r="I1244" t="s">
        <v>1001</v>
      </c>
      <c r="J1244" s="2">
        <v>360.38</v>
      </c>
      <c r="K1244">
        <v>2</v>
      </c>
      <c r="L1244" s="4"/>
    </row>
    <row r="1245" spans="1:12" x14ac:dyDescent="0.3">
      <c r="A1245" s="1">
        <v>41985</v>
      </c>
      <c r="B1245" s="1">
        <v>41988</v>
      </c>
      <c r="C1245" t="s">
        <v>0</v>
      </c>
      <c r="D1245" t="s">
        <v>158</v>
      </c>
      <c r="E1245" t="s">
        <v>159</v>
      </c>
      <c r="F1245" t="s">
        <v>39</v>
      </c>
      <c r="G1245" t="s">
        <v>4</v>
      </c>
      <c r="H1245" t="s">
        <v>5</v>
      </c>
      <c r="I1245" t="s">
        <v>1809</v>
      </c>
      <c r="J1245" s="2">
        <v>32.400000000000006</v>
      </c>
      <c r="K1245">
        <v>5</v>
      </c>
      <c r="L1245" s="4"/>
    </row>
    <row r="1246" spans="1:12" x14ac:dyDescent="0.3">
      <c r="A1246" s="1">
        <v>41985</v>
      </c>
      <c r="B1246" s="1">
        <v>41988</v>
      </c>
      <c r="C1246" t="s">
        <v>0</v>
      </c>
      <c r="D1246" t="s">
        <v>158</v>
      </c>
      <c r="E1246" t="s">
        <v>159</v>
      </c>
      <c r="F1246" t="s">
        <v>39</v>
      </c>
      <c r="G1246" t="s">
        <v>4</v>
      </c>
      <c r="H1246" t="s">
        <v>5</v>
      </c>
      <c r="I1246" t="s">
        <v>1590</v>
      </c>
      <c r="J1246" s="2">
        <v>97.88</v>
      </c>
      <c r="K1246">
        <v>2</v>
      </c>
      <c r="L1246" s="4"/>
    </row>
    <row r="1247" spans="1:12" x14ac:dyDescent="0.3">
      <c r="A1247" s="1">
        <v>41985</v>
      </c>
      <c r="B1247" s="1">
        <v>41988</v>
      </c>
      <c r="C1247" t="s">
        <v>22</v>
      </c>
      <c r="D1247" t="s">
        <v>1810</v>
      </c>
      <c r="E1247" t="s">
        <v>1811</v>
      </c>
      <c r="F1247" t="s">
        <v>3</v>
      </c>
      <c r="G1247" t="s">
        <v>74</v>
      </c>
      <c r="H1247" t="s">
        <v>75</v>
      </c>
      <c r="I1247" t="s">
        <v>1812</v>
      </c>
      <c r="J1247" s="2">
        <v>299.94</v>
      </c>
      <c r="K1247">
        <v>6</v>
      </c>
      <c r="L1247" s="4"/>
    </row>
    <row r="1248" spans="1:12" x14ac:dyDescent="0.3">
      <c r="A1248" s="1">
        <v>41985</v>
      </c>
      <c r="B1248" s="1">
        <v>41988</v>
      </c>
      <c r="C1248" t="s">
        <v>22</v>
      </c>
      <c r="D1248" t="s">
        <v>1810</v>
      </c>
      <c r="E1248" t="s">
        <v>1811</v>
      </c>
      <c r="F1248" t="s">
        <v>3</v>
      </c>
      <c r="G1248" t="s">
        <v>4</v>
      </c>
      <c r="H1248" t="s">
        <v>78</v>
      </c>
      <c r="I1248" t="s">
        <v>362</v>
      </c>
      <c r="J1248" s="2">
        <v>25.76</v>
      </c>
      <c r="K1248">
        <v>7</v>
      </c>
      <c r="L1248" s="4"/>
    </row>
    <row r="1249" spans="1:12" x14ac:dyDescent="0.3">
      <c r="A1249" s="1">
        <v>41986</v>
      </c>
      <c r="B1249" s="1">
        <v>41990</v>
      </c>
      <c r="C1249" t="s">
        <v>7</v>
      </c>
      <c r="D1249" t="s">
        <v>791</v>
      </c>
      <c r="E1249" t="s">
        <v>792</v>
      </c>
      <c r="F1249" t="s">
        <v>3</v>
      </c>
      <c r="G1249" t="s">
        <v>4</v>
      </c>
      <c r="H1249" t="s">
        <v>5</v>
      </c>
      <c r="I1249" t="s">
        <v>1813</v>
      </c>
      <c r="J1249" s="2">
        <v>12.96</v>
      </c>
      <c r="K1249">
        <v>2</v>
      </c>
      <c r="L1249" s="4"/>
    </row>
    <row r="1250" spans="1:12" x14ac:dyDescent="0.3">
      <c r="A1250" s="1">
        <v>41986</v>
      </c>
      <c r="B1250" s="1">
        <v>41990</v>
      </c>
      <c r="C1250" t="s">
        <v>7</v>
      </c>
      <c r="D1250" t="s">
        <v>791</v>
      </c>
      <c r="E1250" t="s">
        <v>792</v>
      </c>
      <c r="F1250" t="s">
        <v>3</v>
      </c>
      <c r="G1250" t="s">
        <v>4</v>
      </c>
      <c r="H1250" t="s">
        <v>20</v>
      </c>
      <c r="I1250" t="s">
        <v>1814</v>
      </c>
      <c r="J1250" s="2">
        <v>134.47999999999999</v>
      </c>
      <c r="K1250">
        <v>4</v>
      </c>
      <c r="L1250" s="4"/>
    </row>
    <row r="1251" spans="1:12" x14ac:dyDescent="0.3">
      <c r="A1251" s="1">
        <v>41986</v>
      </c>
      <c r="B1251" s="1">
        <v>41988</v>
      </c>
      <c r="C1251" t="s">
        <v>0</v>
      </c>
      <c r="D1251" t="s">
        <v>1520</v>
      </c>
      <c r="E1251" t="s">
        <v>1521</v>
      </c>
      <c r="F1251" t="s">
        <v>3</v>
      </c>
      <c r="G1251" t="s">
        <v>4</v>
      </c>
      <c r="H1251" t="s">
        <v>168</v>
      </c>
      <c r="I1251" t="s">
        <v>1815</v>
      </c>
      <c r="J1251" s="2">
        <v>9.9600000000000009</v>
      </c>
      <c r="K1251">
        <v>2</v>
      </c>
      <c r="L1251" s="4"/>
    </row>
    <row r="1252" spans="1:12" x14ac:dyDescent="0.3">
      <c r="A1252" s="1">
        <v>41986</v>
      </c>
      <c r="B1252" s="1">
        <v>41988</v>
      </c>
      <c r="C1252" t="s">
        <v>22</v>
      </c>
      <c r="D1252" t="s">
        <v>1164</v>
      </c>
      <c r="E1252" t="s">
        <v>1165</v>
      </c>
      <c r="F1252" t="s">
        <v>3</v>
      </c>
      <c r="G1252" t="s">
        <v>74</v>
      </c>
      <c r="H1252" t="s">
        <v>147</v>
      </c>
      <c r="I1252" t="s">
        <v>1816</v>
      </c>
      <c r="J1252" s="2">
        <v>494.37600000000009</v>
      </c>
      <c r="K1252">
        <v>3</v>
      </c>
      <c r="L1252" s="4"/>
    </row>
    <row r="1253" spans="1:12" x14ac:dyDescent="0.3">
      <c r="A1253" s="1">
        <v>41986</v>
      </c>
      <c r="B1253" s="1">
        <v>41988</v>
      </c>
      <c r="C1253" t="s">
        <v>22</v>
      </c>
      <c r="D1253" t="s">
        <v>1164</v>
      </c>
      <c r="E1253" t="s">
        <v>1165</v>
      </c>
      <c r="F1253" t="s">
        <v>3</v>
      </c>
      <c r="G1253" t="s">
        <v>4</v>
      </c>
      <c r="H1253" t="s">
        <v>26</v>
      </c>
      <c r="I1253" t="s">
        <v>1817</v>
      </c>
      <c r="J1253" s="2">
        <v>29.2</v>
      </c>
      <c r="K1253">
        <v>5</v>
      </c>
      <c r="L1253" s="4"/>
    </row>
    <row r="1254" spans="1:12" x14ac:dyDescent="0.3">
      <c r="A1254" s="1">
        <v>41986</v>
      </c>
      <c r="B1254" s="1">
        <v>41988</v>
      </c>
      <c r="C1254" t="s">
        <v>22</v>
      </c>
      <c r="D1254" t="s">
        <v>1164</v>
      </c>
      <c r="E1254" t="s">
        <v>1165</v>
      </c>
      <c r="F1254" t="s">
        <v>3</v>
      </c>
      <c r="G1254" t="s">
        <v>74</v>
      </c>
      <c r="H1254" t="s">
        <v>75</v>
      </c>
      <c r="I1254" t="s">
        <v>1670</v>
      </c>
      <c r="J1254" s="2">
        <v>248.85000000000002</v>
      </c>
      <c r="K1254">
        <v>5</v>
      </c>
      <c r="L1254" s="4"/>
    </row>
    <row r="1255" spans="1:12" x14ac:dyDescent="0.3">
      <c r="A1255" s="1">
        <v>41986</v>
      </c>
      <c r="B1255" s="1">
        <v>41988</v>
      </c>
      <c r="C1255" t="s">
        <v>22</v>
      </c>
      <c r="D1255" t="s">
        <v>1164</v>
      </c>
      <c r="E1255" t="s">
        <v>1165</v>
      </c>
      <c r="F1255" t="s">
        <v>3</v>
      </c>
      <c r="G1255" t="s">
        <v>74</v>
      </c>
      <c r="H1255" t="s">
        <v>75</v>
      </c>
      <c r="I1255" t="s">
        <v>231</v>
      </c>
      <c r="J1255" s="2">
        <v>36.24</v>
      </c>
      <c r="K1255">
        <v>1</v>
      </c>
      <c r="L1255" s="4"/>
    </row>
    <row r="1256" spans="1:12" x14ac:dyDescent="0.3">
      <c r="A1256" s="1">
        <v>41987</v>
      </c>
      <c r="B1256" s="1">
        <v>41989</v>
      </c>
      <c r="C1256" t="s">
        <v>0</v>
      </c>
      <c r="D1256" t="s">
        <v>1818</v>
      </c>
      <c r="E1256" t="s">
        <v>1819</v>
      </c>
      <c r="F1256" t="s">
        <v>19</v>
      </c>
      <c r="G1256" t="s">
        <v>74</v>
      </c>
      <c r="H1256" t="s">
        <v>147</v>
      </c>
      <c r="I1256" t="s">
        <v>1124</v>
      </c>
      <c r="J1256" s="2">
        <v>319.96800000000002</v>
      </c>
      <c r="K1256">
        <v>4</v>
      </c>
      <c r="L1256" s="4"/>
    </row>
    <row r="1257" spans="1:12" x14ac:dyDescent="0.3">
      <c r="A1257" s="1">
        <v>41987</v>
      </c>
      <c r="B1257" s="1">
        <v>41992</v>
      </c>
      <c r="C1257" t="s">
        <v>7</v>
      </c>
      <c r="D1257" t="s">
        <v>1394</v>
      </c>
      <c r="E1257" t="s">
        <v>1395</v>
      </c>
      <c r="F1257" t="s">
        <v>3</v>
      </c>
      <c r="G1257" t="s">
        <v>4</v>
      </c>
      <c r="H1257" t="s">
        <v>26</v>
      </c>
      <c r="I1257" t="s">
        <v>1152</v>
      </c>
      <c r="J1257" s="2">
        <v>8.0960000000000001</v>
      </c>
      <c r="K1257">
        <v>2</v>
      </c>
      <c r="L1257" s="4"/>
    </row>
    <row r="1258" spans="1:12" x14ac:dyDescent="0.3">
      <c r="A1258" s="1">
        <v>41987</v>
      </c>
      <c r="B1258" s="1">
        <v>41991</v>
      </c>
      <c r="C1258" t="s">
        <v>7</v>
      </c>
      <c r="D1258" t="s">
        <v>719</v>
      </c>
      <c r="E1258" t="s">
        <v>720</v>
      </c>
      <c r="F1258" t="s">
        <v>3</v>
      </c>
      <c r="G1258" t="s">
        <v>12</v>
      </c>
      <c r="H1258" t="s">
        <v>35</v>
      </c>
      <c r="I1258" t="s">
        <v>1820</v>
      </c>
      <c r="J1258" s="2">
        <v>15.24</v>
      </c>
      <c r="K1258">
        <v>3</v>
      </c>
      <c r="L1258" s="4"/>
    </row>
    <row r="1259" spans="1:12" x14ac:dyDescent="0.3">
      <c r="A1259" s="1">
        <v>41987</v>
      </c>
      <c r="B1259" s="1">
        <v>41991</v>
      </c>
      <c r="C1259" t="s">
        <v>7</v>
      </c>
      <c r="D1259" t="s">
        <v>1411</v>
      </c>
      <c r="E1259" t="s">
        <v>1412</v>
      </c>
      <c r="F1259" t="s">
        <v>3</v>
      </c>
      <c r="G1259" t="s">
        <v>12</v>
      </c>
      <c r="H1259" t="s">
        <v>35</v>
      </c>
      <c r="I1259" t="s">
        <v>484</v>
      </c>
      <c r="J1259" s="2">
        <v>29.22</v>
      </c>
      <c r="K1259">
        <v>3</v>
      </c>
      <c r="L1259" s="4"/>
    </row>
    <row r="1260" spans="1:12" x14ac:dyDescent="0.3">
      <c r="A1260" s="1">
        <v>41987</v>
      </c>
      <c r="B1260" s="1">
        <v>41992</v>
      </c>
      <c r="C1260" t="s">
        <v>0</v>
      </c>
      <c r="D1260" t="s">
        <v>1751</v>
      </c>
      <c r="E1260" t="s">
        <v>1752</v>
      </c>
      <c r="F1260" t="s">
        <v>3</v>
      </c>
      <c r="G1260" t="s">
        <v>74</v>
      </c>
      <c r="H1260" t="s">
        <v>75</v>
      </c>
      <c r="I1260" t="s">
        <v>1821</v>
      </c>
      <c r="J1260" s="2">
        <v>50</v>
      </c>
      <c r="K1260">
        <v>2</v>
      </c>
      <c r="L1260" s="4"/>
    </row>
    <row r="1261" spans="1:12" x14ac:dyDescent="0.3">
      <c r="A1261" s="1">
        <v>41987</v>
      </c>
      <c r="B1261" s="1">
        <v>41989</v>
      </c>
      <c r="C1261" t="s">
        <v>0</v>
      </c>
      <c r="D1261" t="s">
        <v>1822</v>
      </c>
      <c r="E1261" t="s">
        <v>1823</v>
      </c>
      <c r="F1261" t="s">
        <v>3</v>
      </c>
      <c r="G1261" t="s">
        <v>4</v>
      </c>
      <c r="H1261" t="s">
        <v>26</v>
      </c>
      <c r="I1261" t="s">
        <v>1824</v>
      </c>
      <c r="J1261" s="2">
        <v>55.264000000000003</v>
      </c>
      <c r="K1261">
        <v>2</v>
      </c>
      <c r="L1261" s="4"/>
    </row>
    <row r="1262" spans="1:12" x14ac:dyDescent="0.3">
      <c r="A1262" s="1">
        <v>41987</v>
      </c>
      <c r="B1262" s="1">
        <v>41989</v>
      </c>
      <c r="C1262" t="s">
        <v>0</v>
      </c>
      <c r="D1262" t="s">
        <v>1822</v>
      </c>
      <c r="E1262" t="s">
        <v>1823</v>
      </c>
      <c r="F1262" t="s">
        <v>3</v>
      </c>
      <c r="G1262" t="s">
        <v>4</v>
      </c>
      <c r="H1262" t="s">
        <v>5</v>
      </c>
      <c r="I1262" t="s">
        <v>590</v>
      </c>
      <c r="J1262" s="2">
        <v>6.48</v>
      </c>
      <c r="K1262">
        <v>1</v>
      </c>
      <c r="L1262" s="4"/>
    </row>
    <row r="1263" spans="1:12" x14ac:dyDescent="0.3">
      <c r="A1263" s="1">
        <v>41987</v>
      </c>
      <c r="B1263" s="1">
        <v>41989</v>
      </c>
      <c r="C1263" t="s">
        <v>0</v>
      </c>
      <c r="D1263" t="s">
        <v>1822</v>
      </c>
      <c r="E1263" t="s">
        <v>1823</v>
      </c>
      <c r="F1263" t="s">
        <v>3</v>
      </c>
      <c r="G1263" t="s">
        <v>4</v>
      </c>
      <c r="H1263" t="s">
        <v>26</v>
      </c>
      <c r="I1263" t="s">
        <v>1825</v>
      </c>
      <c r="J1263" s="2">
        <v>34.248000000000005</v>
      </c>
      <c r="K1263">
        <v>3</v>
      </c>
      <c r="L1263" s="4"/>
    </row>
    <row r="1264" spans="1:12" x14ac:dyDescent="0.3">
      <c r="A1264" s="1">
        <v>41987</v>
      </c>
      <c r="B1264" s="1">
        <v>41989</v>
      </c>
      <c r="C1264" t="s">
        <v>0</v>
      </c>
      <c r="D1264" t="s">
        <v>1822</v>
      </c>
      <c r="E1264" t="s">
        <v>1823</v>
      </c>
      <c r="F1264" t="s">
        <v>3</v>
      </c>
      <c r="G1264" t="s">
        <v>12</v>
      </c>
      <c r="H1264" t="s">
        <v>44</v>
      </c>
      <c r="I1264" t="s">
        <v>1826</v>
      </c>
      <c r="J1264" s="2">
        <v>273.56799999999998</v>
      </c>
      <c r="K1264">
        <v>2</v>
      </c>
      <c r="L1264" s="4"/>
    </row>
    <row r="1265" spans="1:12" x14ac:dyDescent="0.3">
      <c r="A1265" s="1">
        <v>41988</v>
      </c>
      <c r="B1265" s="1">
        <v>41995</v>
      </c>
      <c r="C1265" t="s">
        <v>7</v>
      </c>
      <c r="D1265" t="s">
        <v>552</v>
      </c>
      <c r="E1265" t="s">
        <v>553</v>
      </c>
      <c r="F1265" t="s">
        <v>56</v>
      </c>
      <c r="G1265" t="s">
        <v>4</v>
      </c>
      <c r="H1265" t="s">
        <v>20</v>
      </c>
      <c r="I1265" t="s">
        <v>1827</v>
      </c>
      <c r="J1265" s="2">
        <v>103.92</v>
      </c>
      <c r="K1265">
        <v>4</v>
      </c>
      <c r="L1265" s="4"/>
    </row>
    <row r="1266" spans="1:12" x14ac:dyDescent="0.3">
      <c r="A1266" s="1">
        <v>41988</v>
      </c>
      <c r="B1266" s="1">
        <v>41995</v>
      </c>
      <c r="C1266" t="s">
        <v>7</v>
      </c>
      <c r="D1266" t="s">
        <v>552</v>
      </c>
      <c r="E1266" t="s">
        <v>553</v>
      </c>
      <c r="F1266" t="s">
        <v>56</v>
      </c>
      <c r="G1266" t="s">
        <v>74</v>
      </c>
      <c r="H1266" t="s">
        <v>75</v>
      </c>
      <c r="I1266" t="s">
        <v>1828</v>
      </c>
      <c r="J1266" s="2">
        <v>899.91</v>
      </c>
      <c r="K1266">
        <v>9</v>
      </c>
      <c r="L1266" s="4"/>
    </row>
    <row r="1267" spans="1:12" x14ac:dyDescent="0.3">
      <c r="A1267" s="1">
        <v>41988</v>
      </c>
      <c r="B1267" s="1">
        <v>41995</v>
      </c>
      <c r="C1267" t="s">
        <v>7</v>
      </c>
      <c r="D1267" t="s">
        <v>552</v>
      </c>
      <c r="E1267" t="s">
        <v>553</v>
      </c>
      <c r="F1267" t="s">
        <v>56</v>
      </c>
      <c r="G1267" t="s">
        <v>4</v>
      </c>
      <c r="H1267" t="s">
        <v>26</v>
      </c>
      <c r="I1267" t="s">
        <v>1829</v>
      </c>
      <c r="J1267" s="2">
        <v>51.311999999999998</v>
      </c>
      <c r="K1267">
        <v>3</v>
      </c>
      <c r="L1267" s="4"/>
    </row>
    <row r="1268" spans="1:12" x14ac:dyDescent="0.3">
      <c r="A1268" s="1">
        <v>41989</v>
      </c>
      <c r="B1268" s="1">
        <v>41992</v>
      </c>
      <c r="C1268" t="s">
        <v>22</v>
      </c>
      <c r="D1268" t="s">
        <v>1659</v>
      </c>
      <c r="E1268" t="s">
        <v>1660</v>
      </c>
      <c r="F1268" t="s">
        <v>56</v>
      </c>
      <c r="G1268" t="s">
        <v>4</v>
      </c>
      <c r="H1268" t="s">
        <v>5</v>
      </c>
      <c r="I1268" t="s">
        <v>1830</v>
      </c>
      <c r="J1268" s="2">
        <v>4.9800000000000004</v>
      </c>
      <c r="K1268">
        <v>1</v>
      </c>
      <c r="L1268" s="4"/>
    </row>
    <row r="1269" spans="1:12" x14ac:dyDescent="0.3">
      <c r="A1269" s="1">
        <v>41990</v>
      </c>
      <c r="B1269" s="1">
        <v>41992</v>
      </c>
      <c r="C1269" t="s">
        <v>0</v>
      </c>
      <c r="D1269" t="s">
        <v>1831</v>
      </c>
      <c r="E1269" t="s">
        <v>1832</v>
      </c>
      <c r="F1269" t="s">
        <v>3</v>
      </c>
      <c r="G1269" t="s">
        <v>4</v>
      </c>
      <c r="H1269" t="s">
        <v>15</v>
      </c>
      <c r="I1269" t="s">
        <v>561</v>
      </c>
      <c r="J1269" s="2">
        <v>204.85</v>
      </c>
      <c r="K1269">
        <v>5</v>
      </c>
      <c r="L1269" s="4"/>
    </row>
    <row r="1270" spans="1:12" x14ac:dyDescent="0.3">
      <c r="A1270" s="1">
        <v>41990</v>
      </c>
      <c r="B1270" s="1">
        <v>41992</v>
      </c>
      <c r="C1270" t="s">
        <v>0</v>
      </c>
      <c r="D1270" t="s">
        <v>1831</v>
      </c>
      <c r="E1270" t="s">
        <v>1832</v>
      </c>
      <c r="F1270" t="s">
        <v>3</v>
      </c>
      <c r="G1270" t="s">
        <v>74</v>
      </c>
      <c r="H1270" t="s">
        <v>147</v>
      </c>
      <c r="I1270" t="s">
        <v>1129</v>
      </c>
      <c r="J1270" s="2">
        <v>135.98400000000001</v>
      </c>
      <c r="K1270">
        <v>2</v>
      </c>
      <c r="L1270" s="4"/>
    </row>
    <row r="1271" spans="1:12" x14ac:dyDescent="0.3">
      <c r="A1271" s="1">
        <v>41990</v>
      </c>
      <c r="B1271" s="1">
        <v>41992</v>
      </c>
      <c r="C1271" t="s">
        <v>0</v>
      </c>
      <c r="D1271" t="s">
        <v>1831</v>
      </c>
      <c r="E1271" t="s">
        <v>1832</v>
      </c>
      <c r="F1271" t="s">
        <v>3</v>
      </c>
      <c r="G1271" t="s">
        <v>4</v>
      </c>
      <c r="H1271" t="s">
        <v>15</v>
      </c>
      <c r="I1271" t="s">
        <v>1833</v>
      </c>
      <c r="J1271" s="2">
        <v>16.399999999999999</v>
      </c>
      <c r="K1271">
        <v>5</v>
      </c>
      <c r="L1271" s="4"/>
    </row>
    <row r="1272" spans="1:12" x14ac:dyDescent="0.3">
      <c r="A1272" s="1">
        <v>41990</v>
      </c>
      <c r="B1272" s="1">
        <v>41992</v>
      </c>
      <c r="C1272" t="s">
        <v>0</v>
      </c>
      <c r="D1272" t="s">
        <v>1831</v>
      </c>
      <c r="E1272" t="s">
        <v>1832</v>
      </c>
      <c r="F1272" t="s">
        <v>3</v>
      </c>
      <c r="G1272" t="s">
        <v>4</v>
      </c>
      <c r="H1272" t="s">
        <v>26</v>
      </c>
      <c r="I1272" t="s">
        <v>1834</v>
      </c>
      <c r="J1272" s="2">
        <v>92.960000000000008</v>
      </c>
      <c r="K1272">
        <v>2</v>
      </c>
      <c r="L1272" s="4"/>
    </row>
    <row r="1273" spans="1:12" x14ac:dyDescent="0.3">
      <c r="A1273" s="1">
        <v>41991</v>
      </c>
      <c r="B1273" s="1">
        <v>41995</v>
      </c>
      <c r="C1273" t="s">
        <v>7</v>
      </c>
      <c r="D1273" t="s">
        <v>1835</v>
      </c>
      <c r="E1273" t="s">
        <v>1836</v>
      </c>
      <c r="F1273" t="s">
        <v>115</v>
      </c>
      <c r="G1273" t="s">
        <v>4</v>
      </c>
      <c r="H1273" t="s">
        <v>15</v>
      </c>
      <c r="I1273" t="s">
        <v>1837</v>
      </c>
      <c r="J1273" s="2">
        <v>6.8480000000000008</v>
      </c>
      <c r="K1273">
        <v>2</v>
      </c>
      <c r="L1273" s="4"/>
    </row>
    <row r="1274" spans="1:12" x14ac:dyDescent="0.3">
      <c r="A1274" s="1">
        <v>41992</v>
      </c>
      <c r="B1274" s="1">
        <v>41997</v>
      </c>
      <c r="C1274" t="s">
        <v>7</v>
      </c>
      <c r="D1274" t="s">
        <v>1838</v>
      </c>
      <c r="E1274" t="s">
        <v>1839</v>
      </c>
      <c r="F1274" t="s">
        <v>3</v>
      </c>
      <c r="G1274" t="s">
        <v>74</v>
      </c>
      <c r="H1274" t="s">
        <v>147</v>
      </c>
      <c r="I1274" t="s">
        <v>1840</v>
      </c>
      <c r="J1274" s="2">
        <v>675.96</v>
      </c>
      <c r="K1274">
        <v>5</v>
      </c>
      <c r="L1274" s="4"/>
    </row>
    <row r="1275" spans="1:12" x14ac:dyDescent="0.3">
      <c r="A1275" s="1">
        <v>41992</v>
      </c>
      <c r="B1275" s="1">
        <v>41997</v>
      </c>
      <c r="C1275" t="s">
        <v>7</v>
      </c>
      <c r="D1275" t="s">
        <v>1838</v>
      </c>
      <c r="E1275" t="s">
        <v>1839</v>
      </c>
      <c r="F1275" t="s">
        <v>3</v>
      </c>
      <c r="G1275" t="s">
        <v>74</v>
      </c>
      <c r="H1275" t="s">
        <v>75</v>
      </c>
      <c r="I1275" t="s">
        <v>1841</v>
      </c>
      <c r="J1275" s="2">
        <v>1265.8499999999999</v>
      </c>
      <c r="K1275">
        <v>3</v>
      </c>
      <c r="L1275" s="4"/>
    </row>
    <row r="1276" spans="1:12" x14ac:dyDescent="0.3">
      <c r="A1276" s="1">
        <v>41993</v>
      </c>
      <c r="B1276" s="1">
        <v>41997</v>
      </c>
      <c r="C1276" t="s">
        <v>7</v>
      </c>
      <c r="D1276" t="s">
        <v>619</v>
      </c>
      <c r="E1276" t="s">
        <v>620</v>
      </c>
      <c r="F1276" t="s">
        <v>25</v>
      </c>
      <c r="G1276" t="s">
        <v>4</v>
      </c>
      <c r="H1276" t="s">
        <v>29</v>
      </c>
      <c r="I1276" t="s">
        <v>1842</v>
      </c>
      <c r="J1276" s="2">
        <v>7.9200000000000008</v>
      </c>
      <c r="K1276">
        <v>1</v>
      </c>
      <c r="L1276" s="4"/>
    </row>
    <row r="1277" spans="1:12" x14ac:dyDescent="0.3">
      <c r="A1277" s="1">
        <v>41993</v>
      </c>
      <c r="B1277" s="1">
        <v>41997</v>
      </c>
      <c r="C1277" t="s">
        <v>7</v>
      </c>
      <c r="D1277" t="s">
        <v>619</v>
      </c>
      <c r="E1277" t="s">
        <v>620</v>
      </c>
      <c r="F1277" t="s">
        <v>25</v>
      </c>
      <c r="G1277" t="s">
        <v>12</v>
      </c>
      <c r="H1277" t="s">
        <v>35</v>
      </c>
      <c r="I1277" t="s">
        <v>1843</v>
      </c>
      <c r="J1277" s="2">
        <v>14.368000000000002</v>
      </c>
      <c r="K1277">
        <v>2</v>
      </c>
      <c r="L1277" s="4"/>
    </row>
    <row r="1278" spans="1:12" x14ac:dyDescent="0.3">
      <c r="A1278" s="1">
        <v>41993</v>
      </c>
      <c r="B1278" s="1">
        <v>41998</v>
      </c>
      <c r="C1278" t="s">
        <v>0</v>
      </c>
      <c r="D1278" t="s">
        <v>274</v>
      </c>
      <c r="E1278" t="s">
        <v>275</v>
      </c>
      <c r="F1278" t="s">
        <v>3</v>
      </c>
      <c r="G1278" t="s">
        <v>4</v>
      </c>
      <c r="H1278" t="s">
        <v>5</v>
      </c>
      <c r="I1278" t="s">
        <v>839</v>
      </c>
      <c r="J1278" s="2">
        <v>17.12</v>
      </c>
      <c r="K1278">
        <v>4</v>
      </c>
      <c r="L1278" s="4"/>
    </row>
    <row r="1279" spans="1:12" x14ac:dyDescent="0.3">
      <c r="A1279" s="1">
        <v>41994</v>
      </c>
      <c r="B1279" s="1">
        <v>41997</v>
      </c>
      <c r="C1279" t="s">
        <v>0</v>
      </c>
      <c r="D1279" t="s">
        <v>1844</v>
      </c>
      <c r="E1279" t="s">
        <v>1845</v>
      </c>
      <c r="F1279" t="s">
        <v>56</v>
      </c>
      <c r="G1279" t="s">
        <v>12</v>
      </c>
      <c r="H1279" t="s">
        <v>44</v>
      </c>
      <c r="I1279" t="s">
        <v>220</v>
      </c>
      <c r="J1279" s="2">
        <v>1618.37</v>
      </c>
      <c r="K1279">
        <v>13</v>
      </c>
      <c r="L1279" s="4"/>
    </row>
    <row r="1280" spans="1:12" x14ac:dyDescent="0.3">
      <c r="A1280" s="1">
        <v>41994</v>
      </c>
      <c r="B1280" s="1">
        <v>41997</v>
      </c>
      <c r="C1280" t="s">
        <v>0</v>
      </c>
      <c r="D1280" t="s">
        <v>1844</v>
      </c>
      <c r="E1280" t="s">
        <v>1845</v>
      </c>
      <c r="F1280" t="s">
        <v>56</v>
      </c>
      <c r="G1280" t="s">
        <v>74</v>
      </c>
      <c r="H1280" t="s">
        <v>75</v>
      </c>
      <c r="I1280" t="s">
        <v>1846</v>
      </c>
      <c r="J1280" s="2">
        <v>99.6</v>
      </c>
      <c r="K1280">
        <v>1</v>
      </c>
      <c r="L1280" s="4"/>
    </row>
    <row r="1281" spans="1:12" x14ac:dyDescent="0.3">
      <c r="A1281" s="1">
        <v>41994</v>
      </c>
      <c r="B1281" s="1">
        <v>41998</v>
      </c>
      <c r="C1281" t="s">
        <v>7</v>
      </c>
      <c r="D1281" t="s">
        <v>1847</v>
      </c>
      <c r="E1281" t="s">
        <v>1848</v>
      </c>
      <c r="F1281" t="s">
        <v>115</v>
      </c>
      <c r="G1281" t="s">
        <v>4</v>
      </c>
      <c r="H1281" t="s">
        <v>20</v>
      </c>
      <c r="I1281" t="s">
        <v>1302</v>
      </c>
      <c r="J1281" s="2">
        <v>60.984000000000009</v>
      </c>
      <c r="K1281">
        <v>7</v>
      </c>
      <c r="L1281" s="4"/>
    </row>
    <row r="1282" spans="1:12" x14ac:dyDescent="0.3">
      <c r="A1282" s="1">
        <v>41997</v>
      </c>
      <c r="B1282" s="1">
        <v>42001</v>
      </c>
      <c r="C1282" t="s">
        <v>7</v>
      </c>
      <c r="D1282" t="s">
        <v>1849</v>
      </c>
      <c r="E1282" t="s">
        <v>1850</v>
      </c>
      <c r="F1282" t="s">
        <v>115</v>
      </c>
      <c r="G1282" t="s">
        <v>12</v>
      </c>
      <c r="H1282" t="s">
        <v>13</v>
      </c>
      <c r="I1282" t="s">
        <v>1851</v>
      </c>
      <c r="J1282" s="2">
        <v>590.05800000000011</v>
      </c>
      <c r="K1282">
        <v>7</v>
      </c>
      <c r="L1282" s="4"/>
    </row>
    <row r="1283" spans="1:12" x14ac:dyDescent="0.3">
      <c r="A1283" s="1">
        <v>41997</v>
      </c>
      <c r="B1283" s="1">
        <v>42001</v>
      </c>
      <c r="C1283" t="s">
        <v>7</v>
      </c>
      <c r="D1283" t="s">
        <v>1849</v>
      </c>
      <c r="E1283" t="s">
        <v>1850</v>
      </c>
      <c r="F1283" t="s">
        <v>115</v>
      </c>
      <c r="G1283" t="s">
        <v>4</v>
      </c>
      <c r="H1283" t="s">
        <v>15</v>
      </c>
      <c r="I1283" t="s">
        <v>1852</v>
      </c>
      <c r="J1283" s="2">
        <v>14.04</v>
      </c>
      <c r="K1283">
        <v>3</v>
      </c>
      <c r="L1283" s="4"/>
    </row>
    <row r="1284" spans="1:12" x14ac:dyDescent="0.3">
      <c r="A1284" s="1">
        <v>41997</v>
      </c>
      <c r="B1284" s="1">
        <v>42002</v>
      </c>
      <c r="C1284" t="s">
        <v>7</v>
      </c>
      <c r="D1284" t="s">
        <v>1853</v>
      </c>
      <c r="E1284" t="s">
        <v>1854</v>
      </c>
      <c r="F1284" t="s">
        <v>25</v>
      </c>
      <c r="G1284" t="s">
        <v>4</v>
      </c>
      <c r="H1284" t="s">
        <v>5</v>
      </c>
      <c r="I1284" t="s">
        <v>1855</v>
      </c>
      <c r="J1284" s="2">
        <v>106.232</v>
      </c>
      <c r="K1284">
        <v>7</v>
      </c>
      <c r="L1284" s="4"/>
    </row>
    <row r="1285" spans="1:12" x14ac:dyDescent="0.3">
      <c r="A1285" s="1">
        <v>41997</v>
      </c>
      <c r="B1285" s="1">
        <v>42002</v>
      </c>
      <c r="C1285" t="s">
        <v>7</v>
      </c>
      <c r="D1285" t="s">
        <v>1853</v>
      </c>
      <c r="E1285" t="s">
        <v>1854</v>
      </c>
      <c r="F1285" t="s">
        <v>25</v>
      </c>
      <c r="G1285" t="s">
        <v>74</v>
      </c>
      <c r="H1285" t="s">
        <v>147</v>
      </c>
      <c r="I1285" t="s">
        <v>1856</v>
      </c>
      <c r="J1285" s="2">
        <v>111.98399999999999</v>
      </c>
      <c r="K1285">
        <v>2</v>
      </c>
      <c r="L1285" s="4"/>
    </row>
    <row r="1286" spans="1:12" x14ac:dyDescent="0.3">
      <c r="A1286" s="1">
        <v>41997</v>
      </c>
      <c r="B1286" s="1">
        <v>42002</v>
      </c>
      <c r="C1286" t="s">
        <v>7</v>
      </c>
      <c r="D1286" t="s">
        <v>1853</v>
      </c>
      <c r="E1286" t="s">
        <v>1854</v>
      </c>
      <c r="F1286" t="s">
        <v>25</v>
      </c>
      <c r="G1286" t="s">
        <v>12</v>
      </c>
      <c r="H1286" t="s">
        <v>35</v>
      </c>
      <c r="I1286" t="s">
        <v>1857</v>
      </c>
      <c r="J1286" s="2">
        <v>7.7120000000000006</v>
      </c>
      <c r="K1286">
        <v>2</v>
      </c>
      <c r="L1286" s="4"/>
    </row>
    <row r="1287" spans="1:12" x14ac:dyDescent="0.3">
      <c r="A1287" s="1">
        <v>41997</v>
      </c>
      <c r="B1287" s="1">
        <v>42001</v>
      </c>
      <c r="C1287" t="s">
        <v>7</v>
      </c>
      <c r="D1287" t="s">
        <v>948</v>
      </c>
      <c r="E1287" t="s">
        <v>949</v>
      </c>
      <c r="F1287" t="s">
        <v>25</v>
      </c>
      <c r="G1287" t="s">
        <v>12</v>
      </c>
      <c r="H1287" t="s">
        <v>70</v>
      </c>
      <c r="I1287" t="s">
        <v>1082</v>
      </c>
      <c r="J1287" s="2">
        <v>883.84</v>
      </c>
      <c r="K1287">
        <v>4</v>
      </c>
      <c r="L1287" s="4"/>
    </row>
    <row r="1288" spans="1:12" x14ac:dyDescent="0.3">
      <c r="A1288" s="1">
        <v>41997</v>
      </c>
      <c r="B1288" s="1">
        <v>42002</v>
      </c>
      <c r="C1288" t="s">
        <v>7</v>
      </c>
      <c r="D1288" t="s">
        <v>701</v>
      </c>
      <c r="E1288" t="s">
        <v>702</v>
      </c>
      <c r="F1288" t="s">
        <v>3</v>
      </c>
      <c r="G1288" t="s">
        <v>4</v>
      </c>
      <c r="H1288" t="s">
        <v>26</v>
      </c>
      <c r="I1288" t="s">
        <v>559</v>
      </c>
      <c r="J1288" s="2">
        <v>19.936000000000003</v>
      </c>
      <c r="K1288">
        <v>4</v>
      </c>
      <c r="L1288" s="4"/>
    </row>
    <row r="1289" spans="1:12" x14ac:dyDescent="0.3">
      <c r="A1289" s="1">
        <v>41997</v>
      </c>
      <c r="B1289" s="1">
        <v>42002</v>
      </c>
      <c r="C1289" t="s">
        <v>7</v>
      </c>
      <c r="D1289" t="s">
        <v>701</v>
      </c>
      <c r="E1289" t="s">
        <v>702</v>
      </c>
      <c r="F1289" t="s">
        <v>3</v>
      </c>
      <c r="G1289" t="s">
        <v>4</v>
      </c>
      <c r="H1289" t="s">
        <v>52</v>
      </c>
      <c r="I1289" t="s">
        <v>562</v>
      </c>
      <c r="J1289" s="2">
        <v>45.92</v>
      </c>
      <c r="K1289">
        <v>4</v>
      </c>
      <c r="L1289" s="4"/>
    </row>
    <row r="1290" spans="1:12" x14ac:dyDescent="0.3">
      <c r="A1290" s="1">
        <v>41998</v>
      </c>
      <c r="B1290" s="1">
        <v>42003</v>
      </c>
      <c r="C1290" t="s">
        <v>0</v>
      </c>
      <c r="D1290" t="s">
        <v>1858</v>
      </c>
      <c r="E1290" t="s">
        <v>1859</v>
      </c>
      <c r="F1290" t="s">
        <v>3</v>
      </c>
      <c r="G1290" t="s">
        <v>74</v>
      </c>
      <c r="H1290" t="s">
        <v>534</v>
      </c>
      <c r="I1290" t="s">
        <v>1860</v>
      </c>
      <c r="J1290" s="2">
        <v>1199.96</v>
      </c>
      <c r="K1290">
        <v>5</v>
      </c>
      <c r="L1290" s="4"/>
    </row>
    <row r="1291" spans="1:12" x14ac:dyDescent="0.3">
      <c r="A1291" s="1">
        <v>41998</v>
      </c>
      <c r="B1291" s="1">
        <v>42003</v>
      </c>
      <c r="C1291" t="s">
        <v>0</v>
      </c>
      <c r="D1291" t="s">
        <v>1858</v>
      </c>
      <c r="E1291" t="s">
        <v>1859</v>
      </c>
      <c r="F1291" t="s">
        <v>3</v>
      </c>
      <c r="G1291" t="s">
        <v>4</v>
      </c>
      <c r="H1291" t="s">
        <v>5</v>
      </c>
      <c r="I1291" t="s">
        <v>1861</v>
      </c>
      <c r="J1291" s="2">
        <v>12.600000000000001</v>
      </c>
      <c r="K1291">
        <v>3</v>
      </c>
      <c r="L1291" s="4"/>
    </row>
    <row r="1292" spans="1:12" x14ac:dyDescent="0.3">
      <c r="A1292" s="1">
        <v>41998</v>
      </c>
      <c r="B1292" s="1">
        <v>42003</v>
      </c>
      <c r="C1292" t="s">
        <v>0</v>
      </c>
      <c r="D1292" t="s">
        <v>1858</v>
      </c>
      <c r="E1292" t="s">
        <v>1859</v>
      </c>
      <c r="F1292" t="s">
        <v>3</v>
      </c>
      <c r="G1292" t="s">
        <v>4</v>
      </c>
      <c r="H1292" t="s">
        <v>5</v>
      </c>
      <c r="I1292" t="s">
        <v>557</v>
      </c>
      <c r="J1292" s="2">
        <v>17.940000000000001</v>
      </c>
      <c r="K1292">
        <v>3</v>
      </c>
      <c r="L1292" s="4"/>
    </row>
    <row r="1293" spans="1:12" x14ac:dyDescent="0.3">
      <c r="A1293" s="1">
        <v>41998</v>
      </c>
      <c r="B1293" s="1">
        <v>42002</v>
      </c>
      <c r="C1293" t="s">
        <v>7</v>
      </c>
      <c r="D1293" t="s">
        <v>1862</v>
      </c>
      <c r="E1293" t="s">
        <v>1863</v>
      </c>
      <c r="F1293" t="s">
        <v>3</v>
      </c>
      <c r="G1293" t="s">
        <v>4</v>
      </c>
      <c r="H1293" t="s">
        <v>5</v>
      </c>
      <c r="I1293" t="s">
        <v>1864</v>
      </c>
      <c r="J1293" s="2">
        <v>9.9600000000000009</v>
      </c>
      <c r="K1293">
        <v>2</v>
      </c>
      <c r="L1293" s="4"/>
    </row>
    <row r="1294" spans="1:12" x14ac:dyDescent="0.3">
      <c r="A1294" s="1">
        <v>42000</v>
      </c>
      <c r="B1294" s="1">
        <v>42004</v>
      </c>
      <c r="C1294" t="s">
        <v>7</v>
      </c>
      <c r="D1294" t="s">
        <v>470</v>
      </c>
      <c r="E1294" t="s">
        <v>471</v>
      </c>
      <c r="F1294" t="s">
        <v>3</v>
      </c>
      <c r="G1294" t="s">
        <v>4</v>
      </c>
      <c r="H1294" t="s">
        <v>20</v>
      </c>
      <c r="I1294" t="s">
        <v>243</v>
      </c>
      <c r="J1294" s="2">
        <v>106.96</v>
      </c>
      <c r="K1294">
        <v>2</v>
      </c>
      <c r="L1294" s="4"/>
    </row>
    <row r="1295" spans="1:12" x14ac:dyDescent="0.3">
      <c r="A1295" s="1">
        <v>42000</v>
      </c>
      <c r="B1295" s="1">
        <v>42004</v>
      </c>
      <c r="C1295" t="s">
        <v>7</v>
      </c>
      <c r="D1295" t="s">
        <v>470</v>
      </c>
      <c r="E1295" t="s">
        <v>471</v>
      </c>
      <c r="F1295" t="s">
        <v>3</v>
      </c>
      <c r="G1295" t="s">
        <v>4</v>
      </c>
      <c r="H1295" t="s">
        <v>168</v>
      </c>
      <c r="I1295" t="s">
        <v>1865</v>
      </c>
      <c r="J1295" s="2">
        <v>21.560000000000002</v>
      </c>
      <c r="K1295">
        <v>7</v>
      </c>
      <c r="L1295" s="4"/>
    </row>
    <row r="1296" spans="1:12" x14ac:dyDescent="0.3">
      <c r="A1296" s="1">
        <v>42000</v>
      </c>
      <c r="B1296" s="1">
        <v>42002</v>
      </c>
      <c r="C1296" t="s">
        <v>0</v>
      </c>
      <c r="D1296" t="s">
        <v>232</v>
      </c>
      <c r="E1296" t="s">
        <v>233</v>
      </c>
      <c r="F1296" t="s">
        <v>3</v>
      </c>
      <c r="G1296" t="s">
        <v>74</v>
      </c>
      <c r="H1296" t="s">
        <v>75</v>
      </c>
      <c r="I1296" t="s">
        <v>1866</v>
      </c>
      <c r="J1296" s="2">
        <v>7.92</v>
      </c>
      <c r="K1296">
        <v>8</v>
      </c>
      <c r="L1296" s="4"/>
    </row>
    <row r="1297" spans="1:12" x14ac:dyDescent="0.3">
      <c r="A1297" s="1">
        <v>42000</v>
      </c>
      <c r="B1297" s="1">
        <v>42004</v>
      </c>
      <c r="C1297" t="s">
        <v>7</v>
      </c>
      <c r="D1297" t="s">
        <v>305</v>
      </c>
      <c r="E1297" t="s">
        <v>306</v>
      </c>
      <c r="F1297" t="s">
        <v>3</v>
      </c>
      <c r="G1297" t="s">
        <v>4</v>
      </c>
      <c r="H1297" t="s">
        <v>10</v>
      </c>
      <c r="I1297" t="s">
        <v>725</v>
      </c>
      <c r="J1297" s="2">
        <v>323.10000000000002</v>
      </c>
      <c r="K1297">
        <v>2</v>
      </c>
      <c r="L1297" s="4"/>
    </row>
    <row r="1298" spans="1:12" x14ac:dyDescent="0.3">
      <c r="A1298" s="1">
        <v>42000</v>
      </c>
      <c r="B1298" s="1">
        <v>42004</v>
      </c>
      <c r="C1298" t="s">
        <v>7</v>
      </c>
      <c r="D1298" t="s">
        <v>305</v>
      </c>
      <c r="E1298" t="s">
        <v>306</v>
      </c>
      <c r="F1298" t="s">
        <v>3</v>
      </c>
      <c r="G1298" t="s">
        <v>74</v>
      </c>
      <c r="H1298" t="s">
        <v>147</v>
      </c>
      <c r="I1298" t="s">
        <v>1867</v>
      </c>
      <c r="J1298" s="2">
        <v>668.16</v>
      </c>
      <c r="K1298">
        <v>9</v>
      </c>
      <c r="L1298" s="4"/>
    </row>
    <row r="1299" spans="1:12" x14ac:dyDescent="0.3">
      <c r="A1299" s="1">
        <v>42003</v>
      </c>
      <c r="B1299" s="1">
        <v>42007</v>
      </c>
      <c r="C1299" t="s">
        <v>7</v>
      </c>
      <c r="D1299" t="s">
        <v>431</v>
      </c>
      <c r="E1299" t="s">
        <v>432</v>
      </c>
      <c r="F1299" t="s">
        <v>3</v>
      </c>
      <c r="G1299" t="s">
        <v>4</v>
      </c>
      <c r="H1299" t="s">
        <v>5</v>
      </c>
      <c r="I1299" t="s">
        <v>1868</v>
      </c>
      <c r="J1299" s="2">
        <v>68.52</v>
      </c>
      <c r="K1299">
        <v>3</v>
      </c>
      <c r="L1299" s="4"/>
    </row>
    <row r="1300" spans="1:12" x14ac:dyDescent="0.3">
      <c r="A1300" s="1">
        <v>42003</v>
      </c>
      <c r="B1300" s="1">
        <v>42007</v>
      </c>
      <c r="C1300" t="s">
        <v>7</v>
      </c>
      <c r="D1300" t="s">
        <v>431</v>
      </c>
      <c r="E1300" t="s">
        <v>432</v>
      </c>
      <c r="F1300" t="s">
        <v>3</v>
      </c>
      <c r="G1300" t="s">
        <v>4</v>
      </c>
      <c r="H1300" t="s">
        <v>10</v>
      </c>
      <c r="I1300" t="s">
        <v>1586</v>
      </c>
      <c r="J1300" s="2">
        <v>74.94</v>
      </c>
      <c r="K1300">
        <v>3</v>
      </c>
      <c r="L1300" s="4"/>
    </row>
    <row r="1301" spans="1:12" x14ac:dyDescent="0.3">
      <c r="A1301" s="1">
        <v>42003</v>
      </c>
      <c r="B1301" s="1">
        <v>42007</v>
      </c>
      <c r="C1301" t="s">
        <v>7</v>
      </c>
      <c r="D1301" t="s">
        <v>431</v>
      </c>
      <c r="E1301" t="s">
        <v>432</v>
      </c>
      <c r="F1301" t="s">
        <v>3</v>
      </c>
      <c r="G1301" t="s">
        <v>74</v>
      </c>
      <c r="H1301" t="s">
        <v>138</v>
      </c>
      <c r="I1301" t="s">
        <v>1339</v>
      </c>
      <c r="J1301" s="2">
        <v>2548.5600000000004</v>
      </c>
      <c r="K1301">
        <v>6</v>
      </c>
      <c r="L1301" s="4"/>
    </row>
    <row r="1302" spans="1:12" x14ac:dyDescent="0.3">
      <c r="A1302" s="1">
        <v>42003</v>
      </c>
      <c r="B1302" s="1">
        <v>42007</v>
      </c>
      <c r="C1302" t="s">
        <v>7</v>
      </c>
      <c r="D1302" t="s">
        <v>431</v>
      </c>
      <c r="E1302" t="s">
        <v>432</v>
      </c>
      <c r="F1302" t="s">
        <v>3</v>
      </c>
      <c r="G1302" t="s">
        <v>4</v>
      </c>
      <c r="H1302" t="s">
        <v>29</v>
      </c>
      <c r="I1302" t="s">
        <v>1770</v>
      </c>
      <c r="J1302" s="2">
        <v>271.44</v>
      </c>
      <c r="K1302">
        <v>3</v>
      </c>
      <c r="L1302" s="4"/>
    </row>
    <row r="1303" spans="1:12" x14ac:dyDescent="0.3">
      <c r="A1303" s="1">
        <v>42003</v>
      </c>
      <c r="B1303" s="1">
        <v>42007</v>
      </c>
      <c r="C1303" t="s">
        <v>7</v>
      </c>
      <c r="D1303" t="s">
        <v>431</v>
      </c>
      <c r="E1303" t="s">
        <v>432</v>
      </c>
      <c r="F1303" t="s">
        <v>3</v>
      </c>
      <c r="G1303" t="s">
        <v>74</v>
      </c>
      <c r="H1303" t="s">
        <v>147</v>
      </c>
      <c r="I1303" t="s">
        <v>1869</v>
      </c>
      <c r="J1303" s="2">
        <v>287.88</v>
      </c>
      <c r="K1303">
        <v>3</v>
      </c>
      <c r="L1303" s="4"/>
    </row>
    <row r="1304" spans="1:12" x14ac:dyDescent="0.3">
      <c r="A1304" s="1">
        <v>42004</v>
      </c>
      <c r="B1304" s="1">
        <v>42008</v>
      </c>
      <c r="C1304" t="s">
        <v>7</v>
      </c>
      <c r="D1304" t="s">
        <v>1051</v>
      </c>
      <c r="E1304" t="s">
        <v>1052</v>
      </c>
      <c r="F1304" t="s">
        <v>228</v>
      </c>
      <c r="G1304" t="s">
        <v>4</v>
      </c>
      <c r="H1304" t="s">
        <v>26</v>
      </c>
      <c r="I1304" t="s">
        <v>1069</v>
      </c>
      <c r="J1304" s="2">
        <v>487.98400000000004</v>
      </c>
      <c r="K1304">
        <v>2</v>
      </c>
      <c r="L1304" s="4"/>
    </row>
    <row r="1305" spans="1:12" x14ac:dyDescent="0.3">
      <c r="A1305" s="1">
        <v>42007</v>
      </c>
      <c r="B1305" s="1">
        <v>42009</v>
      </c>
      <c r="C1305" t="s">
        <v>22</v>
      </c>
      <c r="D1305" t="s">
        <v>531</v>
      </c>
      <c r="E1305" t="s">
        <v>532</v>
      </c>
      <c r="F1305" t="s">
        <v>3</v>
      </c>
      <c r="G1305" t="s">
        <v>4</v>
      </c>
      <c r="H1305" t="s">
        <v>10</v>
      </c>
      <c r="I1305" t="s">
        <v>43</v>
      </c>
      <c r="J1305" s="2">
        <v>114.46</v>
      </c>
      <c r="K1305">
        <v>2</v>
      </c>
      <c r="L1305" s="4"/>
    </row>
    <row r="1306" spans="1:12" x14ac:dyDescent="0.3">
      <c r="A1306" s="1">
        <v>42011</v>
      </c>
      <c r="B1306" s="1">
        <v>42016</v>
      </c>
      <c r="C1306" t="s">
        <v>7</v>
      </c>
      <c r="D1306" t="s">
        <v>1870</v>
      </c>
      <c r="E1306" t="s">
        <v>1871</v>
      </c>
      <c r="F1306" t="s">
        <v>3</v>
      </c>
      <c r="G1306" t="s">
        <v>4</v>
      </c>
      <c r="H1306" t="s">
        <v>15</v>
      </c>
      <c r="I1306" t="s">
        <v>1872</v>
      </c>
      <c r="J1306" s="2">
        <v>34.58</v>
      </c>
      <c r="K1306">
        <v>1</v>
      </c>
      <c r="L1306" s="4"/>
    </row>
    <row r="1307" spans="1:12" x14ac:dyDescent="0.3">
      <c r="A1307" s="1">
        <v>42013</v>
      </c>
      <c r="B1307" s="1">
        <v>42019</v>
      </c>
      <c r="C1307" t="s">
        <v>7</v>
      </c>
      <c r="D1307" t="s">
        <v>1873</v>
      </c>
      <c r="E1307" t="s">
        <v>1874</v>
      </c>
      <c r="F1307" t="s">
        <v>3</v>
      </c>
      <c r="G1307" t="s">
        <v>74</v>
      </c>
      <c r="H1307" t="s">
        <v>75</v>
      </c>
      <c r="I1307" t="s">
        <v>1875</v>
      </c>
      <c r="J1307" s="2">
        <v>349.95</v>
      </c>
      <c r="K1307">
        <v>5</v>
      </c>
      <c r="L1307" s="4"/>
    </row>
    <row r="1308" spans="1:12" x14ac:dyDescent="0.3">
      <c r="A1308" s="1">
        <v>42013</v>
      </c>
      <c r="B1308" s="1">
        <v>42019</v>
      </c>
      <c r="C1308" t="s">
        <v>7</v>
      </c>
      <c r="D1308" t="s">
        <v>1873</v>
      </c>
      <c r="E1308" t="s">
        <v>1874</v>
      </c>
      <c r="F1308" t="s">
        <v>3</v>
      </c>
      <c r="G1308" t="s">
        <v>74</v>
      </c>
      <c r="H1308" t="s">
        <v>147</v>
      </c>
      <c r="I1308" t="s">
        <v>321</v>
      </c>
      <c r="J1308" s="2">
        <v>377.92800000000005</v>
      </c>
      <c r="K1308">
        <v>9</v>
      </c>
      <c r="L1308" s="4"/>
    </row>
    <row r="1309" spans="1:12" x14ac:dyDescent="0.3">
      <c r="A1309" s="1">
        <v>42014</v>
      </c>
      <c r="B1309" s="1">
        <v>42021</v>
      </c>
      <c r="C1309" t="s">
        <v>7</v>
      </c>
      <c r="D1309" t="s">
        <v>1303</v>
      </c>
      <c r="E1309" t="s">
        <v>1304</v>
      </c>
      <c r="F1309" t="s">
        <v>56</v>
      </c>
      <c r="G1309" t="s">
        <v>12</v>
      </c>
      <c r="H1309" t="s">
        <v>35</v>
      </c>
      <c r="I1309" t="s">
        <v>1876</v>
      </c>
      <c r="J1309" s="2">
        <v>79.92</v>
      </c>
      <c r="K1309">
        <v>4</v>
      </c>
      <c r="L1309" s="4"/>
    </row>
    <row r="1310" spans="1:12" x14ac:dyDescent="0.3">
      <c r="A1310" s="1">
        <v>42014</v>
      </c>
      <c r="B1310" s="1">
        <v>42021</v>
      </c>
      <c r="C1310" t="s">
        <v>7</v>
      </c>
      <c r="D1310" t="s">
        <v>1303</v>
      </c>
      <c r="E1310" t="s">
        <v>1304</v>
      </c>
      <c r="F1310" t="s">
        <v>56</v>
      </c>
      <c r="G1310" t="s">
        <v>74</v>
      </c>
      <c r="H1310" t="s">
        <v>75</v>
      </c>
      <c r="I1310" t="s">
        <v>1877</v>
      </c>
      <c r="J1310" s="2">
        <v>69.98</v>
      </c>
      <c r="K1310">
        <v>2</v>
      </c>
      <c r="L1310" s="4"/>
    </row>
    <row r="1311" spans="1:12" x14ac:dyDescent="0.3">
      <c r="A1311" s="1">
        <v>42014</v>
      </c>
      <c r="B1311" s="1">
        <v>42017</v>
      </c>
      <c r="C1311" t="s">
        <v>0</v>
      </c>
      <c r="D1311" t="s">
        <v>1878</v>
      </c>
      <c r="E1311" t="s">
        <v>1879</v>
      </c>
      <c r="F1311" t="s">
        <v>56</v>
      </c>
      <c r="G1311" t="s">
        <v>12</v>
      </c>
      <c r="H1311" t="s">
        <v>35</v>
      </c>
      <c r="I1311" t="s">
        <v>1571</v>
      </c>
      <c r="J1311" s="2">
        <v>24.849999999999998</v>
      </c>
      <c r="K1311">
        <v>5</v>
      </c>
      <c r="L1311" s="4"/>
    </row>
    <row r="1312" spans="1:12" x14ac:dyDescent="0.3">
      <c r="A1312" s="1">
        <v>42020</v>
      </c>
      <c r="B1312" s="1">
        <v>42024</v>
      </c>
      <c r="C1312" t="s">
        <v>0</v>
      </c>
      <c r="D1312" t="s">
        <v>1411</v>
      </c>
      <c r="E1312" t="s">
        <v>1412</v>
      </c>
      <c r="F1312" t="s">
        <v>3</v>
      </c>
      <c r="G1312" t="s">
        <v>4</v>
      </c>
      <c r="H1312" t="s">
        <v>26</v>
      </c>
      <c r="I1312" t="s">
        <v>1880</v>
      </c>
      <c r="J1312" s="2">
        <v>11.648000000000001</v>
      </c>
      <c r="K1312">
        <v>2</v>
      </c>
      <c r="L1312" s="4"/>
    </row>
    <row r="1313" spans="1:12" x14ac:dyDescent="0.3">
      <c r="A1313" s="1">
        <v>42020</v>
      </c>
      <c r="B1313" s="1">
        <v>42024</v>
      </c>
      <c r="C1313" t="s">
        <v>0</v>
      </c>
      <c r="D1313" t="s">
        <v>1411</v>
      </c>
      <c r="E1313" t="s">
        <v>1412</v>
      </c>
      <c r="F1313" t="s">
        <v>3</v>
      </c>
      <c r="G1313" t="s">
        <v>74</v>
      </c>
      <c r="H1313" t="s">
        <v>75</v>
      </c>
      <c r="I1313" t="s">
        <v>1881</v>
      </c>
      <c r="J1313" s="2">
        <v>90.570000000000007</v>
      </c>
      <c r="K1313">
        <v>3</v>
      </c>
      <c r="L1313" s="4"/>
    </row>
    <row r="1314" spans="1:12" x14ac:dyDescent="0.3">
      <c r="A1314" s="1">
        <v>42025</v>
      </c>
      <c r="B1314" s="1">
        <v>42027</v>
      </c>
      <c r="C1314" t="s">
        <v>0</v>
      </c>
      <c r="D1314" t="s">
        <v>1882</v>
      </c>
      <c r="E1314" t="s">
        <v>1883</v>
      </c>
      <c r="F1314" t="s">
        <v>3</v>
      </c>
      <c r="G1314" t="s">
        <v>12</v>
      </c>
      <c r="H1314" t="s">
        <v>70</v>
      </c>
      <c r="I1314" t="s">
        <v>1577</v>
      </c>
      <c r="J1314" s="2">
        <v>153.56800000000001</v>
      </c>
      <c r="K1314">
        <v>2</v>
      </c>
      <c r="L1314" s="4"/>
    </row>
    <row r="1315" spans="1:12" x14ac:dyDescent="0.3">
      <c r="A1315" s="1">
        <v>42025</v>
      </c>
      <c r="B1315" s="1">
        <v>42027</v>
      </c>
      <c r="C1315" t="s">
        <v>0</v>
      </c>
      <c r="D1315" t="s">
        <v>1882</v>
      </c>
      <c r="E1315" t="s">
        <v>1883</v>
      </c>
      <c r="F1315" t="s">
        <v>3</v>
      </c>
      <c r="G1315" t="s">
        <v>12</v>
      </c>
      <c r="H1315" t="s">
        <v>70</v>
      </c>
      <c r="I1315" t="s">
        <v>1459</v>
      </c>
      <c r="J1315" s="2">
        <v>1013.4879999999999</v>
      </c>
      <c r="K1315">
        <v>7</v>
      </c>
      <c r="L1315" s="4"/>
    </row>
    <row r="1316" spans="1:12" x14ac:dyDescent="0.3">
      <c r="A1316" s="1">
        <v>42026</v>
      </c>
      <c r="B1316" s="1">
        <v>42032</v>
      </c>
      <c r="C1316" t="s">
        <v>7</v>
      </c>
      <c r="D1316" t="s">
        <v>1111</v>
      </c>
      <c r="E1316" t="s">
        <v>1112</v>
      </c>
      <c r="F1316" t="s">
        <v>56</v>
      </c>
      <c r="G1316" t="s">
        <v>12</v>
      </c>
      <c r="H1316" t="s">
        <v>35</v>
      </c>
      <c r="I1316" t="s">
        <v>1884</v>
      </c>
      <c r="J1316" s="2">
        <v>109.9</v>
      </c>
      <c r="K1316">
        <v>5</v>
      </c>
      <c r="L1316" s="4"/>
    </row>
    <row r="1317" spans="1:12" x14ac:dyDescent="0.3">
      <c r="A1317" s="1">
        <v>42026</v>
      </c>
      <c r="B1317" s="1">
        <v>42031</v>
      </c>
      <c r="C1317" t="s">
        <v>7</v>
      </c>
      <c r="D1317" t="s">
        <v>625</v>
      </c>
      <c r="E1317" t="s">
        <v>626</v>
      </c>
      <c r="F1317" t="s">
        <v>56</v>
      </c>
      <c r="G1317" t="s">
        <v>4</v>
      </c>
      <c r="H1317" t="s">
        <v>5</v>
      </c>
      <c r="I1317" t="s">
        <v>1788</v>
      </c>
      <c r="J1317" s="2">
        <v>12.96</v>
      </c>
      <c r="K1317">
        <v>2</v>
      </c>
      <c r="L1317" s="4"/>
    </row>
    <row r="1318" spans="1:12" x14ac:dyDescent="0.3">
      <c r="A1318" s="1">
        <v>42026</v>
      </c>
      <c r="B1318" s="1">
        <v>42032</v>
      </c>
      <c r="C1318" t="s">
        <v>7</v>
      </c>
      <c r="D1318" t="s">
        <v>1002</v>
      </c>
      <c r="E1318" t="s">
        <v>1003</v>
      </c>
      <c r="F1318" t="s">
        <v>3</v>
      </c>
      <c r="G1318" t="s">
        <v>4</v>
      </c>
      <c r="H1318" t="s">
        <v>168</v>
      </c>
      <c r="I1318" t="s">
        <v>838</v>
      </c>
      <c r="J1318" s="2">
        <v>44.400000000000006</v>
      </c>
      <c r="K1318">
        <v>3</v>
      </c>
      <c r="L1318" s="4"/>
    </row>
    <row r="1319" spans="1:12" x14ac:dyDescent="0.3">
      <c r="A1319" s="1">
        <v>42026</v>
      </c>
      <c r="B1319" s="1">
        <v>42032</v>
      </c>
      <c r="C1319" t="s">
        <v>7</v>
      </c>
      <c r="D1319" t="s">
        <v>1002</v>
      </c>
      <c r="E1319" t="s">
        <v>1003</v>
      </c>
      <c r="F1319" t="s">
        <v>3</v>
      </c>
      <c r="G1319" t="s">
        <v>4</v>
      </c>
      <c r="H1319" t="s">
        <v>168</v>
      </c>
      <c r="I1319" t="s">
        <v>1338</v>
      </c>
      <c r="J1319" s="2">
        <v>20.65</v>
      </c>
      <c r="K1319">
        <v>5</v>
      </c>
      <c r="L1319" s="4"/>
    </row>
    <row r="1320" spans="1:12" x14ac:dyDescent="0.3">
      <c r="A1320" s="1">
        <v>42027</v>
      </c>
      <c r="B1320" s="1">
        <v>42033</v>
      </c>
      <c r="C1320" t="s">
        <v>7</v>
      </c>
      <c r="D1320" t="s">
        <v>1885</v>
      </c>
      <c r="E1320" t="s">
        <v>1886</v>
      </c>
      <c r="F1320" t="s">
        <v>3</v>
      </c>
      <c r="G1320" t="s">
        <v>12</v>
      </c>
      <c r="H1320" t="s">
        <v>35</v>
      </c>
      <c r="I1320" t="s">
        <v>1887</v>
      </c>
      <c r="J1320" s="2">
        <v>59.99</v>
      </c>
      <c r="K1320">
        <v>7</v>
      </c>
      <c r="L1320" s="4"/>
    </row>
    <row r="1321" spans="1:12" x14ac:dyDescent="0.3">
      <c r="A1321" s="1">
        <v>42032</v>
      </c>
      <c r="B1321" s="1">
        <v>42036</v>
      </c>
      <c r="C1321" t="s">
        <v>0</v>
      </c>
      <c r="D1321" t="s">
        <v>680</v>
      </c>
      <c r="E1321" t="s">
        <v>681</v>
      </c>
      <c r="F1321" t="s">
        <v>3</v>
      </c>
      <c r="G1321" t="s">
        <v>4</v>
      </c>
      <c r="H1321" t="s">
        <v>15</v>
      </c>
      <c r="I1321" t="s">
        <v>1297</v>
      </c>
      <c r="J1321" s="2">
        <v>39.68</v>
      </c>
      <c r="K1321">
        <v>2</v>
      </c>
      <c r="L1321" s="4"/>
    </row>
    <row r="1322" spans="1:12" x14ac:dyDescent="0.3">
      <c r="A1322" s="1">
        <v>42034</v>
      </c>
      <c r="B1322" s="1">
        <v>42038</v>
      </c>
      <c r="C1322" t="s">
        <v>7</v>
      </c>
      <c r="D1322" t="s">
        <v>788</v>
      </c>
      <c r="E1322" t="s">
        <v>789</v>
      </c>
      <c r="F1322" t="s">
        <v>3</v>
      </c>
      <c r="G1322" t="s">
        <v>4</v>
      </c>
      <c r="H1322" t="s">
        <v>26</v>
      </c>
      <c r="I1322" t="s">
        <v>1888</v>
      </c>
      <c r="J1322" s="2">
        <v>17.456</v>
      </c>
      <c r="K1322">
        <v>2</v>
      </c>
      <c r="L1322" s="4"/>
    </row>
    <row r="1323" spans="1:12" x14ac:dyDescent="0.3">
      <c r="A1323" s="1">
        <v>42034</v>
      </c>
      <c r="B1323" s="1">
        <v>42035</v>
      </c>
      <c r="C1323" t="s">
        <v>22</v>
      </c>
      <c r="D1323" t="s">
        <v>345</v>
      </c>
      <c r="E1323" t="s">
        <v>346</v>
      </c>
      <c r="F1323" t="s">
        <v>3</v>
      </c>
      <c r="G1323" t="s">
        <v>4</v>
      </c>
      <c r="H1323" t="s">
        <v>10</v>
      </c>
      <c r="I1323" t="s">
        <v>692</v>
      </c>
      <c r="J1323" s="2">
        <v>305.01</v>
      </c>
      <c r="K1323">
        <v>9</v>
      </c>
      <c r="L1323" s="4"/>
    </row>
    <row r="1324" spans="1:12" x14ac:dyDescent="0.3">
      <c r="A1324" s="1">
        <v>42034</v>
      </c>
      <c r="B1324" s="1">
        <v>42035</v>
      </c>
      <c r="C1324" t="s">
        <v>22</v>
      </c>
      <c r="D1324" t="s">
        <v>345</v>
      </c>
      <c r="E1324" t="s">
        <v>346</v>
      </c>
      <c r="F1324" t="s">
        <v>3</v>
      </c>
      <c r="G1324" t="s">
        <v>4</v>
      </c>
      <c r="H1324" t="s">
        <v>26</v>
      </c>
      <c r="I1324" t="s">
        <v>1889</v>
      </c>
      <c r="J1324" s="2">
        <v>50.783999999999999</v>
      </c>
      <c r="K1324">
        <v>2</v>
      </c>
      <c r="L1324" s="4"/>
    </row>
    <row r="1325" spans="1:12" x14ac:dyDescent="0.3">
      <c r="A1325" s="1">
        <v>42034</v>
      </c>
      <c r="B1325" s="1">
        <v>42035</v>
      </c>
      <c r="C1325" t="s">
        <v>22</v>
      </c>
      <c r="D1325" t="s">
        <v>345</v>
      </c>
      <c r="E1325" t="s">
        <v>346</v>
      </c>
      <c r="F1325" t="s">
        <v>3</v>
      </c>
      <c r="G1325" t="s">
        <v>4</v>
      </c>
      <c r="H1325" t="s">
        <v>168</v>
      </c>
      <c r="I1325" t="s">
        <v>744</v>
      </c>
      <c r="J1325" s="2">
        <v>26.01</v>
      </c>
      <c r="K1325">
        <v>9</v>
      </c>
      <c r="L1325" s="4"/>
    </row>
    <row r="1326" spans="1:12" x14ac:dyDescent="0.3">
      <c r="A1326" s="1">
        <v>42034</v>
      </c>
      <c r="B1326" s="1">
        <v>42036</v>
      </c>
      <c r="C1326" t="s">
        <v>0</v>
      </c>
      <c r="D1326" t="s">
        <v>1009</v>
      </c>
      <c r="E1326" t="s">
        <v>1010</v>
      </c>
      <c r="F1326" t="s">
        <v>56</v>
      </c>
      <c r="G1326" t="s">
        <v>12</v>
      </c>
      <c r="H1326" t="s">
        <v>70</v>
      </c>
      <c r="I1326" t="s">
        <v>1890</v>
      </c>
      <c r="J1326" s="2">
        <v>435.16800000000006</v>
      </c>
      <c r="K1326">
        <v>4</v>
      </c>
      <c r="L1326" s="4"/>
    </row>
    <row r="1327" spans="1:12" x14ac:dyDescent="0.3">
      <c r="A1327" s="1">
        <v>42034</v>
      </c>
      <c r="B1327" s="1">
        <v>42036</v>
      </c>
      <c r="C1327" t="s">
        <v>0</v>
      </c>
      <c r="D1327" t="s">
        <v>1009</v>
      </c>
      <c r="E1327" t="s">
        <v>1010</v>
      </c>
      <c r="F1327" t="s">
        <v>56</v>
      </c>
      <c r="G1327" t="s">
        <v>12</v>
      </c>
      <c r="H1327" t="s">
        <v>13</v>
      </c>
      <c r="I1327" t="s">
        <v>1891</v>
      </c>
      <c r="J1327" s="2">
        <v>48.58</v>
      </c>
      <c r="K1327">
        <v>1</v>
      </c>
      <c r="L1327" s="4"/>
    </row>
    <row r="1328" spans="1:12" x14ac:dyDescent="0.3">
      <c r="A1328" s="1">
        <v>42035</v>
      </c>
      <c r="B1328" s="1">
        <v>42039</v>
      </c>
      <c r="C1328" t="s">
        <v>7</v>
      </c>
      <c r="D1328" t="s">
        <v>135</v>
      </c>
      <c r="E1328" t="s">
        <v>136</v>
      </c>
      <c r="F1328" t="s">
        <v>3</v>
      </c>
      <c r="G1328" t="s">
        <v>74</v>
      </c>
      <c r="H1328" t="s">
        <v>147</v>
      </c>
      <c r="I1328" t="s">
        <v>1892</v>
      </c>
      <c r="J1328" s="2">
        <v>109.59200000000001</v>
      </c>
      <c r="K1328">
        <v>1</v>
      </c>
      <c r="L1328" s="4"/>
    </row>
    <row r="1329" spans="1:12" x14ac:dyDescent="0.3">
      <c r="A1329" s="1">
        <v>42035</v>
      </c>
      <c r="B1329" s="1">
        <v>42039</v>
      </c>
      <c r="C1329" t="s">
        <v>7</v>
      </c>
      <c r="D1329" t="s">
        <v>135</v>
      </c>
      <c r="E1329" t="s">
        <v>136</v>
      </c>
      <c r="F1329" t="s">
        <v>3</v>
      </c>
      <c r="G1329" t="s">
        <v>4</v>
      </c>
      <c r="H1329" t="s">
        <v>5</v>
      </c>
      <c r="I1329" t="s">
        <v>839</v>
      </c>
      <c r="J1329" s="2">
        <v>56.7</v>
      </c>
      <c r="K1329">
        <v>5</v>
      </c>
      <c r="L1329" s="4"/>
    </row>
    <row r="1330" spans="1:12" x14ac:dyDescent="0.3">
      <c r="A1330" s="1">
        <v>42036</v>
      </c>
      <c r="B1330" s="1">
        <v>42042</v>
      </c>
      <c r="C1330" t="s">
        <v>7</v>
      </c>
      <c r="D1330" t="s">
        <v>1893</v>
      </c>
      <c r="E1330" t="s">
        <v>1894</v>
      </c>
      <c r="F1330" t="s">
        <v>3</v>
      </c>
      <c r="G1330" t="s">
        <v>4</v>
      </c>
      <c r="H1330" t="s">
        <v>5</v>
      </c>
      <c r="I1330" t="s">
        <v>1352</v>
      </c>
      <c r="J1330" s="2">
        <v>105.52</v>
      </c>
      <c r="K1330">
        <v>4</v>
      </c>
      <c r="L1330" s="4"/>
    </row>
    <row r="1331" spans="1:12" x14ac:dyDescent="0.3">
      <c r="A1331" s="1">
        <v>42039</v>
      </c>
      <c r="B1331" s="1">
        <v>42043</v>
      </c>
      <c r="C1331" t="s">
        <v>7</v>
      </c>
      <c r="D1331" t="s">
        <v>1580</v>
      </c>
      <c r="E1331" t="s">
        <v>1581</v>
      </c>
      <c r="F1331" t="s">
        <v>25</v>
      </c>
      <c r="G1331" t="s">
        <v>12</v>
      </c>
      <c r="H1331" t="s">
        <v>35</v>
      </c>
      <c r="I1331" t="s">
        <v>1843</v>
      </c>
      <c r="J1331" s="2">
        <v>14.368000000000002</v>
      </c>
      <c r="K1331">
        <v>2</v>
      </c>
      <c r="L1331" s="4"/>
    </row>
    <row r="1332" spans="1:12" x14ac:dyDescent="0.3">
      <c r="A1332" s="1">
        <v>42039</v>
      </c>
      <c r="B1332" s="1">
        <v>42044</v>
      </c>
      <c r="C1332" t="s">
        <v>7</v>
      </c>
      <c r="D1332" t="s">
        <v>1306</v>
      </c>
      <c r="E1332" t="s">
        <v>1307</v>
      </c>
      <c r="F1332" t="s">
        <v>3</v>
      </c>
      <c r="G1332" t="s">
        <v>4</v>
      </c>
      <c r="H1332" t="s">
        <v>10</v>
      </c>
      <c r="I1332" t="s">
        <v>1895</v>
      </c>
      <c r="J1332" s="2">
        <v>93.02</v>
      </c>
      <c r="K1332">
        <v>2</v>
      </c>
      <c r="L1332" s="4"/>
    </row>
    <row r="1333" spans="1:12" x14ac:dyDescent="0.3">
      <c r="A1333" s="1">
        <v>42040</v>
      </c>
      <c r="B1333" s="1">
        <v>42045</v>
      </c>
      <c r="C1333" t="s">
        <v>7</v>
      </c>
      <c r="D1333" t="s">
        <v>1284</v>
      </c>
      <c r="E1333" t="s">
        <v>1285</v>
      </c>
      <c r="F1333" t="s">
        <v>3</v>
      </c>
      <c r="G1333" t="s">
        <v>4</v>
      </c>
      <c r="H1333" t="s">
        <v>168</v>
      </c>
      <c r="I1333" t="s">
        <v>1896</v>
      </c>
      <c r="J1333" s="2">
        <v>14.73</v>
      </c>
      <c r="K1333">
        <v>3</v>
      </c>
      <c r="L1333" s="4"/>
    </row>
    <row r="1334" spans="1:12" x14ac:dyDescent="0.3">
      <c r="A1334" s="1">
        <v>42040</v>
      </c>
      <c r="B1334" s="1">
        <v>42045</v>
      </c>
      <c r="C1334" t="s">
        <v>7</v>
      </c>
      <c r="D1334" t="s">
        <v>1284</v>
      </c>
      <c r="E1334" t="s">
        <v>1285</v>
      </c>
      <c r="F1334" t="s">
        <v>3</v>
      </c>
      <c r="G1334" t="s">
        <v>4</v>
      </c>
      <c r="H1334" t="s">
        <v>10</v>
      </c>
      <c r="I1334" t="s">
        <v>718</v>
      </c>
      <c r="J1334" s="2">
        <v>186.54</v>
      </c>
      <c r="K1334">
        <v>3</v>
      </c>
      <c r="L1334" s="4"/>
    </row>
    <row r="1335" spans="1:12" x14ac:dyDescent="0.3">
      <c r="A1335" s="1">
        <v>42040</v>
      </c>
      <c r="B1335" s="1">
        <v>42045</v>
      </c>
      <c r="C1335" t="s">
        <v>7</v>
      </c>
      <c r="D1335" t="s">
        <v>1284</v>
      </c>
      <c r="E1335" t="s">
        <v>1285</v>
      </c>
      <c r="F1335" t="s">
        <v>3</v>
      </c>
      <c r="G1335" t="s">
        <v>12</v>
      </c>
      <c r="H1335" t="s">
        <v>44</v>
      </c>
      <c r="I1335" t="s">
        <v>1897</v>
      </c>
      <c r="J1335" s="2">
        <v>557.72799999999995</v>
      </c>
      <c r="K1335">
        <v>4</v>
      </c>
      <c r="L1335" s="4"/>
    </row>
    <row r="1336" spans="1:12" x14ac:dyDescent="0.3">
      <c r="A1336" s="1">
        <v>42040</v>
      </c>
      <c r="B1336" s="1">
        <v>42045</v>
      </c>
      <c r="C1336" t="s">
        <v>7</v>
      </c>
      <c r="D1336" t="s">
        <v>1284</v>
      </c>
      <c r="E1336" t="s">
        <v>1285</v>
      </c>
      <c r="F1336" t="s">
        <v>3</v>
      </c>
      <c r="G1336" t="s">
        <v>74</v>
      </c>
      <c r="H1336" t="s">
        <v>147</v>
      </c>
      <c r="I1336" t="s">
        <v>1898</v>
      </c>
      <c r="J1336" s="2">
        <v>159.96800000000002</v>
      </c>
      <c r="K1336">
        <v>4</v>
      </c>
      <c r="L1336" s="4"/>
    </row>
    <row r="1337" spans="1:12" x14ac:dyDescent="0.3">
      <c r="A1337" s="1">
        <v>42042</v>
      </c>
      <c r="B1337" s="1">
        <v>42045</v>
      </c>
      <c r="C1337" t="s">
        <v>0</v>
      </c>
      <c r="D1337" t="s">
        <v>1899</v>
      </c>
      <c r="E1337" t="s">
        <v>1900</v>
      </c>
      <c r="F1337" t="s">
        <v>3</v>
      </c>
      <c r="G1337" t="s">
        <v>74</v>
      </c>
      <c r="H1337" t="s">
        <v>147</v>
      </c>
      <c r="I1337" t="s">
        <v>1440</v>
      </c>
      <c r="J1337" s="2">
        <v>623.96</v>
      </c>
      <c r="K1337">
        <v>5</v>
      </c>
      <c r="L1337" s="4"/>
    </row>
    <row r="1338" spans="1:12" x14ac:dyDescent="0.3">
      <c r="A1338" s="1">
        <v>42044</v>
      </c>
      <c r="B1338" s="1">
        <v>42048</v>
      </c>
      <c r="C1338" t="s">
        <v>7</v>
      </c>
      <c r="D1338" t="s">
        <v>1901</v>
      </c>
      <c r="E1338" t="s">
        <v>1902</v>
      </c>
      <c r="F1338" t="s">
        <v>3</v>
      </c>
      <c r="G1338" t="s">
        <v>74</v>
      </c>
      <c r="H1338" t="s">
        <v>75</v>
      </c>
      <c r="I1338" t="s">
        <v>1077</v>
      </c>
      <c r="J1338" s="2">
        <v>89.97</v>
      </c>
      <c r="K1338">
        <v>3</v>
      </c>
      <c r="L1338" s="4"/>
    </row>
    <row r="1339" spans="1:12" x14ac:dyDescent="0.3">
      <c r="A1339" s="1">
        <v>42044</v>
      </c>
      <c r="B1339" s="1">
        <v>42048</v>
      </c>
      <c r="C1339" t="s">
        <v>7</v>
      </c>
      <c r="D1339" t="s">
        <v>1901</v>
      </c>
      <c r="E1339" t="s">
        <v>1902</v>
      </c>
      <c r="F1339" t="s">
        <v>3</v>
      </c>
      <c r="G1339" t="s">
        <v>74</v>
      </c>
      <c r="H1339" t="s">
        <v>75</v>
      </c>
      <c r="I1339" t="s">
        <v>1903</v>
      </c>
      <c r="J1339" s="2">
        <v>31.86</v>
      </c>
      <c r="K1339">
        <v>2</v>
      </c>
      <c r="L1339" s="4"/>
    </row>
    <row r="1340" spans="1:12" x14ac:dyDescent="0.3">
      <c r="A1340" s="1">
        <v>42048</v>
      </c>
      <c r="B1340" s="1">
        <v>42053</v>
      </c>
      <c r="C1340" t="s">
        <v>7</v>
      </c>
      <c r="D1340" t="s">
        <v>1904</v>
      </c>
      <c r="E1340" t="s">
        <v>1905</v>
      </c>
      <c r="F1340" t="s">
        <v>3</v>
      </c>
      <c r="G1340" t="s">
        <v>4</v>
      </c>
      <c r="H1340" t="s">
        <v>5</v>
      </c>
      <c r="I1340" t="s">
        <v>1906</v>
      </c>
      <c r="J1340" s="2">
        <v>146.82</v>
      </c>
      <c r="K1340">
        <v>3</v>
      </c>
      <c r="L1340" s="4"/>
    </row>
    <row r="1341" spans="1:12" x14ac:dyDescent="0.3">
      <c r="A1341" s="1">
        <v>42054</v>
      </c>
      <c r="B1341" s="1">
        <v>42057</v>
      </c>
      <c r="C1341" t="s">
        <v>0</v>
      </c>
      <c r="D1341" t="s">
        <v>1907</v>
      </c>
      <c r="E1341" t="s">
        <v>1908</v>
      </c>
      <c r="F1341" t="s">
        <v>3</v>
      </c>
      <c r="G1341" t="s">
        <v>4</v>
      </c>
      <c r="H1341" t="s">
        <v>5</v>
      </c>
      <c r="I1341" t="s">
        <v>1232</v>
      </c>
      <c r="J1341" s="2">
        <v>70.88</v>
      </c>
      <c r="K1341">
        <v>2</v>
      </c>
      <c r="L1341" s="4"/>
    </row>
    <row r="1342" spans="1:12" x14ac:dyDescent="0.3">
      <c r="A1342" s="1">
        <v>42056</v>
      </c>
      <c r="B1342" s="1">
        <v>42061</v>
      </c>
      <c r="C1342" t="s">
        <v>0</v>
      </c>
      <c r="D1342" t="s">
        <v>1909</v>
      </c>
      <c r="E1342" t="s">
        <v>1910</v>
      </c>
      <c r="F1342" t="s">
        <v>3</v>
      </c>
      <c r="G1342" t="s">
        <v>74</v>
      </c>
      <c r="H1342" t="s">
        <v>75</v>
      </c>
      <c r="I1342" t="s">
        <v>1014</v>
      </c>
      <c r="J1342" s="2">
        <v>12.99</v>
      </c>
      <c r="K1342">
        <v>1</v>
      </c>
      <c r="L1342" s="4"/>
    </row>
    <row r="1343" spans="1:12" x14ac:dyDescent="0.3">
      <c r="A1343" s="1">
        <v>42056</v>
      </c>
      <c r="B1343" s="1">
        <v>42061</v>
      </c>
      <c r="C1343" t="s">
        <v>0</v>
      </c>
      <c r="D1343" t="s">
        <v>1909</v>
      </c>
      <c r="E1343" t="s">
        <v>1910</v>
      </c>
      <c r="F1343" t="s">
        <v>3</v>
      </c>
      <c r="G1343" t="s">
        <v>4</v>
      </c>
      <c r="H1343" t="s">
        <v>26</v>
      </c>
      <c r="I1343" t="s">
        <v>1911</v>
      </c>
      <c r="J1343" s="2">
        <v>18.559999999999999</v>
      </c>
      <c r="K1343">
        <v>4</v>
      </c>
      <c r="L1343" s="4"/>
    </row>
    <row r="1344" spans="1:12" x14ac:dyDescent="0.3">
      <c r="A1344" s="1">
        <v>42056</v>
      </c>
      <c r="B1344" s="1">
        <v>42061</v>
      </c>
      <c r="C1344" t="s">
        <v>0</v>
      </c>
      <c r="D1344" t="s">
        <v>1909</v>
      </c>
      <c r="E1344" t="s">
        <v>1910</v>
      </c>
      <c r="F1344" t="s">
        <v>3</v>
      </c>
      <c r="G1344" t="s">
        <v>4</v>
      </c>
      <c r="H1344" t="s">
        <v>10</v>
      </c>
      <c r="I1344" t="s">
        <v>330</v>
      </c>
      <c r="J1344" s="2">
        <v>449.15</v>
      </c>
      <c r="K1344">
        <v>5</v>
      </c>
      <c r="L1344" s="4"/>
    </row>
    <row r="1345" spans="1:12" x14ac:dyDescent="0.3">
      <c r="A1345" s="1">
        <v>42056</v>
      </c>
      <c r="B1345" s="1">
        <v>42061</v>
      </c>
      <c r="C1345" t="s">
        <v>0</v>
      </c>
      <c r="D1345" t="s">
        <v>1909</v>
      </c>
      <c r="E1345" t="s">
        <v>1910</v>
      </c>
      <c r="F1345" t="s">
        <v>3</v>
      </c>
      <c r="G1345" t="s">
        <v>4</v>
      </c>
      <c r="H1345" t="s">
        <v>26</v>
      </c>
      <c r="I1345" t="s">
        <v>569</v>
      </c>
      <c r="J1345" s="2">
        <v>31.248000000000005</v>
      </c>
      <c r="K1345">
        <v>7</v>
      </c>
      <c r="L1345" s="4"/>
    </row>
    <row r="1346" spans="1:12" x14ac:dyDescent="0.3">
      <c r="A1346" s="1">
        <v>42057</v>
      </c>
      <c r="B1346" s="1">
        <v>42061</v>
      </c>
      <c r="C1346" t="s">
        <v>7</v>
      </c>
      <c r="D1346" t="s">
        <v>889</v>
      </c>
      <c r="E1346" t="s">
        <v>890</v>
      </c>
      <c r="F1346" t="s">
        <v>3</v>
      </c>
      <c r="G1346" t="s">
        <v>74</v>
      </c>
      <c r="H1346" t="s">
        <v>147</v>
      </c>
      <c r="I1346" t="s">
        <v>536</v>
      </c>
      <c r="J1346" s="2">
        <v>445.96000000000004</v>
      </c>
      <c r="K1346">
        <v>5</v>
      </c>
      <c r="L1346" s="4"/>
    </row>
    <row r="1347" spans="1:12" x14ac:dyDescent="0.3">
      <c r="A1347" s="1">
        <v>42057</v>
      </c>
      <c r="B1347" s="1">
        <v>42061</v>
      </c>
      <c r="C1347" t="s">
        <v>7</v>
      </c>
      <c r="D1347" t="s">
        <v>889</v>
      </c>
      <c r="E1347" t="s">
        <v>890</v>
      </c>
      <c r="F1347" t="s">
        <v>3</v>
      </c>
      <c r="G1347" t="s">
        <v>74</v>
      </c>
      <c r="H1347" t="s">
        <v>75</v>
      </c>
      <c r="I1347" t="s">
        <v>231</v>
      </c>
      <c r="J1347" s="2">
        <v>36.24</v>
      </c>
      <c r="K1347">
        <v>1</v>
      </c>
      <c r="L1347" s="4"/>
    </row>
    <row r="1348" spans="1:12" x14ac:dyDescent="0.3">
      <c r="A1348" s="1">
        <v>42057</v>
      </c>
      <c r="B1348" s="1">
        <v>42061</v>
      </c>
      <c r="C1348" t="s">
        <v>7</v>
      </c>
      <c r="D1348" t="s">
        <v>889</v>
      </c>
      <c r="E1348" t="s">
        <v>890</v>
      </c>
      <c r="F1348" t="s">
        <v>3</v>
      </c>
      <c r="G1348" t="s">
        <v>4</v>
      </c>
      <c r="H1348" t="s">
        <v>52</v>
      </c>
      <c r="I1348" t="s">
        <v>1912</v>
      </c>
      <c r="J1348" s="2">
        <v>10.649999999999999</v>
      </c>
      <c r="K1348">
        <v>3</v>
      </c>
      <c r="L1348" s="4"/>
    </row>
    <row r="1349" spans="1:12" x14ac:dyDescent="0.3">
      <c r="A1349" s="1">
        <v>42065</v>
      </c>
      <c r="B1349" s="1">
        <v>42072</v>
      </c>
      <c r="C1349" t="s">
        <v>7</v>
      </c>
      <c r="D1349" t="s">
        <v>635</v>
      </c>
      <c r="E1349" t="s">
        <v>636</v>
      </c>
      <c r="F1349" t="s">
        <v>115</v>
      </c>
      <c r="G1349" t="s">
        <v>74</v>
      </c>
      <c r="H1349" t="s">
        <v>147</v>
      </c>
      <c r="I1349" t="s">
        <v>1913</v>
      </c>
      <c r="J1349" s="2">
        <v>159.98400000000001</v>
      </c>
      <c r="K1349">
        <v>2</v>
      </c>
      <c r="L1349" s="4"/>
    </row>
    <row r="1350" spans="1:12" x14ac:dyDescent="0.3">
      <c r="A1350" s="1">
        <v>42067</v>
      </c>
      <c r="B1350" s="1">
        <v>42067</v>
      </c>
      <c r="C1350" t="s">
        <v>240</v>
      </c>
      <c r="D1350" t="s">
        <v>1914</v>
      </c>
      <c r="E1350" t="s">
        <v>1915</v>
      </c>
      <c r="F1350" t="s">
        <v>3</v>
      </c>
      <c r="G1350" t="s">
        <v>4</v>
      </c>
      <c r="H1350" t="s">
        <v>78</v>
      </c>
      <c r="I1350" t="s">
        <v>1545</v>
      </c>
      <c r="J1350" s="2">
        <v>25.349999999999998</v>
      </c>
      <c r="K1350">
        <v>3</v>
      </c>
      <c r="L1350" s="4"/>
    </row>
    <row r="1351" spans="1:12" x14ac:dyDescent="0.3">
      <c r="A1351" s="1">
        <v>42067</v>
      </c>
      <c r="B1351" s="1">
        <v>42067</v>
      </c>
      <c r="C1351" t="s">
        <v>240</v>
      </c>
      <c r="D1351" t="s">
        <v>1914</v>
      </c>
      <c r="E1351" t="s">
        <v>1915</v>
      </c>
      <c r="F1351" t="s">
        <v>3</v>
      </c>
      <c r="G1351" t="s">
        <v>12</v>
      </c>
      <c r="H1351" t="s">
        <v>35</v>
      </c>
      <c r="I1351" t="s">
        <v>1118</v>
      </c>
      <c r="J1351" s="2">
        <v>35.28</v>
      </c>
      <c r="K1351">
        <v>3</v>
      </c>
      <c r="L1351" s="4"/>
    </row>
    <row r="1352" spans="1:12" x14ac:dyDescent="0.3">
      <c r="A1352" s="1">
        <v>42068</v>
      </c>
      <c r="B1352" s="1">
        <v>42074</v>
      </c>
      <c r="C1352" t="s">
        <v>7</v>
      </c>
      <c r="D1352" t="s">
        <v>1916</v>
      </c>
      <c r="E1352" t="s">
        <v>1917</v>
      </c>
      <c r="F1352" t="s">
        <v>3</v>
      </c>
      <c r="G1352" t="s">
        <v>4</v>
      </c>
      <c r="H1352" t="s">
        <v>15</v>
      </c>
      <c r="I1352" t="s">
        <v>1918</v>
      </c>
      <c r="J1352" s="2">
        <v>16.989999999999998</v>
      </c>
      <c r="K1352">
        <v>1</v>
      </c>
      <c r="L1352" s="4"/>
    </row>
    <row r="1353" spans="1:12" x14ac:dyDescent="0.3">
      <c r="A1353" s="1">
        <v>42072</v>
      </c>
      <c r="B1353" s="1">
        <v>42072</v>
      </c>
      <c r="C1353" t="s">
        <v>240</v>
      </c>
      <c r="D1353" t="s">
        <v>288</v>
      </c>
      <c r="E1353" t="s">
        <v>289</v>
      </c>
      <c r="F1353" t="s">
        <v>25</v>
      </c>
      <c r="G1353" t="s">
        <v>4</v>
      </c>
      <c r="H1353" t="s">
        <v>26</v>
      </c>
      <c r="I1353" t="s">
        <v>27</v>
      </c>
      <c r="J1353" s="2">
        <v>9.7020000000000017</v>
      </c>
      <c r="K1353">
        <v>3</v>
      </c>
      <c r="L1353" s="4"/>
    </row>
    <row r="1354" spans="1:12" x14ac:dyDescent="0.3">
      <c r="A1354" s="1">
        <v>42074</v>
      </c>
      <c r="B1354" s="1">
        <v>42075</v>
      </c>
      <c r="C1354" t="s">
        <v>22</v>
      </c>
      <c r="D1354" t="s">
        <v>707</v>
      </c>
      <c r="E1354" t="s">
        <v>708</v>
      </c>
      <c r="F1354" t="s">
        <v>3</v>
      </c>
      <c r="G1354" t="s">
        <v>4</v>
      </c>
      <c r="H1354" t="s">
        <v>5</v>
      </c>
      <c r="I1354" t="s">
        <v>1919</v>
      </c>
      <c r="J1354" s="2">
        <v>14.9</v>
      </c>
      <c r="K1354">
        <v>5</v>
      </c>
      <c r="L1354" s="4"/>
    </row>
    <row r="1355" spans="1:12" x14ac:dyDescent="0.3">
      <c r="A1355" s="1">
        <v>42074</v>
      </c>
      <c r="B1355" s="1">
        <v>42075</v>
      </c>
      <c r="C1355" t="s">
        <v>22</v>
      </c>
      <c r="D1355" t="s">
        <v>707</v>
      </c>
      <c r="E1355" t="s">
        <v>708</v>
      </c>
      <c r="F1355" t="s">
        <v>3</v>
      </c>
      <c r="G1355" t="s">
        <v>74</v>
      </c>
      <c r="H1355" t="s">
        <v>147</v>
      </c>
      <c r="I1355" t="s">
        <v>1920</v>
      </c>
      <c r="J1355" s="2">
        <v>4158.9120000000003</v>
      </c>
      <c r="K1355">
        <v>8</v>
      </c>
      <c r="L1355" s="4"/>
    </row>
    <row r="1356" spans="1:12" x14ac:dyDescent="0.3">
      <c r="A1356" s="1">
        <v>42074</v>
      </c>
      <c r="B1356" s="1">
        <v>42077</v>
      </c>
      <c r="C1356" t="s">
        <v>22</v>
      </c>
      <c r="D1356" t="s">
        <v>1498</v>
      </c>
      <c r="E1356" t="s">
        <v>1499</v>
      </c>
      <c r="F1356" t="s">
        <v>3</v>
      </c>
      <c r="G1356" t="s">
        <v>74</v>
      </c>
      <c r="H1356" t="s">
        <v>75</v>
      </c>
      <c r="I1356" t="s">
        <v>737</v>
      </c>
      <c r="J1356" s="2">
        <v>26.849999999999998</v>
      </c>
      <c r="K1356">
        <v>3</v>
      </c>
      <c r="L1356" s="4"/>
    </row>
    <row r="1357" spans="1:12" x14ac:dyDescent="0.3">
      <c r="A1357" s="1">
        <v>42074</v>
      </c>
      <c r="B1357" s="1">
        <v>42077</v>
      </c>
      <c r="C1357" t="s">
        <v>22</v>
      </c>
      <c r="D1357" t="s">
        <v>1498</v>
      </c>
      <c r="E1357" t="s">
        <v>1499</v>
      </c>
      <c r="F1357" t="s">
        <v>3</v>
      </c>
      <c r="G1357" t="s">
        <v>74</v>
      </c>
      <c r="H1357" t="s">
        <v>138</v>
      </c>
      <c r="I1357" t="s">
        <v>1921</v>
      </c>
      <c r="J1357" s="2">
        <v>3357.6000000000004</v>
      </c>
      <c r="K1357">
        <v>3</v>
      </c>
      <c r="L1357" s="4"/>
    </row>
    <row r="1358" spans="1:12" x14ac:dyDescent="0.3">
      <c r="A1358" s="1">
        <v>42074</v>
      </c>
      <c r="B1358" s="1">
        <v>42078</v>
      </c>
      <c r="C1358" t="s">
        <v>0</v>
      </c>
      <c r="D1358" t="s">
        <v>327</v>
      </c>
      <c r="E1358" t="s">
        <v>328</v>
      </c>
      <c r="F1358" t="s">
        <v>25</v>
      </c>
      <c r="G1358" t="s">
        <v>4</v>
      </c>
      <c r="H1358" t="s">
        <v>10</v>
      </c>
      <c r="I1358" t="s">
        <v>1922</v>
      </c>
      <c r="J1358" s="2">
        <v>104.69600000000001</v>
      </c>
      <c r="K1358">
        <v>1</v>
      </c>
      <c r="L1358" s="4"/>
    </row>
    <row r="1359" spans="1:12" x14ac:dyDescent="0.3">
      <c r="A1359" s="1">
        <v>42076</v>
      </c>
      <c r="B1359" s="1">
        <v>42079</v>
      </c>
      <c r="C1359" t="s">
        <v>0</v>
      </c>
      <c r="D1359" t="s">
        <v>120</v>
      </c>
      <c r="E1359" t="s">
        <v>121</v>
      </c>
      <c r="F1359" t="s">
        <v>3</v>
      </c>
      <c r="G1359" t="s">
        <v>4</v>
      </c>
      <c r="H1359" t="s">
        <v>10</v>
      </c>
      <c r="I1359" t="s">
        <v>1280</v>
      </c>
      <c r="J1359" s="2">
        <v>676.55</v>
      </c>
      <c r="K1359">
        <v>5</v>
      </c>
      <c r="L1359" s="4"/>
    </row>
    <row r="1360" spans="1:12" x14ac:dyDescent="0.3">
      <c r="A1360" s="1">
        <v>42076</v>
      </c>
      <c r="B1360" s="1">
        <v>42079</v>
      </c>
      <c r="C1360" t="s">
        <v>0</v>
      </c>
      <c r="D1360" t="s">
        <v>120</v>
      </c>
      <c r="E1360" t="s">
        <v>121</v>
      </c>
      <c r="F1360" t="s">
        <v>3</v>
      </c>
      <c r="G1360" t="s">
        <v>4</v>
      </c>
      <c r="H1360" t="s">
        <v>20</v>
      </c>
      <c r="I1360" t="s">
        <v>1923</v>
      </c>
      <c r="J1360" s="2">
        <v>154.9</v>
      </c>
      <c r="K1360">
        <v>5</v>
      </c>
      <c r="L1360" s="4"/>
    </row>
    <row r="1361" spans="1:12" x14ac:dyDescent="0.3">
      <c r="A1361" s="1">
        <v>42076</v>
      </c>
      <c r="B1361" s="1">
        <v>42079</v>
      </c>
      <c r="C1361" t="s">
        <v>0</v>
      </c>
      <c r="D1361" t="s">
        <v>120</v>
      </c>
      <c r="E1361" t="s">
        <v>121</v>
      </c>
      <c r="F1361" t="s">
        <v>3</v>
      </c>
      <c r="G1361" t="s">
        <v>4</v>
      </c>
      <c r="H1361" t="s">
        <v>29</v>
      </c>
      <c r="I1361" t="s">
        <v>1924</v>
      </c>
      <c r="J1361" s="2">
        <v>30.56</v>
      </c>
      <c r="K1361">
        <v>4</v>
      </c>
      <c r="L1361" s="4"/>
    </row>
    <row r="1362" spans="1:12" x14ac:dyDescent="0.3">
      <c r="A1362" s="1">
        <v>42076</v>
      </c>
      <c r="B1362" s="1">
        <v>42079</v>
      </c>
      <c r="C1362" t="s">
        <v>0</v>
      </c>
      <c r="D1362" t="s">
        <v>120</v>
      </c>
      <c r="E1362" t="s">
        <v>121</v>
      </c>
      <c r="F1362" t="s">
        <v>3</v>
      </c>
      <c r="G1362" t="s">
        <v>12</v>
      </c>
      <c r="H1362" t="s">
        <v>70</v>
      </c>
      <c r="I1362" t="s">
        <v>1925</v>
      </c>
      <c r="J1362" s="2">
        <v>770.35200000000009</v>
      </c>
      <c r="K1362">
        <v>3</v>
      </c>
      <c r="L1362" s="4"/>
    </row>
    <row r="1363" spans="1:12" x14ac:dyDescent="0.3">
      <c r="A1363" s="1">
        <v>42076</v>
      </c>
      <c r="B1363" s="1">
        <v>42080</v>
      </c>
      <c r="C1363" t="s">
        <v>7</v>
      </c>
      <c r="D1363" t="s">
        <v>1926</v>
      </c>
      <c r="E1363" t="s">
        <v>1927</v>
      </c>
      <c r="F1363" t="s">
        <v>3</v>
      </c>
      <c r="G1363" t="s">
        <v>4</v>
      </c>
      <c r="H1363" t="s">
        <v>5</v>
      </c>
      <c r="I1363" t="s">
        <v>1928</v>
      </c>
      <c r="J1363" s="2">
        <v>19.98</v>
      </c>
      <c r="K1363">
        <v>2</v>
      </c>
      <c r="L1363" s="4"/>
    </row>
    <row r="1364" spans="1:12" x14ac:dyDescent="0.3">
      <c r="A1364" s="1">
        <v>42077</v>
      </c>
      <c r="B1364" s="1">
        <v>42080</v>
      </c>
      <c r="C1364" t="s">
        <v>22</v>
      </c>
      <c r="D1364" t="s">
        <v>1761</v>
      </c>
      <c r="E1364" t="s">
        <v>1762</v>
      </c>
      <c r="F1364" t="s">
        <v>25</v>
      </c>
      <c r="G1364" t="s">
        <v>4</v>
      </c>
      <c r="H1364" t="s">
        <v>20</v>
      </c>
      <c r="I1364" t="s">
        <v>1929</v>
      </c>
      <c r="J1364" s="2">
        <v>157.91999999999999</v>
      </c>
      <c r="K1364">
        <v>5</v>
      </c>
      <c r="L1364" s="4"/>
    </row>
    <row r="1365" spans="1:12" x14ac:dyDescent="0.3">
      <c r="A1365" s="1">
        <v>42077</v>
      </c>
      <c r="B1365" s="1">
        <v>42080</v>
      </c>
      <c r="C1365" t="s">
        <v>22</v>
      </c>
      <c r="D1365" t="s">
        <v>1761</v>
      </c>
      <c r="E1365" t="s">
        <v>1762</v>
      </c>
      <c r="F1365" t="s">
        <v>25</v>
      </c>
      <c r="G1365" t="s">
        <v>74</v>
      </c>
      <c r="H1365" t="s">
        <v>147</v>
      </c>
      <c r="I1365" t="s">
        <v>1703</v>
      </c>
      <c r="J1365" s="2">
        <v>203.184</v>
      </c>
      <c r="K1365">
        <v>2</v>
      </c>
      <c r="L1365" s="4"/>
    </row>
    <row r="1366" spans="1:12" x14ac:dyDescent="0.3">
      <c r="A1366" s="1">
        <v>42077</v>
      </c>
      <c r="B1366" s="1">
        <v>42079</v>
      </c>
      <c r="C1366" t="s">
        <v>0</v>
      </c>
      <c r="D1366" t="s">
        <v>237</v>
      </c>
      <c r="E1366" t="s">
        <v>238</v>
      </c>
      <c r="F1366" t="s">
        <v>3</v>
      </c>
      <c r="G1366" t="s">
        <v>12</v>
      </c>
      <c r="H1366" t="s">
        <v>35</v>
      </c>
      <c r="I1366" t="s">
        <v>1930</v>
      </c>
      <c r="J1366" s="2">
        <v>28.28</v>
      </c>
      <c r="K1366">
        <v>2</v>
      </c>
      <c r="L1366" s="4"/>
    </row>
    <row r="1367" spans="1:12" x14ac:dyDescent="0.3">
      <c r="A1367" s="1">
        <v>42077</v>
      </c>
      <c r="B1367" s="1">
        <v>42079</v>
      </c>
      <c r="C1367" t="s">
        <v>0</v>
      </c>
      <c r="D1367" t="s">
        <v>237</v>
      </c>
      <c r="E1367" t="s">
        <v>238</v>
      </c>
      <c r="F1367" t="s">
        <v>3</v>
      </c>
      <c r="G1367" t="s">
        <v>4</v>
      </c>
      <c r="H1367" t="s">
        <v>78</v>
      </c>
      <c r="I1367" t="s">
        <v>483</v>
      </c>
      <c r="J1367" s="2">
        <v>4912.59</v>
      </c>
      <c r="K1367">
        <v>3</v>
      </c>
      <c r="L1367" s="4"/>
    </row>
    <row r="1368" spans="1:12" x14ac:dyDescent="0.3">
      <c r="A1368" s="1">
        <v>42077</v>
      </c>
      <c r="B1368" s="1">
        <v>42082</v>
      </c>
      <c r="C1368" t="s">
        <v>7</v>
      </c>
      <c r="D1368" t="s">
        <v>928</v>
      </c>
      <c r="E1368" t="s">
        <v>929</v>
      </c>
      <c r="F1368" t="s">
        <v>3</v>
      </c>
      <c r="G1368" t="s">
        <v>4</v>
      </c>
      <c r="H1368" t="s">
        <v>26</v>
      </c>
      <c r="I1368" t="s">
        <v>856</v>
      </c>
      <c r="J1368" s="2">
        <v>51.184000000000012</v>
      </c>
      <c r="K1368">
        <v>7</v>
      </c>
      <c r="L1368" s="4"/>
    </row>
    <row r="1369" spans="1:12" x14ac:dyDescent="0.3">
      <c r="A1369" s="1">
        <v>42078</v>
      </c>
      <c r="B1369" s="1">
        <v>42080</v>
      </c>
      <c r="C1369" t="s">
        <v>22</v>
      </c>
      <c r="D1369" t="s">
        <v>1564</v>
      </c>
      <c r="E1369" t="s">
        <v>1565</v>
      </c>
      <c r="F1369" t="s">
        <v>56</v>
      </c>
      <c r="G1369" t="s">
        <v>12</v>
      </c>
      <c r="H1369" t="s">
        <v>70</v>
      </c>
      <c r="I1369" t="s">
        <v>1931</v>
      </c>
      <c r="J1369" s="2">
        <v>196.78399999999999</v>
      </c>
      <c r="K1369">
        <v>2</v>
      </c>
      <c r="L1369" s="4"/>
    </row>
    <row r="1370" spans="1:12" x14ac:dyDescent="0.3">
      <c r="A1370" s="1">
        <v>42078</v>
      </c>
      <c r="B1370" s="1">
        <v>42084</v>
      </c>
      <c r="C1370" t="s">
        <v>7</v>
      </c>
      <c r="D1370" t="s">
        <v>1349</v>
      </c>
      <c r="E1370" t="s">
        <v>1350</v>
      </c>
      <c r="F1370" t="s">
        <v>3</v>
      </c>
      <c r="G1370" t="s">
        <v>4</v>
      </c>
      <c r="H1370" t="s">
        <v>26</v>
      </c>
      <c r="I1370" t="s">
        <v>164</v>
      </c>
      <c r="J1370" s="2">
        <v>41.904000000000003</v>
      </c>
      <c r="K1370">
        <v>6</v>
      </c>
      <c r="L1370" s="4"/>
    </row>
    <row r="1371" spans="1:12" x14ac:dyDescent="0.3">
      <c r="A1371" s="1">
        <v>42079</v>
      </c>
      <c r="B1371" s="1">
        <v>42080</v>
      </c>
      <c r="C1371" t="s">
        <v>22</v>
      </c>
      <c r="D1371" t="s">
        <v>762</v>
      </c>
      <c r="E1371" t="s">
        <v>763</v>
      </c>
      <c r="F1371" t="s">
        <v>3</v>
      </c>
      <c r="G1371" t="s">
        <v>4</v>
      </c>
      <c r="H1371" t="s">
        <v>26</v>
      </c>
      <c r="I1371" t="s">
        <v>1932</v>
      </c>
      <c r="J1371" s="2">
        <v>4.5439999999999996</v>
      </c>
      <c r="K1371">
        <v>2</v>
      </c>
      <c r="L1371" s="4"/>
    </row>
    <row r="1372" spans="1:12" x14ac:dyDescent="0.3">
      <c r="A1372" s="1">
        <v>42079</v>
      </c>
      <c r="B1372" s="1">
        <v>42080</v>
      </c>
      <c r="C1372" t="s">
        <v>22</v>
      </c>
      <c r="D1372" t="s">
        <v>762</v>
      </c>
      <c r="E1372" t="s">
        <v>763</v>
      </c>
      <c r="F1372" t="s">
        <v>3</v>
      </c>
      <c r="G1372" t="s">
        <v>12</v>
      </c>
      <c r="H1372" t="s">
        <v>70</v>
      </c>
      <c r="I1372" t="s">
        <v>1933</v>
      </c>
      <c r="J1372" s="2">
        <v>1352.0320000000002</v>
      </c>
      <c r="K1372">
        <v>4</v>
      </c>
      <c r="L1372" s="4"/>
    </row>
    <row r="1373" spans="1:12" x14ac:dyDescent="0.3">
      <c r="A1373" s="1">
        <v>42081</v>
      </c>
      <c r="B1373" s="1">
        <v>42083</v>
      </c>
      <c r="C1373" t="s">
        <v>0</v>
      </c>
      <c r="D1373" t="s">
        <v>1934</v>
      </c>
      <c r="E1373" t="s">
        <v>1935</v>
      </c>
      <c r="F1373" t="s">
        <v>3</v>
      </c>
      <c r="G1373" t="s">
        <v>74</v>
      </c>
      <c r="H1373" t="s">
        <v>147</v>
      </c>
      <c r="I1373" t="s">
        <v>1936</v>
      </c>
      <c r="J1373" s="2">
        <v>84.784000000000006</v>
      </c>
      <c r="K1373">
        <v>2</v>
      </c>
      <c r="L1373" s="4"/>
    </row>
    <row r="1374" spans="1:12" x14ac:dyDescent="0.3">
      <c r="A1374" s="1">
        <v>42083</v>
      </c>
      <c r="B1374" s="1">
        <v>42085</v>
      </c>
      <c r="C1374" t="s">
        <v>0</v>
      </c>
      <c r="D1374" t="s">
        <v>1937</v>
      </c>
      <c r="E1374" t="s">
        <v>1938</v>
      </c>
      <c r="F1374" t="s">
        <v>115</v>
      </c>
      <c r="G1374" t="s">
        <v>12</v>
      </c>
      <c r="H1374" t="s">
        <v>13</v>
      </c>
      <c r="I1374" t="s">
        <v>1939</v>
      </c>
      <c r="J1374" s="2">
        <v>72.294000000000011</v>
      </c>
      <c r="K1374">
        <v>1</v>
      </c>
      <c r="L1374" s="4"/>
    </row>
    <row r="1375" spans="1:12" x14ac:dyDescent="0.3">
      <c r="A1375" s="1">
        <v>42084</v>
      </c>
      <c r="B1375" s="1">
        <v>42088</v>
      </c>
      <c r="C1375" t="s">
        <v>7</v>
      </c>
      <c r="D1375" t="s">
        <v>777</v>
      </c>
      <c r="E1375" t="s">
        <v>778</v>
      </c>
      <c r="F1375" t="s">
        <v>19</v>
      </c>
      <c r="G1375" t="s">
        <v>74</v>
      </c>
      <c r="H1375" t="s">
        <v>147</v>
      </c>
      <c r="I1375" t="s">
        <v>1936</v>
      </c>
      <c r="J1375" s="2">
        <v>84.784000000000006</v>
      </c>
      <c r="K1375">
        <v>2</v>
      </c>
      <c r="L1375" s="4"/>
    </row>
    <row r="1376" spans="1:12" x14ac:dyDescent="0.3">
      <c r="A1376" s="1">
        <v>42084</v>
      </c>
      <c r="B1376" s="1">
        <v>42088</v>
      </c>
      <c r="C1376" t="s">
        <v>7</v>
      </c>
      <c r="D1376" t="s">
        <v>777</v>
      </c>
      <c r="E1376" t="s">
        <v>778</v>
      </c>
      <c r="F1376" t="s">
        <v>19</v>
      </c>
      <c r="G1376" t="s">
        <v>4</v>
      </c>
      <c r="H1376" t="s">
        <v>5</v>
      </c>
      <c r="I1376" t="s">
        <v>6</v>
      </c>
      <c r="J1376" s="2">
        <v>20.736000000000004</v>
      </c>
      <c r="K1376">
        <v>4</v>
      </c>
      <c r="L1376" s="4"/>
    </row>
    <row r="1377" spans="1:12" x14ac:dyDescent="0.3">
      <c r="A1377" s="1">
        <v>42084</v>
      </c>
      <c r="B1377" s="1">
        <v>42088</v>
      </c>
      <c r="C1377" t="s">
        <v>7</v>
      </c>
      <c r="D1377" t="s">
        <v>777</v>
      </c>
      <c r="E1377" t="s">
        <v>778</v>
      </c>
      <c r="F1377" t="s">
        <v>19</v>
      </c>
      <c r="G1377" t="s">
        <v>4</v>
      </c>
      <c r="H1377" t="s">
        <v>26</v>
      </c>
      <c r="I1377" t="s">
        <v>453</v>
      </c>
      <c r="J1377" s="2">
        <v>16.821000000000005</v>
      </c>
      <c r="K1377">
        <v>3</v>
      </c>
      <c r="L1377" s="4"/>
    </row>
    <row r="1378" spans="1:12" x14ac:dyDescent="0.3">
      <c r="A1378" s="1">
        <v>42084</v>
      </c>
      <c r="B1378" s="1">
        <v>42088</v>
      </c>
      <c r="C1378" t="s">
        <v>7</v>
      </c>
      <c r="D1378" t="s">
        <v>777</v>
      </c>
      <c r="E1378" t="s">
        <v>778</v>
      </c>
      <c r="F1378" t="s">
        <v>19</v>
      </c>
      <c r="G1378" t="s">
        <v>4</v>
      </c>
      <c r="H1378" t="s">
        <v>5</v>
      </c>
      <c r="I1378" t="s">
        <v>1348</v>
      </c>
      <c r="J1378" s="2">
        <v>10.368000000000002</v>
      </c>
      <c r="K1378">
        <v>2</v>
      </c>
      <c r="L1378" s="4"/>
    </row>
    <row r="1379" spans="1:12" x14ac:dyDescent="0.3">
      <c r="A1379" s="1">
        <v>42086</v>
      </c>
      <c r="B1379" s="1">
        <v>42089</v>
      </c>
      <c r="C1379" t="s">
        <v>22</v>
      </c>
      <c r="D1379" t="s">
        <v>574</v>
      </c>
      <c r="E1379" t="s">
        <v>575</v>
      </c>
      <c r="F1379" t="s">
        <v>39</v>
      </c>
      <c r="G1379" t="s">
        <v>74</v>
      </c>
      <c r="H1379" t="s">
        <v>75</v>
      </c>
      <c r="I1379" t="s">
        <v>1940</v>
      </c>
      <c r="J1379" s="2">
        <v>58.58</v>
      </c>
      <c r="K1379">
        <v>2</v>
      </c>
      <c r="L1379" s="4"/>
    </row>
    <row r="1380" spans="1:12" x14ac:dyDescent="0.3">
      <c r="A1380" s="1">
        <v>42086</v>
      </c>
      <c r="B1380" s="1">
        <v>42086</v>
      </c>
      <c r="C1380" t="s">
        <v>240</v>
      </c>
      <c r="D1380" t="s">
        <v>625</v>
      </c>
      <c r="E1380" t="s">
        <v>626</v>
      </c>
      <c r="F1380" t="s">
        <v>56</v>
      </c>
      <c r="G1380" t="s">
        <v>12</v>
      </c>
      <c r="H1380" t="s">
        <v>70</v>
      </c>
      <c r="I1380" t="s">
        <v>1941</v>
      </c>
      <c r="J1380" s="2">
        <v>167.88800000000001</v>
      </c>
      <c r="K1380">
        <v>7</v>
      </c>
      <c r="L1380" s="4"/>
    </row>
    <row r="1381" spans="1:12" x14ac:dyDescent="0.3">
      <c r="A1381" s="1">
        <v>42088</v>
      </c>
      <c r="B1381" s="1">
        <v>42092</v>
      </c>
      <c r="C1381" t="s">
        <v>7</v>
      </c>
      <c r="D1381" t="s">
        <v>1942</v>
      </c>
      <c r="E1381" t="s">
        <v>1943</v>
      </c>
      <c r="F1381" t="s">
        <v>19</v>
      </c>
      <c r="G1381" t="s">
        <v>74</v>
      </c>
      <c r="H1381" t="s">
        <v>147</v>
      </c>
      <c r="I1381" t="s">
        <v>565</v>
      </c>
      <c r="J1381" s="2">
        <v>403.16800000000001</v>
      </c>
      <c r="K1381">
        <v>4</v>
      </c>
      <c r="L1381" s="4"/>
    </row>
    <row r="1382" spans="1:12" x14ac:dyDescent="0.3">
      <c r="A1382" s="1">
        <v>42090</v>
      </c>
      <c r="B1382" s="1">
        <v>42092</v>
      </c>
      <c r="C1382" t="s">
        <v>0</v>
      </c>
      <c r="D1382" t="s">
        <v>32</v>
      </c>
      <c r="E1382" t="s">
        <v>33</v>
      </c>
      <c r="F1382" t="s">
        <v>224</v>
      </c>
      <c r="G1382" t="s">
        <v>4</v>
      </c>
      <c r="H1382" t="s">
        <v>5</v>
      </c>
      <c r="I1382" t="s">
        <v>733</v>
      </c>
      <c r="J1382" s="2">
        <v>17.64</v>
      </c>
      <c r="K1382">
        <v>3</v>
      </c>
      <c r="L1382" s="4"/>
    </row>
    <row r="1383" spans="1:12" x14ac:dyDescent="0.3">
      <c r="A1383" s="1">
        <v>42090</v>
      </c>
      <c r="B1383" s="1">
        <v>42092</v>
      </c>
      <c r="C1383" t="s">
        <v>0</v>
      </c>
      <c r="D1383" t="s">
        <v>32</v>
      </c>
      <c r="E1383" t="s">
        <v>33</v>
      </c>
      <c r="F1383" t="s">
        <v>224</v>
      </c>
      <c r="G1383" t="s">
        <v>4</v>
      </c>
      <c r="H1383" t="s">
        <v>26</v>
      </c>
      <c r="I1383" t="s">
        <v>601</v>
      </c>
      <c r="J1383" s="2">
        <v>17.04</v>
      </c>
      <c r="K1383">
        <v>3</v>
      </c>
      <c r="L1383" s="4"/>
    </row>
    <row r="1384" spans="1:12" x14ac:dyDescent="0.3">
      <c r="A1384" s="1">
        <v>42092</v>
      </c>
      <c r="B1384" s="1">
        <v>42095</v>
      </c>
      <c r="C1384" t="s">
        <v>0</v>
      </c>
      <c r="D1384" t="s">
        <v>1944</v>
      </c>
      <c r="E1384" t="s">
        <v>1945</v>
      </c>
      <c r="F1384" t="s">
        <v>3</v>
      </c>
      <c r="G1384" t="s">
        <v>4</v>
      </c>
      <c r="H1384" t="s">
        <v>10</v>
      </c>
      <c r="I1384" t="s">
        <v>1946</v>
      </c>
      <c r="J1384" s="2">
        <v>87.92</v>
      </c>
      <c r="K1384">
        <v>4</v>
      </c>
      <c r="L1384" s="4"/>
    </row>
    <row r="1385" spans="1:12" x14ac:dyDescent="0.3">
      <c r="A1385" s="1">
        <v>42092</v>
      </c>
      <c r="B1385" s="1">
        <v>42095</v>
      </c>
      <c r="C1385" t="s">
        <v>0</v>
      </c>
      <c r="D1385" t="s">
        <v>1944</v>
      </c>
      <c r="E1385" t="s">
        <v>1945</v>
      </c>
      <c r="F1385" t="s">
        <v>3</v>
      </c>
      <c r="G1385" t="s">
        <v>4</v>
      </c>
      <c r="H1385" t="s">
        <v>5</v>
      </c>
      <c r="I1385" t="s">
        <v>1947</v>
      </c>
      <c r="J1385" s="2">
        <v>5.98</v>
      </c>
      <c r="K1385">
        <v>1</v>
      </c>
      <c r="L1385" s="4"/>
    </row>
    <row r="1386" spans="1:12" x14ac:dyDescent="0.3">
      <c r="A1386" s="1">
        <v>42096</v>
      </c>
      <c r="B1386" s="1">
        <v>42103</v>
      </c>
      <c r="C1386" t="s">
        <v>7</v>
      </c>
      <c r="D1386" t="s">
        <v>499</v>
      </c>
      <c r="E1386" t="s">
        <v>500</v>
      </c>
      <c r="F1386" t="s">
        <v>25</v>
      </c>
      <c r="G1386" t="s">
        <v>4</v>
      </c>
      <c r="H1386" t="s">
        <v>52</v>
      </c>
      <c r="I1386" t="s">
        <v>53</v>
      </c>
      <c r="J1386" s="2">
        <v>31.560000000000002</v>
      </c>
      <c r="K1386">
        <v>5</v>
      </c>
      <c r="L1386" s="4"/>
    </row>
    <row r="1387" spans="1:12" x14ac:dyDescent="0.3">
      <c r="A1387" s="1">
        <v>42096</v>
      </c>
      <c r="B1387" s="1">
        <v>42103</v>
      </c>
      <c r="C1387" t="s">
        <v>7</v>
      </c>
      <c r="D1387" t="s">
        <v>499</v>
      </c>
      <c r="E1387" t="s">
        <v>500</v>
      </c>
      <c r="F1387" t="s">
        <v>25</v>
      </c>
      <c r="G1387" t="s">
        <v>4</v>
      </c>
      <c r="H1387" t="s">
        <v>20</v>
      </c>
      <c r="I1387" t="s">
        <v>1948</v>
      </c>
      <c r="J1387" s="2">
        <v>30.144000000000002</v>
      </c>
      <c r="K1387">
        <v>2</v>
      </c>
      <c r="L1387" s="4"/>
    </row>
    <row r="1388" spans="1:12" x14ac:dyDescent="0.3">
      <c r="A1388" s="1">
        <v>42102</v>
      </c>
      <c r="B1388" s="1">
        <v>42104</v>
      </c>
      <c r="C1388" t="s">
        <v>22</v>
      </c>
      <c r="D1388" t="s">
        <v>1693</v>
      </c>
      <c r="E1388" t="s">
        <v>1694</v>
      </c>
      <c r="F1388" t="s">
        <v>3</v>
      </c>
      <c r="G1388" t="s">
        <v>74</v>
      </c>
      <c r="H1388" t="s">
        <v>534</v>
      </c>
      <c r="I1388" t="s">
        <v>1949</v>
      </c>
      <c r="J1388" s="2">
        <v>1199.9760000000001</v>
      </c>
      <c r="K1388">
        <v>3</v>
      </c>
      <c r="L1388" s="4"/>
    </row>
    <row r="1389" spans="1:12" x14ac:dyDescent="0.3">
      <c r="A1389" s="1">
        <v>42103</v>
      </c>
      <c r="B1389" s="1">
        <v>42107</v>
      </c>
      <c r="C1389" t="s">
        <v>7</v>
      </c>
      <c r="D1389" t="s">
        <v>1758</v>
      </c>
      <c r="E1389" t="s">
        <v>1759</v>
      </c>
      <c r="F1389" t="s">
        <v>3</v>
      </c>
      <c r="G1389" t="s">
        <v>4</v>
      </c>
      <c r="H1389" t="s">
        <v>5</v>
      </c>
      <c r="I1389" t="s">
        <v>1950</v>
      </c>
      <c r="J1389" s="2">
        <v>20.04</v>
      </c>
      <c r="K1389">
        <v>3</v>
      </c>
      <c r="L1389" s="4"/>
    </row>
    <row r="1390" spans="1:12" x14ac:dyDescent="0.3">
      <c r="A1390" s="1">
        <v>42103</v>
      </c>
      <c r="B1390" s="1">
        <v>42107</v>
      </c>
      <c r="C1390" t="s">
        <v>7</v>
      </c>
      <c r="D1390" t="s">
        <v>1758</v>
      </c>
      <c r="E1390" t="s">
        <v>1759</v>
      </c>
      <c r="F1390" t="s">
        <v>3</v>
      </c>
      <c r="G1390" t="s">
        <v>4</v>
      </c>
      <c r="H1390" t="s">
        <v>10</v>
      </c>
      <c r="I1390" t="s">
        <v>1951</v>
      </c>
      <c r="J1390" s="2">
        <v>64.959999999999994</v>
      </c>
      <c r="K1390">
        <v>2</v>
      </c>
      <c r="L1390" s="4"/>
    </row>
    <row r="1391" spans="1:12" x14ac:dyDescent="0.3">
      <c r="A1391" s="1">
        <v>42103</v>
      </c>
      <c r="B1391" s="1">
        <v>42107</v>
      </c>
      <c r="C1391" t="s">
        <v>7</v>
      </c>
      <c r="D1391" t="s">
        <v>1758</v>
      </c>
      <c r="E1391" t="s">
        <v>1759</v>
      </c>
      <c r="F1391" t="s">
        <v>3</v>
      </c>
      <c r="G1391" t="s">
        <v>4</v>
      </c>
      <c r="H1391" t="s">
        <v>5</v>
      </c>
      <c r="I1391" t="s">
        <v>583</v>
      </c>
      <c r="J1391" s="2">
        <v>12.96</v>
      </c>
      <c r="K1391">
        <v>2</v>
      </c>
      <c r="L1391" s="4"/>
    </row>
    <row r="1392" spans="1:12" x14ac:dyDescent="0.3">
      <c r="A1392" s="1">
        <v>42103</v>
      </c>
      <c r="B1392" s="1">
        <v>42109</v>
      </c>
      <c r="C1392" t="s">
        <v>7</v>
      </c>
      <c r="D1392" t="s">
        <v>1101</v>
      </c>
      <c r="E1392" t="s">
        <v>1102</v>
      </c>
      <c r="F1392" t="s">
        <v>3</v>
      </c>
      <c r="G1392" t="s">
        <v>12</v>
      </c>
      <c r="H1392" t="s">
        <v>35</v>
      </c>
      <c r="I1392" t="s">
        <v>1952</v>
      </c>
      <c r="J1392" s="2">
        <v>24.700000000000003</v>
      </c>
      <c r="K1392">
        <v>5</v>
      </c>
      <c r="L1392" s="4"/>
    </row>
    <row r="1393" spans="1:12" x14ac:dyDescent="0.3">
      <c r="A1393" s="1">
        <v>42104</v>
      </c>
      <c r="B1393" s="1">
        <v>42108</v>
      </c>
      <c r="C1393" t="s">
        <v>7</v>
      </c>
      <c r="D1393" t="s">
        <v>1953</v>
      </c>
      <c r="E1393" t="s">
        <v>1954</v>
      </c>
      <c r="F1393" t="s">
        <v>56</v>
      </c>
      <c r="G1393" t="s">
        <v>4</v>
      </c>
      <c r="H1393" t="s">
        <v>26</v>
      </c>
      <c r="I1393" t="s">
        <v>1955</v>
      </c>
      <c r="J1393" s="2">
        <v>35.352000000000004</v>
      </c>
      <c r="K1393">
        <v>9</v>
      </c>
      <c r="L1393" s="4"/>
    </row>
    <row r="1394" spans="1:12" x14ac:dyDescent="0.3">
      <c r="A1394" s="1">
        <v>42104</v>
      </c>
      <c r="B1394" s="1">
        <v>42109</v>
      </c>
      <c r="C1394" t="s">
        <v>7</v>
      </c>
      <c r="D1394" t="s">
        <v>322</v>
      </c>
      <c r="E1394" t="s">
        <v>323</v>
      </c>
      <c r="F1394" t="s">
        <v>3</v>
      </c>
      <c r="G1394" t="s">
        <v>12</v>
      </c>
      <c r="H1394" t="s">
        <v>13</v>
      </c>
      <c r="I1394" t="s">
        <v>1956</v>
      </c>
      <c r="J1394" s="2">
        <v>556.66499999999996</v>
      </c>
      <c r="K1394">
        <v>5</v>
      </c>
      <c r="L1394" s="4"/>
    </row>
    <row r="1395" spans="1:12" x14ac:dyDescent="0.3">
      <c r="A1395" s="1">
        <v>42105</v>
      </c>
      <c r="B1395" s="1">
        <v>42111</v>
      </c>
      <c r="C1395" t="s">
        <v>7</v>
      </c>
      <c r="D1395" t="s">
        <v>369</v>
      </c>
      <c r="E1395" t="s">
        <v>370</v>
      </c>
      <c r="F1395" t="s">
        <v>3</v>
      </c>
      <c r="G1395" t="s">
        <v>4</v>
      </c>
      <c r="H1395" t="s">
        <v>5</v>
      </c>
      <c r="I1395" t="s">
        <v>1957</v>
      </c>
      <c r="J1395" s="2">
        <v>12.96</v>
      </c>
      <c r="K1395">
        <v>2</v>
      </c>
      <c r="L1395" s="4"/>
    </row>
    <row r="1396" spans="1:12" x14ac:dyDescent="0.3">
      <c r="A1396" s="1">
        <v>42105</v>
      </c>
      <c r="B1396" s="1">
        <v>42111</v>
      </c>
      <c r="C1396" t="s">
        <v>7</v>
      </c>
      <c r="D1396" t="s">
        <v>369</v>
      </c>
      <c r="E1396" t="s">
        <v>370</v>
      </c>
      <c r="F1396" t="s">
        <v>3</v>
      </c>
      <c r="G1396" t="s">
        <v>4</v>
      </c>
      <c r="H1396" t="s">
        <v>26</v>
      </c>
      <c r="I1396" t="s">
        <v>1911</v>
      </c>
      <c r="J1396" s="2">
        <v>23.2</v>
      </c>
      <c r="K1396">
        <v>5</v>
      </c>
      <c r="L1396" s="4"/>
    </row>
    <row r="1397" spans="1:12" x14ac:dyDescent="0.3">
      <c r="A1397" s="1">
        <v>42105</v>
      </c>
      <c r="B1397" s="1">
        <v>42112</v>
      </c>
      <c r="C1397" t="s">
        <v>7</v>
      </c>
      <c r="D1397" t="s">
        <v>1958</v>
      </c>
      <c r="E1397" t="s">
        <v>1959</v>
      </c>
      <c r="F1397" t="s">
        <v>3</v>
      </c>
      <c r="G1397" t="s">
        <v>4</v>
      </c>
      <c r="H1397" t="s">
        <v>20</v>
      </c>
      <c r="I1397" t="s">
        <v>1265</v>
      </c>
      <c r="J1397" s="2">
        <v>113.76</v>
      </c>
      <c r="K1397">
        <v>3</v>
      </c>
      <c r="L1397" s="4"/>
    </row>
    <row r="1398" spans="1:12" x14ac:dyDescent="0.3">
      <c r="A1398" s="1">
        <v>42105</v>
      </c>
      <c r="B1398" s="1">
        <v>42112</v>
      </c>
      <c r="C1398" t="s">
        <v>7</v>
      </c>
      <c r="D1398" t="s">
        <v>1958</v>
      </c>
      <c r="E1398" t="s">
        <v>1959</v>
      </c>
      <c r="F1398" t="s">
        <v>3</v>
      </c>
      <c r="G1398" t="s">
        <v>4</v>
      </c>
      <c r="H1398" t="s">
        <v>10</v>
      </c>
      <c r="I1398" t="s">
        <v>1960</v>
      </c>
      <c r="J1398" s="2">
        <v>579.51</v>
      </c>
      <c r="K1398">
        <v>3</v>
      </c>
      <c r="L1398" s="4"/>
    </row>
    <row r="1399" spans="1:12" x14ac:dyDescent="0.3">
      <c r="A1399" s="1">
        <v>42105</v>
      </c>
      <c r="B1399" s="1">
        <v>42112</v>
      </c>
      <c r="C1399" t="s">
        <v>7</v>
      </c>
      <c r="D1399" t="s">
        <v>1958</v>
      </c>
      <c r="E1399" t="s">
        <v>1959</v>
      </c>
      <c r="F1399" t="s">
        <v>3</v>
      </c>
      <c r="G1399" t="s">
        <v>4</v>
      </c>
      <c r="H1399" t="s">
        <v>10</v>
      </c>
      <c r="I1399" t="s">
        <v>1224</v>
      </c>
      <c r="J1399" s="2">
        <v>150.66</v>
      </c>
      <c r="K1399">
        <v>9</v>
      </c>
      <c r="L1399" s="4"/>
    </row>
    <row r="1400" spans="1:12" x14ac:dyDescent="0.3">
      <c r="A1400" s="1">
        <v>42105</v>
      </c>
      <c r="B1400" s="1">
        <v>42112</v>
      </c>
      <c r="C1400" t="s">
        <v>7</v>
      </c>
      <c r="D1400" t="s">
        <v>1958</v>
      </c>
      <c r="E1400" t="s">
        <v>1959</v>
      </c>
      <c r="F1400" t="s">
        <v>3</v>
      </c>
      <c r="G1400" t="s">
        <v>4</v>
      </c>
      <c r="H1400" t="s">
        <v>26</v>
      </c>
      <c r="I1400" t="s">
        <v>1961</v>
      </c>
      <c r="J1400" s="2">
        <v>48.032000000000004</v>
      </c>
      <c r="K1400">
        <v>4</v>
      </c>
      <c r="L1400" s="4"/>
    </row>
    <row r="1401" spans="1:12" x14ac:dyDescent="0.3">
      <c r="A1401" s="1">
        <v>42107</v>
      </c>
      <c r="B1401" s="1">
        <v>42111</v>
      </c>
      <c r="C1401" t="s">
        <v>7</v>
      </c>
      <c r="D1401" t="s">
        <v>1962</v>
      </c>
      <c r="E1401" t="s">
        <v>1963</v>
      </c>
      <c r="F1401" t="s">
        <v>3</v>
      </c>
      <c r="G1401" t="s">
        <v>12</v>
      </c>
      <c r="H1401" t="s">
        <v>70</v>
      </c>
      <c r="I1401" t="s">
        <v>1964</v>
      </c>
      <c r="J1401" s="2">
        <v>638.28800000000012</v>
      </c>
      <c r="K1401">
        <v>7</v>
      </c>
      <c r="L1401" s="4"/>
    </row>
    <row r="1402" spans="1:12" x14ac:dyDescent="0.3">
      <c r="A1402" s="1">
        <v>42107</v>
      </c>
      <c r="B1402" s="1">
        <v>42111</v>
      </c>
      <c r="C1402" t="s">
        <v>7</v>
      </c>
      <c r="D1402" t="s">
        <v>1962</v>
      </c>
      <c r="E1402" t="s">
        <v>1963</v>
      </c>
      <c r="F1402" t="s">
        <v>3</v>
      </c>
      <c r="G1402" t="s">
        <v>4</v>
      </c>
      <c r="H1402" t="s">
        <v>26</v>
      </c>
      <c r="I1402" t="s">
        <v>1965</v>
      </c>
      <c r="J1402" s="2">
        <v>13.208000000000002</v>
      </c>
      <c r="K1402">
        <v>1</v>
      </c>
      <c r="L1402" s="4"/>
    </row>
    <row r="1403" spans="1:12" x14ac:dyDescent="0.3">
      <c r="A1403" s="1">
        <v>42107</v>
      </c>
      <c r="B1403" s="1">
        <v>42109</v>
      </c>
      <c r="C1403" t="s">
        <v>22</v>
      </c>
      <c r="D1403" t="s">
        <v>124</v>
      </c>
      <c r="E1403" t="s">
        <v>125</v>
      </c>
      <c r="F1403" t="s">
        <v>3</v>
      </c>
      <c r="G1403" t="s">
        <v>4</v>
      </c>
      <c r="H1403" t="s">
        <v>5</v>
      </c>
      <c r="I1403" t="s">
        <v>1966</v>
      </c>
      <c r="J1403" s="2">
        <v>19.440000000000001</v>
      </c>
      <c r="K1403">
        <v>3</v>
      </c>
      <c r="L1403" s="4"/>
    </row>
    <row r="1404" spans="1:12" x14ac:dyDescent="0.3">
      <c r="A1404" s="1">
        <v>42107</v>
      </c>
      <c r="B1404" s="1">
        <v>42109</v>
      </c>
      <c r="C1404" t="s">
        <v>22</v>
      </c>
      <c r="D1404" t="s">
        <v>124</v>
      </c>
      <c r="E1404" t="s">
        <v>125</v>
      </c>
      <c r="F1404" t="s">
        <v>3</v>
      </c>
      <c r="G1404" t="s">
        <v>12</v>
      </c>
      <c r="H1404" t="s">
        <v>70</v>
      </c>
      <c r="I1404" t="s">
        <v>71</v>
      </c>
      <c r="J1404" s="2">
        <v>194.35200000000003</v>
      </c>
      <c r="K1404">
        <v>3</v>
      </c>
      <c r="L1404" s="4"/>
    </row>
    <row r="1405" spans="1:12" x14ac:dyDescent="0.3">
      <c r="A1405" s="1">
        <v>42107</v>
      </c>
      <c r="B1405" s="1">
        <v>42109</v>
      </c>
      <c r="C1405" t="s">
        <v>22</v>
      </c>
      <c r="D1405" t="s">
        <v>124</v>
      </c>
      <c r="E1405" t="s">
        <v>125</v>
      </c>
      <c r="F1405" t="s">
        <v>3</v>
      </c>
      <c r="G1405" t="s">
        <v>4</v>
      </c>
      <c r="H1405" t="s">
        <v>26</v>
      </c>
      <c r="I1405" t="s">
        <v>1375</v>
      </c>
      <c r="J1405" s="2">
        <v>36.624000000000002</v>
      </c>
      <c r="K1405">
        <v>3</v>
      </c>
      <c r="L1405" s="4"/>
    </row>
    <row r="1406" spans="1:12" x14ac:dyDescent="0.3">
      <c r="A1406" s="1">
        <v>42108</v>
      </c>
      <c r="B1406" s="1">
        <v>42110</v>
      </c>
      <c r="C1406" t="s">
        <v>22</v>
      </c>
      <c r="D1406" t="s">
        <v>937</v>
      </c>
      <c r="E1406" t="s">
        <v>938</v>
      </c>
      <c r="F1406" t="s">
        <v>3</v>
      </c>
      <c r="G1406" t="s">
        <v>4</v>
      </c>
      <c r="H1406" t="s">
        <v>29</v>
      </c>
      <c r="I1406" t="s">
        <v>1657</v>
      </c>
      <c r="J1406" s="2">
        <v>6.12</v>
      </c>
      <c r="K1406">
        <v>3</v>
      </c>
      <c r="L1406" s="4"/>
    </row>
    <row r="1407" spans="1:12" x14ac:dyDescent="0.3">
      <c r="A1407" s="1">
        <v>42109</v>
      </c>
      <c r="B1407" s="1">
        <v>42113</v>
      </c>
      <c r="C1407" t="s">
        <v>7</v>
      </c>
      <c r="D1407" t="s">
        <v>436</v>
      </c>
      <c r="E1407" t="s">
        <v>437</v>
      </c>
      <c r="F1407" t="s">
        <v>3</v>
      </c>
      <c r="G1407" t="s">
        <v>12</v>
      </c>
      <c r="H1407" t="s">
        <v>70</v>
      </c>
      <c r="I1407" t="s">
        <v>268</v>
      </c>
      <c r="J1407" s="2">
        <v>383.8</v>
      </c>
      <c r="K1407">
        <v>5</v>
      </c>
      <c r="L1407" s="4"/>
    </row>
    <row r="1408" spans="1:12" x14ac:dyDescent="0.3">
      <c r="A1408" s="1">
        <v>42109</v>
      </c>
      <c r="B1408" s="1">
        <v>42109</v>
      </c>
      <c r="C1408" t="s">
        <v>240</v>
      </c>
      <c r="D1408" t="s">
        <v>701</v>
      </c>
      <c r="E1408" t="s">
        <v>702</v>
      </c>
      <c r="F1408" t="s">
        <v>25</v>
      </c>
      <c r="G1408" t="s">
        <v>12</v>
      </c>
      <c r="H1408" t="s">
        <v>70</v>
      </c>
      <c r="I1408" t="s">
        <v>1423</v>
      </c>
      <c r="J1408" s="2">
        <v>933.53600000000006</v>
      </c>
      <c r="K1408">
        <v>4</v>
      </c>
      <c r="L1408" s="4"/>
    </row>
    <row r="1409" spans="1:12" x14ac:dyDescent="0.3">
      <c r="A1409" s="1">
        <v>42109</v>
      </c>
      <c r="B1409" s="1">
        <v>42109</v>
      </c>
      <c r="C1409" t="s">
        <v>240</v>
      </c>
      <c r="D1409" t="s">
        <v>701</v>
      </c>
      <c r="E1409" t="s">
        <v>702</v>
      </c>
      <c r="F1409" t="s">
        <v>25</v>
      </c>
      <c r="G1409" t="s">
        <v>4</v>
      </c>
      <c r="H1409" t="s">
        <v>10</v>
      </c>
      <c r="I1409" t="s">
        <v>482</v>
      </c>
      <c r="J1409" s="2">
        <v>42.975999999999999</v>
      </c>
      <c r="K1409">
        <v>4</v>
      </c>
      <c r="L1409" s="4"/>
    </row>
    <row r="1410" spans="1:12" x14ac:dyDescent="0.3">
      <c r="A1410" s="1">
        <v>42110</v>
      </c>
      <c r="B1410" s="1">
        <v>42112</v>
      </c>
      <c r="C1410" t="s">
        <v>0</v>
      </c>
      <c r="D1410" t="s">
        <v>1967</v>
      </c>
      <c r="E1410" t="s">
        <v>1968</v>
      </c>
      <c r="F1410" t="s">
        <v>3</v>
      </c>
      <c r="G1410" t="s">
        <v>12</v>
      </c>
      <c r="H1410" t="s">
        <v>70</v>
      </c>
      <c r="I1410" t="s">
        <v>1145</v>
      </c>
      <c r="J1410" s="2">
        <v>1121.568</v>
      </c>
      <c r="K1410">
        <v>2</v>
      </c>
      <c r="L1410" s="4"/>
    </row>
    <row r="1411" spans="1:12" x14ac:dyDescent="0.3">
      <c r="A1411" s="1">
        <v>42110</v>
      </c>
      <c r="B1411" s="1">
        <v>42112</v>
      </c>
      <c r="C1411" t="s">
        <v>0</v>
      </c>
      <c r="D1411" t="s">
        <v>1969</v>
      </c>
      <c r="E1411" t="s">
        <v>1970</v>
      </c>
      <c r="F1411" t="s">
        <v>3</v>
      </c>
      <c r="G1411" t="s">
        <v>4</v>
      </c>
      <c r="H1411" t="s">
        <v>5</v>
      </c>
      <c r="I1411" t="s">
        <v>1971</v>
      </c>
      <c r="J1411" s="2">
        <v>143.69999999999999</v>
      </c>
      <c r="K1411">
        <v>3</v>
      </c>
      <c r="L1411" s="4"/>
    </row>
    <row r="1412" spans="1:12" x14ac:dyDescent="0.3">
      <c r="A1412" s="1">
        <v>42111</v>
      </c>
      <c r="B1412" s="1">
        <v>42113</v>
      </c>
      <c r="C1412" t="s">
        <v>0</v>
      </c>
      <c r="D1412" t="s">
        <v>1213</v>
      </c>
      <c r="E1412" t="s">
        <v>1214</v>
      </c>
      <c r="F1412" t="s">
        <v>56</v>
      </c>
      <c r="G1412" t="s">
        <v>4</v>
      </c>
      <c r="H1412" t="s">
        <v>78</v>
      </c>
      <c r="I1412" t="s">
        <v>736</v>
      </c>
      <c r="J1412" s="2">
        <v>28.799999999999997</v>
      </c>
      <c r="K1412">
        <v>3</v>
      </c>
      <c r="L1412" s="4"/>
    </row>
    <row r="1413" spans="1:12" x14ac:dyDescent="0.3">
      <c r="A1413" s="1">
        <v>42112</v>
      </c>
      <c r="B1413" s="1">
        <v>42116</v>
      </c>
      <c r="C1413" t="s">
        <v>7</v>
      </c>
      <c r="D1413" t="s">
        <v>1424</v>
      </c>
      <c r="E1413" t="s">
        <v>1425</v>
      </c>
      <c r="F1413" t="s">
        <v>3</v>
      </c>
      <c r="G1413" t="s">
        <v>12</v>
      </c>
      <c r="H1413" t="s">
        <v>13</v>
      </c>
      <c r="I1413" t="s">
        <v>1972</v>
      </c>
      <c r="J1413" s="2">
        <v>257.49900000000002</v>
      </c>
      <c r="K1413">
        <v>3</v>
      </c>
      <c r="L1413" s="4"/>
    </row>
    <row r="1414" spans="1:12" x14ac:dyDescent="0.3">
      <c r="A1414" s="1">
        <v>42114</v>
      </c>
      <c r="B1414" s="1">
        <v>42119</v>
      </c>
      <c r="C1414" t="s">
        <v>0</v>
      </c>
      <c r="D1414" t="s">
        <v>1051</v>
      </c>
      <c r="E1414" t="s">
        <v>1052</v>
      </c>
      <c r="F1414" t="s">
        <v>3</v>
      </c>
      <c r="G1414" t="s">
        <v>74</v>
      </c>
      <c r="H1414" t="s">
        <v>147</v>
      </c>
      <c r="I1414" t="s">
        <v>1973</v>
      </c>
      <c r="J1414" s="2">
        <v>39.960000000000008</v>
      </c>
      <c r="K1414">
        <v>5</v>
      </c>
      <c r="L1414" s="4"/>
    </row>
    <row r="1415" spans="1:12" x14ac:dyDescent="0.3">
      <c r="A1415" s="1">
        <v>42114</v>
      </c>
      <c r="B1415" s="1">
        <v>42119</v>
      </c>
      <c r="C1415" t="s">
        <v>0</v>
      </c>
      <c r="D1415" t="s">
        <v>1051</v>
      </c>
      <c r="E1415" t="s">
        <v>1052</v>
      </c>
      <c r="F1415" t="s">
        <v>3</v>
      </c>
      <c r="G1415" t="s">
        <v>4</v>
      </c>
      <c r="H1415" t="s">
        <v>15</v>
      </c>
      <c r="I1415" t="s">
        <v>1974</v>
      </c>
      <c r="J1415" s="2">
        <v>5.46</v>
      </c>
      <c r="K1415">
        <v>3</v>
      </c>
      <c r="L1415" s="4"/>
    </row>
    <row r="1416" spans="1:12" x14ac:dyDescent="0.3">
      <c r="A1416" s="1">
        <v>42114</v>
      </c>
      <c r="B1416" s="1">
        <v>42119</v>
      </c>
      <c r="C1416" t="s">
        <v>0</v>
      </c>
      <c r="D1416" t="s">
        <v>1051</v>
      </c>
      <c r="E1416" t="s">
        <v>1052</v>
      </c>
      <c r="F1416" t="s">
        <v>3</v>
      </c>
      <c r="G1416" t="s">
        <v>4</v>
      </c>
      <c r="H1416" t="s">
        <v>15</v>
      </c>
      <c r="I1416" t="s">
        <v>1975</v>
      </c>
      <c r="J1416" s="2">
        <v>73.2</v>
      </c>
      <c r="K1416">
        <v>5</v>
      </c>
      <c r="L1416" s="4"/>
    </row>
    <row r="1417" spans="1:12" x14ac:dyDescent="0.3">
      <c r="A1417" s="1">
        <v>42114</v>
      </c>
      <c r="B1417" s="1">
        <v>42119</v>
      </c>
      <c r="C1417" t="s">
        <v>0</v>
      </c>
      <c r="D1417" t="s">
        <v>1051</v>
      </c>
      <c r="E1417" t="s">
        <v>1052</v>
      </c>
      <c r="F1417" t="s">
        <v>3</v>
      </c>
      <c r="G1417" t="s">
        <v>4</v>
      </c>
      <c r="H1417" t="s">
        <v>26</v>
      </c>
      <c r="I1417" t="s">
        <v>1817</v>
      </c>
      <c r="J1417" s="2">
        <v>5.84</v>
      </c>
      <c r="K1417">
        <v>1</v>
      </c>
      <c r="L1417" s="4"/>
    </row>
    <row r="1418" spans="1:12" x14ac:dyDescent="0.3">
      <c r="A1418" s="1">
        <v>42114</v>
      </c>
      <c r="B1418" s="1">
        <v>42119</v>
      </c>
      <c r="C1418" t="s">
        <v>0</v>
      </c>
      <c r="D1418" t="s">
        <v>1051</v>
      </c>
      <c r="E1418" t="s">
        <v>1052</v>
      </c>
      <c r="F1418" t="s">
        <v>3</v>
      </c>
      <c r="G1418" t="s">
        <v>4</v>
      </c>
      <c r="H1418" t="s">
        <v>5</v>
      </c>
      <c r="I1418" t="s">
        <v>1976</v>
      </c>
      <c r="J1418" s="2">
        <v>22.72</v>
      </c>
      <c r="K1418">
        <v>4</v>
      </c>
      <c r="L1418" s="4"/>
    </row>
    <row r="1419" spans="1:12" x14ac:dyDescent="0.3">
      <c r="A1419" s="1">
        <v>42114</v>
      </c>
      <c r="B1419" s="1">
        <v>42119</v>
      </c>
      <c r="C1419" t="s">
        <v>0</v>
      </c>
      <c r="D1419" t="s">
        <v>1051</v>
      </c>
      <c r="E1419" t="s">
        <v>1052</v>
      </c>
      <c r="F1419" t="s">
        <v>3</v>
      </c>
      <c r="G1419" t="s">
        <v>4</v>
      </c>
      <c r="H1419" t="s">
        <v>26</v>
      </c>
      <c r="I1419" t="s">
        <v>1977</v>
      </c>
      <c r="J1419" s="2">
        <v>9.3360000000000003</v>
      </c>
      <c r="K1419">
        <v>3</v>
      </c>
      <c r="L1419" s="4"/>
    </row>
    <row r="1420" spans="1:12" x14ac:dyDescent="0.3">
      <c r="A1420" s="1">
        <v>42116</v>
      </c>
      <c r="B1420" s="1">
        <v>42119</v>
      </c>
      <c r="C1420" t="s">
        <v>22</v>
      </c>
      <c r="D1420" t="s">
        <v>773</v>
      </c>
      <c r="E1420" t="s">
        <v>774</v>
      </c>
      <c r="F1420" t="s">
        <v>56</v>
      </c>
      <c r="G1420" t="s">
        <v>4</v>
      </c>
      <c r="H1420" t="s">
        <v>26</v>
      </c>
      <c r="I1420" t="s">
        <v>1978</v>
      </c>
      <c r="J1420" s="2">
        <v>8.32</v>
      </c>
      <c r="K1420">
        <v>5</v>
      </c>
      <c r="L1420" s="4"/>
    </row>
    <row r="1421" spans="1:12" x14ac:dyDescent="0.3">
      <c r="A1421" s="1">
        <v>42117</v>
      </c>
      <c r="B1421" s="1">
        <v>42124</v>
      </c>
      <c r="C1421" t="s">
        <v>7</v>
      </c>
      <c r="D1421" t="s">
        <v>756</v>
      </c>
      <c r="E1421" t="s">
        <v>757</v>
      </c>
      <c r="F1421" t="s">
        <v>25</v>
      </c>
      <c r="G1421" t="s">
        <v>12</v>
      </c>
      <c r="H1421" t="s">
        <v>35</v>
      </c>
      <c r="I1421" t="s">
        <v>374</v>
      </c>
      <c r="J1421" s="2">
        <v>23.56</v>
      </c>
      <c r="K1421">
        <v>5</v>
      </c>
      <c r="L1421" s="4"/>
    </row>
    <row r="1422" spans="1:12" x14ac:dyDescent="0.3">
      <c r="A1422" s="1">
        <v>42117</v>
      </c>
      <c r="B1422" s="1">
        <v>42124</v>
      </c>
      <c r="C1422" t="s">
        <v>7</v>
      </c>
      <c r="D1422" t="s">
        <v>756</v>
      </c>
      <c r="E1422" t="s">
        <v>757</v>
      </c>
      <c r="F1422" t="s">
        <v>25</v>
      </c>
      <c r="G1422" t="s">
        <v>12</v>
      </c>
      <c r="H1422" t="s">
        <v>44</v>
      </c>
      <c r="I1422" t="s">
        <v>1223</v>
      </c>
      <c r="J1422" s="2">
        <v>1272.6299999999999</v>
      </c>
      <c r="K1422">
        <v>6</v>
      </c>
      <c r="L1422" s="4"/>
    </row>
    <row r="1423" spans="1:12" x14ac:dyDescent="0.3">
      <c r="A1423" s="1">
        <v>42117</v>
      </c>
      <c r="B1423" s="1">
        <v>42124</v>
      </c>
      <c r="C1423" t="s">
        <v>7</v>
      </c>
      <c r="D1423" t="s">
        <v>756</v>
      </c>
      <c r="E1423" t="s">
        <v>757</v>
      </c>
      <c r="F1423" t="s">
        <v>25</v>
      </c>
      <c r="G1423" t="s">
        <v>4</v>
      </c>
      <c r="H1423" t="s">
        <v>26</v>
      </c>
      <c r="I1423" t="s">
        <v>1979</v>
      </c>
      <c r="J1423" s="2">
        <v>28.484999999999999</v>
      </c>
      <c r="K1423">
        <v>5</v>
      </c>
      <c r="L1423" s="4"/>
    </row>
    <row r="1424" spans="1:12" x14ac:dyDescent="0.3">
      <c r="A1424" s="1">
        <v>42117</v>
      </c>
      <c r="B1424" s="1">
        <v>42124</v>
      </c>
      <c r="C1424" t="s">
        <v>7</v>
      </c>
      <c r="D1424" t="s">
        <v>756</v>
      </c>
      <c r="E1424" t="s">
        <v>757</v>
      </c>
      <c r="F1424" t="s">
        <v>25</v>
      </c>
      <c r="G1424" t="s">
        <v>4</v>
      </c>
      <c r="H1424" t="s">
        <v>78</v>
      </c>
      <c r="I1424" t="s">
        <v>1980</v>
      </c>
      <c r="J1424" s="2">
        <v>185.376</v>
      </c>
      <c r="K1424">
        <v>2</v>
      </c>
      <c r="L1424" s="4"/>
    </row>
    <row r="1425" spans="1:12" x14ac:dyDescent="0.3">
      <c r="A1425" s="1">
        <v>42117</v>
      </c>
      <c r="B1425" s="1">
        <v>42124</v>
      </c>
      <c r="C1425" t="s">
        <v>7</v>
      </c>
      <c r="D1425" t="s">
        <v>756</v>
      </c>
      <c r="E1425" t="s">
        <v>757</v>
      </c>
      <c r="F1425" t="s">
        <v>25</v>
      </c>
      <c r="G1425" t="s">
        <v>4</v>
      </c>
      <c r="H1425" t="s">
        <v>20</v>
      </c>
      <c r="I1425" t="s">
        <v>1981</v>
      </c>
      <c r="J1425" s="2">
        <v>78.272000000000006</v>
      </c>
      <c r="K1425">
        <v>2</v>
      </c>
      <c r="L1425" s="4"/>
    </row>
    <row r="1426" spans="1:12" x14ac:dyDescent="0.3">
      <c r="A1426" s="1">
        <v>42117</v>
      </c>
      <c r="B1426" s="1">
        <v>42121</v>
      </c>
      <c r="C1426" t="s">
        <v>0</v>
      </c>
      <c r="D1426" t="s">
        <v>1831</v>
      </c>
      <c r="E1426" t="s">
        <v>1832</v>
      </c>
      <c r="F1426" t="s">
        <v>3</v>
      </c>
      <c r="G1426" t="s">
        <v>12</v>
      </c>
      <c r="H1426" t="s">
        <v>35</v>
      </c>
      <c r="I1426" t="s">
        <v>1462</v>
      </c>
      <c r="J1426" s="2">
        <v>31.56</v>
      </c>
      <c r="K1426">
        <v>3</v>
      </c>
      <c r="L1426" s="4"/>
    </row>
    <row r="1427" spans="1:12" x14ac:dyDescent="0.3">
      <c r="A1427" s="1">
        <v>42118</v>
      </c>
      <c r="B1427" s="1">
        <v>42122</v>
      </c>
      <c r="C1427" t="s">
        <v>7</v>
      </c>
      <c r="D1427" t="s">
        <v>396</v>
      </c>
      <c r="E1427" t="s">
        <v>397</v>
      </c>
      <c r="F1427" t="s">
        <v>3</v>
      </c>
      <c r="G1427" t="s">
        <v>4</v>
      </c>
      <c r="H1427" t="s">
        <v>26</v>
      </c>
      <c r="I1427" t="s">
        <v>57</v>
      </c>
      <c r="J1427" s="2">
        <v>251.52</v>
      </c>
      <c r="K1427">
        <v>6</v>
      </c>
      <c r="L1427" s="4"/>
    </row>
    <row r="1428" spans="1:12" x14ac:dyDescent="0.3">
      <c r="A1428" s="1">
        <v>42118</v>
      </c>
      <c r="B1428" s="1">
        <v>42122</v>
      </c>
      <c r="C1428" t="s">
        <v>7</v>
      </c>
      <c r="D1428" t="s">
        <v>396</v>
      </c>
      <c r="E1428" t="s">
        <v>397</v>
      </c>
      <c r="F1428" t="s">
        <v>3</v>
      </c>
      <c r="G1428" t="s">
        <v>74</v>
      </c>
      <c r="H1428" t="s">
        <v>75</v>
      </c>
      <c r="I1428" t="s">
        <v>221</v>
      </c>
      <c r="J1428" s="2">
        <v>99.99</v>
      </c>
      <c r="K1428">
        <v>1</v>
      </c>
      <c r="L1428" s="4"/>
    </row>
    <row r="1429" spans="1:12" x14ac:dyDescent="0.3">
      <c r="A1429" s="1">
        <v>42118</v>
      </c>
      <c r="B1429" s="1">
        <v>42122</v>
      </c>
      <c r="C1429" t="s">
        <v>7</v>
      </c>
      <c r="D1429" t="s">
        <v>1781</v>
      </c>
      <c r="E1429" t="s">
        <v>1782</v>
      </c>
      <c r="F1429" t="s">
        <v>3</v>
      </c>
      <c r="G1429" t="s">
        <v>4</v>
      </c>
      <c r="H1429" t="s">
        <v>26</v>
      </c>
      <c r="I1429" t="s">
        <v>236</v>
      </c>
      <c r="J1429" s="2">
        <v>18.088000000000001</v>
      </c>
      <c r="K1429">
        <v>7</v>
      </c>
      <c r="L1429" s="4"/>
    </row>
    <row r="1430" spans="1:12" x14ac:dyDescent="0.3">
      <c r="A1430" s="1">
        <v>42118</v>
      </c>
      <c r="B1430" s="1">
        <v>42122</v>
      </c>
      <c r="C1430" t="s">
        <v>7</v>
      </c>
      <c r="D1430" t="s">
        <v>1781</v>
      </c>
      <c r="E1430" t="s">
        <v>1782</v>
      </c>
      <c r="F1430" t="s">
        <v>3</v>
      </c>
      <c r="G1430" t="s">
        <v>4</v>
      </c>
      <c r="H1430" t="s">
        <v>29</v>
      </c>
      <c r="I1430" t="s">
        <v>1982</v>
      </c>
      <c r="J1430" s="2">
        <v>71.97</v>
      </c>
      <c r="K1430">
        <v>3</v>
      </c>
      <c r="L1430" s="4"/>
    </row>
    <row r="1431" spans="1:12" x14ac:dyDescent="0.3">
      <c r="A1431" s="1">
        <v>42119</v>
      </c>
      <c r="B1431" s="1">
        <v>42122</v>
      </c>
      <c r="C1431" t="s">
        <v>22</v>
      </c>
      <c r="D1431" t="s">
        <v>1983</v>
      </c>
      <c r="E1431" t="s">
        <v>1984</v>
      </c>
      <c r="F1431" t="s">
        <v>3</v>
      </c>
      <c r="G1431" t="s">
        <v>4</v>
      </c>
      <c r="H1431" t="s">
        <v>26</v>
      </c>
      <c r="I1431" t="s">
        <v>404</v>
      </c>
      <c r="J1431" s="2">
        <v>3.9840000000000004</v>
      </c>
      <c r="K1431">
        <v>1</v>
      </c>
      <c r="L1431" s="4"/>
    </row>
    <row r="1432" spans="1:12" x14ac:dyDescent="0.3">
      <c r="A1432" s="1">
        <v>42119</v>
      </c>
      <c r="B1432" s="1">
        <v>42123</v>
      </c>
      <c r="C1432" t="s">
        <v>7</v>
      </c>
      <c r="D1432" t="s">
        <v>1985</v>
      </c>
      <c r="E1432" t="s">
        <v>1986</v>
      </c>
      <c r="F1432" t="s">
        <v>115</v>
      </c>
      <c r="G1432" t="s">
        <v>4</v>
      </c>
      <c r="H1432" t="s">
        <v>5</v>
      </c>
      <c r="I1432" t="s">
        <v>1494</v>
      </c>
      <c r="J1432" s="2">
        <v>15.552000000000003</v>
      </c>
      <c r="K1432">
        <v>3</v>
      </c>
      <c r="L1432" s="4"/>
    </row>
    <row r="1433" spans="1:12" x14ac:dyDescent="0.3">
      <c r="A1433" s="1">
        <v>42119</v>
      </c>
      <c r="B1433" s="1">
        <v>42123</v>
      </c>
      <c r="C1433" t="s">
        <v>7</v>
      </c>
      <c r="D1433" t="s">
        <v>1985</v>
      </c>
      <c r="E1433" t="s">
        <v>1986</v>
      </c>
      <c r="F1433" t="s">
        <v>115</v>
      </c>
      <c r="G1433" t="s">
        <v>12</v>
      </c>
      <c r="H1433" t="s">
        <v>70</v>
      </c>
      <c r="I1433" t="s">
        <v>1082</v>
      </c>
      <c r="J1433" s="2">
        <v>1325.76</v>
      </c>
      <c r="K1433">
        <v>6</v>
      </c>
      <c r="L1433" s="4"/>
    </row>
    <row r="1434" spans="1:12" x14ac:dyDescent="0.3">
      <c r="A1434" s="1">
        <v>42119</v>
      </c>
      <c r="B1434" s="1">
        <v>42123</v>
      </c>
      <c r="C1434" t="s">
        <v>7</v>
      </c>
      <c r="D1434" t="s">
        <v>1985</v>
      </c>
      <c r="E1434" t="s">
        <v>1986</v>
      </c>
      <c r="F1434" t="s">
        <v>115</v>
      </c>
      <c r="G1434" t="s">
        <v>4</v>
      </c>
      <c r="H1434" t="s">
        <v>26</v>
      </c>
      <c r="I1434" t="s">
        <v>1559</v>
      </c>
      <c r="J1434" s="2">
        <v>3.1080000000000001</v>
      </c>
      <c r="K1434">
        <v>2</v>
      </c>
      <c r="L1434" s="4"/>
    </row>
    <row r="1435" spans="1:12" x14ac:dyDescent="0.3">
      <c r="A1435" s="1">
        <v>42123</v>
      </c>
      <c r="B1435" s="1">
        <v>42127</v>
      </c>
      <c r="C1435" t="s">
        <v>7</v>
      </c>
      <c r="D1435" t="s">
        <v>1006</v>
      </c>
      <c r="E1435" t="s">
        <v>1007</v>
      </c>
      <c r="F1435" t="s">
        <v>115</v>
      </c>
      <c r="G1435" t="s">
        <v>4</v>
      </c>
      <c r="H1435" t="s">
        <v>5</v>
      </c>
      <c r="I1435" t="s">
        <v>1166</v>
      </c>
      <c r="J1435" s="2">
        <v>29.472000000000001</v>
      </c>
      <c r="K1435">
        <v>3</v>
      </c>
      <c r="L1435" s="4"/>
    </row>
    <row r="1436" spans="1:12" x14ac:dyDescent="0.3">
      <c r="A1436" s="1">
        <v>42123</v>
      </c>
      <c r="B1436" s="1">
        <v>42130</v>
      </c>
      <c r="C1436" t="s">
        <v>7</v>
      </c>
      <c r="D1436" t="s">
        <v>1987</v>
      </c>
      <c r="E1436" t="s">
        <v>1988</v>
      </c>
      <c r="F1436" t="s">
        <v>3</v>
      </c>
      <c r="G1436" t="s">
        <v>12</v>
      </c>
      <c r="H1436" t="s">
        <v>70</v>
      </c>
      <c r="I1436" t="s">
        <v>1989</v>
      </c>
      <c r="J1436" s="2">
        <v>41.568000000000005</v>
      </c>
      <c r="K1436">
        <v>2</v>
      </c>
      <c r="L1436" s="4"/>
    </row>
    <row r="1437" spans="1:12" x14ac:dyDescent="0.3">
      <c r="A1437" s="1">
        <v>42125</v>
      </c>
      <c r="B1437" s="1">
        <v>42129</v>
      </c>
      <c r="C1437" t="s">
        <v>7</v>
      </c>
      <c r="D1437" t="s">
        <v>1533</v>
      </c>
      <c r="E1437" t="s">
        <v>1534</v>
      </c>
      <c r="F1437" t="s">
        <v>25</v>
      </c>
      <c r="G1437" t="s">
        <v>12</v>
      </c>
      <c r="H1437" t="s">
        <v>35</v>
      </c>
      <c r="I1437" t="s">
        <v>1787</v>
      </c>
      <c r="J1437" s="2">
        <v>111.88800000000001</v>
      </c>
      <c r="K1437">
        <v>7</v>
      </c>
      <c r="L1437" s="4"/>
    </row>
    <row r="1438" spans="1:12" x14ac:dyDescent="0.3">
      <c r="A1438" s="1">
        <v>42130</v>
      </c>
      <c r="B1438" s="1">
        <v>42134</v>
      </c>
      <c r="C1438" t="s">
        <v>7</v>
      </c>
      <c r="D1438" t="s">
        <v>699</v>
      </c>
      <c r="E1438" t="s">
        <v>700</v>
      </c>
      <c r="F1438" t="s">
        <v>3</v>
      </c>
      <c r="G1438" t="s">
        <v>4</v>
      </c>
      <c r="H1438" t="s">
        <v>10</v>
      </c>
      <c r="I1438" t="s">
        <v>418</v>
      </c>
      <c r="J1438" s="2">
        <v>5.98</v>
      </c>
      <c r="K1438">
        <v>1</v>
      </c>
      <c r="L1438" s="4"/>
    </row>
    <row r="1439" spans="1:12" x14ac:dyDescent="0.3">
      <c r="A1439" s="1">
        <v>42130</v>
      </c>
      <c r="B1439" s="1">
        <v>42134</v>
      </c>
      <c r="C1439" t="s">
        <v>7</v>
      </c>
      <c r="D1439" t="s">
        <v>699</v>
      </c>
      <c r="E1439" t="s">
        <v>700</v>
      </c>
      <c r="F1439" t="s">
        <v>3</v>
      </c>
      <c r="G1439" t="s">
        <v>74</v>
      </c>
      <c r="H1439" t="s">
        <v>147</v>
      </c>
      <c r="I1439" t="s">
        <v>1990</v>
      </c>
      <c r="J1439" s="2">
        <v>246.16800000000001</v>
      </c>
      <c r="K1439">
        <v>3</v>
      </c>
      <c r="L1439" s="4"/>
    </row>
    <row r="1440" spans="1:12" x14ac:dyDescent="0.3">
      <c r="A1440" s="1">
        <v>42130</v>
      </c>
      <c r="B1440" s="1">
        <v>42133</v>
      </c>
      <c r="C1440" t="s">
        <v>22</v>
      </c>
      <c r="D1440" t="s">
        <v>1991</v>
      </c>
      <c r="E1440" t="s">
        <v>1992</v>
      </c>
      <c r="F1440" t="s">
        <v>3</v>
      </c>
      <c r="G1440" t="s">
        <v>4</v>
      </c>
      <c r="H1440" t="s">
        <v>26</v>
      </c>
      <c r="I1440" t="s">
        <v>787</v>
      </c>
      <c r="J1440" s="2">
        <v>6.7200000000000006</v>
      </c>
      <c r="K1440">
        <v>5</v>
      </c>
      <c r="L1440" s="4"/>
    </row>
    <row r="1441" spans="1:12" x14ac:dyDescent="0.3">
      <c r="A1441" s="1">
        <v>42130</v>
      </c>
      <c r="B1441" s="1">
        <v>42133</v>
      </c>
      <c r="C1441" t="s">
        <v>22</v>
      </c>
      <c r="D1441" t="s">
        <v>1991</v>
      </c>
      <c r="E1441" t="s">
        <v>1992</v>
      </c>
      <c r="F1441" t="s">
        <v>3</v>
      </c>
      <c r="G1441" t="s">
        <v>12</v>
      </c>
      <c r="H1441" t="s">
        <v>44</v>
      </c>
      <c r="I1441" t="s">
        <v>220</v>
      </c>
      <c r="J1441" s="2">
        <v>298.77600000000001</v>
      </c>
      <c r="K1441">
        <v>3</v>
      </c>
      <c r="L1441" s="4"/>
    </row>
    <row r="1442" spans="1:12" x14ac:dyDescent="0.3">
      <c r="A1442" s="1">
        <v>42130</v>
      </c>
      <c r="B1442" s="1">
        <v>42132</v>
      </c>
      <c r="C1442" t="s">
        <v>0</v>
      </c>
      <c r="D1442" t="s">
        <v>1993</v>
      </c>
      <c r="E1442" t="s">
        <v>1994</v>
      </c>
      <c r="F1442" t="s">
        <v>3</v>
      </c>
      <c r="G1442" t="s">
        <v>12</v>
      </c>
      <c r="H1442" t="s">
        <v>44</v>
      </c>
      <c r="I1442" t="s">
        <v>1174</v>
      </c>
      <c r="J1442" s="2">
        <v>71.088000000000008</v>
      </c>
      <c r="K1442">
        <v>2</v>
      </c>
      <c r="L1442" s="4"/>
    </row>
    <row r="1443" spans="1:12" x14ac:dyDescent="0.3">
      <c r="A1443" s="1">
        <v>42130</v>
      </c>
      <c r="B1443" s="1">
        <v>42131</v>
      </c>
      <c r="C1443" t="s">
        <v>22</v>
      </c>
      <c r="D1443" t="s">
        <v>1995</v>
      </c>
      <c r="E1443" t="s">
        <v>1996</v>
      </c>
      <c r="F1443" t="s">
        <v>39</v>
      </c>
      <c r="G1443" t="s">
        <v>12</v>
      </c>
      <c r="H1443" t="s">
        <v>44</v>
      </c>
      <c r="I1443" t="s">
        <v>1997</v>
      </c>
      <c r="J1443" s="2">
        <v>1685.88</v>
      </c>
      <c r="K1443">
        <v>6</v>
      </c>
      <c r="L1443" s="4"/>
    </row>
    <row r="1444" spans="1:12" x14ac:dyDescent="0.3">
      <c r="A1444" s="1">
        <v>42130</v>
      </c>
      <c r="B1444" s="1">
        <v>42131</v>
      </c>
      <c r="C1444" t="s">
        <v>22</v>
      </c>
      <c r="D1444" t="s">
        <v>1995</v>
      </c>
      <c r="E1444" t="s">
        <v>1996</v>
      </c>
      <c r="F1444" t="s">
        <v>39</v>
      </c>
      <c r="G1444" t="s">
        <v>4</v>
      </c>
      <c r="H1444" t="s">
        <v>26</v>
      </c>
      <c r="I1444" t="s">
        <v>1998</v>
      </c>
      <c r="J1444" s="2">
        <v>5.7280000000000006</v>
      </c>
      <c r="K1444">
        <v>2</v>
      </c>
      <c r="L1444" s="4"/>
    </row>
    <row r="1445" spans="1:12" x14ac:dyDescent="0.3">
      <c r="A1445" s="1">
        <v>42131</v>
      </c>
      <c r="B1445" s="1">
        <v>42135</v>
      </c>
      <c r="C1445" t="s">
        <v>7</v>
      </c>
      <c r="D1445" t="s">
        <v>555</v>
      </c>
      <c r="E1445" t="s">
        <v>556</v>
      </c>
      <c r="F1445" t="s">
        <v>3</v>
      </c>
      <c r="G1445" t="s">
        <v>12</v>
      </c>
      <c r="H1445" t="s">
        <v>35</v>
      </c>
      <c r="I1445" t="s">
        <v>1999</v>
      </c>
      <c r="J1445" s="2">
        <v>41.6</v>
      </c>
      <c r="K1445">
        <v>4</v>
      </c>
      <c r="L1445" s="4"/>
    </row>
    <row r="1446" spans="1:12" x14ac:dyDescent="0.3">
      <c r="A1446" s="1">
        <v>42133</v>
      </c>
      <c r="B1446" s="1">
        <v>42135</v>
      </c>
      <c r="C1446" t="s">
        <v>22</v>
      </c>
      <c r="D1446" t="s">
        <v>1636</v>
      </c>
      <c r="E1446" t="s">
        <v>1637</v>
      </c>
      <c r="F1446" t="s">
        <v>3</v>
      </c>
      <c r="G1446" t="s">
        <v>4</v>
      </c>
      <c r="H1446" t="s">
        <v>5</v>
      </c>
      <c r="I1446" t="s">
        <v>2000</v>
      </c>
      <c r="J1446" s="2">
        <v>17.940000000000001</v>
      </c>
      <c r="K1446">
        <v>3</v>
      </c>
      <c r="L1446" s="4"/>
    </row>
    <row r="1447" spans="1:12" x14ac:dyDescent="0.3">
      <c r="A1447" s="1">
        <v>42134</v>
      </c>
      <c r="B1447" s="1">
        <v>42139</v>
      </c>
      <c r="C1447" t="s">
        <v>7</v>
      </c>
      <c r="D1447" t="s">
        <v>526</v>
      </c>
      <c r="E1447" t="s">
        <v>527</v>
      </c>
      <c r="F1447" t="s">
        <v>56</v>
      </c>
      <c r="G1447" t="s">
        <v>74</v>
      </c>
      <c r="H1447" t="s">
        <v>75</v>
      </c>
      <c r="I1447" t="s">
        <v>2001</v>
      </c>
      <c r="J1447" s="2">
        <v>93.98</v>
      </c>
      <c r="K1447">
        <v>2</v>
      </c>
      <c r="L1447" s="4"/>
    </row>
    <row r="1448" spans="1:12" x14ac:dyDescent="0.3">
      <c r="A1448" s="1">
        <v>42134</v>
      </c>
      <c r="B1448" s="1">
        <v>42139</v>
      </c>
      <c r="C1448" t="s">
        <v>7</v>
      </c>
      <c r="D1448" t="s">
        <v>2002</v>
      </c>
      <c r="E1448" t="s">
        <v>2003</v>
      </c>
      <c r="F1448" t="s">
        <v>3</v>
      </c>
      <c r="G1448" t="s">
        <v>4</v>
      </c>
      <c r="H1448" t="s">
        <v>5</v>
      </c>
      <c r="I1448" t="s">
        <v>2004</v>
      </c>
      <c r="J1448" s="2">
        <v>32.04</v>
      </c>
      <c r="K1448">
        <v>4</v>
      </c>
      <c r="L1448" s="4"/>
    </row>
    <row r="1449" spans="1:12" x14ac:dyDescent="0.3">
      <c r="A1449" s="1">
        <v>42135</v>
      </c>
      <c r="B1449" s="1">
        <v>42141</v>
      </c>
      <c r="C1449" t="s">
        <v>7</v>
      </c>
      <c r="D1449" t="s">
        <v>451</v>
      </c>
      <c r="E1449" t="s">
        <v>452</v>
      </c>
      <c r="F1449" t="s">
        <v>56</v>
      </c>
      <c r="G1449" t="s">
        <v>4</v>
      </c>
      <c r="H1449" t="s">
        <v>5</v>
      </c>
      <c r="I1449" t="s">
        <v>456</v>
      </c>
      <c r="J1449" s="2">
        <v>11.96</v>
      </c>
      <c r="K1449">
        <v>2</v>
      </c>
      <c r="L1449" s="4"/>
    </row>
    <row r="1450" spans="1:12" x14ac:dyDescent="0.3">
      <c r="A1450" s="1">
        <v>42136</v>
      </c>
      <c r="B1450" s="1">
        <v>42137</v>
      </c>
      <c r="C1450" t="s">
        <v>22</v>
      </c>
      <c r="D1450" t="s">
        <v>2005</v>
      </c>
      <c r="E1450" t="s">
        <v>2006</v>
      </c>
      <c r="F1450" t="s">
        <v>3</v>
      </c>
      <c r="G1450" t="s">
        <v>4</v>
      </c>
      <c r="H1450" t="s">
        <v>5</v>
      </c>
      <c r="I1450" t="s">
        <v>2000</v>
      </c>
      <c r="J1450" s="2">
        <v>5.98</v>
      </c>
      <c r="K1450">
        <v>1</v>
      </c>
      <c r="L1450" s="4"/>
    </row>
    <row r="1451" spans="1:12" x14ac:dyDescent="0.3">
      <c r="A1451" s="1">
        <v>42137</v>
      </c>
      <c r="B1451" s="1">
        <v>42142</v>
      </c>
      <c r="C1451" t="s">
        <v>7</v>
      </c>
      <c r="D1451" t="s">
        <v>2007</v>
      </c>
      <c r="E1451" t="s">
        <v>2008</v>
      </c>
      <c r="F1451" t="s">
        <v>56</v>
      </c>
      <c r="G1451" t="s">
        <v>4</v>
      </c>
      <c r="H1451" t="s">
        <v>29</v>
      </c>
      <c r="I1451" t="s">
        <v>2009</v>
      </c>
      <c r="J1451" s="2">
        <v>54.900000000000006</v>
      </c>
      <c r="K1451">
        <v>5</v>
      </c>
      <c r="L1451" s="4"/>
    </row>
    <row r="1452" spans="1:12" x14ac:dyDescent="0.3">
      <c r="A1452" s="1">
        <v>42137</v>
      </c>
      <c r="B1452" s="1">
        <v>42141</v>
      </c>
      <c r="C1452" t="s">
        <v>7</v>
      </c>
      <c r="D1452" t="s">
        <v>2010</v>
      </c>
      <c r="E1452" t="s">
        <v>2011</v>
      </c>
      <c r="F1452" t="s">
        <v>3</v>
      </c>
      <c r="G1452" t="s">
        <v>74</v>
      </c>
      <c r="H1452" t="s">
        <v>75</v>
      </c>
      <c r="I1452" t="s">
        <v>2012</v>
      </c>
      <c r="J1452" s="2">
        <v>120</v>
      </c>
      <c r="K1452">
        <v>6</v>
      </c>
      <c r="L1452" s="4"/>
    </row>
    <row r="1453" spans="1:12" x14ac:dyDescent="0.3">
      <c r="A1453" s="1">
        <v>42137</v>
      </c>
      <c r="B1453" s="1">
        <v>42141</v>
      </c>
      <c r="C1453" t="s">
        <v>7</v>
      </c>
      <c r="D1453" t="s">
        <v>2010</v>
      </c>
      <c r="E1453" t="s">
        <v>2011</v>
      </c>
      <c r="F1453" t="s">
        <v>3</v>
      </c>
      <c r="G1453" t="s">
        <v>4</v>
      </c>
      <c r="H1453" t="s">
        <v>20</v>
      </c>
      <c r="I1453" t="s">
        <v>678</v>
      </c>
      <c r="J1453" s="2">
        <v>8.67</v>
      </c>
      <c r="K1453">
        <v>1</v>
      </c>
      <c r="L1453" s="4"/>
    </row>
    <row r="1454" spans="1:12" x14ac:dyDescent="0.3">
      <c r="A1454" s="1">
        <v>42139</v>
      </c>
      <c r="B1454" s="1">
        <v>42139</v>
      </c>
      <c r="C1454" t="s">
        <v>240</v>
      </c>
      <c r="D1454" t="s">
        <v>859</v>
      </c>
      <c r="E1454" t="s">
        <v>860</v>
      </c>
      <c r="F1454" t="s">
        <v>25</v>
      </c>
      <c r="G1454" t="s">
        <v>74</v>
      </c>
      <c r="H1454" t="s">
        <v>75</v>
      </c>
      <c r="I1454" t="s">
        <v>2013</v>
      </c>
      <c r="J1454" s="2">
        <v>185.52800000000002</v>
      </c>
      <c r="K1454">
        <v>7</v>
      </c>
      <c r="L1454" s="4"/>
    </row>
    <row r="1455" spans="1:12" x14ac:dyDescent="0.3">
      <c r="A1455" s="1">
        <v>42141</v>
      </c>
      <c r="B1455" s="1">
        <v>42146</v>
      </c>
      <c r="C1455" t="s">
        <v>0</v>
      </c>
      <c r="D1455" t="s">
        <v>1229</v>
      </c>
      <c r="E1455" t="s">
        <v>1230</v>
      </c>
      <c r="F1455" t="s">
        <v>3</v>
      </c>
      <c r="G1455" t="s">
        <v>4</v>
      </c>
      <c r="H1455" t="s">
        <v>5</v>
      </c>
      <c r="I1455" t="s">
        <v>1631</v>
      </c>
      <c r="J1455" s="2">
        <v>17.34</v>
      </c>
      <c r="K1455">
        <v>3</v>
      </c>
      <c r="L1455" s="4"/>
    </row>
    <row r="1456" spans="1:12" x14ac:dyDescent="0.3">
      <c r="A1456" s="1">
        <v>42141</v>
      </c>
      <c r="B1456" s="1">
        <v>42144</v>
      </c>
      <c r="C1456" t="s">
        <v>0</v>
      </c>
      <c r="D1456" t="s">
        <v>68</v>
      </c>
      <c r="E1456" t="s">
        <v>69</v>
      </c>
      <c r="F1456" t="s">
        <v>3</v>
      </c>
      <c r="G1456" t="s">
        <v>12</v>
      </c>
      <c r="H1456" t="s">
        <v>35</v>
      </c>
      <c r="I1456" t="s">
        <v>2014</v>
      </c>
      <c r="J1456" s="2">
        <v>282.83999999999997</v>
      </c>
      <c r="K1456">
        <v>4</v>
      </c>
      <c r="L1456" s="4"/>
    </row>
    <row r="1457" spans="1:12" x14ac:dyDescent="0.3">
      <c r="A1457" s="1">
        <v>42141</v>
      </c>
      <c r="B1457" s="1">
        <v>42144</v>
      </c>
      <c r="C1457" t="s">
        <v>0</v>
      </c>
      <c r="D1457" t="s">
        <v>68</v>
      </c>
      <c r="E1457" t="s">
        <v>69</v>
      </c>
      <c r="F1457" t="s">
        <v>3</v>
      </c>
      <c r="G1457" t="s">
        <v>4</v>
      </c>
      <c r="H1457" t="s">
        <v>168</v>
      </c>
      <c r="I1457" t="s">
        <v>2015</v>
      </c>
      <c r="J1457" s="2">
        <v>27.72</v>
      </c>
      <c r="K1457">
        <v>9</v>
      </c>
      <c r="L1457" s="4"/>
    </row>
    <row r="1458" spans="1:12" x14ac:dyDescent="0.3">
      <c r="A1458" s="1">
        <v>42143</v>
      </c>
      <c r="B1458" s="1">
        <v>42149</v>
      </c>
      <c r="C1458" t="s">
        <v>7</v>
      </c>
      <c r="D1458" t="s">
        <v>2016</v>
      </c>
      <c r="E1458" t="s">
        <v>2017</v>
      </c>
      <c r="F1458" t="s">
        <v>3</v>
      </c>
      <c r="G1458" t="s">
        <v>4</v>
      </c>
      <c r="H1458" t="s">
        <v>10</v>
      </c>
      <c r="I1458" t="s">
        <v>2018</v>
      </c>
      <c r="J1458" s="2">
        <v>104.28</v>
      </c>
      <c r="K1458">
        <v>3</v>
      </c>
      <c r="L1458" s="4"/>
    </row>
    <row r="1459" spans="1:12" x14ac:dyDescent="0.3">
      <c r="A1459" s="1">
        <v>42143</v>
      </c>
      <c r="B1459" s="1">
        <v>42149</v>
      </c>
      <c r="C1459" t="s">
        <v>7</v>
      </c>
      <c r="D1459" t="s">
        <v>2016</v>
      </c>
      <c r="E1459" t="s">
        <v>2017</v>
      </c>
      <c r="F1459" t="s">
        <v>3</v>
      </c>
      <c r="G1459" t="s">
        <v>4</v>
      </c>
      <c r="H1459" t="s">
        <v>5</v>
      </c>
      <c r="I1459" t="s">
        <v>2019</v>
      </c>
      <c r="J1459" s="2">
        <v>17.940000000000001</v>
      </c>
      <c r="K1459">
        <v>3</v>
      </c>
      <c r="L1459" s="4"/>
    </row>
    <row r="1460" spans="1:12" x14ac:dyDescent="0.3">
      <c r="A1460" s="1">
        <v>42144</v>
      </c>
      <c r="B1460" s="1">
        <v>42149</v>
      </c>
      <c r="C1460" t="s">
        <v>7</v>
      </c>
      <c r="D1460" t="s">
        <v>1261</v>
      </c>
      <c r="E1460" t="s">
        <v>1262</v>
      </c>
      <c r="F1460" t="s">
        <v>3</v>
      </c>
      <c r="G1460" t="s">
        <v>4</v>
      </c>
      <c r="H1460" t="s">
        <v>26</v>
      </c>
      <c r="I1460" t="s">
        <v>225</v>
      </c>
      <c r="J1460" s="2">
        <v>9.5840000000000014</v>
      </c>
      <c r="K1460">
        <v>1</v>
      </c>
      <c r="L1460" s="4"/>
    </row>
    <row r="1461" spans="1:12" x14ac:dyDescent="0.3">
      <c r="A1461" s="1">
        <v>42144</v>
      </c>
      <c r="B1461" s="1">
        <v>42148</v>
      </c>
      <c r="C1461" t="s">
        <v>7</v>
      </c>
      <c r="D1461" t="s">
        <v>2020</v>
      </c>
      <c r="E1461" t="s">
        <v>2021</v>
      </c>
      <c r="F1461" t="s">
        <v>3</v>
      </c>
      <c r="G1461" t="s">
        <v>4</v>
      </c>
      <c r="H1461" t="s">
        <v>20</v>
      </c>
      <c r="I1461" t="s">
        <v>678</v>
      </c>
      <c r="J1461" s="2">
        <v>87.84</v>
      </c>
      <c r="K1461">
        <v>8</v>
      </c>
      <c r="L1461" s="4"/>
    </row>
    <row r="1462" spans="1:12" x14ac:dyDescent="0.3">
      <c r="A1462" s="1">
        <v>42145</v>
      </c>
      <c r="B1462" s="1">
        <v>42150</v>
      </c>
      <c r="C1462" t="s">
        <v>7</v>
      </c>
      <c r="D1462" t="s">
        <v>2022</v>
      </c>
      <c r="E1462" t="s">
        <v>2023</v>
      </c>
      <c r="F1462" t="s">
        <v>3</v>
      </c>
      <c r="G1462" t="s">
        <v>12</v>
      </c>
      <c r="H1462" t="s">
        <v>35</v>
      </c>
      <c r="I1462" t="s">
        <v>2024</v>
      </c>
      <c r="J1462" s="2">
        <v>1049.2</v>
      </c>
      <c r="K1462">
        <v>5</v>
      </c>
      <c r="L1462" s="4"/>
    </row>
    <row r="1463" spans="1:12" x14ac:dyDescent="0.3">
      <c r="A1463" s="1">
        <v>42145</v>
      </c>
      <c r="B1463" s="1">
        <v>42150</v>
      </c>
      <c r="C1463" t="s">
        <v>7</v>
      </c>
      <c r="D1463" t="s">
        <v>2022</v>
      </c>
      <c r="E1463" t="s">
        <v>2023</v>
      </c>
      <c r="F1463" t="s">
        <v>3</v>
      </c>
      <c r="G1463" t="s">
        <v>4</v>
      </c>
      <c r="H1463" t="s">
        <v>26</v>
      </c>
      <c r="I1463" t="s">
        <v>2025</v>
      </c>
      <c r="J1463" s="2">
        <v>15.424000000000001</v>
      </c>
      <c r="K1463">
        <v>4</v>
      </c>
      <c r="L1463" s="4"/>
    </row>
    <row r="1464" spans="1:12" x14ac:dyDescent="0.3">
      <c r="A1464" s="1">
        <v>42145</v>
      </c>
      <c r="B1464" s="1">
        <v>42148</v>
      </c>
      <c r="C1464" t="s">
        <v>22</v>
      </c>
      <c r="D1464" t="s">
        <v>798</v>
      </c>
      <c r="E1464" t="s">
        <v>799</v>
      </c>
      <c r="F1464" t="s">
        <v>115</v>
      </c>
      <c r="G1464" t="s">
        <v>4</v>
      </c>
      <c r="H1464" t="s">
        <v>26</v>
      </c>
      <c r="I1464" t="s">
        <v>570</v>
      </c>
      <c r="J1464" s="2">
        <v>40.635000000000012</v>
      </c>
      <c r="K1464">
        <v>7</v>
      </c>
      <c r="L1464" s="4"/>
    </row>
    <row r="1465" spans="1:12" x14ac:dyDescent="0.3">
      <c r="A1465" s="1">
        <v>42146</v>
      </c>
      <c r="B1465" s="1">
        <v>42148</v>
      </c>
      <c r="C1465" t="s">
        <v>22</v>
      </c>
      <c r="D1465" t="s">
        <v>1040</v>
      </c>
      <c r="E1465" t="s">
        <v>1041</v>
      </c>
      <c r="F1465" t="s">
        <v>3</v>
      </c>
      <c r="G1465" t="s">
        <v>74</v>
      </c>
      <c r="H1465" t="s">
        <v>147</v>
      </c>
      <c r="I1465" t="s">
        <v>1599</v>
      </c>
      <c r="J1465" s="2">
        <v>55.176000000000002</v>
      </c>
      <c r="K1465">
        <v>3</v>
      </c>
      <c r="L1465" s="4"/>
    </row>
    <row r="1466" spans="1:12" x14ac:dyDescent="0.3">
      <c r="A1466" s="1">
        <v>42146</v>
      </c>
      <c r="B1466" s="1">
        <v>42148</v>
      </c>
      <c r="C1466" t="s">
        <v>22</v>
      </c>
      <c r="D1466" t="s">
        <v>1040</v>
      </c>
      <c r="E1466" t="s">
        <v>1041</v>
      </c>
      <c r="F1466" t="s">
        <v>3</v>
      </c>
      <c r="G1466" t="s">
        <v>74</v>
      </c>
      <c r="H1466" t="s">
        <v>75</v>
      </c>
      <c r="I1466" t="s">
        <v>2013</v>
      </c>
      <c r="J1466" s="2">
        <v>66.260000000000005</v>
      </c>
      <c r="K1466">
        <v>2</v>
      </c>
      <c r="L1466" s="4"/>
    </row>
    <row r="1467" spans="1:12" x14ac:dyDescent="0.3">
      <c r="A1467" s="1">
        <v>42146</v>
      </c>
      <c r="B1467" s="1">
        <v>42153</v>
      </c>
      <c r="C1467" t="s">
        <v>7</v>
      </c>
      <c r="D1467" t="s">
        <v>2026</v>
      </c>
      <c r="E1467" t="s">
        <v>2027</v>
      </c>
      <c r="F1467" t="s">
        <v>39</v>
      </c>
      <c r="G1467" t="s">
        <v>74</v>
      </c>
      <c r="H1467" t="s">
        <v>138</v>
      </c>
      <c r="I1467" t="s">
        <v>2028</v>
      </c>
      <c r="J1467" s="2">
        <v>2396.4</v>
      </c>
      <c r="K1467">
        <v>10</v>
      </c>
      <c r="L1467" s="4"/>
    </row>
    <row r="1468" spans="1:12" x14ac:dyDescent="0.3">
      <c r="A1468" s="1">
        <v>42147</v>
      </c>
      <c r="B1468" s="1">
        <v>42154</v>
      </c>
      <c r="C1468" t="s">
        <v>7</v>
      </c>
      <c r="D1468" t="s">
        <v>2029</v>
      </c>
      <c r="E1468" t="s">
        <v>2030</v>
      </c>
      <c r="F1468" t="s">
        <v>3</v>
      </c>
      <c r="G1468" t="s">
        <v>74</v>
      </c>
      <c r="H1468" t="s">
        <v>147</v>
      </c>
      <c r="I1468" t="s">
        <v>2031</v>
      </c>
      <c r="J1468" s="2">
        <v>222.38400000000001</v>
      </c>
      <c r="K1468">
        <v>2</v>
      </c>
      <c r="L1468" s="4"/>
    </row>
    <row r="1469" spans="1:12" x14ac:dyDescent="0.3">
      <c r="A1469" s="1">
        <v>42148</v>
      </c>
      <c r="B1469" s="1">
        <v>42152</v>
      </c>
      <c r="C1469" t="s">
        <v>7</v>
      </c>
      <c r="D1469" t="s">
        <v>2032</v>
      </c>
      <c r="E1469" t="s">
        <v>2033</v>
      </c>
      <c r="F1469" t="s">
        <v>3</v>
      </c>
      <c r="G1469" t="s">
        <v>12</v>
      </c>
      <c r="H1469" t="s">
        <v>35</v>
      </c>
      <c r="I1469" t="s">
        <v>560</v>
      </c>
      <c r="J1469" s="2">
        <v>37.049999999999997</v>
      </c>
      <c r="K1469">
        <v>3</v>
      </c>
      <c r="L1469" s="4"/>
    </row>
    <row r="1470" spans="1:12" x14ac:dyDescent="0.3">
      <c r="A1470" s="1">
        <v>42151</v>
      </c>
      <c r="B1470" s="1">
        <v>42156</v>
      </c>
      <c r="C1470" t="s">
        <v>7</v>
      </c>
      <c r="D1470" t="s">
        <v>380</v>
      </c>
      <c r="E1470" t="s">
        <v>381</v>
      </c>
      <c r="F1470" t="s">
        <v>3</v>
      </c>
      <c r="G1470" t="s">
        <v>4</v>
      </c>
      <c r="H1470" t="s">
        <v>52</v>
      </c>
      <c r="I1470" t="s">
        <v>1783</v>
      </c>
      <c r="J1470" s="2">
        <v>5.9399999999999995</v>
      </c>
      <c r="K1470">
        <v>3</v>
      </c>
      <c r="L1470" s="4"/>
    </row>
    <row r="1471" spans="1:12" x14ac:dyDescent="0.3">
      <c r="A1471" s="1">
        <v>42151</v>
      </c>
      <c r="B1471" s="1">
        <v>42156</v>
      </c>
      <c r="C1471" t="s">
        <v>7</v>
      </c>
      <c r="D1471" t="s">
        <v>380</v>
      </c>
      <c r="E1471" t="s">
        <v>381</v>
      </c>
      <c r="F1471" t="s">
        <v>3</v>
      </c>
      <c r="G1471" t="s">
        <v>4</v>
      </c>
      <c r="H1471" t="s">
        <v>5</v>
      </c>
      <c r="I1471" t="s">
        <v>2034</v>
      </c>
      <c r="J1471" s="2">
        <v>45.36</v>
      </c>
      <c r="K1471">
        <v>7</v>
      </c>
      <c r="L1471" s="4"/>
    </row>
    <row r="1472" spans="1:12" x14ac:dyDescent="0.3">
      <c r="A1472" s="1">
        <v>42151</v>
      </c>
      <c r="B1472" s="1">
        <v>42156</v>
      </c>
      <c r="C1472" t="s">
        <v>7</v>
      </c>
      <c r="D1472" t="s">
        <v>380</v>
      </c>
      <c r="E1472" t="s">
        <v>381</v>
      </c>
      <c r="F1472" t="s">
        <v>3</v>
      </c>
      <c r="G1472" t="s">
        <v>74</v>
      </c>
      <c r="H1472" t="s">
        <v>147</v>
      </c>
      <c r="I1472" t="s">
        <v>2035</v>
      </c>
      <c r="J1472" s="2">
        <v>211.16800000000001</v>
      </c>
      <c r="K1472">
        <v>4</v>
      </c>
      <c r="L1472" s="4"/>
    </row>
    <row r="1473" spans="1:12" x14ac:dyDescent="0.3">
      <c r="A1473" s="1">
        <v>42151</v>
      </c>
      <c r="B1473" s="1">
        <v>42156</v>
      </c>
      <c r="C1473" t="s">
        <v>7</v>
      </c>
      <c r="D1473" t="s">
        <v>380</v>
      </c>
      <c r="E1473" t="s">
        <v>381</v>
      </c>
      <c r="F1473" t="s">
        <v>3</v>
      </c>
      <c r="G1473" t="s">
        <v>12</v>
      </c>
      <c r="H1473" t="s">
        <v>70</v>
      </c>
      <c r="I1473" t="s">
        <v>1078</v>
      </c>
      <c r="J1473" s="2">
        <v>484.70400000000006</v>
      </c>
      <c r="K1473">
        <v>6</v>
      </c>
      <c r="L1473" s="4"/>
    </row>
    <row r="1474" spans="1:12" x14ac:dyDescent="0.3">
      <c r="A1474" s="1">
        <v>42151</v>
      </c>
      <c r="B1474" s="1">
        <v>42156</v>
      </c>
      <c r="C1474" t="s">
        <v>7</v>
      </c>
      <c r="D1474" t="s">
        <v>380</v>
      </c>
      <c r="E1474" t="s">
        <v>381</v>
      </c>
      <c r="F1474" t="s">
        <v>3</v>
      </c>
      <c r="G1474" t="s">
        <v>74</v>
      </c>
      <c r="H1474" t="s">
        <v>138</v>
      </c>
      <c r="I1474" t="s">
        <v>2036</v>
      </c>
      <c r="J1474" s="2">
        <v>371.97600000000006</v>
      </c>
      <c r="K1474">
        <v>3</v>
      </c>
      <c r="L1474" s="4"/>
    </row>
    <row r="1475" spans="1:12" x14ac:dyDescent="0.3">
      <c r="A1475" s="1">
        <v>42152</v>
      </c>
      <c r="B1475" s="1">
        <v>42158</v>
      </c>
      <c r="C1475" t="s">
        <v>7</v>
      </c>
      <c r="D1475" t="s">
        <v>781</v>
      </c>
      <c r="E1475" t="s">
        <v>782</v>
      </c>
      <c r="F1475" t="s">
        <v>3</v>
      </c>
      <c r="G1475" t="s">
        <v>4</v>
      </c>
      <c r="H1475" t="s">
        <v>5</v>
      </c>
      <c r="I1475" t="s">
        <v>955</v>
      </c>
      <c r="J1475" s="2">
        <v>13.38</v>
      </c>
      <c r="K1475">
        <v>2</v>
      </c>
      <c r="L1475" s="4"/>
    </row>
    <row r="1476" spans="1:12" x14ac:dyDescent="0.3">
      <c r="A1476" s="1">
        <v>42153</v>
      </c>
      <c r="B1476" s="1">
        <v>42159</v>
      </c>
      <c r="C1476" t="s">
        <v>7</v>
      </c>
      <c r="D1476" t="s">
        <v>431</v>
      </c>
      <c r="E1476" t="s">
        <v>432</v>
      </c>
      <c r="F1476" t="s">
        <v>3</v>
      </c>
      <c r="G1476" t="s">
        <v>4</v>
      </c>
      <c r="H1476" t="s">
        <v>20</v>
      </c>
      <c r="I1476" t="s">
        <v>2037</v>
      </c>
      <c r="J1476" s="2">
        <v>262.24</v>
      </c>
      <c r="K1476">
        <v>2</v>
      </c>
      <c r="L1476" s="4"/>
    </row>
    <row r="1477" spans="1:12" x14ac:dyDescent="0.3">
      <c r="A1477" s="1">
        <v>42153</v>
      </c>
      <c r="B1477" s="1">
        <v>42159</v>
      </c>
      <c r="C1477" t="s">
        <v>7</v>
      </c>
      <c r="D1477" t="s">
        <v>431</v>
      </c>
      <c r="E1477" t="s">
        <v>432</v>
      </c>
      <c r="F1477" t="s">
        <v>3</v>
      </c>
      <c r="G1477" t="s">
        <v>4</v>
      </c>
      <c r="H1477" t="s">
        <v>5</v>
      </c>
      <c r="I1477" t="s">
        <v>1142</v>
      </c>
      <c r="J1477" s="2">
        <v>182.72</v>
      </c>
      <c r="K1477">
        <v>8</v>
      </c>
      <c r="L1477" s="4"/>
    </row>
    <row r="1478" spans="1:12" x14ac:dyDescent="0.3">
      <c r="A1478" s="1">
        <v>42153</v>
      </c>
      <c r="B1478" s="1">
        <v>42159</v>
      </c>
      <c r="C1478" t="s">
        <v>7</v>
      </c>
      <c r="D1478" t="s">
        <v>431</v>
      </c>
      <c r="E1478" t="s">
        <v>432</v>
      </c>
      <c r="F1478" t="s">
        <v>3</v>
      </c>
      <c r="G1478" t="s">
        <v>74</v>
      </c>
      <c r="H1478" t="s">
        <v>75</v>
      </c>
      <c r="I1478" t="s">
        <v>313</v>
      </c>
      <c r="J1478" s="2">
        <v>131.6</v>
      </c>
      <c r="K1478">
        <v>7</v>
      </c>
      <c r="L1478" s="4"/>
    </row>
    <row r="1479" spans="1:12" x14ac:dyDescent="0.3">
      <c r="A1479" s="1">
        <v>42153</v>
      </c>
      <c r="B1479" s="1">
        <v>42159</v>
      </c>
      <c r="C1479" t="s">
        <v>7</v>
      </c>
      <c r="D1479" t="s">
        <v>431</v>
      </c>
      <c r="E1479" t="s">
        <v>432</v>
      </c>
      <c r="F1479" t="s">
        <v>3</v>
      </c>
      <c r="G1479" t="s">
        <v>4</v>
      </c>
      <c r="H1479" t="s">
        <v>26</v>
      </c>
      <c r="I1479" t="s">
        <v>601</v>
      </c>
      <c r="J1479" s="2">
        <v>22.72</v>
      </c>
      <c r="K1479">
        <v>4</v>
      </c>
      <c r="L1479" s="4"/>
    </row>
    <row r="1480" spans="1:12" x14ac:dyDescent="0.3">
      <c r="A1480" s="1">
        <v>42153</v>
      </c>
      <c r="B1480" s="1">
        <v>42159</v>
      </c>
      <c r="C1480" t="s">
        <v>7</v>
      </c>
      <c r="D1480" t="s">
        <v>431</v>
      </c>
      <c r="E1480" t="s">
        <v>432</v>
      </c>
      <c r="F1480" t="s">
        <v>3</v>
      </c>
      <c r="G1480" t="s">
        <v>74</v>
      </c>
      <c r="H1480" t="s">
        <v>138</v>
      </c>
      <c r="I1480" t="s">
        <v>1450</v>
      </c>
      <c r="J1480" s="2">
        <v>558.4</v>
      </c>
      <c r="K1480">
        <v>2</v>
      </c>
      <c r="L1480" s="4"/>
    </row>
    <row r="1481" spans="1:12" x14ac:dyDescent="0.3">
      <c r="A1481" s="1">
        <v>42155</v>
      </c>
      <c r="B1481" s="1">
        <v>42160</v>
      </c>
      <c r="C1481" t="s">
        <v>7</v>
      </c>
      <c r="D1481" t="s">
        <v>1642</v>
      </c>
      <c r="E1481" t="s">
        <v>1643</v>
      </c>
      <c r="F1481" t="s">
        <v>115</v>
      </c>
      <c r="G1481" t="s">
        <v>4</v>
      </c>
      <c r="H1481" t="s">
        <v>26</v>
      </c>
      <c r="I1481" t="s">
        <v>407</v>
      </c>
      <c r="J1481" s="2">
        <v>22.620000000000005</v>
      </c>
      <c r="K1481">
        <v>2</v>
      </c>
      <c r="L1481" s="4"/>
    </row>
    <row r="1482" spans="1:12" x14ac:dyDescent="0.3">
      <c r="A1482" s="1">
        <v>42155</v>
      </c>
      <c r="B1482" s="1">
        <v>42160</v>
      </c>
      <c r="C1482" t="s">
        <v>7</v>
      </c>
      <c r="D1482" t="s">
        <v>1642</v>
      </c>
      <c r="E1482" t="s">
        <v>1643</v>
      </c>
      <c r="F1482" t="s">
        <v>115</v>
      </c>
      <c r="G1482" t="s">
        <v>4</v>
      </c>
      <c r="H1482" t="s">
        <v>26</v>
      </c>
      <c r="I1482" t="s">
        <v>343</v>
      </c>
      <c r="J1482" s="2">
        <v>14.952000000000004</v>
      </c>
      <c r="K1482">
        <v>2</v>
      </c>
      <c r="L1482" s="4"/>
    </row>
    <row r="1483" spans="1:12" x14ac:dyDescent="0.3">
      <c r="A1483" s="1">
        <v>42155</v>
      </c>
      <c r="B1483" s="1">
        <v>42160</v>
      </c>
      <c r="C1483" t="s">
        <v>7</v>
      </c>
      <c r="D1483" t="s">
        <v>1642</v>
      </c>
      <c r="E1483" t="s">
        <v>1643</v>
      </c>
      <c r="F1483" t="s">
        <v>115</v>
      </c>
      <c r="G1483" t="s">
        <v>12</v>
      </c>
      <c r="H1483" t="s">
        <v>70</v>
      </c>
      <c r="I1483" t="s">
        <v>462</v>
      </c>
      <c r="J1483" s="2">
        <v>801.5680000000001</v>
      </c>
      <c r="K1483">
        <v>2</v>
      </c>
      <c r="L1483" s="4"/>
    </row>
    <row r="1484" spans="1:12" x14ac:dyDescent="0.3">
      <c r="A1484" s="1">
        <v>42155</v>
      </c>
      <c r="B1484" s="1">
        <v>42160</v>
      </c>
      <c r="C1484" t="s">
        <v>7</v>
      </c>
      <c r="D1484" t="s">
        <v>1642</v>
      </c>
      <c r="E1484" t="s">
        <v>1643</v>
      </c>
      <c r="F1484" t="s">
        <v>115</v>
      </c>
      <c r="G1484" t="s">
        <v>4</v>
      </c>
      <c r="H1484" t="s">
        <v>26</v>
      </c>
      <c r="I1484" t="s">
        <v>2038</v>
      </c>
      <c r="J1484" s="2">
        <v>2.3760000000000003</v>
      </c>
      <c r="K1484">
        <v>3</v>
      </c>
      <c r="L1484" s="4"/>
    </row>
    <row r="1485" spans="1:12" x14ac:dyDescent="0.3">
      <c r="A1485" s="1">
        <v>42155</v>
      </c>
      <c r="B1485" s="1">
        <v>42160</v>
      </c>
      <c r="C1485" t="s">
        <v>7</v>
      </c>
      <c r="D1485" t="s">
        <v>1642</v>
      </c>
      <c r="E1485" t="s">
        <v>1643</v>
      </c>
      <c r="F1485" t="s">
        <v>115</v>
      </c>
      <c r="G1485" t="s">
        <v>4</v>
      </c>
      <c r="H1485" t="s">
        <v>5</v>
      </c>
      <c r="I1485" t="s">
        <v>2039</v>
      </c>
      <c r="J1485" s="2">
        <v>32.792000000000002</v>
      </c>
      <c r="K1485">
        <v>1</v>
      </c>
      <c r="L1485" s="4"/>
    </row>
    <row r="1486" spans="1:12" x14ac:dyDescent="0.3">
      <c r="A1486" s="1">
        <v>42155</v>
      </c>
      <c r="B1486" s="1">
        <v>42159</v>
      </c>
      <c r="C1486" t="s">
        <v>7</v>
      </c>
      <c r="D1486" t="s">
        <v>826</v>
      </c>
      <c r="E1486" t="s">
        <v>827</v>
      </c>
      <c r="F1486" t="s">
        <v>3</v>
      </c>
      <c r="G1486" t="s">
        <v>4</v>
      </c>
      <c r="H1486" t="s">
        <v>5</v>
      </c>
      <c r="I1486" t="s">
        <v>1436</v>
      </c>
      <c r="J1486" s="2">
        <v>38.880000000000003</v>
      </c>
      <c r="K1486">
        <v>6</v>
      </c>
      <c r="L1486" s="4"/>
    </row>
    <row r="1487" spans="1:12" x14ac:dyDescent="0.3">
      <c r="A1487" s="1">
        <v>42155</v>
      </c>
      <c r="B1487" s="1">
        <v>42162</v>
      </c>
      <c r="C1487" t="s">
        <v>7</v>
      </c>
      <c r="D1487" t="s">
        <v>2040</v>
      </c>
      <c r="E1487" t="s">
        <v>2041</v>
      </c>
      <c r="F1487" t="s">
        <v>3</v>
      </c>
      <c r="G1487" t="s">
        <v>12</v>
      </c>
      <c r="H1487" t="s">
        <v>35</v>
      </c>
      <c r="I1487" t="s">
        <v>2042</v>
      </c>
      <c r="J1487" s="2">
        <v>167.84</v>
      </c>
      <c r="K1487">
        <v>8</v>
      </c>
      <c r="L1487" s="4"/>
    </row>
    <row r="1488" spans="1:12" x14ac:dyDescent="0.3">
      <c r="A1488" s="1">
        <v>42158</v>
      </c>
      <c r="B1488" s="1">
        <v>42162</v>
      </c>
      <c r="C1488" t="s">
        <v>7</v>
      </c>
      <c r="D1488" t="s">
        <v>237</v>
      </c>
      <c r="E1488" t="s">
        <v>238</v>
      </c>
      <c r="F1488" t="s">
        <v>56</v>
      </c>
      <c r="G1488" t="s">
        <v>4</v>
      </c>
      <c r="H1488" t="s">
        <v>5</v>
      </c>
      <c r="I1488" t="s">
        <v>657</v>
      </c>
      <c r="J1488" s="2">
        <v>30.18</v>
      </c>
      <c r="K1488">
        <v>3</v>
      </c>
      <c r="L1488" s="4"/>
    </row>
    <row r="1489" spans="1:12" x14ac:dyDescent="0.3">
      <c r="A1489" s="1">
        <v>42158</v>
      </c>
      <c r="B1489" s="1">
        <v>42162</v>
      </c>
      <c r="C1489" t="s">
        <v>7</v>
      </c>
      <c r="D1489" t="s">
        <v>237</v>
      </c>
      <c r="E1489" t="s">
        <v>238</v>
      </c>
      <c r="F1489" t="s">
        <v>56</v>
      </c>
      <c r="G1489" t="s">
        <v>4</v>
      </c>
      <c r="H1489" t="s">
        <v>26</v>
      </c>
      <c r="I1489" t="s">
        <v>1739</v>
      </c>
      <c r="J1489" s="2">
        <v>51.648000000000003</v>
      </c>
      <c r="K1489">
        <v>12</v>
      </c>
      <c r="L1489" s="4"/>
    </row>
    <row r="1490" spans="1:12" x14ac:dyDescent="0.3">
      <c r="A1490" s="1">
        <v>42158</v>
      </c>
      <c r="B1490" s="1">
        <v>42162</v>
      </c>
      <c r="C1490" t="s">
        <v>7</v>
      </c>
      <c r="D1490" t="s">
        <v>237</v>
      </c>
      <c r="E1490" t="s">
        <v>238</v>
      </c>
      <c r="F1490" t="s">
        <v>56</v>
      </c>
      <c r="G1490" t="s">
        <v>4</v>
      </c>
      <c r="H1490" t="s">
        <v>26</v>
      </c>
      <c r="I1490" t="s">
        <v>2043</v>
      </c>
      <c r="J1490" s="2">
        <v>11.231999999999999</v>
      </c>
      <c r="K1490">
        <v>3</v>
      </c>
      <c r="L1490" s="4"/>
    </row>
    <row r="1491" spans="1:12" x14ac:dyDescent="0.3">
      <c r="A1491" s="1">
        <v>42159</v>
      </c>
      <c r="B1491" s="1">
        <v>42162</v>
      </c>
      <c r="C1491" t="s">
        <v>0</v>
      </c>
      <c r="D1491" t="s">
        <v>2044</v>
      </c>
      <c r="E1491" t="s">
        <v>2045</v>
      </c>
      <c r="F1491" t="s">
        <v>3</v>
      </c>
      <c r="G1491" t="s">
        <v>12</v>
      </c>
      <c r="H1491" t="s">
        <v>44</v>
      </c>
      <c r="I1491" t="s">
        <v>1174</v>
      </c>
      <c r="J1491" s="2">
        <v>71.088000000000008</v>
      </c>
      <c r="K1491">
        <v>2</v>
      </c>
      <c r="L1491" s="4"/>
    </row>
    <row r="1492" spans="1:12" x14ac:dyDescent="0.3">
      <c r="A1492" s="1">
        <v>42161</v>
      </c>
      <c r="B1492" s="1">
        <v>42163</v>
      </c>
      <c r="C1492" t="s">
        <v>22</v>
      </c>
      <c r="D1492" t="s">
        <v>1608</v>
      </c>
      <c r="E1492" t="s">
        <v>1609</v>
      </c>
      <c r="F1492" t="s">
        <v>3</v>
      </c>
      <c r="G1492" t="s">
        <v>4</v>
      </c>
      <c r="H1492" t="s">
        <v>26</v>
      </c>
      <c r="I1492" t="s">
        <v>197</v>
      </c>
      <c r="J1492" s="2">
        <v>21.552000000000003</v>
      </c>
      <c r="K1492">
        <v>6</v>
      </c>
      <c r="L1492" s="4"/>
    </row>
    <row r="1493" spans="1:12" x14ac:dyDescent="0.3">
      <c r="A1493" s="1">
        <v>42161</v>
      </c>
      <c r="B1493" s="1">
        <v>42163</v>
      </c>
      <c r="C1493" t="s">
        <v>22</v>
      </c>
      <c r="D1493" t="s">
        <v>1608</v>
      </c>
      <c r="E1493" t="s">
        <v>1609</v>
      </c>
      <c r="F1493" t="s">
        <v>3</v>
      </c>
      <c r="G1493" t="s">
        <v>4</v>
      </c>
      <c r="H1493" t="s">
        <v>20</v>
      </c>
      <c r="I1493" t="s">
        <v>975</v>
      </c>
      <c r="J1493" s="2">
        <v>58.24</v>
      </c>
      <c r="K1493">
        <v>4</v>
      </c>
      <c r="L1493" s="4"/>
    </row>
    <row r="1494" spans="1:12" x14ac:dyDescent="0.3">
      <c r="A1494" s="1">
        <v>42161</v>
      </c>
      <c r="B1494" s="1">
        <v>42165</v>
      </c>
      <c r="C1494" t="s">
        <v>7</v>
      </c>
      <c r="D1494" t="s">
        <v>2046</v>
      </c>
      <c r="E1494" t="s">
        <v>2047</v>
      </c>
      <c r="F1494" t="s">
        <v>56</v>
      </c>
      <c r="G1494" t="s">
        <v>4</v>
      </c>
      <c r="H1494" t="s">
        <v>78</v>
      </c>
      <c r="I1494" t="s">
        <v>907</v>
      </c>
      <c r="J1494" s="2">
        <v>61.38</v>
      </c>
      <c r="K1494">
        <v>6</v>
      </c>
      <c r="L1494" s="4"/>
    </row>
    <row r="1495" spans="1:12" x14ac:dyDescent="0.3">
      <c r="A1495" s="1">
        <v>42162</v>
      </c>
      <c r="B1495" s="1">
        <v>42168</v>
      </c>
      <c r="C1495" t="s">
        <v>7</v>
      </c>
      <c r="D1495" t="s">
        <v>2048</v>
      </c>
      <c r="E1495" t="s">
        <v>2049</v>
      </c>
      <c r="F1495" t="s">
        <v>3</v>
      </c>
      <c r="G1495" t="s">
        <v>4</v>
      </c>
      <c r="H1495" t="s">
        <v>168</v>
      </c>
      <c r="I1495" t="s">
        <v>1472</v>
      </c>
      <c r="J1495" s="2">
        <v>22.05</v>
      </c>
      <c r="K1495">
        <v>7</v>
      </c>
      <c r="L1495" s="4"/>
    </row>
    <row r="1496" spans="1:12" x14ac:dyDescent="0.3">
      <c r="A1496" s="1">
        <v>42162</v>
      </c>
      <c r="B1496" s="1">
        <v>42168</v>
      </c>
      <c r="C1496" t="s">
        <v>7</v>
      </c>
      <c r="D1496" t="s">
        <v>2048</v>
      </c>
      <c r="E1496" t="s">
        <v>2049</v>
      </c>
      <c r="F1496" t="s">
        <v>3</v>
      </c>
      <c r="G1496" t="s">
        <v>4</v>
      </c>
      <c r="H1496" t="s">
        <v>5</v>
      </c>
      <c r="I1496" t="s">
        <v>2050</v>
      </c>
      <c r="J1496" s="2">
        <v>99.9</v>
      </c>
      <c r="K1496">
        <v>5</v>
      </c>
      <c r="L1496" s="4"/>
    </row>
    <row r="1497" spans="1:12" x14ac:dyDescent="0.3">
      <c r="A1497" s="1">
        <v>42162</v>
      </c>
      <c r="B1497" s="1">
        <v>42167</v>
      </c>
      <c r="C1497" t="s">
        <v>7</v>
      </c>
      <c r="D1497" t="s">
        <v>2051</v>
      </c>
      <c r="E1497" t="s">
        <v>2052</v>
      </c>
      <c r="F1497" t="s">
        <v>3</v>
      </c>
      <c r="G1497" t="s">
        <v>74</v>
      </c>
      <c r="H1497" t="s">
        <v>147</v>
      </c>
      <c r="I1497" t="s">
        <v>276</v>
      </c>
      <c r="J1497" s="2">
        <v>3023.9280000000003</v>
      </c>
      <c r="K1497">
        <v>9</v>
      </c>
      <c r="L1497" s="4"/>
    </row>
    <row r="1498" spans="1:12" x14ac:dyDescent="0.3">
      <c r="A1498" s="1">
        <v>42162</v>
      </c>
      <c r="B1498" s="1">
        <v>42167</v>
      </c>
      <c r="C1498" t="s">
        <v>7</v>
      </c>
      <c r="D1498" t="s">
        <v>2051</v>
      </c>
      <c r="E1498" t="s">
        <v>2052</v>
      </c>
      <c r="F1498" t="s">
        <v>3</v>
      </c>
      <c r="G1498" t="s">
        <v>74</v>
      </c>
      <c r="H1498" t="s">
        <v>75</v>
      </c>
      <c r="I1498" t="s">
        <v>2053</v>
      </c>
      <c r="J1498" s="2">
        <v>26.96</v>
      </c>
      <c r="K1498">
        <v>2</v>
      </c>
      <c r="L1498" s="4"/>
    </row>
    <row r="1499" spans="1:12" x14ac:dyDescent="0.3">
      <c r="A1499" s="1">
        <v>42162</v>
      </c>
      <c r="B1499" s="1">
        <v>42167</v>
      </c>
      <c r="C1499" t="s">
        <v>7</v>
      </c>
      <c r="D1499" t="s">
        <v>2051</v>
      </c>
      <c r="E1499" t="s">
        <v>2052</v>
      </c>
      <c r="F1499" t="s">
        <v>3</v>
      </c>
      <c r="G1499" t="s">
        <v>74</v>
      </c>
      <c r="H1499" t="s">
        <v>147</v>
      </c>
      <c r="I1499" t="s">
        <v>734</v>
      </c>
      <c r="J1499" s="2">
        <v>477.6</v>
      </c>
      <c r="K1499">
        <v>3</v>
      </c>
      <c r="L1499" s="4"/>
    </row>
    <row r="1500" spans="1:12" x14ac:dyDescent="0.3">
      <c r="A1500" s="1">
        <v>42163</v>
      </c>
      <c r="B1500" s="1">
        <v>42167</v>
      </c>
      <c r="C1500" t="s">
        <v>7</v>
      </c>
      <c r="D1500" t="s">
        <v>595</v>
      </c>
      <c r="E1500" t="s">
        <v>596</v>
      </c>
      <c r="F1500" t="s">
        <v>3</v>
      </c>
      <c r="G1500" t="s">
        <v>4</v>
      </c>
      <c r="H1500" t="s">
        <v>26</v>
      </c>
      <c r="I1500" t="s">
        <v>1116</v>
      </c>
      <c r="J1500" s="2">
        <v>4.7840000000000007</v>
      </c>
      <c r="K1500">
        <v>1</v>
      </c>
      <c r="L1500" s="4"/>
    </row>
    <row r="1501" spans="1:12" x14ac:dyDescent="0.3">
      <c r="A1501" s="1">
        <v>42163</v>
      </c>
      <c r="B1501" s="1">
        <v>42167</v>
      </c>
      <c r="C1501" t="s">
        <v>7</v>
      </c>
      <c r="D1501" t="s">
        <v>595</v>
      </c>
      <c r="E1501" t="s">
        <v>596</v>
      </c>
      <c r="F1501" t="s">
        <v>3</v>
      </c>
      <c r="G1501" t="s">
        <v>4</v>
      </c>
      <c r="H1501" t="s">
        <v>5</v>
      </c>
      <c r="I1501" t="s">
        <v>2054</v>
      </c>
      <c r="J1501" s="2">
        <v>4.7300000000000004</v>
      </c>
      <c r="K1501">
        <v>1</v>
      </c>
      <c r="L1501" s="4"/>
    </row>
    <row r="1502" spans="1:12" x14ac:dyDescent="0.3">
      <c r="A1502" s="1">
        <v>42165</v>
      </c>
      <c r="B1502" s="1">
        <v>42171</v>
      </c>
      <c r="C1502" t="s">
        <v>7</v>
      </c>
      <c r="D1502" t="s">
        <v>293</v>
      </c>
      <c r="E1502" t="s">
        <v>294</v>
      </c>
      <c r="F1502" t="s">
        <v>3</v>
      </c>
      <c r="G1502" t="s">
        <v>74</v>
      </c>
      <c r="H1502" t="s">
        <v>147</v>
      </c>
      <c r="I1502" t="s">
        <v>2055</v>
      </c>
      <c r="J1502" s="2">
        <v>177.48000000000002</v>
      </c>
      <c r="K1502">
        <v>3</v>
      </c>
      <c r="L1502" s="4"/>
    </row>
    <row r="1503" spans="1:12" x14ac:dyDescent="0.3">
      <c r="A1503" s="1">
        <v>42165</v>
      </c>
      <c r="B1503" s="1">
        <v>42170</v>
      </c>
      <c r="C1503" t="s">
        <v>7</v>
      </c>
      <c r="D1503" t="s">
        <v>2056</v>
      </c>
      <c r="E1503" t="s">
        <v>2057</v>
      </c>
      <c r="F1503" t="s">
        <v>3</v>
      </c>
      <c r="G1503" t="s">
        <v>12</v>
      </c>
      <c r="H1503" t="s">
        <v>70</v>
      </c>
      <c r="I1503" t="s">
        <v>741</v>
      </c>
      <c r="J1503" s="2">
        <v>122.352</v>
      </c>
      <c r="K1503">
        <v>3</v>
      </c>
      <c r="L1503" s="4"/>
    </row>
    <row r="1504" spans="1:12" x14ac:dyDescent="0.3">
      <c r="A1504" s="1">
        <v>42166</v>
      </c>
      <c r="B1504" s="1">
        <v>42171</v>
      </c>
      <c r="C1504" t="s">
        <v>7</v>
      </c>
      <c r="D1504" t="s">
        <v>2058</v>
      </c>
      <c r="E1504" t="s">
        <v>2059</v>
      </c>
      <c r="F1504" t="s">
        <v>3</v>
      </c>
      <c r="G1504" t="s">
        <v>4</v>
      </c>
      <c r="H1504" t="s">
        <v>168</v>
      </c>
      <c r="I1504" t="s">
        <v>2060</v>
      </c>
      <c r="J1504" s="2">
        <v>20.7</v>
      </c>
      <c r="K1504">
        <v>2</v>
      </c>
      <c r="L1504" s="4"/>
    </row>
    <row r="1505" spans="1:12" x14ac:dyDescent="0.3">
      <c r="A1505" s="1">
        <v>42166</v>
      </c>
      <c r="B1505" s="1">
        <v>42171</v>
      </c>
      <c r="C1505" t="s">
        <v>7</v>
      </c>
      <c r="D1505" t="s">
        <v>2058</v>
      </c>
      <c r="E1505" t="s">
        <v>2059</v>
      </c>
      <c r="F1505" t="s">
        <v>3</v>
      </c>
      <c r="G1505" t="s">
        <v>12</v>
      </c>
      <c r="H1505" t="s">
        <v>44</v>
      </c>
      <c r="I1505" t="s">
        <v>2061</v>
      </c>
      <c r="J1505" s="2">
        <v>1335.68</v>
      </c>
      <c r="K1505">
        <v>4</v>
      </c>
      <c r="L1505" s="4"/>
    </row>
    <row r="1506" spans="1:12" x14ac:dyDescent="0.3">
      <c r="A1506" s="1">
        <v>42166</v>
      </c>
      <c r="B1506" s="1">
        <v>42171</v>
      </c>
      <c r="C1506" t="s">
        <v>7</v>
      </c>
      <c r="D1506" t="s">
        <v>2058</v>
      </c>
      <c r="E1506" t="s">
        <v>2059</v>
      </c>
      <c r="F1506" t="s">
        <v>3</v>
      </c>
      <c r="G1506" t="s">
        <v>4</v>
      </c>
      <c r="H1506" t="s">
        <v>5</v>
      </c>
      <c r="I1506" t="s">
        <v>1494</v>
      </c>
      <c r="J1506" s="2">
        <v>32.400000000000006</v>
      </c>
      <c r="K1506">
        <v>5</v>
      </c>
      <c r="L1506" s="4"/>
    </row>
    <row r="1507" spans="1:12" x14ac:dyDescent="0.3">
      <c r="A1507" s="1">
        <v>42167</v>
      </c>
      <c r="B1507" s="1">
        <v>42171</v>
      </c>
      <c r="C1507" t="s">
        <v>7</v>
      </c>
      <c r="D1507" t="s">
        <v>222</v>
      </c>
      <c r="E1507" t="s">
        <v>223</v>
      </c>
      <c r="F1507" t="s">
        <v>56</v>
      </c>
      <c r="G1507" t="s">
        <v>4</v>
      </c>
      <c r="H1507" t="s">
        <v>168</v>
      </c>
      <c r="I1507" t="s">
        <v>2062</v>
      </c>
      <c r="J1507" s="2">
        <v>14.62</v>
      </c>
      <c r="K1507">
        <v>2</v>
      </c>
      <c r="L1507" s="4"/>
    </row>
    <row r="1508" spans="1:12" x14ac:dyDescent="0.3">
      <c r="A1508" s="1">
        <v>42167</v>
      </c>
      <c r="B1508" s="1">
        <v>42171</v>
      </c>
      <c r="C1508" t="s">
        <v>7</v>
      </c>
      <c r="D1508" t="s">
        <v>222</v>
      </c>
      <c r="E1508" t="s">
        <v>223</v>
      </c>
      <c r="F1508" t="s">
        <v>56</v>
      </c>
      <c r="G1508" t="s">
        <v>4</v>
      </c>
      <c r="H1508" t="s">
        <v>26</v>
      </c>
      <c r="I1508" t="s">
        <v>2025</v>
      </c>
      <c r="J1508" s="2">
        <v>53.984000000000002</v>
      </c>
      <c r="K1508">
        <v>14</v>
      </c>
      <c r="L1508" s="4"/>
    </row>
    <row r="1509" spans="1:12" x14ac:dyDescent="0.3">
      <c r="A1509" s="1">
        <v>42167</v>
      </c>
      <c r="B1509" s="1">
        <v>42171</v>
      </c>
      <c r="C1509" t="s">
        <v>7</v>
      </c>
      <c r="D1509" t="s">
        <v>222</v>
      </c>
      <c r="E1509" t="s">
        <v>223</v>
      </c>
      <c r="F1509" t="s">
        <v>56</v>
      </c>
      <c r="G1509" t="s">
        <v>74</v>
      </c>
      <c r="H1509" t="s">
        <v>75</v>
      </c>
      <c r="I1509" t="s">
        <v>1429</v>
      </c>
      <c r="J1509" s="2">
        <v>389.97</v>
      </c>
      <c r="K1509">
        <v>3</v>
      </c>
      <c r="L1509" s="4"/>
    </row>
    <row r="1510" spans="1:12" x14ac:dyDescent="0.3">
      <c r="A1510" s="1">
        <v>42167</v>
      </c>
      <c r="B1510" s="1">
        <v>42172</v>
      </c>
      <c r="C1510" t="s">
        <v>7</v>
      </c>
      <c r="D1510" t="s">
        <v>2063</v>
      </c>
      <c r="E1510" t="s">
        <v>2064</v>
      </c>
      <c r="F1510" t="s">
        <v>3</v>
      </c>
      <c r="G1510" t="s">
        <v>12</v>
      </c>
      <c r="H1510" t="s">
        <v>44</v>
      </c>
      <c r="I1510" t="s">
        <v>1037</v>
      </c>
      <c r="J1510" s="2">
        <v>902.71199999999999</v>
      </c>
      <c r="K1510">
        <v>3</v>
      </c>
      <c r="L1510" s="4"/>
    </row>
    <row r="1511" spans="1:12" x14ac:dyDescent="0.3">
      <c r="A1511" s="1">
        <v>42168</v>
      </c>
      <c r="B1511" s="1">
        <v>42172</v>
      </c>
      <c r="C1511" t="s">
        <v>0</v>
      </c>
      <c r="D1511" t="s">
        <v>2065</v>
      </c>
      <c r="E1511" t="s">
        <v>2066</v>
      </c>
      <c r="F1511" t="s">
        <v>3</v>
      </c>
      <c r="G1511" t="s">
        <v>4</v>
      </c>
      <c r="H1511" t="s">
        <v>168</v>
      </c>
      <c r="I1511" t="s">
        <v>1210</v>
      </c>
      <c r="J1511" s="2">
        <v>14.62</v>
      </c>
      <c r="K1511">
        <v>2</v>
      </c>
      <c r="L1511" s="4"/>
    </row>
    <row r="1512" spans="1:12" x14ac:dyDescent="0.3">
      <c r="A1512" s="1">
        <v>42168</v>
      </c>
      <c r="B1512" s="1">
        <v>42172</v>
      </c>
      <c r="C1512" t="s">
        <v>7</v>
      </c>
      <c r="D1512" t="s">
        <v>2067</v>
      </c>
      <c r="E1512" t="s">
        <v>2068</v>
      </c>
      <c r="F1512" t="s">
        <v>3</v>
      </c>
      <c r="G1512" t="s">
        <v>4</v>
      </c>
      <c r="H1512" t="s">
        <v>5</v>
      </c>
      <c r="I1512" t="s">
        <v>2069</v>
      </c>
      <c r="J1512" s="2">
        <v>185.88</v>
      </c>
      <c r="K1512">
        <v>6</v>
      </c>
      <c r="L1512" s="4"/>
    </row>
    <row r="1513" spans="1:12" x14ac:dyDescent="0.3">
      <c r="A1513" s="1">
        <v>42168</v>
      </c>
      <c r="B1513" s="1">
        <v>42172</v>
      </c>
      <c r="C1513" t="s">
        <v>7</v>
      </c>
      <c r="D1513" t="s">
        <v>2067</v>
      </c>
      <c r="E1513" t="s">
        <v>2068</v>
      </c>
      <c r="F1513" t="s">
        <v>3</v>
      </c>
      <c r="G1513" t="s">
        <v>4</v>
      </c>
      <c r="H1513" t="s">
        <v>5</v>
      </c>
      <c r="I1513" t="s">
        <v>1436</v>
      </c>
      <c r="J1513" s="2">
        <v>12.96</v>
      </c>
      <c r="K1513">
        <v>2</v>
      </c>
      <c r="L1513" s="4"/>
    </row>
    <row r="1514" spans="1:12" x14ac:dyDescent="0.3">
      <c r="A1514" s="1">
        <v>42170</v>
      </c>
      <c r="B1514" s="1">
        <v>42173</v>
      </c>
      <c r="C1514" t="s">
        <v>22</v>
      </c>
      <c r="D1514" t="s">
        <v>2070</v>
      </c>
      <c r="E1514" t="s">
        <v>2071</v>
      </c>
      <c r="F1514" t="s">
        <v>3</v>
      </c>
      <c r="G1514" t="s">
        <v>4</v>
      </c>
      <c r="H1514" t="s">
        <v>15</v>
      </c>
      <c r="I1514" t="s">
        <v>1796</v>
      </c>
      <c r="J1514" s="2">
        <v>7.04</v>
      </c>
      <c r="K1514">
        <v>4</v>
      </c>
      <c r="L1514" s="4"/>
    </row>
    <row r="1515" spans="1:12" x14ac:dyDescent="0.3">
      <c r="A1515" s="1">
        <v>42170</v>
      </c>
      <c r="B1515" s="1">
        <v>42173</v>
      </c>
      <c r="C1515" t="s">
        <v>22</v>
      </c>
      <c r="D1515" t="s">
        <v>2070</v>
      </c>
      <c r="E1515" t="s">
        <v>2071</v>
      </c>
      <c r="F1515" t="s">
        <v>3</v>
      </c>
      <c r="G1515" t="s">
        <v>12</v>
      </c>
      <c r="H1515" t="s">
        <v>35</v>
      </c>
      <c r="I1515" t="s">
        <v>2072</v>
      </c>
      <c r="J1515" s="2">
        <v>8.73</v>
      </c>
      <c r="K1515">
        <v>3</v>
      </c>
      <c r="L1515" s="4"/>
    </row>
    <row r="1516" spans="1:12" x14ac:dyDescent="0.3">
      <c r="A1516" s="1">
        <v>42170</v>
      </c>
      <c r="B1516" s="1">
        <v>42173</v>
      </c>
      <c r="C1516" t="s">
        <v>22</v>
      </c>
      <c r="D1516" t="s">
        <v>2070</v>
      </c>
      <c r="E1516" t="s">
        <v>2071</v>
      </c>
      <c r="F1516" t="s">
        <v>3</v>
      </c>
      <c r="G1516" t="s">
        <v>74</v>
      </c>
      <c r="H1516" t="s">
        <v>75</v>
      </c>
      <c r="I1516" t="s">
        <v>1940</v>
      </c>
      <c r="J1516" s="2">
        <v>29.29</v>
      </c>
      <c r="K1516">
        <v>1</v>
      </c>
      <c r="L1516" s="4"/>
    </row>
    <row r="1517" spans="1:12" x14ac:dyDescent="0.3">
      <c r="A1517" s="1">
        <v>42170</v>
      </c>
      <c r="B1517" s="1">
        <v>42173</v>
      </c>
      <c r="C1517" t="s">
        <v>22</v>
      </c>
      <c r="D1517" t="s">
        <v>2070</v>
      </c>
      <c r="E1517" t="s">
        <v>2071</v>
      </c>
      <c r="F1517" t="s">
        <v>3</v>
      </c>
      <c r="G1517" t="s">
        <v>4</v>
      </c>
      <c r="H1517" t="s">
        <v>15</v>
      </c>
      <c r="I1517" t="s">
        <v>1470</v>
      </c>
      <c r="J1517" s="2">
        <v>8.64</v>
      </c>
      <c r="K1517">
        <v>3</v>
      </c>
      <c r="L1517" s="4"/>
    </row>
    <row r="1518" spans="1:12" x14ac:dyDescent="0.3">
      <c r="A1518" s="1">
        <v>42170</v>
      </c>
      <c r="B1518" s="1">
        <v>42170</v>
      </c>
      <c r="C1518" t="s">
        <v>240</v>
      </c>
      <c r="D1518" t="s">
        <v>270</v>
      </c>
      <c r="E1518" t="s">
        <v>271</v>
      </c>
      <c r="F1518" t="s">
        <v>3</v>
      </c>
      <c r="G1518" t="s">
        <v>12</v>
      </c>
      <c r="H1518" t="s">
        <v>13</v>
      </c>
      <c r="I1518" t="s">
        <v>134</v>
      </c>
      <c r="J1518" s="2">
        <v>599.16499999999996</v>
      </c>
      <c r="K1518">
        <v>5</v>
      </c>
      <c r="L1518" s="4"/>
    </row>
    <row r="1519" spans="1:12" x14ac:dyDescent="0.3">
      <c r="A1519" s="1">
        <v>42170</v>
      </c>
      <c r="B1519" s="1">
        <v>42170</v>
      </c>
      <c r="C1519" t="s">
        <v>240</v>
      </c>
      <c r="D1519" t="s">
        <v>411</v>
      </c>
      <c r="E1519" t="s">
        <v>412</v>
      </c>
      <c r="F1519" t="s">
        <v>3</v>
      </c>
      <c r="G1519" t="s">
        <v>12</v>
      </c>
      <c r="H1519" t="s">
        <v>44</v>
      </c>
      <c r="I1519" t="s">
        <v>2073</v>
      </c>
      <c r="J1519" s="2">
        <v>1293.4879999999998</v>
      </c>
      <c r="K1519">
        <v>7</v>
      </c>
      <c r="L1519" s="4"/>
    </row>
    <row r="1520" spans="1:12" x14ac:dyDescent="0.3">
      <c r="A1520" s="1">
        <v>42170</v>
      </c>
      <c r="B1520" s="1">
        <v>42174</v>
      </c>
      <c r="C1520" t="s">
        <v>7</v>
      </c>
      <c r="D1520" t="s">
        <v>401</v>
      </c>
      <c r="E1520" t="s">
        <v>402</v>
      </c>
      <c r="F1520" t="s">
        <v>56</v>
      </c>
      <c r="G1520" t="s">
        <v>12</v>
      </c>
      <c r="H1520" t="s">
        <v>44</v>
      </c>
      <c r="I1520" t="s">
        <v>1036</v>
      </c>
      <c r="J1520" s="2">
        <v>1115.17</v>
      </c>
      <c r="K1520">
        <v>7</v>
      </c>
      <c r="L1520" s="4"/>
    </row>
    <row r="1521" spans="1:12" x14ac:dyDescent="0.3">
      <c r="A1521" s="1">
        <v>42172</v>
      </c>
      <c r="B1521" s="1">
        <v>42174</v>
      </c>
      <c r="C1521" t="s">
        <v>0</v>
      </c>
      <c r="D1521" t="s">
        <v>1967</v>
      </c>
      <c r="E1521" t="s">
        <v>1968</v>
      </c>
      <c r="F1521" t="s">
        <v>3</v>
      </c>
      <c r="G1521" t="s">
        <v>4</v>
      </c>
      <c r="H1521" t="s">
        <v>5</v>
      </c>
      <c r="I1521" t="s">
        <v>1549</v>
      </c>
      <c r="J1521" s="2">
        <v>46.349999999999994</v>
      </c>
      <c r="K1521">
        <v>5</v>
      </c>
      <c r="L1521" s="4"/>
    </row>
    <row r="1522" spans="1:12" x14ac:dyDescent="0.3">
      <c r="A1522" s="1">
        <v>42173</v>
      </c>
      <c r="B1522" s="1">
        <v>42178</v>
      </c>
      <c r="C1522" t="s">
        <v>7</v>
      </c>
      <c r="D1522" t="s">
        <v>785</v>
      </c>
      <c r="E1522" t="s">
        <v>786</v>
      </c>
      <c r="F1522" t="s">
        <v>3</v>
      </c>
      <c r="G1522" t="s">
        <v>4</v>
      </c>
      <c r="H1522" t="s">
        <v>5</v>
      </c>
      <c r="I1522" t="s">
        <v>516</v>
      </c>
      <c r="J1522" s="2">
        <v>111.96</v>
      </c>
      <c r="K1522">
        <v>2</v>
      </c>
      <c r="L1522" s="4"/>
    </row>
    <row r="1523" spans="1:12" x14ac:dyDescent="0.3">
      <c r="A1523" s="1">
        <v>42173</v>
      </c>
      <c r="B1523" s="1">
        <v>42175</v>
      </c>
      <c r="C1523" t="s">
        <v>22</v>
      </c>
      <c r="D1523" t="s">
        <v>1413</v>
      </c>
      <c r="E1523" t="s">
        <v>1414</v>
      </c>
      <c r="F1523" t="s">
        <v>3</v>
      </c>
      <c r="G1523" t="s">
        <v>12</v>
      </c>
      <c r="H1523" t="s">
        <v>13</v>
      </c>
      <c r="I1523" t="s">
        <v>134</v>
      </c>
      <c r="J1523" s="2">
        <v>239.66599999999997</v>
      </c>
      <c r="K1523">
        <v>2</v>
      </c>
      <c r="L1523" s="4"/>
    </row>
    <row r="1524" spans="1:12" x14ac:dyDescent="0.3">
      <c r="A1524" s="1">
        <v>42173</v>
      </c>
      <c r="B1524" s="1">
        <v>42175</v>
      </c>
      <c r="C1524" t="s">
        <v>22</v>
      </c>
      <c r="D1524" t="s">
        <v>1413</v>
      </c>
      <c r="E1524" t="s">
        <v>1414</v>
      </c>
      <c r="F1524" t="s">
        <v>3</v>
      </c>
      <c r="G1524" t="s">
        <v>4</v>
      </c>
      <c r="H1524" t="s">
        <v>168</v>
      </c>
      <c r="I1524" t="s">
        <v>2074</v>
      </c>
      <c r="J1524" s="2">
        <v>22.5</v>
      </c>
      <c r="K1524">
        <v>6</v>
      </c>
      <c r="L1524" s="4"/>
    </row>
    <row r="1525" spans="1:12" x14ac:dyDescent="0.3">
      <c r="A1525" s="1">
        <v>42173</v>
      </c>
      <c r="B1525" s="1">
        <v>42175</v>
      </c>
      <c r="C1525" t="s">
        <v>22</v>
      </c>
      <c r="D1525" t="s">
        <v>1413</v>
      </c>
      <c r="E1525" t="s">
        <v>1414</v>
      </c>
      <c r="F1525" t="s">
        <v>3</v>
      </c>
      <c r="G1525" t="s">
        <v>4</v>
      </c>
      <c r="H1525" t="s">
        <v>5</v>
      </c>
      <c r="I1525" t="s">
        <v>1649</v>
      </c>
      <c r="J1525" s="2">
        <v>219.84</v>
      </c>
      <c r="K1525">
        <v>4</v>
      </c>
      <c r="L1525" s="4"/>
    </row>
    <row r="1526" spans="1:12" x14ac:dyDescent="0.3">
      <c r="A1526" s="1">
        <v>42173</v>
      </c>
      <c r="B1526" s="1">
        <v>42175</v>
      </c>
      <c r="C1526" t="s">
        <v>22</v>
      </c>
      <c r="D1526" t="s">
        <v>331</v>
      </c>
      <c r="E1526" t="s">
        <v>332</v>
      </c>
      <c r="F1526" t="s">
        <v>115</v>
      </c>
      <c r="G1526" t="s">
        <v>12</v>
      </c>
      <c r="H1526" t="s">
        <v>35</v>
      </c>
      <c r="I1526" t="s">
        <v>1315</v>
      </c>
      <c r="J1526" s="2">
        <v>266.35200000000003</v>
      </c>
      <c r="K1526">
        <v>3</v>
      </c>
      <c r="L1526" s="4"/>
    </row>
    <row r="1527" spans="1:12" x14ac:dyDescent="0.3">
      <c r="A1527" s="1">
        <v>42173</v>
      </c>
      <c r="B1527" s="1">
        <v>42175</v>
      </c>
      <c r="C1527" t="s">
        <v>22</v>
      </c>
      <c r="D1527" t="s">
        <v>331</v>
      </c>
      <c r="E1527" t="s">
        <v>332</v>
      </c>
      <c r="F1527" t="s">
        <v>115</v>
      </c>
      <c r="G1527" t="s">
        <v>12</v>
      </c>
      <c r="H1527" t="s">
        <v>70</v>
      </c>
      <c r="I1527" t="s">
        <v>2075</v>
      </c>
      <c r="J1527" s="2">
        <v>483.13599999999997</v>
      </c>
      <c r="K1527">
        <v>4</v>
      </c>
      <c r="L1527" s="4"/>
    </row>
    <row r="1528" spans="1:12" x14ac:dyDescent="0.3">
      <c r="A1528" s="1">
        <v>42175</v>
      </c>
      <c r="B1528" s="1">
        <v>42176</v>
      </c>
      <c r="C1528" t="s">
        <v>22</v>
      </c>
      <c r="D1528" t="s">
        <v>2076</v>
      </c>
      <c r="E1528" t="s">
        <v>2077</v>
      </c>
      <c r="F1528" t="s">
        <v>3</v>
      </c>
      <c r="G1528" t="s">
        <v>4</v>
      </c>
      <c r="H1528" t="s">
        <v>5</v>
      </c>
      <c r="I1528" t="s">
        <v>62</v>
      </c>
      <c r="J1528" s="2">
        <v>17.12</v>
      </c>
      <c r="K1528">
        <v>2</v>
      </c>
      <c r="L1528" s="4"/>
    </row>
    <row r="1529" spans="1:12" x14ac:dyDescent="0.3">
      <c r="A1529" s="1">
        <v>42176</v>
      </c>
      <c r="B1529" s="1">
        <v>42181</v>
      </c>
      <c r="C1529" t="s">
        <v>0</v>
      </c>
      <c r="D1529" t="s">
        <v>2078</v>
      </c>
      <c r="E1529" t="s">
        <v>2079</v>
      </c>
      <c r="F1529" t="s">
        <v>3</v>
      </c>
      <c r="G1529" t="s">
        <v>4</v>
      </c>
      <c r="H1529" t="s">
        <v>15</v>
      </c>
      <c r="I1529" t="s">
        <v>366</v>
      </c>
      <c r="J1529" s="2">
        <v>5.16</v>
      </c>
      <c r="K1529">
        <v>2</v>
      </c>
      <c r="L1529" s="4"/>
    </row>
    <row r="1530" spans="1:12" x14ac:dyDescent="0.3">
      <c r="A1530" s="1">
        <v>42176</v>
      </c>
      <c r="B1530" s="1">
        <v>42181</v>
      </c>
      <c r="C1530" t="s">
        <v>0</v>
      </c>
      <c r="D1530" t="s">
        <v>2078</v>
      </c>
      <c r="E1530" t="s">
        <v>2079</v>
      </c>
      <c r="F1530" t="s">
        <v>3</v>
      </c>
      <c r="G1530" t="s">
        <v>4</v>
      </c>
      <c r="H1530" t="s">
        <v>5</v>
      </c>
      <c r="I1530" t="s">
        <v>2080</v>
      </c>
      <c r="J1530" s="2">
        <v>38.880000000000003</v>
      </c>
      <c r="K1530">
        <v>6</v>
      </c>
      <c r="L1530" s="4"/>
    </row>
    <row r="1531" spans="1:12" x14ac:dyDescent="0.3">
      <c r="A1531" s="1">
        <v>42176</v>
      </c>
      <c r="B1531" s="1">
        <v>42177</v>
      </c>
      <c r="C1531" t="s">
        <v>22</v>
      </c>
      <c r="D1531" t="s">
        <v>2081</v>
      </c>
      <c r="E1531" t="s">
        <v>2082</v>
      </c>
      <c r="F1531" t="s">
        <v>3</v>
      </c>
      <c r="G1531" t="s">
        <v>4</v>
      </c>
      <c r="H1531" t="s">
        <v>5</v>
      </c>
      <c r="I1531" t="s">
        <v>1653</v>
      </c>
      <c r="J1531" s="2">
        <v>46.76</v>
      </c>
      <c r="K1531">
        <v>7</v>
      </c>
      <c r="L1531" s="4"/>
    </row>
    <row r="1532" spans="1:12" x14ac:dyDescent="0.3">
      <c r="A1532" s="1">
        <v>42176</v>
      </c>
      <c r="B1532" s="1">
        <v>42177</v>
      </c>
      <c r="C1532" t="s">
        <v>22</v>
      </c>
      <c r="D1532" t="s">
        <v>2081</v>
      </c>
      <c r="E1532" t="s">
        <v>2082</v>
      </c>
      <c r="F1532" t="s">
        <v>3</v>
      </c>
      <c r="G1532" t="s">
        <v>4</v>
      </c>
      <c r="H1532" t="s">
        <v>26</v>
      </c>
      <c r="I1532" t="s">
        <v>2083</v>
      </c>
      <c r="J1532" s="2">
        <v>17.712</v>
      </c>
      <c r="K1532">
        <v>3</v>
      </c>
      <c r="L1532" s="4"/>
    </row>
    <row r="1533" spans="1:12" x14ac:dyDescent="0.3">
      <c r="A1533" s="1">
        <v>42176</v>
      </c>
      <c r="B1533" s="1">
        <v>42177</v>
      </c>
      <c r="C1533" t="s">
        <v>22</v>
      </c>
      <c r="D1533" t="s">
        <v>2081</v>
      </c>
      <c r="E1533" t="s">
        <v>2082</v>
      </c>
      <c r="F1533" t="s">
        <v>3</v>
      </c>
      <c r="G1533" t="s">
        <v>4</v>
      </c>
      <c r="H1533" t="s">
        <v>20</v>
      </c>
      <c r="I1533" t="s">
        <v>1302</v>
      </c>
      <c r="J1533" s="2">
        <v>21.78</v>
      </c>
      <c r="K1533">
        <v>2</v>
      </c>
      <c r="L1533" s="4"/>
    </row>
    <row r="1534" spans="1:12" x14ac:dyDescent="0.3">
      <c r="A1534" s="1">
        <v>42176</v>
      </c>
      <c r="B1534" s="1">
        <v>42177</v>
      </c>
      <c r="C1534" t="s">
        <v>22</v>
      </c>
      <c r="D1534" t="s">
        <v>2081</v>
      </c>
      <c r="E1534" t="s">
        <v>2082</v>
      </c>
      <c r="F1534" t="s">
        <v>3</v>
      </c>
      <c r="G1534" t="s">
        <v>4</v>
      </c>
      <c r="H1534" t="s">
        <v>10</v>
      </c>
      <c r="I1534" t="s">
        <v>2084</v>
      </c>
      <c r="J1534" s="2">
        <v>161.94</v>
      </c>
      <c r="K1534">
        <v>3</v>
      </c>
      <c r="L1534" s="4"/>
    </row>
    <row r="1535" spans="1:12" x14ac:dyDescent="0.3">
      <c r="A1535" s="1">
        <v>42176</v>
      </c>
      <c r="B1535" s="1">
        <v>42177</v>
      </c>
      <c r="C1535" t="s">
        <v>22</v>
      </c>
      <c r="D1535" t="s">
        <v>2081</v>
      </c>
      <c r="E1535" t="s">
        <v>2082</v>
      </c>
      <c r="F1535" t="s">
        <v>3</v>
      </c>
      <c r="G1535" t="s">
        <v>12</v>
      </c>
      <c r="H1535" t="s">
        <v>70</v>
      </c>
      <c r="I1535" t="s">
        <v>2085</v>
      </c>
      <c r="J1535" s="2">
        <v>161.56800000000001</v>
      </c>
      <c r="K1535">
        <v>2</v>
      </c>
      <c r="L1535" s="4"/>
    </row>
    <row r="1536" spans="1:12" x14ac:dyDescent="0.3">
      <c r="A1536" s="1">
        <v>42179</v>
      </c>
      <c r="B1536" s="1">
        <v>42181</v>
      </c>
      <c r="C1536" t="s">
        <v>0</v>
      </c>
      <c r="D1536" t="s">
        <v>881</v>
      </c>
      <c r="E1536" t="s">
        <v>882</v>
      </c>
      <c r="F1536" t="s">
        <v>3</v>
      </c>
      <c r="G1536" t="s">
        <v>4</v>
      </c>
      <c r="H1536" t="s">
        <v>10</v>
      </c>
      <c r="I1536" t="s">
        <v>1467</v>
      </c>
      <c r="J1536" s="2">
        <v>93.68</v>
      </c>
      <c r="K1536">
        <v>4</v>
      </c>
      <c r="L1536" s="4"/>
    </row>
    <row r="1537" spans="1:12" x14ac:dyDescent="0.3">
      <c r="A1537" s="1">
        <v>42179</v>
      </c>
      <c r="B1537" s="1">
        <v>42181</v>
      </c>
      <c r="C1537" t="s">
        <v>0</v>
      </c>
      <c r="D1537" t="s">
        <v>881</v>
      </c>
      <c r="E1537" t="s">
        <v>882</v>
      </c>
      <c r="F1537" t="s">
        <v>3</v>
      </c>
      <c r="G1537" t="s">
        <v>4</v>
      </c>
      <c r="H1537" t="s">
        <v>168</v>
      </c>
      <c r="I1537" t="s">
        <v>614</v>
      </c>
      <c r="J1537" s="2">
        <v>21.93</v>
      </c>
      <c r="K1537">
        <v>3</v>
      </c>
      <c r="L1537" s="4"/>
    </row>
    <row r="1538" spans="1:12" x14ac:dyDescent="0.3">
      <c r="A1538" s="1">
        <v>42179</v>
      </c>
      <c r="B1538" s="1">
        <v>42181</v>
      </c>
      <c r="C1538" t="s">
        <v>0</v>
      </c>
      <c r="D1538" t="s">
        <v>881</v>
      </c>
      <c r="E1538" t="s">
        <v>882</v>
      </c>
      <c r="F1538" t="s">
        <v>3</v>
      </c>
      <c r="G1538" t="s">
        <v>74</v>
      </c>
      <c r="H1538" t="s">
        <v>147</v>
      </c>
      <c r="I1538" t="s">
        <v>685</v>
      </c>
      <c r="J1538" s="2">
        <v>862.34400000000005</v>
      </c>
      <c r="K1538">
        <v>7</v>
      </c>
      <c r="L1538" s="4"/>
    </row>
    <row r="1539" spans="1:12" x14ac:dyDescent="0.3">
      <c r="A1539" s="1">
        <v>42179</v>
      </c>
      <c r="B1539" s="1">
        <v>42181</v>
      </c>
      <c r="C1539" t="s">
        <v>0</v>
      </c>
      <c r="D1539" t="s">
        <v>881</v>
      </c>
      <c r="E1539" t="s">
        <v>882</v>
      </c>
      <c r="F1539" t="s">
        <v>3</v>
      </c>
      <c r="G1539" t="s">
        <v>4</v>
      </c>
      <c r="H1539" t="s">
        <v>5</v>
      </c>
      <c r="I1539" t="s">
        <v>2086</v>
      </c>
      <c r="J1539" s="2">
        <v>19.98</v>
      </c>
      <c r="K1539">
        <v>1</v>
      </c>
      <c r="L1539" s="4"/>
    </row>
    <row r="1540" spans="1:12" x14ac:dyDescent="0.3">
      <c r="A1540" s="1">
        <v>42180</v>
      </c>
      <c r="B1540" s="1">
        <v>42185</v>
      </c>
      <c r="C1540" t="s">
        <v>7</v>
      </c>
      <c r="D1540" t="s">
        <v>1967</v>
      </c>
      <c r="E1540" t="s">
        <v>1968</v>
      </c>
      <c r="F1540" t="s">
        <v>3</v>
      </c>
      <c r="G1540" t="s">
        <v>74</v>
      </c>
      <c r="H1540" t="s">
        <v>147</v>
      </c>
      <c r="I1540" t="s">
        <v>2087</v>
      </c>
      <c r="J1540" s="2">
        <v>38.24</v>
      </c>
      <c r="K1540">
        <v>4</v>
      </c>
      <c r="L1540" s="4"/>
    </row>
    <row r="1541" spans="1:12" x14ac:dyDescent="0.3">
      <c r="A1541" s="1">
        <v>42180</v>
      </c>
      <c r="B1541" s="1">
        <v>42182</v>
      </c>
      <c r="C1541" t="s">
        <v>0</v>
      </c>
      <c r="D1541" t="s">
        <v>2088</v>
      </c>
      <c r="E1541" t="s">
        <v>2089</v>
      </c>
      <c r="F1541" t="s">
        <v>3</v>
      </c>
      <c r="G1541" t="s">
        <v>74</v>
      </c>
      <c r="H1541" t="s">
        <v>138</v>
      </c>
      <c r="I1541" t="s">
        <v>1921</v>
      </c>
      <c r="J1541" s="2">
        <v>4476.8</v>
      </c>
      <c r="K1541">
        <v>4</v>
      </c>
      <c r="L1541" s="4"/>
    </row>
    <row r="1542" spans="1:12" x14ac:dyDescent="0.3">
      <c r="A1542" s="1">
        <v>42180</v>
      </c>
      <c r="B1542" s="1">
        <v>42182</v>
      </c>
      <c r="C1542" t="s">
        <v>0</v>
      </c>
      <c r="D1542" t="s">
        <v>2088</v>
      </c>
      <c r="E1542" t="s">
        <v>2089</v>
      </c>
      <c r="F1542" t="s">
        <v>3</v>
      </c>
      <c r="G1542" t="s">
        <v>4</v>
      </c>
      <c r="H1542" t="s">
        <v>5</v>
      </c>
      <c r="I1542" t="s">
        <v>447</v>
      </c>
      <c r="J1542" s="2">
        <v>104.85</v>
      </c>
      <c r="K1542">
        <v>1</v>
      </c>
      <c r="L1542" s="4"/>
    </row>
    <row r="1543" spans="1:12" x14ac:dyDescent="0.3">
      <c r="A1543" s="1">
        <v>42180</v>
      </c>
      <c r="B1543" s="1">
        <v>42182</v>
      </c>
      <c r="C1543" t="s">
        <v>0</v>
      </c>
      <c r="D1543" t="s">
        <v>2088</v>
      </c>
      <c r="E1543" t="s">
        <v>2089</v>
      </c>
      <c r="F1543" t="s">
        <v>3</v>
      </c>
      <c r="G1543" t="s">
        <v>4</v>
      </c>
      <c r="H1543" t="s">
        <v>20</v>
      </c>
      <c r="I1543" t="s">
        <v>918</v>
      </c>
      <c r="J1543" s="2">
        <v>241.44</v>
      </c>
      <c r="K1543">
        <v>3</v>
      </c>
      <c r="L1543" s="4"/>
    </row>
    <row r="1544" spans="1:12" x14ac:dyDescent="0.3">
      <c r="A1544" s="1">
        <v>42181</v>
      </c>
      <c r="B1544" s="1">
        <v>42185</v>
      </c>
      <c r="C1544" t="s">
        <v>7</v>
      </c>
      <c r="D1544" t="s">
        <v>771</v>
      </c>
      <c r="E1544" t="s">
        <v>772</v>
      </c>
      <c r="F1544" t="s">
        <v>3</v>
      </c>
      <c r="G1544" t="s">
        <v>4</v>
      </c>
      <c r="H1544" t="s">
        <v>20</v>
      </c>
      <c r="I1544" t="s">
        <v>21</v>
      </c>
      <c r="J1544" s="2">
        <v>60.81</v>
      </c>
      <c r="K1544">
        <v>3</v>
      </c>
      <c r="L1544" s="4"/>
    </row>
    <row r="1545" spans="1:12" x14ac:dyDescent="0.3">
      <c r="A1545" s="1">
        <v>42182</v>
      </c>
      <c r="B1545" s="1">
        <v>42189</v>
      </c>
      <c r="C1545" t="s">
        <v>7</v>
      </c>
      <c r="D1545" t="s">
        <v>773</v>
      </c>
      <c r="E1545" t="s">
        <v>774</v>
      </c>
      <c r="F1545" t="s">
        <v>3</v>
      </c>
      <c r="G1545" t="s">
        <v>12</v>
      </c>
      <c r="H1545" t="s">
        <v>35</v>
      </c>
      <c r="I1545" t="s">
        <v>1719</v>
      </c>
      <c r="J1545" s="2">
        <v>22.14</v>
      </c>
      <c r="K1545">
        <v>3</v>
      </c>
      <c r="L1545" s="4"/>
    </row>
    <row r="1546" spans="1:12" x14ac:dyDescent="0.3">
      <c r="A1546" s="1">
        <v>42182</v>
      </c>
      <c r="B1546" s="1">
        <v>42182</v>
      </c>
      <c r="C1546" t="s">
        <v>240</v>
      </c>
      <c r="D1546" t="s">
        <v>908</v>
      </c>
      <c r="E1546" t="s">
        <v>909</v>
      </c>
      <c r="F1546" t="s">
        <v>3</v>
      </c>
      <c r="G1546" t="s">
        <v>4</v>
      </c>
      <c r="H1546" t="s">
        <v>78</v>
      </c>
      <c r="I1546" t="s">
        <v>1980</v>
      </c>
      <c r="J1546" s="2">
        <v>231.72</v>
      </c>
      <c r="K1546">
        <v>2</v>
      </c>
      <c r="L1546" s="4"/>
    </row>
    <row r="1547" spans="1:12" x14ac:dyDescent="0.3">
      <c r="A1547" s="1">
        <v>42182</v>
      </c>
      <c r="B1547" s="1">
        <v>42182</v>
      </c>
      <c r="C1547" t="s">
        <v>240</v>
      </c>
      <c r="D1547" t="s">
        <v>908</v>
      </c>
      <c r="E1547" t="s">
        <v>909</v>
      </c>
      <c r="F1547" t="s">
        <v>3</v>
      </c>
      <c r="G1547" t="s">
        <v>4</v>
      </c>
      <c r="H1547" t="s">
        <v>52</v>
      </c>
      <c r="I1547" t="s">
        <v>375</v>
      </c>
      <c r="J1547" s="2">
        <v>17.899999999999999</v>
      </c>
      <c r="K1547">
        <v>5</v>
      </c>
      <c r="L1547" s="4"/>
    </row>
    <row r="1548" spans="1:12" x14ac:dyDescent="0.3">
      <c r="A1548" s="1">
        <v>42182</v>
      </c>
      <c r="B1548" s="1">
        <v>42182</v>
      </c>
      <c r="C1548" t="s">
        <v>240</v>
      </c>
      <c r="D1548" t="s">
        <v>908</v>
      </c>
      <c r="E1548" t="s">
        <v>909</v>
      </c>
      <c r="F1548" t="s">
        <v>3</v>
      </c>
      <c r="G1548" t="s">
        <v>4</v>
      </c>
      <c r="H1548" t="s">
        <v>5</v>
      </c>
      <c r="I1548" t="s">
        <v>2090</v>
      </c>
      <c r="J1548" s="2">
        <v>12.48</v>
      </c>
      <c r="K1548">
        <v>2</v>
      </c>
      <c r="L1548" s="4"/>
    </row>
    <row r="1549" spans="1:12" x14ac:dyDescent="0.3">
      <c r="A1549" s="1">
        <v>42183</v>
      </c>
      <c r="B1549" s="1">
        <v>42185</v>
      </c>
      <c r="C1549" t="s">
        <v>0</v>
      </c>
      <c r="D1549" t="s">
        <v>1934</v>
      </c>
      <c r="E1549" t="s">
        <v>1935</v>
      </c>
      <c r="F1549" t="s">
        <v>3</v>
      </c>
      <c r="G1549" t="s">
        <v>74</v>
      </c>
      <c r="H1549" t="s">
        <v>147</v>
      </c>
      <c r="I1549" t="s">
        <v>148</v>
      </c>
      <c r="J1549" s="2">
        <v>201.584</v>
      </c>
      <c r="K1549">
        <v>2</v>
      </c>
      <c r="L1549" s="4"/>
    </row>
    <row r="1550" spans="1:12" x14ac:dyDescent="0.3">
      <c r="A1550" s="1">
        <v>42184</v>
      </c>
      <c r="B1550" s="1">
        <v>42184</v>
      </c>
      <c r="C1550" t="s">
        <v>240</v>
      </c>
      <c r="D1550" t="s">
        <v>1723</v>
      </c>
      <c r="E1550" t="s">
        <v>1724</v>
      </c>
      <c r="F1550" t="s">
        <v>3</v>
      </c>
      <c r="G1550" t="s">
        <v>4</v>
      </c>
      <c r="H1550" t="s">
        <v>26</v>
      </c>
      <c r="I1550" t="s">
        <v>236</v>
      </c>
      <c r="J1550" s="2">
        <v>7.7520000000000007</v>
      </c>
      <c r="K1550">
        <v>3</v>
      </c>
      <c r="L1550" s="4"/>
    </row>
    <row r="1551" spans="1:12" x14ac:dyDescent="0.3">
      <c r="A1551" s="1">
        <v>42184</v>
      </c>
      <c r="B1551" s="1">
        <v>42184</v>
      </c>
      <c r="C1551" t="s">
        <v>240</v>
      </c>
      <c r="D1551" t="s">
        <v>1723</v>
      </c>
      <c r="E1551" t="s">
        <v>1724</v>
      </c>
      <c r="F1551" t="s">
        <v>3</v>
      </c>
      <c r="G1551" t="s">
        <v>4</v>
      </c>
      <c r="H1551" t="s">
        <v>26</v>
      </c>
      <c r="I1551" t="s">
        <v>1299</v>
      </c>
      <c r="J1551" s="2">
        <v>33.568000000000005</v>
      </c>
      <c r="K1551">
        <v>2</v>
      </c>
      <c r="L1551" s="4"/>
    </row>
    <row r="1552" spans="1:12" x14ac:dyDescent="0.3">
      <c r="A1552" s="1">
        <v>42187</v>
      </c>
      <c r="B1552" s="1">
        <v>42189</v>
      </c>
      <c r="C1552" t="s">
        <v>22</v>
      </c>
      <c r="D1552" t="s">
        <v>442</v>
      </c>
      <c r="E1552" t="s">
        <v>443</v>
      </c>
      <c r="F1552" t="s">
        <v>126</v>
      </c>
      <c r="G1552" t="s">
        <v>74</v>
      </c>
      <c r="H1552" t="s">
        <v>534</v>
      </c>
      <c r="I1552" t="s">
        <v>2091</v>
      </c>
      <c r="J1552" s="2">
        <v>1499.95</v>
      </c>
      <c r="K1552">
        <v>5</v>
      </c>
      <c r="L1552" s="4"/>
    </row>
    <row r="1553" spans="1:12" x14ac:dyDescent="0.3">
      <c r="A1553" s="1">
        <v>42187</v>
      </c>
      <c r="B1553" s="1">
        <v>42188</v>
      </c>
      <c r="C1553" t="s">
        <v>22</v>
      </c>
      <c r="D1553" t="s">
        <v>1475</v>
      </c>
      <c r="E1553" t="s">
        <v>1476</v>
      </c>
      <c r="F1553" t="s">
        <v>56</v>
      </c>
      <c r="G1553" t="s">
        <v>4</v>
      </c>
      <c r="H1553" t="s">
        <v>26</v>
      </c>
      <c r="I1553" t="s">
        <v>2092</v>
      </c>
      <c r="J1553" s="2">
        <v>2.4960000000000004</v>
      </c>
      <c r="K1553">
        <v>1</v>
      </c>
      <c r="L1553" s="4"/>
    </row>
    <row r="1554" spans="1:12" x14ac:dyDescent="0.3">
      <c r="A1554" s="1">
        <v>42188</v>
      </c>
      <c r="B1554" s="1">
        <v>42193</v>
      </c>
      <c r="C1554" t="s">
        <v>0</v>
      </c>
      <c r="D1554" t="s">
        <v>1528</v>
      </c>
      <c r="E1554" t="s">
        <v>1529</v>
      </c>
      <c r="F1554" t="s">
        <v>3</v>
      </c>
      <c r="G1554" t="s">
        <v>12</v>
      </c>
      <c r="H1554" t="s">
        <v>70</v>
      </c>
      <c r="I1554" t="s">
        <v>2093</v>
      </c>
      <c r="J1554" s="2">
        <v>195.184</v>
      </c>
      <c r="K1554">
        <v>1</v>
      </c>
      <c r="L1554" s="4"/>
    </row>
    <row r="1555" spans="1:12" x14ac:dyDescent="0.3">
      <c r="A1555" s="1">
        <v>42189</v>
      </c>
      <c r="B1555" s="1">
        <v>42192</v>
      </c>
      <c r="C1555" t="s">
        <v>22</v>
      </c>
      <c r="D1555" t="s">
        <v>1171</v>
      </c>
      <c r="E1555" t="s">
        <v>1172</v>
      </c>
      <c r="F1555" t="s">
        <v>3</v>
      </c>
      <c r="G1555" t="s">
        <v>4</v>
      </c>
      <c r="H1555" t="s">
        <v>5</v>
      </c>
      <c r="I1555" t="s">
        <v>2094</v>
      </c>
      <c r="J1555" s="2">
        <v>12.96</v>
      </c>
      <c r="K1555">
        <v>2</v>
      </c>
      <c r="L1555" s="4"/>
    </row>
    <row r="1556" spans="1:12" x14ac:dyDescent="0.3">
      <c r="A1556" s="1">
        <v>42189</v>
      </c>
      <c r="B1556" s="1">
        <v>42192</v>
      </c>
      <c r="C1556" t="s">
        <v>22</v>
      </c>
      <c r="D1556" t="s">
        <v>1171</v>
      </c>
      <c r="E1556" t="s">
        <v>1172</v>
      </c>
      <c r="F1556" t="s">
        <v>3</v>
      </c>
      <c r="G1556" t="s">
        <v>4</v>
      </c>
      <c r="H1556" t="s">
        <v>52</v>
      </c>
      <c r="I1556" t="s">
        <v>2095</v>
      </c>
      <c r="J1556" s="2">
        <v>3.96</v>
      </c>
      <c r="K1556">
        <v>2</v>
      </c>
      <c r="L1556" s="4"/>
    </row>
    <row r="1557" spans="1:12" x14ac:dyDescent="0.3">
      <c r="A1557" s="1">
        <v>42190</v>
      </c>
      <c r="B1557" s="1">
        <v>42192</v>
      </c>
      <c r="C1557" t="s">
        <v>22</v>
      </c>
      <c r="D1557" t="s">
        <v>2096</v>
      </c>
      <c r="E1557" t="s">
        <v>2097</v>
      </c>
      <c r="F1557" t="s">
        <v>3</v>
      </c>
      <c r="G1557" t="s">
        <v>12</v>
      </c>
      <c r="H1557" t="s">
        <v>35</v>
      </c>
      <c r="I1557" t="s">
        <v>2098</v>
      </c>
      <c r="J1557" s="2">
        <v>25.4</v>
      </c>
      <c r="K1557">
        <v>5</v>
      </c>
      <c r="L1557" s="4"/>
    </row>
    <row r="1558" spans="1:12" x14ac:dyDescent="0.3">
      <c r="A1558" s="1">
        <v>42190</v>
      </c>
      <c r="B1558" s="1">
        <v>42192</v>
      </c>
      <c r="C1558" t="s">
        <v>22</v>
      </c>
      <c r="D1558" t="s">
        <v>2096</v>
      </c>
      <c r="E1558" t="s">
        <v>2097</v>
      </c>
      <c r="F1558" t="s">
        <v>3</v>
      </c>
      <c r="G1558" t="s">
        <v>4</v>
      </c>
      <c r="H1558" t="s">
        <v>29</v>
      </c>
      <c r="I1558" t="s">
        <v>2099</v>
      </c>
      <c r="J1558" s="2">
        <v>43.96</v>
      </c>
      <c r="K1558">
        <v>2</v>
      </c>
      <c r="L1558" s="4"/>
    </row>
    <row r="1559" spans="1:12" x14ac:dyDescent="0.3">
      <c r="A1559" s="1">
        <v>42190</v>
      </c>
      <c r="B1559" s="1">
        <v>42192</v>
      </c>
      <c r="C1559" t="s">
        <v>22</v>
      </c>
      <c r="D1559" t="s">
        <v>2096</v>
      </c>
      <c r="E1559" t="s">
        <v>2097</v>
      </c>
      <c r="F1559" t="s">
        <v>3</v>
      </c>
      <c r="G1559" t="s">
        <v>12</v>
      </c>
      <c r="H1559" t="s">
        <v>13</v>
      </c>
      <c r="I1559" t="s">
        <v>2100</v>
      </c>
      <c r="J1559" s="2">
        <v>1279.165</v>
      </c>
      <c r="K1559">
        <v>5</v>
      </c>
      <c r="L1559" s="4"/>
    </row>
    <row r="1560" spans="1:12" x14ac:dyDescent="0.3">
      <c r="A1560" s="1">
        <v>42190</v>
      </c>
      <c r="B1560" s="1">
        <v>42192</v>
      </c>
      <c r="C1560" t="s">
        <v>22</v>
      </c>
      <c r="D1560" t="s">
        <v>2096</v>
      </c>
      <c r="E1560" t="s">
        <v>2097</v>
      </c>
      <c r="F1560" t="s">
        <v>3</v>
      </c>
      <c r="G1560" t="s">
        <v>4</v>
      </c>
      <c r="H1560" t="s">
        <v>10</v>
      </c>
      <c r="I1560" t="s">
        <v>1519</v>
      </c>
      <c r="J1560" s="2">
        <v>27.92</v>
      </c>
      <c r="K1560">
        <v>4</v>
      </c>
      <c r="L1560" s="4"/>
    </row>
    <row r="1561" spans="1:12" x14ac:dyDescent="0.3">
      <c r="A1561" s="1">
        <v>42190</v>
      </c>
      <c r="B1561" s="1">
        <v>42190</v>
      </c>
      <c r="C1561" t="s">
        <v>240</v>
      </c>
      <c r="D1561" t="s">
        <v>2022</v>
      </c>
      <c r="E1561" t="s">
        <v>2023</v>
      </c>
      <c r="F1561" t="s">
        <v>56</v>
      </c>
      <c r="G1561" t="s">
        <v>12</v>
      </c>
      <c r="H1561" t="s">
        <v>35</v>
      </c>
      <c r="I1561" t="s">
        <v>2098</v>
      </c>
      <c r="J1561" s="2">
        <v>25.4</v>
      </c>
      <c r="K1561">
        <v>5</v>
      </c>
      <c r="L1561" s="4"/>
    </row>
    <row r="1562" spans="1:12" x14ac:dyDescent="0.3">
      <c r="A1562" s="1">
        <v>42190</v>
      </c>
      <c r="B1562" s="1">
        <v>42190</v>
      </c>
      <c r="C1562" t="s">
        <v>240</v>
      </c>
      <c r="D1562" t="s">
        <v>2022</v>
      </c>
      <c r="E1562" t="s">
        <v>2023</v>
      </c>
      <c r="F1562" t="s">
        <v>56</v>
      </c>
      <c r="G1562" t="s">
        <v>74</v>
      </c>
      <c r="H1562" t="s">
        <v>147</v>
      </c>
      <c r="I1562" t="s">
        <v>2055</v>
      </c>
      <c r="J1562" s="2">
        <v>177.48000000000002</v>
      </c>
      <c r="K1562">
        <v>3</v>
      </c>
      <c r="L1562" s="4"/>
    </row>
    <row r="1563" spans="1:12" x14ac:dyDescent="0.3">
      <c r="A1563" s="1">
        <v>42190</v>
      </c>
      <c r="B1563" s="1">
        <v>42190</v>
      </c>
      <c r="C1563" t="s">
        <v>240</v>
      </c>
      <c r="D1563" t="s">
        <v>2022</v>
      </c>
      <c r="E1563" t="s">
        <v>2023</v>
      </c>
      <c r="F1563" t="s">
        <v>56</v>
      </c>
      <c r="G1563" t="s">
        <v>74</v>
      </c>
      <c r="H1563" t="s">
        <v>147</v>
      </c>
      <c r="I1563" t="s">
        <v>2101</v>
      </c>
      <c r="J1563" s="2">
        <v>71.975999999999999</v>
      </c>
      <c r="K1563">
        <v>3</v>
      </c>
      <c r="L1563" s="4"/>
    </row>
    <row r="1564" spans="1:12" x14ac:dyDescent="0.3">
      <c r="A1564" s="1">
        <v>42193</v>
      </c>
      <c r="B1564" s="1">
        <v>42197</v>
      </c>
      <c r="C1564" t="s">
        <v>7</v>
      </c>
      <c r="D1564" t="s">
        <v>2102</v>
      </c>
      <c r="E1564" t="s">
        <v>2103</v>
      </c>
      <c r="F1564" t="s">
        <v>3</v>
      </c>
      <c r="G1564" t="s">
        <v>12</v>
      </c>
      <c r="H1564" t="s">
        <v>35</v>
      </c>
      <c r="I1564" t="s">
        <v>2104</v>
      </c>
      <c r="J1564" s="2">
        <v>215.65</v>
      </c>
      <c r="K1564">
        <v>5</v>
      </c>
      <c r="L1564" s="4"/>
    </row>
    <row r="1565" spans="1:12" x14ac:dyDescent="0.3">
      <c r="A1565" s="1">
        <v>42193</v>
      </c>
      <c r="B1565" s="1">
        <v>42195</v>
      </c>
      <c r="C1565" t="s">
        <v>0</v>
      </c>
      <c r="D1565" t="s">
        <v>2105</v>
      </c>
      <c r="E1565" t="s">
        <v>2106</v>
      </c>
      <c r="F1565" t="s">
        <v>3</v>
      </c>
      <c r="G1565" t="s">
        <v>12</v>
      </c>
      <c r="H1565" t="s">
        <v>70</v>
      </c>
      <c r="I1565" t="s">
        <v>2107</v>
      </c>
      <c r="J1565" s="2">
        <v>287.96800000000002</v>
      </c>
      <c r="K1565">
        <v>4</v>
      </c>
      <c r="L1565" s="4"/>
    </row>
    <row r="1566" spans="1:12" x14ac:dyDescent="0.3">
      <c r="A1566" s="1">
        <v>42193</v>
      </c>
      <c r="B1566" s="1">
        <v>42195</v>
      </c>
      <c r="C1566" t="s">
        <v>0</v>
      </c>
      <c r="D1566" t="s">
        <v>2105</v>
      </c>
      <c r="E1566" t="s">
        <v>2106</v>
      </c>
      <c r="F1566" t="s">
        <v>3</v>
      </c>
      <c r="G1566" t="s">
        <v>74</v>
      </c>
      <c r="H1566" t="s">
        <v>534</v>
      </c>
      <c r="I1566" t="s">
        <v>1188</v>
      </c>
      <c r="J1566" s="2">
        <v>2799.9600000000005</v>
      </c>
      <c r="K1566">
        <v>5</v>
      </c>
      <c r="L1566" s="4"/>
    </row>
    <row r="1567" spans="1:12" x14ac:dyDescent="0.3">
      <c r="A1567" s="1">
        <v>42193</v>
      </c>
      <c r="B1567" s="1">
        <v>42195</v>
      </c>
      <c r="C1567" t="s">
        <v>0</v>
      </c>
      <c r="D1567" t="s">
        <v>2105</v>
      </c>
      <c r="E1567" t="s">
        <v>2106</v>
      </c>
      <c r="F1567" t="s">
        <v>3</v>
      </c>
      <c r="G1567" t="s">
        <v>4</v>
      </c>
      <c r="H1567" t="s">
        <v>5</v>
      </c>
      <c r="I1567" t="s">
        <v>643</v>
      </c>
      <c r="J1567" s="2">
        <v>48.94</v>
      </c>
      <c r="K1567">
        <v>1</v>
      </c>
      <c r="L1567" s="4"/>
    </row>
    <row r="1568" spans="1:12" x14ac:dyDescent="0.3">
      <c r="A1568" s="1">
        <v>42193</v>
      </c>
      <c r="B1568" s="1">
        <v>42199</v>
      </c>
      <c r="C1568" t="s">
        <v>7</v>
      </c>
      <c r="D1568" t="s">
        <v>2088</v>
      </c>
      <c r="E1568" t="s">
        <v>2089</v>
      </c>
      <c r="F1568" t="s">
        <v>126</v>
      </c>
      <c r="G1568" t="s">
        <v>4</v>
      </c>
      <c r="H1568" t="s">
        <v>5</v>
      </c>
      <c r="I1568" t="s">
        <v>1494</v>
      </c>
      <c r="J1568" s="2">
        <v>12.96</v>
      </c>
      <c r="K1568">
        <v>2</v>
      </c>
      <c r="L1568" s="4"/>
    </row>
    <row r="1569" spans="1:12" x14ac:dyDescent="0.3">
      <c r="A1569" s="1">
        <v>42193</v>
      </c>
      <c r="B1569" s="1">
        <v>42199</v>
      </c>
      <c r="C1569" t="s">
        <v>7</v>
      </c>
      <c r="D1569" t="s">
        <v>2088</v>
      </c>
      <c r="E1569" t="s">
        <v>2089</v>
      </c>
      <c r="F1569" t="s">
        <v>126</v>
      </c>
      <c r="G1569" t="s">
        <v>4</v>
      </c>
      <c r="H1569" t="s">
        <v>15</v>
      </c>
      <c r="I1569" t="s">
        <v>530</v>
      </c>
      <c r="J1569" s="2">
        <v>45.98</v>
      </c>
      <c r="K1569">
        <v>2</v>
      </c>
      <c r="L1569" s="4"/>
    </row>
    <row r="1570" spans="1:12" x14ac:dyDescent="0.3">
      <c r="A1570" s="1">
        <v>42194</v>
      </c>
      <c r="B1570" s="1">
        <v>42198</v>
      </c>
      <c r="C1570" t="s">
        <v>7</v>
      </c>
      <c r="D1570" t="s">
        <v>1175</v>
      </c>
      <c r="E1570" t="s">
        <v>1176</v>
      </c>
      <c r="F1570" t="s">
        <v>115</v>
      </c>
      <c r="G1570" t="s">
        <v>4</v>
      </c>
      <c r="H1570" t="s">
        <v>26</v>
      </c>
      <c r="I1570" t="s">
        <v>2108</v>
      </c>
      <c r="J1570" s="2">
        <v>19.968000000000004</v>
      </c>
      <c r="K1570">
        <v>2</v>
      </c>
      <c r="L1570" s="4"/>
    </row>
    <row r="1571" spans="1:12" x14ac:dyDescent="0.3">
      <c r="A1571" s="1">
        <v>42194</v>
      </c>
      <c r="B1571" s="1">
        <v>42198</v>
      </c>
      <c r="C1571" t="s">
        <v>7</v>
      </c>
      <c r="D1571" t="s">
        <v>1175</v>
      </c>
      <c r="E1571" t="s">
        <v>1176</v>
      </c>
      <c r="F1571" t="s">
        <v>115</v>
      </c>
      <c r="G1571" t="s">
        <v>4</v>
      </c>
      <c r="H1571" t="s">
        <v>10</v>
      </c>
      <c r="I1571" t="s">
        <v>418</v>
      </c>
      <c r="J1571" s="2">
        <v>33.488000000000007</v>
      </c>
      <c r="K1571">
        <v>7</v>
      </c>
      <c r="L1571" s="4"/>
    </row>
    <row r="1572" spans="1:12" x14ac:dyDescent="0.3">
      <c r="A1572" s="1">
        <v>42194</v>
      </c>
      <c r="B1572" s="1">
        <v>42198</v>
      </c>
      <c r="C1572" t="s">
        <v>7</v>
      </c>
      <c r="D1572" t="s">
        <v>1175</v>
      </c>
      <c r="E1572" t="s">
        <v>1176</v>
      </c>
      <c r="F1572" t="s">
        <v>115</v>
      </c>
      <c r="G1572" t="s">
        <v>4</v>
      </c>
      <c r="H1572" t="s">
        <v>26</v>
      </c>
      <c r="I1572" t="s">
        <v>1880</v>
      </c>
      <c r="J1572" s="2">
        <v>8.7360000000000024</v>
      </c>
      <c r="K1572">
        <v>4</v>
      </c>
      <c r="L1572" s="4"/>
    </row>
    <row r="1573" spans="1:12" x14ac:dyDescent="0.3">
      <c r="A1573" s="1">
        <v>42194</v>
      </c>
      <c r="B1573" s="1">
        <v>42198</v>
      </c>
      <c r="C1573" t="s">
        <v>7</v>
      </c>
      <c r="D1573" t="s">
        <v>1175</v>
      </c>
      <c r="E1573" t="s">
        <v>1176</v>
      </c>
      <c r="F1573" t="s">
        <v>115</v>
      </c>
      <c r="G1573" t="s">
        <v>12</v>
      </c>
      <c r="H1573" t="s">
        <v>70</v>
      </c>
      <c r="I1573" t="s">
        <v>1082</v>
      </c>
      <c r="J1573" s="2">
        <v>662.88</v>
      </c>
      <c r="K1573">
        <v>3</v>
      </c>
      <c r="L1573" s="4"/>
    </row>
    <row r="1574" spans="1:12" x14ac:dyDescent="0.3">
      <c r="A1574" s="1">
        <v>42194</v>
      </c>
      <c r="B1574" s="1">
        <v>42200</v>
      </c>
      <c r="C1574" t="s">
        <v>7</v>
      </c>
      <c r="D1574" t="s">
        <v>1944</v>
      </c>
      <c r="E1574" t="s">
        <v>1945</v>
      </c>
      <c r="F1574" t="s">
        <v>56</v>
      </c>
      <c r="G1574" t="s">
        <v>74</v>
      </c>
      <c r="H1574" t="s">
        <v>147</v>
      </c>
      <c r="I1574" t="s">
        <v>956</v>
      </c>
      <c r="J1574" s="2">
        <v>107.98399999999999</v>
      </c>
      <c r="K1574">
        <v>1</v>
      </c>
      <c r="L1574" s="4"/>
    </row>
    <row r="1575" spans="1:12" x14ac:dyDescent="0.3">
      <c r="A1575" s="1">
        <v>42194</v>
      </c>
      <c r="B1575" s="1">
        <v>42200</v>
      </c>
      <c r="C1575" t="s">
        <v>7</v>
      </c>
      <c r="D1575" t="s">
        <v>1944</v>
      </c>
      <c r="E1575" t="s">
        <v>1945</v>
      </c>
      <c r="F1575" t="s">
        <v>56</v>
      </c>
      <c r="G1575" t="s">
        <v>4</v>
      </c>
      <c r="H1575" t="s">
        <v>26</v>
      </c>
      <c r="I1575" t="s">
        <v>820</v>
      </c>
      <c r="J1575" s="2">
        <v>19.295999999999999</v>
      </c>
      <c r="K1575">
        <v>3</v>
      </c>
      <c r="L1575" s="4"/>
    </row>
    <row r="1576" spans="1:12" x14ac:dyDescent="0.3">
      <c r="A1576" s="1">
        <v>42196</v>
      </c>
      <c r="B1576" s="1">
        <v>42202</v>
      </c>
      <c r="C1576" t="s">
        <v>7</v>
      </c>
      <c r="D1576" t="s">
        <v>257</v>
      </c>
      <c r="E1576" t="s">
        <v>258</v>
      </c>
      <c r="F1576" t="s">
        <v>25</v>
      </c>
      <c r="G1576" t="s">
        <v>4</v>
      </c>
      <c r="H1576" t="s">
        <v>10</v>
      </c>
      <c r="I1576" t="s">
        <v>1504</v>
      </c>
      <c r="J1576" s="2">
        <v>16.768000000000001</v>
      </c>
      <c r="K1576">
        <v>2</v>
      </c>
      <c r="L1576" s="4"/>
    </row>
    <row r="1577" spans="1:12" x14ac:dyDescent="0.3">
      <c r="A1577" s="1">
        <v>42196</v>
      </c>
      <c r="B1577" s="1">
        <v>42197</v>
      </c>
      <c r="C1577" t="s">
        <v>240</v>
      </c>
      <c r="D1577" t="s">
        <v>1475</v>
      </c>
      <c r="E1577" t="s">
        <v>1476</v>
      </c>
      <c r="F1577" t="s">
        <v>25</v>
      </c>
      <c r="G1577" t="s">
        <v>4</v>
      </c>
      <c r="H1577" t="s">
        <v>26</v>
      </c>
      <c r="I1577" t="s">
        <v>343</v>
      </c>
      <c r="J1577" s="2">
        <v>44.856000000000009</v>
      </c>
      <c r="K1577">
        <v>6</v>
      </c>
      <c r="L1577" s="4"/>
    </row>
    <row r="1578" spans="1:12" x14ac:dyDescent="0.3">
      <c r="A1578" s="1">
        <v>42198</v>
      </c>
      <c r="B1578" s="1">
        <v>42205</v>
      </c>
      <c r="C1578" t="s">
        <v>7</v>
      </c>
      <c r="D1578" t="s">
        <v>1647</v>
      </c>
      <c r="E1578" t="s">
        <v>1648</v>
      </c>
      <c r="F1578" t="s">
        <v>3</v>
      </c>
      <c r="G1578" t="s">
        <v>74</v>
      </c>
      <c r="H1578" t="s">
        <v>147</v>
      </c>
      <c r="I1578" t="s">
        <v>582</v>
      </c>
      <c r="J1578" s="2">
        <v>95.76</v>
      </c>
      <c r="K1578">
        <v>6</v>
      </c>
      <c r="L1578" s="4"/>
    </row>
    <row r="1579" spans="1:12" x14ac:dyDescent="0.3">
      <c r="A1579" s="1">
        <v>42200</v>
      </c>
      <c r="B1579" s="1">
        <v>42203</v>
      </c>
      <c r="C1579" t="s">
        <v>22</v>
      </c>
      <c r="D1579" t="s">
        <v>731</v>
      </c>
      <c r="E1579" t="s">
        <v>732</v>
      </c>
      <c r="F1579" t="s">
        <v>25</v>
      </c>
      <c r="G1579" t="s">
        <v>74</v>
      </c>
      <c r="H1579" t="s">
        <v>147</v>
      </c>
      <c r="I1579" t="s">
        <v>2109</v>
      </c>
      <c r="J1579" s="2">
        <v>380.86400000000003</v>
      </c>
      <c r="K1579">
        <v>8</v>
      </c>
      <c r="L1579" s="4"/>
    </row>
    <row r="1580" spans="1:12" x14ac:dyDescent="0.3">
      <c r="A1580" s="1">
        <v>42200</v>
      </c>
      <c r="B1580" s="1">
        <v>42204</v>
      </c>
      <c r="C1580" t="s">
        <v>7</v>
      </c>
      <c r="D1580" t="s">
        <v>2110</v>
      </c>
      <c r="E1580" t="s">
        <v>2111</v>
      </c>
      <c r="F1580" t="s">
        <v>3</v>
      </c>
      <c r="G1580" t="s">
        <v>74</v>
      </c>
      <c r="H1580" t="s">
        <v>147</v>
      </c>
      <c r="I1580" t="s">
        <v>2112</v>
      </c>
      <c r="J1580" s="2">
        <v>110.376</v>
      </c>
      <c r="K1580">
        <v>3</v>
      </c>
      <c r="L1580" s="4"/>
    </row>
    <row r="1581" spans="1:12" x14ac:dyDescent="0.3">
      <c r="A1581" s="1">
        <v>42200</v>
      </c>
      <c r="B1581" s="1">
        <v>42204</v>
      </c>
      <c r="C1581" t="s">
        <v>7</v>
      </c>
      <c r="D1581" t="s">
        <v>2110</v>
      </c>
      <c r="E1581" t="s">
        <v>2111</v>
      </c>
      <c r="F1581" t="s">
        <v>3</v>
      </c>
      <c r="G1581" t="s">
        <v>4</v>
      </c>
      <c r="H1581" t="s">
        <v>20</v>
      </c>
      <c r="I1581" t="s">
        <v>2113</v>
      </c>
      <c r="J1581" s="2">
        <v>151.62</v>
      </c>
      <c r="K1581">
        <v>7</v>
      </c>
      <c r="L1581" s="4"/>
    </row>
    <row r="1582" spans="1:12" x14ac:dyDescent="0.3">
      <c r="A1582" s="1">
        <v>42200</v>
      </c>
      <c r="B1582" s="1">
        <v>42204</v>
      </c>
      <c r="C1582" t="s">
        <v>7</v>
      </c>
      <c r="D1582" t="s">
        <v>2110</v>
      </c>
      <c r="E1582" t="s">
        <v>2111</v>
      </c>
      <c r="F1582" t="s">
        <v>3</v>
      </c>
      <c r="G1582" t="s">
        <v>12</v>
      </c>
      <c r="H1582" t="s">
        <v>35</v>
      </c>
      <c r="I1582" t="s">
        <v>1530</v>
      </c>
      <c r="J1582" s="2">
        <v>30.8</v>
      </c>
      <c r="K1582">
        <v>4</v>
      </c>
      <c r="L1582" s="4"/>
    </row>
    <row r="1583" spans="1:12" x14ac:dyDescent="0.3">
      <c r="A1583" s="1">
        <v>42201</v>
      </c>
      <c r="B1583" s="1">
        <v>42207</v>
      </c>
      <c r="C1583" t="s">
        <v>7</v>
      </c>
      <c r="D1583" t="s">
        <v>1498</v>
      </c>
      <c r="E1583" t="s">
        <v>1499</v>
      </c>
      <c r="F1583" t="s">
        <v>126</v>
      </c>
      <c r="G1583" t="s">
        <v>4</v>
      </c>
      <c r="H1583" t="s">
        <v>78</v>
      </c>
      <c r="I1583" t="s">
        <v>2114</v>
      </c>
      <c r="J1583" s="2">
        <v>44.400000000000006</v>
      </c>
      <c r="K1583">
        <v>5</v>
      </c>
      <c r="L1583" s="4"/>
    </row>
    <row r="1584" spans="1:12" x14ac:dyDescent="0.3">
      <c r="A1584" s="1">
        <v>42201</v>
      </c>
      <c r="B1584" s="1">
        <v>42206</v>
      </c>
      <c r="C1584" t="s">
        <v>7</v>
      </c>
      <c r="D1584" t="s">
        <v>2115</v>
      </c>
      <c r="E1584" t="s">
        <v>2116</v>
      </c>
      <c r="F1584" t="s">
        <v>19</v>
      </c>
      <c r="G1584" t="s">
        <v>12</v>
      </c>
      <c r="H1584" t="s">
        <v>70</v>
      </c>
      <c r="I1584" t="s">
        <v>268</v>
      </c>
      <c r="J1584" s="2">
        <v>230.28000000000003</v>
      </c>
      <c r="K1584">
        <v>3</v>
      </c>
      <c r="L1584" s="4"/>
    </row>
    <row r="1585" spans="1:12" x14ac:dyDescent="0.3">
      <c r="A1585" s="1">
        <v>42201</v>
      </c>
      <c r="B1585" s="1">
        <v>42206</v>
      </c>
      <c r="C1585" t="s">
        <v>7</v>
      </c>
      <c r="D1585" t="s">
        <v>2115</v>
      </c>
      <c r="E1585" t="s">
        <v>2116</v>
      </c>
      <c r="F1585" t="s">
        <v>19</v>
      </c>
      <c r="G1585" t="s">
        <v>4</v>
      </c>
      <c r="H1585" t="s">
        <v>5</v>
      </c>
      <c r="I1585" t="s">
        <v>367</v>
      </c>
      <c r="J1585" s="2">
        <v>105.52</v>
      </c>
      <c r="K1585">
        <v>5</v>
      </c>
      <c r="L1585" s="4"/>
    </row>
    <row r="1586" spans="1:12" x14ac:dyDescent="0.3">
      <c r="A1586" s="1">
        <v>42203</v>
      </c>
      <c r="B1586" s="1">
        <v>42208</v>
      </c>
      <c r="C1586" t="s">
        <v>7</v>
      </c>
      <c r="D1586" t="s">
        <v>2117</v>
      </c>
      <c r="E1586" t="s">
        <v>2118</v>
      </c>
      <c r="F1586" t="s">
        <v>3</v>
      </c>
      <c r="G1586" t="s">
        <v>4</v>
      </c>
      <c r="H1586" t="s">
        <v>10</v>
      </c>
      <c r="I1586" t="s">
        <v>1619</v>
      </c>
      <c r="J1586" s="2">
        <v>77.88</v>
      </c>
      <c r="K1586">
        <v>2</v>
      </c>
      <c r="L1586" s="4"/>
    </row>
    <row r="1587" spans="1:12" x14ac:dyDescent="0.3">
      <c r="A1587" s="1">
        <v>42203</v>
      </c>
      <c r="B1587" s="1">
        <v>42208</v>
      </c>
      <c r="C1587" t="s">
        <v>0</v>
      </c>
      <c r="D1587" t="s">
        <v>1803</v>
      </c>
      <c r="E1587" t="s">
        <v>1804</v>
      </c>
      <c r="F1587" t="s">
        <v>56</v>
      </c>
      <c r="G1587" t="s">
        <v>12</v>
      </c>
      <c r="H1587" t="s">
        <v>35</v>
      </c>
      <c r="I1587" t="s">
        <v>2119</v>
      </c>
      <c r="J1587" s="2">
        <v>12.419999999999998</v>
      </c>
      <c r="K1587">
        <v>3</v>
      </c>
      <c r="L1587" s="4"/>
    </row>
    <row r="1588" spans="1:12" x14ac:dyDescent="0.3">
      <c r="A1588" s="1">
        <v>42203</v>
      </c>
      <c r="B1588" s="1">
        <v>42208</v>
      </c>
      <c r="C1588" t="s">
        <v>0</v>
      </c>
      <c r="D1588" t="s">
        <v>1803</v>
      </c>
      <c r="E1588" t="s">
        <v>1804</v>
      </c>
      <c r="F1588" t="s">
        <v>56</v>
      </c>
      <c r="G1588" t="s">
        <v>74</v>
      </c>
      <c r="H1588" t="s">
        <v>75</v>
      </c>
      <c r="I1588" t="s">
        <v>2120</v>
      </c>
      <c r="J1588" s="2">
        <v>428.40000000000003</v>
      </c>
      <c r="K1588">
        <v>3</v>
      </c>
      <c r="L1588" s="4"/>
    </row>
    <row r="1589" spans="1:12" x14ac:dyDescent="0.3">
      <c r="A1589" s="1">
        <v>42203</v>
      </c>
      <c r="B1589" s="1">
        <v>42208</v>
      </c>
      <c r="C1589" t="s">
        <v>0</v>
      </c>
      <c r="D1589" t="s">
        <v>1803</v>
      </c>
      <c r="E1589" t="s">
        <v>1804</v>
      </c>
      <c r="F1589" t="s">
        <v>56</v>
      </c>
      <c r="G1589" t="s">
        <v>12</v>
      </c>
      <c r="H1589" t="s">
        <v>35</v>
      </c>
      <c r="I1589" t="s">
        <v>2121</v>
      </c>
      <c r="J1589" s="2">
        <v>24.75</v>
      </c>
      <c r="K1589">
        <v>5</v>
      </c>
      <c r="L1589" s="4"/>
    </row>
    <row r="1590" spans="1:12" x14ac:dyDescent="0.3">
      <c r="A1590" s="1">
        <v>42203</v>
      </c>
      <c r="B1590" s="1">
        <v>42208</v>
      </c>
      <c r="C1590" t="s">
        <v>0</v>
      </c>
      <c r="D1590" t="s">
        <v>1803</v>
      </c>
      <c r="E1590" t="s">
        <v>1804</v>
      </c>
      <c r="F1590" t="s">
        <v>56</v>
      </c>
      <c r="G1590" t="s">
        <v>4</v>
      </c>
      <c r="H1590" t="s">
        <v>168</v>
      </c>
      <c r="I1590" t="s">
        <v>2122</v>
      </c>
      <c r="J1590" s="2">
        <v>87.71</v>
      </c>
      <c r="K1590">
        <v>7</v>
      </c>
      <c r="L1590" s="4"/>
    </row>
    <row r="1591" spans="1:12" x14ac:dyDescent="0.3">
      <c r="A1591" s="1">
        <v>42203</v>
      </c>
      <c r="B1591" s="1">
        <v>42208</v>
      </c>
      <c r="C1591" t="s">
        <v>0</v>
      </c>
      <c r="D1591" t="s">
        <v>1803</v>
      </c>
      <c r="E1591" t="s">
        <v>1804</v>
      </c>
      <c r="F1591" t="s">
        <v>56</v>
      </c>
      <c r="G1591" t="s">
        <v>4</v>
      </c>
      <c r="H1591" t="s">
        <v>10</v>
      </c>
      <c r="I1591" t="s">
        <v>2018</v>
      </c>
      <c r="J1591" s="2">
        <v>69.52</v>
      </c>
      <c r="K1591">
        <v>2</v>
      </c>
      <c r="L1591" s="4"/>
    </row>
    <row r="1592" spans="1:12" x14ac:dyDescent="0.3">
      <c r="A1592" s="1">
        <v>42203</v>
      </c>
      <c r="B1592" s="1">
        <v>42208</v>
      </c>
      <c r="C1592" t="s">
        <v>0</v>
      </c>
      <c r="D1592" t="s">
        <v>1803</v>
      </c>
      <c r="E1592" t="s">
        <v>1804</v>
      </c>
      <c r="F1592" t="s">
        <v>56</v>
      </c>
      <c r="G1592" t="s">
        <v>74</v>
      </c>
      <c r="H1592" t="s">
        <v>147</v>
      </c>
      <c r="I1592" t="s">
        <v>2123</v>
      </c>
      <c r="J1592" s="2">
        <v>20.784000000000002</v>
      </c>
      <c r="K1592">
        <v>2</v>
      </c>
      <c r="L1592" s="4"/>
    </row>
    <row r="1593" spans="1:12" x14ac:dyDescent="0.3">
      <c r="A1593" s="1">
        <v>42203</v>
      </c>
      <c r="B1593" s="1">
        <v>42208</v>
      </c>
      <c r="C1593" t="s">
        <v>0</v>
      </c>
      <c r="D1593" t="s">
        <v>1803</v>
      </c>
      <c r="E1593" t="s">
        <v>1804</v>
      </c>
      <c r="F1593" t="s">
        <v>56</v>
      </c>
      <c r="G1593" t="s">
        <v>4</v>
      </c>
      <c r="H1593" t="s">
        <v>26</v>
      </c>
      <c r="I1593" t="s">
        <v>187</v>
      </c>
      <c r="J1593" s="2">
        <v>12.816000000000001</v>
      </c>
      <c r="K1593">
        <v>3</v>
      </c>
      <c r="L1593" s="4"/>
    </row>
    <row r="1594" spans="1:12" x14ac:dyDescent="0.3">
      <c r="A1594" s="1">
        <v>42204</v>
      </c>
      <c r="B1594" s="1">
        <v>42210</v>
      </c>
      <c r="C1594" t="s">
        <v>7</v>
      </c>
      <c r="D1594" t="s">
        <v>1291</v>
      </c>
      <c r="E1594" t="s">
        <v>1292</v>
      </c>
      <c r="F1594" t="s">
        <v>115</v>
      </c>
      <c r="G1594" t="s">
        <v>12</v>
      </c>
      <c r="H1594" t="s">
        <v>70</v>
      </c>
      <c r="I1594" t="s">
        <v>957</v>
      </c>
      <c r="J1594" s="2">
        <v>544.00800000000004</v>
      </c>
      <c r="K1594">
        <v>3</v>
      </c>
      <c r="L1594" s="4"/>
    </row>
    <row r="1595" spans="1:12" x14ac:dyDescent="0.3">
      <c r="A1595" s="1">
        <v>42204</v>
      </c>
      <c r="B1595" s="1">
        <v>42210</v>
      </c>
      <c r="C1595" t="s">
        <v>7</v>
      </c>
      <c r="D1595" t="s">
        <v>1291</v>
      </c>
      <c r="E1595" t="s">
        <v>1292</v>
      </c>
      <c r="F1595" t="s">
        <v>115</v>
      </c>
      <c r="G1595" t="s">
        <v>4</v>
      </c>
      <c r="H1595" t="s">
        <v>26</v>
      </c>
      <c r="I1595" t="s">
        <v>1978</v>
      </c>
      <c r="J1595" s="2">
        <v>1.8720000000000003</v>
      </c>
      <c r="K1595">
        <v>3</v>
      </c>
      <c r="L1595" s="4"/>
    </row>
    <row r="1596" spans="1:12" x14ac:dyDescent="0.3">
      <c r="A1596" s="1">
        <v>42204</v>
      </c>
      <c r="B1596" s="1">
        <v>42210</v>
      </c>
      <c r="C1596" t="s">
        <v>7</v>
      </c>
      <c r="D1596" t="s">
        <v>1291</v>
      </c>
      <c r="E1596" t="s">
        <v>1292</v>
      </c>
      <c r="F1596" t="s">
        <v>115</v>
      </c>
      <c r="G1596" t="s">
        <v>12</v>
      </c>
      <c r="H1596" t="s">
        <v>70</v>
      </c>
      <c r="I1596" t="s">
        <v>2124</v>
      </c>
      <c r="J1596" s="2">
        <v>854.35200000000009</v>
      </c>
      <c r="K1596">
        <v>3</v>
      </c>
      <c r="L1596" s="4"/>
    </row>
    <row r="1597" spans="1:12" x14ac:dyDescent="0.3">
      <c r="A1597" s="1">
        <v>42204</v>
      </c>
      <c r="B1597" s="1">
        <v>42210</v>
      </c>
      <c r="C1597" t="s">
        <v>7</v>
      </c>
      <c r="D1597" t="s">
        <v>1291</v>
      </c>
      <c r="E1597" t="s">
        <v>1292</v>
      </c>
      <c r="F1597" t="s">
        <v>115</v>
      </c>
      <c r="G1597" t="s">
        <v>4</v>
      </c>
      <c r="H1597" t="s">
        <v>10</v>
      </c>
      <c r="I1597" t="s">
        <v>2125</v>
      </c>
      <c r="J1597" s="2">
        <v>593.5680000000001</v>
      </c>
      <c r="K1597">
        <v>2</v>
      </c>
      <c r="L1597" s="4"/>
    </row>
    <row r="1598" spans="1:12" x14ac:dyDescent="0.3">
      <c r="A1598" s="1">
        <v>42204</v>
      </c>
      <c r="B1598" s="1">
        <v>42210</v>
      </c>
      <c r="C1598" t="s">
        <v>7</v>
      </c>
      <c r="D1598" t="s">
        <v>1291</v>
      </c>
      <c r="E1598" t="s">
        <v>1292</v>
      </c>
      <c r="F1598" t="s">
        <v>115</v>
      </c>
      <c r="G1598" t="s">
        <v>4</v>
      </c>
      <c r="H1598" t="s">
        <v>10</v>
      </c>
      <c r="I1598" t="s">
        <v>2126</v>
      </c>
      <c r="J1598" s="2">
        <v>338.04</v>
      </c>
      <c r="K1598">
        <v>3</v>
      </c>
      <c r="L1598" s="4"/>
    </row>
    <row r="1599" spans="1:12" x14ac:dyDescent="0.3">
      <c r="A1599" s="1">
        <v>42204</v>
      </c>
      <c r="B1599" s="1">
        <v>42209</v>
      </c>
      <c r="C1599" t="s">
        <v>7</v>
      </c>
      <c r="D1599" t="s">
        <v>2127</v>
      </c>
      <c r="E1599" t="s">
        <v>2128</v>
      </c>
      <c r="F1599" t="s">
        <v>25</v>
      </c>
      <c r="G1599" t="s">
        <v>4</v>
      </c>
      <c r="H1599" t="s">
        <v>78</v>
      </c>
      <c r="I1599" t="s">
        <v>1545</v>
      </c>
      <c r="J1599" s="2">
        <v>33.799999999999997</v>
      </c>
      <c r="K1599">
        <v>5</v>
      </c>
      <c r="L1599" s="4"/>
    </row>
    <row r="1600" spans="1:12" x14ac:dyDescent="0.3">
      <c r="A1600" s="1">
        <v>42204</v>
      </c>
      <c r="B1600" s="1">
        <v>42208</v>
      </c>
      <c r="C1600" t="s">
        <v>7</v>
      </c>
      <c r="D1600" t="s">
        <v>1177</v>
      </c>
      <c r="E1600" t="s">
        <v>1178</v>
      </c>
      <c r="F1600" t="s">
        <v>25</v>
      </c>
      <c r="G1600" t="s">
        <v>74</v>
      </c>
      <c r="H1600" t="s">
        <v>147</v>
      </c>
      <c r="I1600" t="s">
        <v>2129</v>
      </c>
      <c r="J1600" s="2">
        <v>55.991999999999997</v>
      </c>
      <c r="K1600">
        <v>1</v>
      </c>
      <c r="L1600" s="4"/>
    </row>
    <row r="1601" spans="1:12" x14ac:dyDescent="0.3">
      <c r="A1601" s="1">
        <v>42205</v>
      </c>
      <c r="B1601" s="1">
        <v>42207</v>
      </c>
      <c r="C1601" t="s">
        <v>22</v>
      </c>
      <c r="D1601" t="s">
        <v>847</v>
      </c>
      <c r="E1601" t="s">
        <v>848</v>
      </c>
      <c r="F1601" t="s">
        <v>3</v>
      </c>
      <c r="G1601" t="s">
        <v>74</v>
      </c>
      <c r="H1601" t="s">
        <v>147</v>
      </c>
      <c r="I1601" t="s">
        <v>1392</v>
      </c>
      <c r="J1601" s="2">
        <v>35.984000000000002</v>
      </c>
      <c r="K1601">
        <v>2</v>
      </c>
      <c r="L1601" s="4"/>
    </row>
    <row r="1602" spans="1:12" x14ac:dyDescent="0.3">
      <c r="A1602" s="1">
        <v>42205</v>
      </c>
      <c r="B1602" s="1">
        <v>42207</v>
      </c>
      <c r="C1602" t="s">
        <v>22</v>
      </c>
      <c r="D1602" t="s">
        <v>847</v>
      </c>
      <c r="E1602" t="s">
        <v>848</v>
      </c>
      <c r="F1602" t="s">
        <v>3</v>
      </c>
      <c r="G1602" t="s">
        <v>74</v>
      </c>
      <c r="H1602" t="s">
        <v>75</v>
      </c>
      <c r="I1602" t="s">
        <v>1429</v>
      </c>
      <c r="J1602" s="2">
        <v>389.97</v>
      </c>
      <c r="K1602">
        <v>3</v>
      </c>
      <c r="L1602" s="4"/>
    </row>
    <row r="1603" spans="1:12" x14ac:dyDescent="0.3">
      <c r="A1603" s="1">
        <v>42207</v>
      </c>
      <c r="B1603" s="1">
        <v>42212</v>
      </c>
      <c r="C1603" t="s">
        <v>7</v>
      </c>
      <c r="D1603" t="s">
        <v>161</v>
      </c>
      <c r="E1603" t="s">
        <v>162</v>
      </c>
      <c r="F1603" t="s">
        <v>3</v>
      </c>
      <c r="G1603" t="s">
        <v>4</v>
      </c>
      <c r="H1603" t="s">
        <v>29</v>
      </c>
      <c r="I1603" t="s">
        <v>2130</v>
      </c>
      <c r="J1603" s="2">
        <v>419.90000000000003</v>
      </c>
      <c r="K1603">
        <v>5</v>
      </c>
      <c r="L1603" s="4"/>
    </row>
    <row r="1604" spans="1:12" x14ac:dyDescent="0.3">
      <c r="A1604" s="1">
        <v>42207</v>
      </c>
      <c r="B1604" s="1">
        <v>42212</v>
      </c>
      <c r="C1604" t="s">
        <v>7</v>
      </c>
      <c r="D1604" t="s">
        <v>161</v>
      </c>
      <c r="E1604" t="s">
        <v>162</v>
      </c>
      <c r="F1604" t="s">
        <v>3</v>
      </c>
      <c r="G1604" t="s">
        <v>4</v>
      </c>
      <c r="H1604" t="s">
        <v>168</v>
      </c>
      <c r="I1604" t="s">
        <v>1355</v>
      </c>
      <c r="J1604" s="2">
        <v>3.15</v>
      </c>
      <c r="K1604">
        <v>1</v>
      </c>
      <c r="L1604" s="4"/>
    </row>
    <row r="1605" spans="1:12" x14ac:dyDescent="0.3">
      <c r="A1605" s="1">
        <v>42208</v>
      </c>
      <c r="B1605" s="1">
        <v>42210</v>
      </c>
      <c r="C1605" t="s">
        <v>0</v>
      </c>
      <c r="D1605" t="s">
        <v>2131</v>
      </c>
      <c r="E1605" t="s">
        <v>2132</v>
      </c>
      <c r="F1605" t="s">
        <v>3</v>
      </c>
      <c r="G1605" t="s">
        <v>4</v>
      </c>
      <c r="H1605" t="s">
        <v>168</v>
      </c>
      <c r="I1605" t="s">
        <v>1355</v>
      </c>
      <c r="J1605" s="2">
        <v>6.3</v>
      </c>
      <c r="K1605">
        <v>2</v>
      </c>
      <c r="L1605" s="4"/>
    </row>
    <row r="1606" spans="1:12" x14ac:dyDescent="0.3">
      <c r="A1606" s="1">
        <v>42208</v>
      </c>
      <c r="B1606" s="1">
        <v>42215</v>
      </c>
      <c r="C1606" t="s">
        <v>7</v>
      </c>
      <c r="D1606" t="s">
        <v>2133</v>
      </c>
      <c r="E1606" t="s">
        <v>2134</v>
      </c>
      <c r="F1606" t="s">
        <v>39</v>
      </c>
      <c r="G1606" t="s">
        <v>4</v>
      </c>
      <c r="H1606" t="s">
        <v>78</v>
      </c>
      <c r="I1606" t="s">
        <v>2135</v>
      </c>
      <c r="J1606" s="2">
        <v>86.199999999999989</v>
      </c>
      <c r="K1606">
        <v>5</v>
      </c>
      <c r="L1606" s="4"/>
    </row>
    <row r="1607" spans="1:12" x14ac:dyDescent="0.3">
      <c r="A1607" s="1">
        <v>42211</v>
      </c>
      <c r="B1607" s="1">
        <v>42217</v>
      </c>
      <c r="C1607" t="s">
        <v>7</v>
      </c>
      <c r="D1607" t="s">
        <v>68</v>
      </c>
      <c r="E1607" t="s">
        <v>69</v>
      </c>
      <c r="F1607" t="s">
        <v>3</v>
      </c>
      <c r="G1607" t="s">
        <v>4</v>
      </c>
      <c r="H1607" t="s">
        <v>26</v>
      </c>
      <c r="I1607" t="s">
        <v>453</v>
      </c>
      <c r="J1607" s="2">
        <v>119.61600000000001</v>
      </c>
      <c r="K1607">
        <v>8</v>
      </c>
      <c r="L1607" s="4"/>
    </row>
    <row r="1608" spans="1:12" x14ac:dyDescent="0.3">
      <c r="A1608" s="1">
        <v>42211</v>
      </c>
      <c r="B1608" s="1">
        <v>42217</v>
      </c>
      <c r="C1608" t="s">
        <v>7</v>
      </c>
      <c r="D1608" t="s">
        <v>68</v>
      </c>
      <c r="E1608" t="s">
        <v>69</v>
      </c>
      <c r="F1608" t="s">
        <v>3</v>
      </c>
      <c r="G1608" t="s">
        <v>12</v>
      </c>
      <c r="H1608" t="s">
        <v>35</v>
      </c>
      <c r="I1608" t="s">
        <v>2136</v>
      </c>
      <c r="J1608" s="2">
        <v>255.76</v>
      </c>
      <c r="K1608">
        <v>4</v>
      </c>
      <c r="L1608" s="4"/>
    </row>
    <row r="1609" spans="1:12" x14ac:dyDescent="0.3">
      <c r="A1609" s="1">
        <v>42211</v>
      </c>
      <c r="B1609" s="1">
        <v>42217</v>
      </c>
      <c r="C1609" t="s">
        <v>7</v>
      </c>
      <c r="D1609" t="s">
        <v>68</v>
      </c>
      <c r="E1609" t="s">
        <v>69</v>
      </c>
      <c r="F1609" t="s">
        <v>3</v>
      </c>
      <c r="G1609" t="s">
        <v>12</v>
      </c>
      <c r="H1609" t="s">
        <v>70</v>
      </c>
      <c r="I1609" t="s">
        <v>712</v>
      </c>
      <c r="J1609" s="2">
        <v>241.56799999999998</v>
      </c>
      <c r="K1609">
        <v>2</v>
      </c>
      <c r="L1609" s="4"/>
    </row>
    <row r="1610" spans="1:12" x14ac:dyDescent="0.3">
      <c r="A1610" s="1">
        <v>42211</v>
      </c>
      <c r="B1610" s="1">
        <v>42217</v>
      </c>
      <c r="C1610" t="s">
        <v>7</v>
      </c>
      <c r="D1610" t="s">
        <v>68</v>
      </c>
      <c r="E1610" t="s">
        <v>69</v>
      </c>
      <c r="F1610" t="s">
        <v>3</v>
      </c>
      <c r="G1610" t="s">
        <v>12</v>
      </c>
      <c r="H1610" t="s">
        <v>35</v>
      </c>
      <c r="I1610" t="s">
        <v>1530</v>
      </c>
      <c r="J1610" s="2">
        <v>69.3</v>
      </c>
      <c r="K1610">
        <v>9</v>
      </c>
      <c r="L1610" s="4"/>
    </row>
    <row r="1611" spans="1:12" x14ac:dyDescent="0.3">
      <c r="A1611" s="1">
        <v>42211</v>
      </c>
      <c r="B1611" s="1">
        <v>42213</v>
      </c>
      <c r="C1611" t="s">
        <v>0</v>
      </c>
      <c r="D1611" t="s">
        <v>2137</v>
      </c>
      <c r="E1611" t="s">
        <v>2138</v>
      </c>
      <c r="F1611" t="s">
        <v>3</v>
      </c>
      <c r="G1611" t="s">
        <v>4</v>
      </c>
      <c r="H1611" t="s">
        <v>52</v>
      </c>
      <c r="I1611" t="s">
        <v>375</v>
      </c>
      <c r="J1611" s="2">
        <v>21.48</v>
      </c>
      <c r="K1611">
        <v>6</v>
      </c>
      <c r="L1611" s="4"/>
    </row>
    <row r="1612" spans="1:12" x14ac:dyDescent="0.3">
      <c r="A1612" s="1">
        <v>42211</v>
      </c>
      <c r="B1612" s="1">
        <v>42211</v>
      </c>
      <c r="C1612" t="s">
        <v>240</v>
      </c>
      <c r="D1612" t="s">
        <v>408</v>
      </c>
      <c r="E1612" t="s">
        <v>409</v>
      </c>
      <c r="F1612" t="s">
        <v>3</v>
      </c>
      <c r="G1612" t="s">
        <v>4</v>
      </c>
      <c r="H1612" t="s">
        <v>15</v>
      </c>
      <c r="I1612" t="s">
        <v>823</v>
      </c>
      <c r="J1612" s="2">
        <v>37.17</v>
      </c>
      <c r="K1612">
        <v>9</v>
      </c>
      <c r="L1612" s="4"/>
    </row>
    <row r="1613" spans="1:12" x14ac:dyDescent="0.3">
      <c r="A1613" s="1">
        <v>42214</v>
      </c>
      <c r="B1613" s="1">
        <v>42220</v>
      </c>
      <c r="C1613" t="s">
        <v>7</v>
      </c>
      <c r="D1613" t="s">
        <v>1083</v>
      </c>
      <c r="E1613" t="s">
        <v>1084</v>
      </c>
      <c r="F1613" t="s">
        <v>3</v>
      </c>
      <c r="G1613" t="s">
        <v>4</v>
      </c>
      <c r="H1613" t="s">
        <v>168</v>
      </c>
      <c r="I1613" t="s">
        <v>273</v>
      </c>
      <c r="J1613" s="2">
        <v>18.899999999999999</v>
      </c>
      <c r="K1613">
        <v>3</v>
      </c>
      <c r="L1613" s="4"/>
    </row>
    <row r="1614" spans="1:12" x14ac:dyDescent="0.3">
      <c r="A1614" s="1">
        <v>42216</v>
      </c>
      <c r="B1614" s="1">
        <v>42219</v>
      </c>
      <c r="C1614" t="s">
        <v>22</v>
      </c>
      <c r="D1614" t="s">
        <v>2139</v>
      </c>
      <c r="E1614" t="s">
        <v>2140</v>
      </c>
      <c r="F1614" t="s">
        <v>3</v>
      </c>
      <c r="G1614" t="s">
        <v>4</v>
      </c>
      <c r="H1614" t="s">
        <v>20</v>
      </c>
      <c r="I1614" t="s">
        <v>2141</v>
      </c>
      <c r="J1614" s="2">
        <v>715.64</v>
      </c>
      <c r="K1614">
        <v>2</v>
      </c>
      <c r="L1614" s="4"/>
    </row>
    <row r="1615" spans="1:12" x14ac:dyDescent="0.3">
      <c r="A1615" s="1">
        <v>42217</v>
      </c>
      <c r="B1615" s="1">
        <v>42222</v>
      </c>
      <c r="C1615" t="s">
        <v>7</v>
      </c>
      <c r="D1615" t="s">
        <v>2020</v>
      </c>
      <c r="E1615" t="s">
        <v>2021</v>
      </c>
      <c r="F1615" t="s">
        <v>3</v>
      </c>
      <c r="G1615" t="s">
        <v>12</v>
      </c>
      <c r="H1615" t="s">
        <v>44</v>
      </c>
      <c r="I1615" t="s">
        <v>1245</v>
      </c>
      <c r="J1615" s="2">
        <v>863.12800000000004</v>
      </c>
      <c r="K1615">
        <v>7</v>
      </c>
      <c r="L1615" s="4"/>
    </row>
    <row r="1616" spans="1:12" x14ac:dyDescent="0.3">
      <c r="A1616" s="1">
        <v>42218</v>
      </c>
      <c r="B1616" s="1">
        <v>42218</v>
      </c>
      <c r="C1616" t="s">
        <v>240</v>
      </c>
      <c r="D1616" t="s">
        <v>364</v>
      </c>
      <c r="E1616" t="s">
        <v>365</v>
      </c>
      <c r="F1616" t="s">
        <v>3</v>
      </c>
      <c r="G1616" t="s">
        <v>74</v>
      </c>
      <c r="H1616" t="s">
        <v>147</v>
      </c>
      <c r="I1616" t="s">
        <v>1920</v>
      </c>
      <c r="J1616" s="2">
        <v>1039.7280000000001</v>
      </c>
      <c r="K1616">
        <v>2</v>
      </c>
      <c r="L1616" s="4"/>
    </row>
    <row r="1617" spans="1:12" x14ac:dyDescent="0.3">
      <c r="A1617" s="1">
        <v>42218</v>
      </c>
      <c r="B1617" s="1">
        <v>42218</v>
      </c>
      <c r="C1617" t="s">
        <v>240</v>
      </c>
      <c r="D1617" t="s">
        <v>364</v>
      </c>
      <c r="E1617" t="s">
        <v>365</v>
      </c>
      <c r="F1617" t="s">
        <v>3</v>
      </c>
      <c r="G1617" t="s">
        <v>4</v>
      </c>
      <c r="H1617" t="s">
        <v>20</v>
      </c>
      <c r="I1617" t="s">
        <v>357</v>
      </c>
      <c r="J1617" s="2">
        <v>45.96</v>
      </c>
      <c r="K1617">
        <v>2</v>
      </c>
      <c r="L1617" s="4"/>
    </row>
    <row r="1618" spans="1:12" x14ac:dyDescent="0.3">
      <c r="A1618" s="1">
        <v>42219</v>
      </c>
      <c r="B1618" s="1">
        <v>42221</v>
      </c>
      <c r="C1618" t="s">
        <v>0</v>
      </c>
      <c r="D1618" t="s">
        <v>80</v>
      </c>
      <c r="E1618" t="s">
        <v>81</v>
      </c>
      <c r="F1618" t="s">
        <v>3</v>
      </c>
      <c r="G1618" t="s">
        <v>12</v>
      </c>
      <c r="H1618" t="s">
        <v>44</v>
      </c>
      <c r="I1618" t="s">
        <v>2142</v>
      </c>
      <c r="J1618" s="2">
        <v>136.46400000000003</v>
      </c>
      <c r="K1618">
        <v>2</v>
      </c>
      <c r="L1618" s="4"/>
    </row>
    <row r="1619" spans="1:12" x14ac:dyDescent="0.3">
      <c r="A1619" s="1">
        <v>42219</v>
      </c>
      <c r="B1619" s="1">
        <v>42221</v>
      </c>
      <c r="C1619" t="s">
        <v>0</v>
      </c>
      <c r="D1619" t="s">
        <v>80</v>
      </c>
      <c r="E1619" t="s">
        <v>81</v>
      </c>
      <c r="F1619" t="s">
        <v>3</v>
      </c>
      <c r="G1619" t="s">
        <v>74</v>
      </c>
      <c r="H1619" t="s">
        <v>147</v>
      </c>
      <c r="I1619" t="s">
        <v>2031</v>
      </c>
      <c r="J1619" s="2">
        <v>333.57600000000002</v>
      </c>
      <c r="K1619">
        <v>3</v>
      </c>
      <c r="L1619" s="4"/>
    </row>
    <row r="1620" spans="1:12" x14ac:dyDescent="0.3">
      <c r="A1620" s="1">
        <v>42219</v>
      </c>
      <c r="B1620" s="1">
        <v>42221</v>
      </c>
      <c r="C1620" t="s">
        <v>0</v>
      </c>
      <c r="D1620" t="s">
        <v>80</v>
      </c>
      <c r="E1620" t="s">
        <v>81</v>
      </c>
      <c r="F1620" t="s">
        <v>3</v>
      </c>
      <c r="G1620" t="s">
        <v>4</v>
      </c>
      <c r="H1620" t="s">
        <v>26</v>
      </c>
      <c r="I1620" t="s">
        <v>2143</v>
      </c>
      <c r="J1620" s="2">
        <v>12.544</v>
      </c>
      <c r="K1620">
        <v>2</v>
      </c>
      <c r="L1620" s="4"/>
    </row>
    <row r="1621" spans="1:12" x14ac:dyDescent="0.3">
      <c r="A1621" s="1">
        <v>42221</v>
      </c>
      <c r="B1621" s="1">
        <v>42223</v>
      </c>
      <c r="C1621" t="s">
        <v>0</v>
      </c>
      <c r="D1621" t="s">
        <v>2026</v>
      </c>
      <c r="E1621" t="s">
        <v>2027</v>
      </c>
      <c r="F1621" t="s">
        <v>3</v>
      </c>
      <c r="G1621" t="s">
        <v>74</v>
      </c>
      <c r="H1621" t="s">
        <v>147</v>
      </c>
      <c r="I1621" t="s">
        <v>355</v>
      </c>
      <c r="J1621" s="2">
        <v>302.38400000000001</v>
      </c>
      <c r="K1621">
        <v>2</v>
      </c>
      <c r="L1621" s="4"/>
    </row>
    <row r="1622" spans="1:12" x14ac:dyDescent="0.3">
      <c r="A1622" s="1">
        <v>42221</v>
      </c>
      <c r="B1622" s="1">
        <v>42223</v>
      </c>
      <c r="C1622" t="s">
        <v>0</v>
      </c>
      <c r="D1622" t="s">
        <v>2026</v>
      </c>
      <c r="E1622" t="s">
        <v>2027</v>
      </c>
      <c r="F1622" t="s">
        <v>3</v>
      </c>
      <c r="G1622" t="s">
        <v>4</v>
      </c>
      <c r="H1622" t="s">
        <v>26</v>
      </c>
      <c r="I1622" t="s">
        <v>164</v>
      </c>
      <c r="J1622" s="2">
        <v>20.952000000000002</v>
      </c>
      <c r="K1622">
        <v>3</v>
      </c>
      <c r="L1622" s="4"/>
    </row>
    <row r="1623" spans="1:12" x14ac:dyDescent="0.3">
      <c r="A1623" s="1">
        <v>42221</v>
      </c>
      <c r="B1623" s="1">
        <v>42223</v>
      </c>
      <c r="C1623" t="s">
        <v>0</v>
      </c>
      <c r="D1623" t="s">
        <v>2026</v>
      </c>
      <c r="E1623" t="s">
        <v>2027</v>
      </c>
      <c r="F1623" t="s">
        <v>3</v>
      </c>
      <c r="G1623" t="s">
        <v>4</v>
      </c>
      <c r="H1623" t="s">
        <v>26</v>
      </c>
      <c r="I1623" t="s">
        <v>2144</v>
      </c>
      <c r="J1623" s="2">
        <v>11.784000000000001</v>
      </c>
      <c r="K1623">
        <v>3</v>
      </c>
      <c r="L1623" s="4"/>
    </row>
    <row r="1624" spans="1:12" x14ac:dyDescent="0.3">
      <c r="A1624" s="1">
        <v>42223</v>
      </c>
      <c r="B1624" s="1">
        <v>42230</v>
      </c>
      <c r="C1624" t="s">
        <v>7</v>
      </c>
      <c r="D1624" t="s">
        <v>946</v>
      </c>
      <c r="E1624" t="s">
        <v>947</v>
      </c>
      <c r="F1624" t="s">
        <v>3</v>
      </c>
      <c r="G1624" t="s">
        <v>74</v>
      </c>
      <c r="H1624" t="s">
        <v>147</v>
      </c>
      <c r="I1624" t="s">
        <v>1645</v>
      </c>
      <c r="J1624" s="2">
        <v>211.16800000000001</v>
      </c>
      <c r="K1624">
        <v>4</v>
      </c>
      <c r="L1624" s="4"/>
    </row>
    <row r="1625" spans="1:12" x14ac:dyDescent="0.3">
      <c r="A1625" s="1">
        <v>42224</v>
      </c>
      <c r="B1625" s="1">
        <v>42228</v>
      </c>
      <c r="C1625" t="s">
        <v>7</v>
      </c>
      <c r="D1625" t="s">
        <v>2145</v>
      </c>
      <c r="E1625" t="s">
        <v>2146</v>
      </c>
      <c r="F1625" t="s">
        <v>56</v>
      </c>
      <c r="G1625" t="s">
        <v>74</v>
      </c>
      <c r="H1625" t="s">
        <v>75</v>
      </c>
      <c r="I1625" t="s">
        <v>784</v>
      </c>
      <c r="J1625" s="2">
        <v>179.97</v>
      </c>
      <c r="K1625">
        <v>3</v>
      </c>
      <c r="L1625" s="4"/>
    </row>
    <row r="1626" spans="1:12" x14ac:dyDescent="0.3">
      <c r="A1626" s="1">
        <v>42225</v>
      </c>
      <c r="B1626" s="1">
        <v>42232</v>
      </c>
      <c r="C1626" t="s">
        <v>7</v>
      </c>
      <c r="D1626" t="s">
        <v>2147</v>
      </c>
      <c r="E1626" t="s">
        <v>2148</v>
      </c>
      <c r="F1626" t="s">
        <v>3</v>
      </c>
      <c r="G1626" t="s">
        <v>12</v>
      </c>
      <c r="H1626" t="s">
        <v>44</v>
      </c>
      <c r="I1626" t="s">
        <v>2149</v>
      </c>
      <c r="J1626" s="2">
        <v>513.024</v>
      </c>
      <c r="K1626">
        <v>2</v>
      </c>
      <c r="L1626" s="4"/>
    </row>
    <row r="1627" spans="1:12" x14ac:dyDescent="0.3">
      <c r="A1627" s="1">
        <v>42225</v>
      </c>
      <c r="B1627" s="1">
        <v>42232</v>
      </c>
      <c r="C1627" t="s">
        <v>7</v>
      </c>
      <c r="D1627" t="s">
        <v>2147</v>
      </c>
      <c r="E1627" t="s">
        <v>2148</v>
      </c>
      <c r="F1627" t="s">
        <v>3</v>
      </c>
      <c r="G1627" t="s">
        <v>4</v>
      </c>
      <c r="H1627" t="s">
        <v>20</v>
      </c>
      <c r="I1627" t="s">
        <v>1342</v>
      </c>
      <c r="J1627" s="2">
        <v>487.91999999999996</v>
      </c>
      <c r="K1627">
        <v>6</v>
      </c>
      <c r="L1627" s="4"/>
    </row>
    <row r="1628" spans="1:12" x14ac:dyDescent="0.3">
      <c r="A1628" s="1">
        <v>42225</v>
      </c>
      <c r="B1628" s="1">
        <v>42232</v>
      </c>
      <c r="C1628" t="s">
        <v>7</v>
      </c>
      <c r="D1628" t="s">
        <v>2147</v>
      </c>
      <c r="E1628" t="s">
        <v>2148</v>
      </c>
      <c r="F1628" t="s">
        <v>3</v>
      </c>
      <c r="G1628" t="s">
        <v>4</v>
      </c>
      <c r="H1628" t="s">
        <v>26</v>
      </c>
      <c r="I1628" t="s">
        <v>1510</v>
      </c>
      <c r="J1628" s="2">
        <v>15.24</v>
      </c>
      <c r="K1628">
        <v>5</v>
      </c>
      <c r="L1628" s="4"/>
    </row>
    <row r="1629" spans="1:12" x14ac:dyDescent="0.3">
      <c r="A1629" s="1">
        <v>42231</v>
      </c>
      <c r="B1629" s="1">
        <v>42235</v>
      </c>
      <c r="C1629" t="s">
        <v>7</v>
      </c>
      <c r="D1629" t="s">
        <v>2007</v>
      </c>
      <c r="E1629" t="s">
        <v>2008</v>
      </c>
      <c r="F1629" t="s">
        <v>3</v>
      </c>
      <c r="G1629" t="s">
        <v>4</v>
      </c>
      <c r="H1629" t="s">
        <v>5</v>
      </c>
      <c r="I1629" t="s">
        <v>2150</v>
      </c>
      <c r="J1629" s="2">
        <v>15.54</v>
      </c>
      <c r="K1629">
        <v>3</v>
      </c>
      <c r="L1629" s="4"/>
    </row>
    <row r="1630" spans="1:12" x14ac:dyDescent="0.3">
      <c r="A1630" s="1">
        <v>42231</v>
      </c>
      <c r="B1630" s="1">
        <v>42235</v>
      </c>
      <c r="C1630" t="s">
        <v>7</v>
      </c>
      <c r="D1630" t="s">
        <v>2007</v>
      </c>
      <c r="E1630" t="s">
        <v>2008</v>
      </c>
      <c r="F1630" t="s">
        <v>3</v>
      </c>
      <c r="G1630" t="s">
        <v>74</v>
      </c>
      <c r="H1630" t="s">
        <v>138</v>
      </c>
      <c r="I1630" t="s">
        <v>2151</v>
      </c>
      <c r="J1630" s="2">
        <v>105.55199999999999</v>
      </c>
      <c r="K1630">
        <v>6</v>
      </c>
      <c r="L1630" s="4"/>
    </row>
    <row r="1631" spans="1:12" x14ac:dyDescent="0.3">
      <c r="A1631" s="1">
        <v>42232</v>
      </c>
      <c r="B1631" s="1">
        <v>42238</v>
      </c>
      <c r="C1631" t="s">
        <v>7</v>
      </c>
      <c r="D1631" t="s">
        <v>1567</v>
      </c>
      <c r="E1631" t="s">
        <v>1568</v>
      </c>
      <c r="F1631" t="s">
        <v>115</v>
      </c>
      <c r="G1631" t="s">
        <v>4</v>
      </c>
      <c r="H1631" t="s">
        <v>26</v>
      </c>
      <c r="I1631" t="s">
        <v>2152</v>
      </c>
      <c r="J1631" s="2">
        <v>18.882000000000005</v>
      </c>
      <c r="K1631">
        <v>3</v>
      </c>
      <c r="L1631" s="4"/>
    </row>
    <row r="1632" spans="1:12" x14ac:dyDescent="0.3">
      <c r="A1632" s="1">
        <v>42232</v>
      </c>
      <c r="B1632" s="1">
        <v>42238</v>
      </c>
      <c r="C1632" t="s">
        <v>7</v>
      </c>
      <c r="D1632" t="s">
        <v>1567</v>
      </c>
      <c r="E1632" t="s">
        <v>1568</v>
      </c>
      <c r="F1632" t="s">
        <v>115</v>
      </c>
      <c r="G1632" t="s">
        <v>4</v>
      </c>
      <c r="H1632" t="s">
        <v>20</v>
      </c>
      <c r="I1632" t="s">
        <v>567</v>
      </c>
      <c r="J1632" s="2">
        <v>122.328</v>
      </c>
      <c r="K1632">
        <v>3</v>
      </c>
      <c r="L1632" s="4"/>
    </row>
    <row r="1633" spans="1:12" x14ac:dyDescent="0.3">
      <c r="A1633" s="1">
        <v>42232</v>
      </c>
      <c r="B1633" s="1">
        <v>42237</v>
      </c>
      <c r="C1633" t="s">
        <v>0</v>
      </c>
      <c r="D1633" t="s">
        <v>1405</v>
      </c>
      <c r="E1633" t="s">
        <v>1406</v>
      </c>
      <c r="F1633" t="s">
        <v>3</v>
      </c>
      <c r="G1633" t="s">
        <v>74</v>
      </c>
      <c r="H1633" t="s">
        <v>147</v>
      </c>
      <c r="I1633" t="s">
        <v>2153</v>
      </c>
      <c r="J1633" s="2">
        <v>71.975999999999999</v>
      </c>
      <c r="K1633">
        <v>3</v>
      </c>
      <c r="L1633" s="4"/>
    </row>
    <row r="1634" spans="1:12" x14ac:dyDescent="0.3">
      <c r="A1634" s="1">
        <v>42232</v>
      </c>
      <c r="B1634" s="1">
        <v>42237</v>
      </c>
      <c r="C1634" t="s">
        <v>0</v>
      </c>
      <c r="D1634" t="s">
        <v>1405</v>
      </c>
      <c r="E1634" t="s">
        <v>1406</v>
      </c>
      <c r="F1634" t="s">
        <v>3</v>
      </c>
      <c r="G1634" t="s">
        <v>4</v>
      </c>
      <c r="H1634" t="s">
        <v>168</v>
      </c>
      <c r="I1634" t="s">
        <v>1472</v>
      </c>
      <c r="J1634" s="2">
        <v>3.15</v>
      </c>
      <c r="K1634">
        <v>1</v>
      </c>
      <c r="L1634" s="4"/>
    </row>
    <row r="1635" spans="1:12" x14ac:dyDescent="0.3">
      <c r="A1635" s="1">
        <v>42232</v>
      </c>
      <c r="B1635" s="1">
        <v>42239</v>
      </c>
      <c r="C1635" t="s">
        <v>7</v>
      </c>
      <c r="D1635" t="s">
        <v>1967</v>
      </c>
      <c r="E1635" t="s">
        <v>1968</v>
      </c>
      <c r="F1635" t="s">
        <v>3</v>
      </c>
      <c r="G1635" t="s">
        <v>12</v>
      </c>
      <c r="H1635" t="s">
        <v>35</v>
      </c>
      <c r="I1635" t="s">
        <v>2154</v>
      </c>
      <c r="J1635" s="2">
        <v>312.03000000000003</v>
      </c>
      <c r="K1635">
        <v>3</v>
      </c>
      <c r="L1635" s="4"/>
    </row>
    <row r="1636" spans="1:12" x14ac:dyDescent="0.3">
      <c r="A1636" s="1">
        <v>42232</v>
      </c>
      <c r="B1636" s="1">
        <v>42239</v>
      </c>
      <c r="C1636" t="s">
        <v>7</v>
      </c>
      <c r="D1636" t="s">
        <v>1967</v>
      </c>
      <c r="E1636" t="s">
        <v>1968</v>
      </c>
      <c r="F1636" t="s">
        <v>3</v>
      </c>
      <c r="G1636" t="s">
        <v>4</v>
      </c>
      <c r="H1636" t="s">
        <v>10</v>
      </c>
      <c r="I1636" t="s">
        <v>418</v>
      </c>
      <c r="J1636" s="2">
        <v>17.940000000000001</v>
      </c>
      <c r="K1636">
        <v>3</v>
      </c>
      <c r="L1636" s="4"/>
    </row>
    <row r="1637" spans="1:12" x14ac:dyDescent="0.3">
      <c r="A1637" s="1">
        <v>42232</v>
      </c>
      <c r="B1637" s="1">
        <v>42239</v>
      </c>
      <c r="C1637" t="s">
        <v>7</v>
      </c>
      <c r="D1637" t="s">
        <v>1967</v>
      </c>
      <c r="E1637" t="s">
        <v>1968</v>
      </c>
      <c r="F1637" t="s">
        <v>3</v>
      </c>
      <c r="G1637" t="s">
        <v>74</v>
      </c>
      <c r="H1637" t="s">
        <v>147</v>
      </c>
      <c r="I1637" t="s">
        <v>2155</v>
      </c>
      <c r="J1637" s="2">
        <v>165.60000000000002</v>
      </c>
      <c r="K1637">
        <v>3</v>
      </c>
      <c r="L1637" s="4"/>
    </row>
    <row r="1638" spans="1:12" x14ac:dyDescent="0.3">
      <c r="A1638" s="1">
        <v>42232</v>
      </c>
      <c r="B1638" s="1">
        <v>42239</v>
      </c>
      <c r="C1638" t="s">
        <v>7</v>
      </c>
      <c r="D1638" t="s">
        <v>1967</v>
      </c>
      <c r="E1638" t="s">
        <v>1968</v>
      </c>
      <c r="F1638" t="s">
        <v>3</v>
      </c>
      <c r="G1638" t="s">
        <v>4</v>
      </c>
      <c r="H1638" t="s">
        <v>5</v>
      </c>
      <c r="I1638" t="s">
        <v>2156</v>
      </c>
      <c r="J1638" s="2">
        <v>37.520000000000003</v>
      </c>
      <c r="K1638">
        <v>4</v>
      </c>
      <c r="L1638" s="4"/>
    </row>
    <row r="1639" spans="1:12" x14ac:dyDescent="0.3">
      <c r="A1639" s="1">
        <v>42233</v>
      </c>
      <c r="B1639" s="1">
        <v>42237</v>
      </c>
      <c r="C1639" t="s">
        <v>7</v>
      </c>
      <c r="D1639" t="s">
        <v>2157</v>
      </c>
      <c r="E1639" t="s">
        <v>2158</v>
      </c>
      <c r="F1639" t="s">
        <v>3</v>
      </c>
      <c r="G1639" t="s">
        <v>4</v>
      </c>
      <c r="H1639" t="s">
        <v>29</v>
      </c>
      <c r="I1639" t="s">
        <v>2159</v>
      </c>
      <c r="J1639" s="2">
        <v>10.86</v>
      </c>
      <c r="K1639">
        <v>3</v>
      </c>
      <c r="L1639" s="4"/>
    </row>
    <row r="1640" spans="1:12" x14ac:dyDescent="0.3">
      <c r="A1640" s="1">
        <v>42233</v>
      </c>
      <c r="B1640" s="1">
        <v>42236</v>
      </c>
      <c r="C1640" t="s">
        <v>22</v>
      </c>
      <c r="D1640" t="s">
        <v>2160</v>
      </c>
      <c r="E1640" t="s">
        <v>2161</v>
      </c>
      <c r="F1640" t="s">
        <v>3</v>
      </c>
      <c r="G1640" t="s">
        <v>12</v>
      </c>
      <c r="H1640" t="s">
        <v>44</v>
      </c>
      <c r="I1640" t="s">
        <v>2162</v>
      </c>
      <c r="J1640" s="2">
        <v>161.28</v>
      </c>
      <c r="K1640">
        <v>2</v>
      </c>
      <c r="L1640" s="4"/>
    </row>
    <row r="1641" spans="1:12" x14ac:dyDescent="0.3">
      <c r="A1641" s="1">
        <v>42233</v>
      </c>
      <c r="B1641" s="1">
        <v>42239</v>
      </c>
      <c r="C1641" t="s">
        <v>7</v>
      </c>
      <c r="D1641" t="s">
        <v>874</v>
      </c>
      <c r="E1641" t="s">
        <v>875</v>
      </c>
      <c r="F1641" t="s">
        <v>3</v>
      </c>
      <c r="G1641" t="s">
        <v>4</v>
      </c>
      <c r="H1641" t="s">
        <v>5</v>
      </c>
      <c r="I1641" t="s">
        <v>583</v>
      </c>
      <c r="J1641" s="2">
        <v>32.400000000000006</v>
      </c>
      <c r="K1641">
        <v>5</v>
      </c>
      <c r="L1641" s="4"/>
    </row>
    <row r="1642" spans="1:12" x14ac:dyDescent="0.3">
      <c r="A1642" s="1">
        <v>42234</v>
      </c>
      <c r="B1642" s="1">
        <v>42238</v>
      </c>
      <c r="C1642" t="s">
        <v>7</v>
      </c>
      <c r="D1642" t="s">
        <v>1516</v>
      </c>
      <c r="E1642" t="s">
        <v>1517</v>
      </c>
      <c r="F1642" t="s">
        <v>56</v>
      </c>
      <c r="G1642" t="s">
        <v>4</v>
      </c>
      <c r="H1642" t="s">
        <v>26</v>
      </c>
      <c r="I1642" t="s">
        <v>1955</v>
      </c>
      <c r="J1642" s="2">
        <v>15.712000000000002</v>
      </c>
      <c r="K1642">
        <v>4</v>
      </c>
      <c r="L1642" s="4"/>
    </row>
    <row r="1643" spans="1:12" x14ac:dyDescent="0.3">
      <c r="A1643" s="1">
        <v>42238</v>
      </c>
      <c r="B1643" s="1">
        <v>42245</v>
      </c>
      <c r="C1643" t="s">
        <v>7</v>
      </c>
      <c r="D1643" t="s">
        <v>2163</v>
      </c>
      <c r="E1643" t="s">
        <v>2164</v>
      </c>
      <c r="F1643" t="s">
        <v>3</v>
      </c>
      <c r="G1643" t="s">
        <v>4</v>
      </c>
      <c r="H1643" t="s">
        <v>26</v>
      </c>
      <c r="I1643" t="s">
        <v>2165</v>
      </c>
      <c r="J1643" s="2">
        <v>12.672000000000001</v>
      </c>
      <c r="K1643">
        <v>2</v>
      </c>
      <c r="L1643" s="4"/>
    </row>
    <row r="1644" spans="1:12" x14ac:dyDescent="0.3">
      <c r="A1644" s="1">
        <v>42238</v>
      </c>
      <c r="B1644" s="1">
        <v>42245</v>
      </c>
      <c r="C1644" t="s">
        <v>7</v>
      </c>
      <c r="D1644" t="s">
        <v>2163</v>
      </c>
      <c r="E1644" t="s">
        <v>2164</v>
      </c>
      <c r="F1644" t="s">
        <v>3</v>
      </c>
      <c r="G1644" t="s">
        <v>74</v>
      </c>
      <c r="H1644" t="s">
        <v>147</v>
      </c>
      <c r="I1644" t="s">
        <v>1599</v>
      </c>
      <c r="J1644" s="2">
        <v>91.96</v>
      </c>
      <c r="K1644">
        <v>5</v>
      </c>
      <c r="L1644" s="4"/>
    </row>
    <row r="1645" spans="1:12" x14ac:dyDescent="0.3">
      <c r="A1645" s="1">
        <v>42238</v>
      </c>
      <c r="B1645" s="1">
        <v>42245</v>
      </c>
      <c r="C1645" t="s">
        <v>7</v>
      </c>
      <c r="D1645" t="s">
        <v>2163</v>
      </c>
      <c r="E1645" t="s">
        <v>2164</v>
      </c>
      <c r="F1645" t="s">
        <v>3</v>
      </c>
      <c r="G1645" t="s">
        <v>74</v>
      </c>
      <c r="H1645" t="s">
        <v>75</v>
      </c>
      <c r="I1645" t="s">
        <v>1320</v>
      </c>
      <c r="J1645" s="2">
        <v>254.96999999999997</v>
      </c>
      <c r="K1645">
        <v>3</v>
      </c>
      <c r="L1645" s="4"/>
    </row>
    <row r="1646" spans="1:12" x14ac:dyDescent="0.3">
      <c r="A1646" s="1">
        <v>42238</v>
      </c>
      <c r="B1646" s="1">
        <v>42245</v>
      </c>
      <c r="C1646" t="s">
        <v>7</v>
      </c>
      <c r="D1646" t="s">
        <v>2163</v>
      </c>
      <c r="E1646" t="s">
        <v>2164</v>
      </c>
      <c r="F1646" t="s">
        <v>3</v>
      </c>
      <c r="G1646" t="s">
        <v>74</v>
      </c>
      <c r="H1646" t="s">
        <v>147</v>
      </c>
      <c r="I1646" t="s">
        <v>2166</v>
      </c>
      <c r="J1646" s="2">
        <v>31.983999999999998</v>
      </c>
      <c r="K1646">
        <v>2</v>
      </c>
      <c r="L1646" s="4"/>
    </row>
    <row r="1647" spans="1:12" x14ac:dyDescent="0.3">
      <c r="A1647" s="1">
        <v>42238</v>
      </c>
      <c r="B1647" s="1">
        <v>42245</v>
      </c>
      <c r="C1647" t="s">
        <v>7</v>
      </c>
      <c r="D1647" t="s">
        <v>2163</v>
      </c>
      <c r="E1647" t="s">
        <v>2164</v>
      </c>
      <c r="F1647" t="s">
        <v>3</v>
      </c>
      <c r="G1647" t="s">
        <v>12</v>
      </c>
      <c r="H1647" t="s">
        <v>44</v>
      </c>
      <c r="I1647" t="s">
        <v>2167</v>
      </c>
      <c r="J1647" s="2">
        <v>2887.0560000000005</v>
      </c>
      <c r="K1647">
        <v>9</v>
      </c>
      <c r="L1647" s="4"/>
    </row>
    <row r="1648" spans="1:12" x14ac:dyDescent="0.3">
      <c r="A1648" s="1">
        <v>42238</v>
      </c>
      <c r="B1648" s="1">
        <v>42245</v>
      </c>
      <c r="C1648" t="s">
        <v>7</v>
      </c>
      <c r="D1648" t="s">
        <v>2163</v>
      </c>
      <c r="E1648" t="s">
        <v>2164</v>
      </c>
      <c r="F1648" t="s">
        <v>3</v>
      </c>
      <c r="G1648" t="s">
        <v>4</v>
      </c>
      <c r="H1648" t="s">
        <v>5</v>
      </c>
      <c r="I1648" t="s">
        <v>1757</v>
      </c>
      <c r="J1648" s="2">
        <v>12.96</v>
      </c>
      <c r="K1648">
        <v>2</v>
      </c>
      <c r="L1648" s="4"/>
    </row>
    <row r="1649" spans="1:12" x14ac:dyDescent="0.3">
      <c r="A1649" s="1">
        <v>42238</v>
      </c>
      <c r="B1649" s="1">
        <v>42245</v>
      </c>
      <c r="C1649" t="s">
        <v>7</v>
      </c>
      <c r="D1649" t="s">
        <v>2163</v>
      </c>
      <c r="E1649" t="s">
        <v>2164</v>
      </c>
      <c r="F1649" t="s">
        <v>3</v>
      </c>
      <c r="G1649" t="s">
        <v>4</v>
      </c>
      <c r="H1649" t="s">
        <v>5</v>
      </c>
      <c r="I1649" t="s">
        <v>1518</v>
      </c>
      <c r="J1649" s="2">
        <v>47.52</v>
      </c>
      <c r="K1649">
        <v>9</v>
      </c>
      <c r="L1649" s="4"/>
    </row>
    <row r="1650" spans="1:12" x14ac:dyDescent="0.3">
      <c r="A1650" s="1">
        <v>42238</v>
      </c>
      <c r="B1650" s="1">
        <v>42241</v>
      </c>
      <c r="C1650" t="s">
        <v>0</v>
      </c>
      <c r="D1650" t="s">
        <v>791</v>
      </c>
      <c r="E1650" t="s">
        <v>792</v>
      </c>
      <c r="F1650" t="s">
        <v>56</v>
      </c>
      <c r="G1650" t="s">
        <v>4</v>
      </c>
      <c r="H1650" t="s">
        <v>26</v>
      </c>
      <c r="I1650" t="s">
        <v>794</v>
      </c>
      <c r="J1650" s="2">
        <v>33.44</v>
      </c>
      <c r="K1650">
        <v>10</v>
      </c>
      <c r="L1650" s="4"/>
    </row>
    <row r="1651" spans="1:12" x14ac:dyDescent="0.3">
      <c r="A1651" s="1">
        <v>42239</v>
      </c>
      <c r="B1651" s="1">
        <v>42244</v>
      </c>
      <c r="C1651" t="s">
        <v>7</v>
      </c>
      <c r="D1651" t="s">
        <v>973</v>
      </c>
      <c r="E1651" t="s">
        <v>974</v>
      </c>
      <c r="F1651" t="s">
        <v>19</v>
      </c>
      <c r="G1651" t="s">
        <v>4</v>
      </c>
      <c r="H1651" t="s">
        <v>26</v>
      </c>
      <c r="I1651" t="s">
        <v>1209</v>
      </c>
      <c r="J1651" s="2">
        <v>26.352000000000004</v>
      </c>
      <c r="K1651">
        <v>8</v>
      </c>
      <c r="L1651" s="4"/>
    </row>
    <row r="1652" spans="1:12" x14ac:dyDescent="0.3">
      <c r="A1652" s="1">
        <v>42239</v>
      </c>
      <c r="B1652" s="1">
        <v>42243</v>
      </c>
      <c r="C1652" t="s">
        <v>7</v>
      </c>
      <c r="D1652" t="s">
        <v>1640</v>
      </c>
      <c r="E1652" t="s">
        <v>1641</v>
      </c>
      <c r="F1652" t="s">
        <v>56</v>
      </c>
      <c r="G1652" t="s">
        <v>4</v>
      </c>
      <c r="H1652" t="s">
        <v>5</v>
      </c>
      <c r="I1652" t="s">
        <v>2080</v>
      </c>
      <c r="J1652" s="2">
        <v>19.440000000000001</v>
      </c>
      <c r="K1652">
        <v>3</v>
      </c>
      <c r="L1652" s="4"/>
    </row>
    <row r="1653" spans="1:12" x14ac:dyDescent="0.3">
      <c r="A1653" s="1">
        <v>42239</v>
      </c>
      <c r="B1653" s="1">
        <v>42240</v>
      </c>
      <c r="C1653" t="s">
        <v>22</v>
      </c>
      <c r="D1653" t="s">
        <v>1300</v>
      </c>
      <c r="E1653" t="s">
        <v>1301</v>
      </c>
      <c r="F1653" t="s">
        <v>115</v>
      </c>
      <c r="G1653" t="s">
        <v>12</v>
      </c>
      <c r="H1653" t="s">
        <v>35</v>
      </c>
      <c r="I1653" t="s">
        <v>537</v>
      </c>
      <c r="J1653" s="2">
        <v>98.328000000000003</v>
      </c>
      <c r="K1653">
        <v>3</v>
      </c>
      <c r="L1653" s="4"/>
    </row>
    <row r="1654" spans="1:12" x14ac:dyDescent="0.3">
      <c r="A1654" s="1">
        <v>42239</v>
      </c>
      <c r="B1654" s="1">
        <v>42246</v>
      </c>
      <c r="C1654" t="s">
        <v>7</v>
      </c>
      <c r="D1654" t="s">
        <v>309</v>
      </c>
      <c r="E1654" t="s">
        <v>310</v>
      </c>
      <c r="F1654" t="s">
        <v>3</v>
      </c>
      <c r="G1654" t="s">
        <v>4</v>
      </c>
      <c r="H1654" t="s">
        <v>15</v>
      </c>
      <c r="I1654" t="s">
        <v>1470</v>
      </c>
      <c r="J1654" s="2">
        <v>5.76</v>
      </c>
      <c r="K1654">
        <v>2</v>
      </c>
      <c r="L1654" s="4"/>
    </row>
    <row r="1655" spans="1:12" x14ac:dyDescent="0.3">
      <c r="A1655" s="1">
        <v>42240</v>
      </c>
      <c r="B1655" s="1">
        <v>42247</v>
      </c>
      <c r="C1655" t="s">
        <v>7</v>
      </c>
      <c r="D1655" t="s">
        <v>2168</v>
      </c>
      <c r="E1655" t="s">
        <v>2169</v>
      </c>
      <c r="F1655" t="s">
        <v>56</v>
      </c>
      <c r="G1655" t="s">
        <v>74</v>
      </c>
      <c r="H1655" t="s">
        <v>138</v>
      </c>
      <c r="I1655" t="s">
        <v>1450</v>
      </c>
      <c r="J1655" s="2">
        <v>837.59999999999991</v>
      </c>
      <c r="K1655">
        <v>3</v>
      </c>
      <c r="L1655" s="4"/>
    </row>
    <row r="1656" spans="1:12" x14ac:dyDescent="0.3">
      <c r="A1656" s="1">
        <v>42240</v>
      </c>
      <c r="B1656" s="1">
        <v>42247</v>
      </c>
      <c r="C1656" t="s">
        <v>7</v>
      </c>
      <c r="D1656" t="s">
        <v>2168</v>
      </c>
      <c r="E1656" t="s">
        <v>2169</v>
      </c>
      <c r="F1656" t="s">
        <v>56</v>
      </c>
      <c r="G1656" t="s">
        <v>4</v>
      </c>
      <c r="H1656" t="s">
        <v>29</v>
      </c>
      <c r="I1656" t="s">
        <v>30</v>
      </c>
      <c r="J1656" s="2">
        <v>135.9</v>
      </c>
      <c r="K1656">
        <v>5</v>
      </c>
      <c r="L1656" s="4"/>
    </row>
    <row r="1657" spans="1:12" x14ac:dyDescent="0.3">
      <c r="A1657" s="1">
        <v>42240</v>
      </c>
      <c r="B1657" s="1">
        <v>42247</v>
      </c>
      <c r="C1657" t="s">
        <v>7</v>
      </c>
      <c r="D1657" t="s">
        <v>2168</v>
      </c>
      <c r="E1657" t="s">
        <v>2169</v>
      </c>
      <c r="F1657" t="s">
        <v>56</v>
      </c>
      <c r="G1657" t="s">
        <v>4</v>
      </c>
      <c r="H1657" t="s">
        <v>5</v>
      </c>
      <c r="I1657" t="s">
        <v>2170</v>
      </c>
      <c r="J1657" s="2">
        <v>34.68</v>
      </c>
      <c r="K1657">
        <v>6</v>
      </c>
      <c r="L1657" s="4"/>
    </row>
    <row r="1658" spans="1:12" x14ac:dyDescent="0.3">
      <c r="A1658" s="1">
        <v>42240</v>
      </c>
      <c r="B1658" s="1">
        <v>42247</v>
      </c>
      <c r="C1658" t="s">
        <v>7</v>
      </c>
      <c r="D1658" t="s">
        <v>2168</v>
      </c>
      <c r="E1658" t="s">
        <v>2169</v>
      </c>
      <c r="F1658" t="s">
        <v>56</v>
      </c>
      <c r="G1658" t="s">
        <v>12</v>
      </c>
      <c r="H1658" t="s">
        <v>70</v>
      </c>
      <c r="I1658" t="s">
        <v>2171</v>
      </c>
      <c r="J1658" s="2">
        <v>532.70400000000006</v>
      </c>
      <c r="K1658">
        <v>6</v>
      </c>
      <c r="L1658" s="4"/>
    </row>
    <row r="1659" spans="1:12" x14ac:dyDescent="0.3">
      <c r="A1659" s="1">
        <v>42240</v>
      </c>
      <c r="B1659" s="1">
        <v>42247</v>
      </c>
      <c r="C1659" t="s">
        <v>7</v>
      </c>
      <c r="D1659" t="s">
        <v>2168</v>
      </c>
      <c r="E1659" t="s">
        <v>2169</v>
      </c>
      <c r="F1659" t="s">
        <v>56</v>
      </c>
      <c r="G1659" t="s">
        <v>4</v>
      </c>
      <c r="H1659" t="s">
        <v>20</v>
      </c>
      <c r="I1659" t="s">
        <v>2172</v>
      </c>
      <c r="J1659" s="2">
        <v>43.099999999999994</v>
      </c>
      <c r="K1659">
        <v>5</v>
      </c>
      <c r="L1659" s="4"/>
    </row>
    <row r="1660" spans="1:12" x14ac:dyDescent="0.3">
      <c r="A1660" s="1">
        <v>42240</v>
      </c>
      <c r="B1660" s="1">
        <v>42247</v>
      </c>
      <c r="C1660" t="s">
        <v>7</v>
      </c>
      <c r="D1660" t="s">
        <v>2168</v>
      </c>
      <c r="E1660" t="s">
        <v>2169</v>
      </c>
      <c r="F1660" t="s">
        <v>56</v>
      </c>
      <c r="G1660" t="s">
        <v>4</v>
      </c>
      <c r="H1660" t="s">
        <v>78</v>
      </c>
      <c r="I1660" t="s">
        <v>1103</v>
      </c>
      <c r="J1660" s="2">
        <v>15.88</v>
      </c>
      <c r="K1660">
        <v>4</v>
      </c>
      <c r="L1660" s="4"/>
    </row>
    <row r="1661" spans="1:12" x14ac:dyDescent="0.3">
      <c r="A1661" s="1">
        <v>42243</v>
      </c>
      <c r="B1661" s="1">
        <v>42244</v>
      </c>
      <c r="C1661" t="s">
        <v>22</v>
      </c>
      <c r="D1661" t="s">
        <v>1427</v>
      </c>
      <c r="E1661" t="s">
        <v>1428</v>
      </c>
      <c r="F1661" t="s">
        <v>3</v>
      </c>
      <c r="G1661" t="s">
        <v>4</v>
      </c>
      <c r="H1661" t="s">
        <v>52</v>
      </c>
      <c r="I1661" t="s">
        <v>2173</v>
      </c>
      <c r="J1661" s="2">
        <v>10.23</v>
      </c>
      <c r="K1661">
        <v>3</v>
      </c>
      <c r="L1661" s="4"/>
    </row>
    <row r="1662" spans="1:12" x14ac:dyDescent="0.3">
      <c r="A1662" s="1">
        <v>42243</v>
      </c>
      <c r="B1662" s="1">
        <v>42244</v>
      </c>
      <c r="C1662" t="s">
        <v>22</v>
      </c>
      <c r="D1662" t="s">
        <v>1427</v>
      </c>
      <c r="E1662" t="s">
        <v>1428</v>
      </c>
      <c r="F1662" t="s">
        <v>3</v>
      </c>
      <c r="G1662" t="s">
        <v>4</v>
      </c>
      <c r="H1662" t="s">
        <v>5</v>
      </c>
      <c r="I1662" t="s">
        <v>898</v>
      </c>
      <c r="J1662" s="2">
        <v>154.9</v>
      </c>
      <c r="K1662">
        <v>5</v>
      </c>
      <c r="L1662" s="4"/>
    </row>
    <row r="1663" spans="1:12" x14ac:dyDescent="0.3">
      <c r="A1663" s="1">
        <v>42243</v>
      </c>
      <c r="B1663" s="1">
        <v>42246</v>
      </c>
      <c r="C1663" t="s">
        <v>0</v>
      </c>
      <c r="D1663" t="s">
        <v>445</v>
      </c>
      <c r="E1663" t="s">
        <v>446</v>
      </c>
      <c r="F1663" t="s">
        <v>56</v>
      </c>
      <c r="G1663" t="s">
        <v>4</v>
      </c>
      <c r="H1663" t="s">
        <v>5</v>
      </c>
      <c r="I1663" t="s">
        <v>583</v>
      </c>
      <c r="J1663" s="2">
        <v>6.48</v>
      </c>
      <c r="K1663">
        <v>1</v>
      </c>
      <c r="L1663" s="4"/>
    </row>
    <row r="1664" spans="1:12" x14ac:dyDescent="0.3">
      <c r="A1664" s="1">
        <v>42243</v>
      </c>
      <c r="B1664" s="1">
        <v>42246</v>
      </c>
      <c r="C1664" t="s">
        <v>22</v>
      </c>
      <c r="D1664" t="s">
        <v>2174</v>
      </c>
      <c r="E1664" t="s">
        <v>2175</v>
      </c>
      <c r="F1664" t="s">
        <v>3</v>
      </c>
      <c r="G1664" t="s">
        <v>12</v>
      </c>
      <c r="H1664" t="s">
        <v>70</v>
      </c>
      <c r="I1664" t="s">
        <v>462</v>
      </c>
      <c r="J1664" s="2">
        <v>1603.1360000000002</v>
      </c>
      <c r="K1664">
        <v>4</v>
      </c>
      <c r="L1664" s="4"/>
    </row>
    <row r="1665" spans="1:12" x14ac:dyDescent="0.3">
      <c r="A1665" s="1">
        <v>42243</v>
      </c>
      <c r="B1665" s="1">
        <v>42245</v>
      </c>
      <c r="C1665" t="s">
        <v>0</v>
      </c>
      <c r="D1665" t="s">
        <v>502</v>
      </c>
      <c r="E1665" t="s">
        <v>503</v>
      </c>
      <c r="F1665" t="s">
        <v>3</v>
      </c>
      <c r="G1665" t="s">
        <v>4</v>
      </c>
      <c r="H1665" t="s">
        <v>15</v>
      </c>
      <c r="I1665" t="s">
        <v>109</v>
      </c>
      <c r="J1665" s="2">
        <v>8.26</v>
      </c>
      <c r="K1665">
        <v>2</v>
      </c>
      <c r="L1665" s="4"/>
    </row>
    <row r="1666" spans="1:12" x14ac:dyDescent="0.3">
      <c r="A1666" s="1">
        <v>42245</v>
      </c>
      <c r="B1666" s="1">
        <v>42250</v>
      </c>
      <c r="C1666" t="s">
        <v>7</v>
      </c>
      <c r="D1666" t="s">
        <v>521</v>
      </c>
      <c r="E1666" t="s">
        <v>522</v>
      </c>
      <c r="F1666" t="s">
        <v>115</v>
      </c>
      <c r="G1666" t="s">
        <v>4</v>
      </c>
      <c r="H1666" t="s">
        <v>5</v>
      </c>
      <c r="I1666" t="s">
        <v>691</v>
      </c>
      <c r="J1666" s="2">
        <v>15.48</v>
      </c>
      <c r="K1666">
        <v>3</v>
      </c>
      <c r="L1666" s="4"/>
    </row>
    <row r="1667" spans="1:12" x14ac:dyDescent="0.3">
      <c r="A1667" s="1">
        <v>42245</v>
      </c>
      <c r="B1667" s="1">
        <v>42250</v>
      </c>
      <c r="C1667" t="s">
        <v>7</v>
      </c>
      <c r="D1667" t="s">
        <v>521</v>
      </c>
      <c r="E1667" t="s">
        <v>522</v>
      </c>
      <c r="F1667" t="s">
        <v>115</v>
      </c>
      <c r="G1667" t="s">
        <v>74</v>
      </c>
      <c r="H1667" t="s">
        <v>147</v>
      </c>
      <c r="I1667" t="s">
        <v>2176</v>
      </c>
      <c r="J1667" s="2">
        <v>108.57599999999999</v>
      </c>
      <c r="K1667">
        <v>3</v>
      </c>
      <c r="L1667" s="4"/>
    </row>
    <row r="1668" spans="1:12" x14ac:dyDescent="0.3">
      <c r="A1668" s="1">
        <v>42247</v>
      </c>
      <c r="B1668" s="1">
        <v>42254</v>
      </c>
      <c r="C1668" t="s">
        <v>7</v>
      </c>
      <c r="D1668" t="s">
        <v>1384</v>
      </c>
      <c r="E1668" t="s">
        <v>1385</v>
      </c>
      <c r="F1668" t="s">
        <v>3</v>
      </c>
      <c r="G1668" t="s">
        <v>12</v>
      </c>
      <c r="H1668" t="s">
        <v>35</v>
      </c>
      <c r="I1668" t="s">
        <v>1118</v>
      </c>
      <c r="J1668" s="2">
        <v>47.04</v>
      </c>
      <c r="K1668">
        <v>4</v>
      </c>
      <c r="L1668" s="4"/>
    </row>
    <row r="1669" spans="1:12" x14ac:dyDescent="0.3">
      <c r="A1669" s="1">
        <v>42247</v>
      </c>
      <c r="B1669" s="1">
        <v>42254</v>
      </c>
      <c r="C1669" t="s">
        <v>7</v>
      </c>
      <c r="D1669" t="s">
        <v>1384</v>
      </c>
      <c r="E1669" t="s">
        <v>1385</v>
      </c>
      <c r="F1669" t="s">
        <v>3</v>
      </c>
      <c r="G1669" t="s">
        <v>74</v>
      </c>
      <c r="H1669" t="s">
        <v>147</v>
      </c>
      <c r="I1669" t="s">
        <v>1129</v>
      </c>
      <c r="J1669" s="2">
        <v>339.96000000000004</v>
      </c>
      <c r="K1669">
        <v>5</v>
      </c>
      <c r="L1669" s="4"/>
    </row>
    <row r="1670" spans="1:12" x14ac:dyDescent="0.3">
      <c r="A1670" s="1">
        <v>42249</v>
      </c>
      <c r="B1670" s="1">
        <v>42252</v>
      </c>
      <c r="C1670" t="s">
        <v>22</v>
      </c>
      <c r="D1670" t="s">
        <v>2177</v>
      </c>
      <c r="E1670" t="s">
        <v>2178</v>
      </c>
      <c r="F1670" t="s">
        <v>3</v>
      </c>
      <c r="G1670" t="s">
        <v>4</v>
      </c>
      <c r="H1670" t="s">
        <v>29</v>
      </c>
      <c r="I1670" t="s">
        <v>2179</v>
      </c>
      <c r="J1670" s="2">
        <v>21.88</v>
      </c>
      <c r="K1670">
        <v>2</v>
      </c>
      <c r="L1670" s="4"/>
    </row>
    <row r="1671" spans="1:12" x14ac:dyDescent="0.3">
      <c r="A1671" s="1">
        <v>42249</v>
      </c>
      <c r="B1671" s="1">
        <v>42251</v>
      </c>
      <c r="C1671" t="s">
        <v>0</v>
      </c>
      <c r="D1671" t="s">
        <v>2180</v>
      </c>
      <c r="E1671" t="s">
        <v>2181</v>
      </c>
      <c r="F1671" t="s">
        <v>3</v>
      </c>
      <c r="G1671" t="s">
        <v>4</v>
      </c>
      <c r="H1671" t="s">
        <v>29</v>
      </c>
      <c r="I1671" t="s">
        <v>2182</v>
      </c>
      <c r="J1671" s="2">
        <v>12.78</v>
      </c>
      <c r="K1671">
        <v>1</v>
      </c>
      <c r="L1671" s="4"/>
    </row>
    <row r="1672" spans="1:12" x14ac:dyDescent="0.3">
      <c r="A1672" s="1">
        <v>42250</v>
      </c>
      <c r="B1672" s="1">
        <v>42252</v>
      </c>
      <c r="C1672" t="s">
        <v>22</v>
      </c>
      <c r="D1672" t="s">
        <v>2183</v>
      </c>
      <c r="E1672" t="s">
        <v>2184</v>
      </c>
      <c r="F1672" t="s">
        <v>3</v>
      </c>
      <c r="G1672" t="s">
        <v>4</v>
      </c>
      <c r="H1672" t="s">
        <v>10</v>
      </c>
      <c r="I1672" t="s">
        <v>2185</v>
      </c>
      <c r="J1672" s="2">
        <v>46.53</v>
      </c>
      <c r="K1672">
        <v>3</v>
      </c>
      <c r="L1672" s="4"/>
    </row>
    <row r="1673" spans="1:12" x14ac:dyDescent="0.3">
      <c r="A1673" s="1">
        <v>42250</v>
      </c>
      <c r="B1673" s="1">
        <v>42256</v>
      </c>
      <c r="C1673" t="s">
        <v>7</v>
      </c>
      <c r="D1673" t="s">
        <v>1419</v>
      </c>
      <c r="E1673" t="s">
        <v>1420</v>
      </c>
      <c r="F1673" t="s">
        <v>56</v>
      </c>
      <c r="G1673" t="s">
        <v>74</v>
      </c>
      <c r="H1673" t="s">
        <v>534</v>
      </c>
      <c r="I1673" t="s">
        <v>1949</v>
      </c>
      <c r="J1673" s="2">
        <v>999.98</v>
      </c>
      <c r="K1673">
        <v>2</v>
      </c>
      <c r="L1673" s="4"/>
    </row>
    <row r="1674" spans="1:12" x14ac:dyDescent="0.3">
      <c r="A1674" s="1">
        <v>42250</v>
      </c>
      <c r="B1674" s="1">
        <v>42253</v>
      </c>
      <c r="C1674" t="s">
        <v>0</v>
      </c>
      <c r="D1674" t="s">
        <v>2186</v>
      </c>
      <c r="E1674" t="s">
        <v>2187</v>
      </c>
      <c r="F1674" t="s">
        <v>56</v>
      </c>
      <c r="G1674" t="s">
        <v>12</v>
      </c>
      <c r="H1674" t="s">
        <v>70</v>
      </c>
      <c r="I1674" t="s">
        <v>2107</v>
      </c>
      <c r="J1674" s="2">
        <v>215.976</v>
      </c>
      <c r="K1674">
        <v>3</v>
      </c>
      <c r="L1674" s="4"/>
    </row>
    <row r="1675" spans="1:12" x14ac:dyDescent="0.3">
      <c r="A1675" s="1">
        <v>42250</v>
      </c>
      <c r="B1675" s="1">
        <v>42253</v>
      </c>
      <c r="C1675" t="s">
        <v>0</v>
      </c>
      <c r="D1675" t="s">
        <v>2186</v>
      </c>
      <c r="E1675" t="s">
        <v>2187</v>
      </c>
      <c r="F1675" t="s">
        <v>56</v>
      </c>
      <c r="G1675" t="s">
        <v>4</v>
      </c>
      <c r="H1675" t="s">
        <v>29</v>
      </c>
      <c r="I1675" t="s">
        <v>2099</v>
      </c>
      <c r="J1675" s="2">
        <v>65.94</v>
      </c>
      <c r="K1675">
        <v>3</v>
      </c>
      <c r="L1675" s="4"/>
    </row>
    <row r="1676" spans="1:12" x14ac:dyDescent="0.3">
      <c r="A1676" s="1">
        <v>42250</v>
      </c>
      <c r="B1676" s="1">
        <v>42254</v>
      </c>
      <c r="C1676" t="s">
        <v>7</v>
      </c>
      <c r="D1676" t="s">
        <v>531</v>
      </c>
      <c r="E1676" t="s">
        <v>532</v>
      </c>
      <c r="F1676" t="s">
        <v>3</v>
      </c>
      <c r="G1676" t="s">
        <v>12</v>
      </c>
      <c r="H1676" t="s">
        <v>35</v>
      </c>
      <c r="I1676" t="s">
        <v>1462</v>
      </c>
      <c r="J1676" s="2">
        <v>94.679999999999993</v>
      </c>
      <c r="K1676">
        <v>9</v>
      </c>
      <c r="L1676" s="4"/>
    </row>
    <row r="1677" spans="1:12" x14ac:dyDescent="0.3">
      <c r="A1677" s="1">
        <v>42250</v>
      </c>
      <c r="B1677" s="1">
        <v>42254</v>
      </c>
      <c r="C1677" t="s">
        <v>7</v>
      </c>
      <c r="D1677" t="s">
        <v>531</v>
      </c>
      <c r="E1677" t="s">
        <v>532</v>
      </c>
      <c r="F1677" t="s">
        <v>3</v>
      </c>
      <c r="G1677" t="s">
        <v>4</v>
      </c>
      <c r="H1677" t="s">
        <v>10</v>
      </c>
      <c r="I1677" t="s">
        <v>529</v>
      </c>
      <c r="J1677" s="2">
        <v>23.669999999999998</v>
      </c>
      <c r="K1677">
        <v>3</v>
      </c>
      <c r="L1677" s="4"/>
    </row>
    <row r="1678" spans="1:12" x14ac:dyDescent="0.3">
      <c r="A1678" s="1">
        <v>42250</v>
      </c>
      <c r="B1678" s="1">
        <v>42254</v>
      </c>
      <c r="C1678" t="s">
        <v>7</v>
      </c>
      <c r="D1678" t="s">
        <v>531</v>
      </c>
      <c r="E1678" t="s">
        <v>532</v>
      </c>
      <c r="F1678" t="s">
        <v>3</v>
      </c>
      <c r="G1678" t="s">
        <v>74</v>
      </c>
      <c r="H1678" t="s">
        <v>147</v>
      </c>
      <c r="I1678" t="s">
        <v>550</v>
      </c>
      <c r="J1678" s="2">
        <v>1091.1680000000001</v>
      </c>
      <c r="K1678">
        <v>4</v>
      </c>
      <c r="L1678" s="4"/>
    </row>
    <row r="1679" spans="1:12" x14ac:dyDescent="0.3">
      <c r="A1679" s="1">
        <v>42250</v>
      </c>
      <c r="B1679" s="1">
        <v>42254</v>
      </c>
      <c r="C1679" t="s">
        <v>7</v>
      </c>
      <c r="D1679" t="s">
        <v>531</v>
      </c>
      <c r="E1679" t="s">
        <v>532</v>
      </c>
      <c r="F1679" t="s">
        <v>3</v>
      </c>
      <c r="G1679" t="s">
        <v>4</v>
      </c>
      <c r="H1679" t="s">
        <v>15</v>
      </c>
      <c r="I1679" t="s">
        <v>2188</v>
      </c>
      <c r="J1679" s="2">
        <v>18.689999999999998</v>
      </c>
      <c r="K1679">
        <v>7</v>
      </c>
      <c r="L1679" s="4"/>
    </row>
    <row r="1680" spans="1:12" x14ac:dyDescent="0.3">
      <c r="A1680" s="1">
        <v>42250</v>
      </c>
      <c r="B1680" s="1">
        <v>42254</v>
      </c>
      <c r="C1680" t="s">
        <v>7</v>
      </c>
      <c r="D1680" t="s">
        <v>531</v>
      </c>
      <c r="E1680" t="s">
        <v>532</v>
      </c>
      <c r="F1680" t="s">
        <v>3</v>
      </c>
      <c r="G1680" t="s">
        <v>12</v>
      </c>
      <c r="H1680" t="s">
        <v>44</v>
      </c>
      <c r="I1680" t="s">
        <v>358</v>
      </c>
      <c r="J1680" s="2">
        <v>568.72800000000007</v>
      </c>
      <c r="K1680">
        <v>3</v>
      </c>
      <c r="L1680" s="4"/>
    </row>
    <row r="1681" spans="1:12" x14ac:dyDescent="0.3">
      <c r="A1681" s="1">
        <v>42250</v>
      </c>
      <c r="B1681" s="1">
        <v>42254</v>
      </c>
      <c r="C1681" t="s">
        <v>7</v>
      </c>
      <c r="D1681" t="s">
        <v>531</v>
      </c>
      <c r="E1681" t="s">
        <v>532</v>
      </c>
      <c r="F1681" t="s">
        <v>3</v>
      </c>
      <c r="G1681" t="s">
        <v>4</v>
      </c>
      <c r="H1681" t="s">
        <v>26</v>
      </c>
      <c r="I1681" t="s">
        <v>389</v>
      </c>
      <c r="J1681" s="2">
        <v>7.3120000000000012</v>
      </c>
      <c r="K1681">
        <v>1</v>
      </c>
      <c r="L1681" s="4"/>
    </row>
    <row r="1682" spans="1:12" x14ac:dyDescent="0.3">
      <c r="A1682" s="1">
        <v>42252</v>
      </c>
      <c r="B1682" s="1">
        <v>42252</v>
      </c>
      <c r="C1682" t="s">
        <v>240</v>
      </c>
      <c r="D1682" t="s">
        <v>37</v>
      </c>
      <c r="E1682" t="s">
        <v>38</v>
      </c>
      <c r="F1682" t="s">
        <v>3</v>
      </c>
      <c r="G1682" t="s">
        <v>12</v>
      </c>
      <c r="H1682" t="s">
        <v>35</v>
      </c>
      <c r="I1682" t="s">
        <v>2189</v>
      </c>
      <c r="J1682" s="2">
        <v>24.27</v>
      </c>
      <c r="K1682">
        <v>3</v>
      </c>
      <c r="L1682" s="4"/>
    </row>
    <row r="1683" spans="1:12" x14ac:dyDescent="0.3">
      <c r="A1683" s="1">
        <v>42252</v>
      </c>
      <c r="B1683" s="1">
        <v>42252</v>
      </c>
      <c r="C1683" t="s">
        <v>240</v>
      </c>
      <c r="D1683" t="s">
        <v>37</v>
      </c>
      <c r="E1683" t="s">
        <v>38</v>
      </c>
      <c r="F1683" t="s">
        <v>3</v>
      </c>
      <c r="G1683" t="s">
        <v>74</v>
      </c>
      <c r="H1683" t="s">
        <v>534</v>
      </c>
      <c r="I1683" t="s">
        <v>1188</v>
      </c>
      <c r="J1683" s="2">
        <v>2799.9600000000005</v>
      </c>
      <c r="K1683">
        <v>5</v>
      </c>
      <c r="L1683" s="4"/>
    </row>
    <row r="1684" spans="1:12" x14ac:dyDescent="0.3">
      <c r="A1684" s="1">
        <v>42253</v>
      </c>
      <c r="B1684" s="1">
        <v>42258</v>
      </c>
      <c r="C1684" t="s">
        <v>7</v>
      </c>
      <c r="D1684" t="s">
        <v>72</v>
      </c>
      <c r="E1684" t="s">
        <v>73</v>
      </c>
      <c r="F1684" t="s">
        <v>3</v>
      </c>
      <c r="G1684" t="s">
        <v>74</v>
      </c>
      <c r="H1684" t="s">
        <v>75</v>
      </c>
      <c r="I1684" t="s">
        <v>1574</v>
      </c>
      <c r="J1684" s="2">
        <v>116</v>
      </c>
      <c r="K1684">
        <v>8</v>
      </c>
      <c r="L1684" s="4"/>
    </row>
    <row r="1685" spans="1:12" x14ac:dyDescent="0.3">
      <c r="A1685" s="1">
        <v>42253</v>
      </c>
      <c r="B1685" s="1">
        <v>42254</v>
      </c>
      <c r="C1685" t="s">
        <v>22</v>
      </c>
      <c r="D1685" t="s">
        <v>552</v>
      </c>
      <c r="E1685" t="s">
        <v>553</v>
      </c>
      <c r="F1685" t="s">
        <v>3</v>
      </c>
      <c r="G1685" t="s">
        <v>4</v>
      </c>
      <c r="H1685" t="s">
        <v>5</v>
      </c>
      <c r="I1685" t="s">
        <v>2190</v>
      </c>
      <c r="J1685" s="2">
        <v>96.08</v>
      </c>
      <c r="K1685">
        <v>2</v>
      </c>
      <c r="L1685" s="4"/>
    </row>
    <row r="1686" spans="1:12" x14ac:dyDescent="0.3">
      <c r="A1686" s="1">
        <v>42253</v>
      </c>
      <c r="B1686" s="1">
        <v>42254</v>
      </c>
      <c r="C1686" t="s">
        <v>22</v>
      </c>
      <c r="D1686" t="s">
        <v>552</v>
      </c>
      <c r="E1686" t="s">
        <v>553</v>
      </c>
      <c r="F1686" t="s">
        <v>3</v>
      </c>
      <c r="G1686" t="s">
        <v>4</v>
      </c>
      <c r="H1686" t="s">
        <v>26</v>
      </c>
      <c r="I1686" t="s">
        <v>1817</v>
      </c>
      <c r="J1686" s="2">
        <v>11.68</v>
      </c>
      <c r="K1686">
        <v>2</v>
      </c>
      <c r="L1686" s="4"/>
    </row>
    <row r="1687" spans="1:12" x14ac:dyDescent="0.3">
      <c r="A1687" s="1">
        <v>42253</v>
      </c>
      <c r="B1687" s="1">
        <v>42254</v>
      </c>
      <c r="C1687" t="s">
        <v>22</v>
      </c>
      <c r="D1687" t="s">
        <v>552</v>
      </c>
      <c r="E1687" t="s">
        <v>553</v>
      </c>
      <c r="F1687" t="s">
        <v>3</v>
      </c>
      <c r="G1687" t="s">
        <v>4</v>
      </c>
      <c r="H1687" t="s">
        <v>52</v>
      </c>
      <c r="I1687" t="s">
        <v>1699</v>
      </c>
      <c r="J1687" s="2">
        <v>4.3600000000000003</v>
      </c>
      <c r="K1687">
        <v>2</v>
      </c>
      <c r="L1687" s="4"/>
    </row>
    <row r="1688" spans="1:12" x14ac:dyDescent="0.3">
      <c r="A1688" s="1">
        <v>42256</v>
      </c>
      <c r="B1688" s="1">
        <v>42258</v>
      </c>
      <c r="C1688" t="s">
        <v>0</v>
      </c>
      <c r="D1688" t="s">
        <v>2191</v>
      </c>
      <c r="E1688" t="s">
        <v>2192</v>
      </c>
      <c r="F1688" t="s">
        <v>3</v>
      </c>
      <c r="G1688" t="s">
        <v>4</v>
      </c>
      <c r="H1688" t="s">
        <v>26</v>
      </c>
      <c r="I1688" t="s">
        <v>1730</v>
      </c>
      <c r="J1688" s="2">
        <v>33.024000000000001</v>
      </c>
      <c r="K1688">
        <v>2</v>
      </c>
      <c r="L1688" s="4"/>
    </row>
    <row r="1689" spans="1:12" x14ac:dyDescent="0.3">
      <c r="A1689" s="1">
        <v>42256</v>
      </c>
      <c r="B1689" s="1">
        <v>42258</v>
      </c>
      <c r="C1689" t="s">
        <v>0</v>
      </c>
      <c r="D1689" t="s">
        <v>2191</v>
      </c>
      <c r="E1689" t="s">
        <v>2192</v>
      </c>
      <c r="F1689" t="s">
        <v>3</v>
      </c>
      <c r="G1689" t="s">
        <v>4</v>
      </c>
      <c r="H1689" t="s">
        <v>26</v>
      </c>
      <c r="I1689" t="s">
        <v>2152</v>
      </c>
      <c r="J1689" s="2">
        <v>67.13600000000001</v>
      </c>
      <c r="K1689">
        <v>4</v>
      </c>
      <c r="L1689" s="4"/>
    </row>
    <row r="1690" spans="1:12" x14ac:dyDescent="0.3">
      <c r="A1690" s="1">
        <v>42256</v>
      </c>
      <c r="B1690" s="1">
        <v>42256</v>
      </c>
      <c r="C1690" t="s">
        <v>240</v>
      </c>
      <c r="D1690" t="s">
        <v>2193</v>
      </c>
      <c r="E1690" t="s">
        <v>2194</v>
      </c>
      <c r="F1690" t="s">
        <v>3</v>
      </c>
      <c r="G1690" t="s">
        <v>12</v>
      </c>
      <c r="H1690" t="s">
        <v>44</v>
      </c>
      <c r="I1690" t="s">
        <v>927</v>
      </c>
      <c r="J1690" s="2">
        <v>146.04000000000002</v>
      </c>
      <c r="K1690">
        <v>1</v>
      </c>
      <c r="L1690" s="4"/>
    </row>
    <row r="1691" spans="1:12" x14ac:dyDescent="0.3">
      <c r="A1691" s="1">
        <v>42256</v>
      </c>
      <c r="B1691" s="1">
        <v>42261</v>
      </c>
      <c r="C1691" t="s">
        <v>7</v>
      </c>
      <c r="D1691" t="s">
        <v>982</v>
      </c>
      <c r="E1691" t="s">
        <v>983</v>
      </c>
      <c r="F1691" t="s">
        <v>56</v>
      </c>
      <c r="G1691" t="s">
        <v>12</v>
      </c>
      <c r="H1691" t="s">
        <v>35</v>
      </c>
      <c r="I1691" t="s">
        <v>2104</v>
      </c>
      <c r="J1691" s="2">
        <v>43.13</v>
      </c>
      <c r="K1691">
        <v>1</v>
      </c>
      <c r="L1691" s="4"/>
    </row>
    <row r="1692" spans="1:12" x14ac:dyDescent="0.3">
      <c r="A1692" s="1">
        <v>42256</v>
      </c>
      <c r="B1692" s="1">
        <v>42261</v>
      </c>
      <c r="C1692" t="s">
        <v>7</v>
      </c>
      <c r="D1692" t="s">
        <v>982</v>
      </c>
      <c r="E1692" t="s">
        <v>983</v>
      </c>
      <c r="F1692" t="s">
        <v>56</v>
      </c>
      <c r="G1692" t="s">
        <v>4</v>
      </c>
      <c r="H1692" t="s">
        <v>5</v>
      </c>
      <c r="I1692" t="s">
        <v>2195</v>
      </c>
      <c r="J1692" s="2">
        <v>30.87</v>
      </c>
      <c r="K1692">
        <v>7</v>
      </c>
      <c r="L1692" s="4"/>
    </row>
    <row r="1693" spans="1:12" x14ac:dyDescent="0.3">
      <c r="A1693" s="1">
        <v>42256</v>
      </c>
      <c r="B1693" s="1">
        <v>42263</v>
      </c>
      <c r="C1693" t="s">
        <v>7</v>
      </c>
      <c r="D1693" t="s">
        <v>2196</v>
      </c>
      <c r="E1693" t="s">
        <v>2197</v>
      </c>
      <c r="F1693" t="s">
        <v>3</v>
      </c>
      <c r="G1693" t="s">
        <v>4</v>
      </c>
      <c r="H1693" t="s">
        <v>15</v>
      </c>
      <c r="I1693" t="s">
        <v>155</v>
      </c>
      <c r="J1693" s="2">
        <v>14.88</v>
      </c>
      <c r="K1693">
        <v>2</v>
      </c>
      <c r="L1693" s="4"/>
    </row>
    <row r="1694" spans="1:12" x14ac:dyDescent="0.3">
      <c r="A1694" s="1">
        <v>42256</v>
      </c>
      <c r="B1694" s="1">
        <v>42263</v>
      </c>
      <c r="C1694" t="s">
        <v>7</v>
      </c>
      <c r="D1694" t="s">
        <v>2196</v>
      </c>
      <c r="E1694" t="s">
        <v>2197</v>
      </c>
      <c r="F1694" t="s">
        <v>3</v>
      </c>
      <c r="G1694" t="s">
        <v>4</v>
      </c>
      <c r="H1694" t="s">
        <v>5</v>
      </c>
      <c r="I1694" t="s">
        <v>682</v>
      </c>
      <c r="J1694" s="2">
        <v>34.24</v>
      </c>
      <c r="K1694">
        <v>8</v>
      </c>
      <c r="L1694" s="4"/>
    </row>
    <row r="1695" spans="1:12" x14ac:dyDescent="0.3">
      <c r="A1695" s="1">
        <v>42256</v>
      </c>
      <c r="B1695" s="1">
        <v>42263</v>
      </c>
      <c r="C1695" t="s">
        <v>7</v>
      </c>
      <c r="D1695" t="s">
        <v>2196</v>
      </c>
      <c r="E1695" t="s">
        <v>2197</v>
      </c>
      <c r="F1695" t="s">
        <v>3</v>
      </c>
      <c r="G1695" t="s">
        <v>4</v>
      </c>
      <c r="H1695" t="s">
        <v>10</v>
      </c>
      <c r="I1695" t="s">
        <v>1922</v>
      </c>
      <c r="J1695" s="2">
        <v>261.74</v>
      </c>
      <c r="K1695">
        <v>2</v>
      </c>
      <c r="L1695" s="4"/>
    </row>
    <row r="1696" spans="1:12" x14ac:dyDescent="0.3">
      <c r="A1696" s="1">
        <v>42257</v>
      </c>
      <c r="B1696" s="1">
        <v>42261</v>
      </c>
      <c r="C1696" t="s">
        <v>0</v>
      </c>
      <c r="D1696" t="s">
        <v>2198</v>
      </c>
      <c r="E1696" t="s">
        <v>2199</v>
      </c>
      <c r="F1696" t="s">
        <v>3</v>
      </c>
      <c r="G1696" t="s">
        <v>4</v>
      </c>
      <c r="H1696" t="s">
        <v>26</v>
      </c>
      <c r="I1696" t="s">
        <v>2200</v>
      </c>
      <c r="J1696" s="2">
        <v>55.360000000000007</v>
      </c>
      <c r="K1696">
        <v>4</v>
      </c>
      <c r="L1696" s="4"/>
    </row>
    <row r="1697" spans="1:12" x14ac:dyDescent="0.3">
      <c r="A1697" s="1">
        <v>42258</v>
      </c>
      <c r="B1697" s="1">
        <v>42262</v>
      </c>
      <c r="C1697" t="s">
        <v>7</v>
      </c>
      <c r="D1697" t="s">
        <v>2201</v>
      </c>
      <c r="E1697" t="s">
        <v>2202</v>
      </c>
      <c r="F1697" t="s">
        <v>56</v>
      </c>
      <c r="G1697" t="s">
        <v>4</v>
      </c>
      <c r="H1697" t="s">
        <v>168</v>
      </c>
      <c r="I1697" t="s">
        <v>2203</v>
      </c>
      <c r="J1697" s="2">
        <v>7.38</v>
      </c>
      <c r="K1697">
        <v>2</v>
      </c>
      <c r="L1697" s="4"/>
    </row>
    <row r="1698" spans="1:12" x14ac:dyDescent="0.3">
      <c r="A1698" s="1">
        <v>42258</v>
      </c>
      <c r="B1698" s="1">
        <v>42262</v>
      </c>
      <c r="C1698" t="s">
        <v>7</v>
      </c>
      <c r="D1698" t="s">
        <v>2201</v>
      </c>
      <c r="E1698" t="s">
        <v>2202</v>
      </c>
      <c r="F1698" t="s">
        <v>56</v>
      </c>
      <c r="G1698" t="s">
        <v>4</v>
      </c>
      <c r="H1698" t="s">
        <v>26</v>
      </c>
      <c r="I1698" t="s">
        <v>1500</v>
      </c>
      <c r="J1698" s="2">
        <v>14.256000000000002</v>
      </c>
      <c r="K1698">
        <v>3</v>
      </c>
      <c r="L1698" s="4"/>
    </row>
    <row r="1699" spans="1:12" x14ac:dyDescent="0.3">
      <c r="A1699" s="1">
        <v>42258</v>
      </c>
      <c r="B1699" s="1">
        <v>42262</v>
      </c>
      <c r="C1699" t="s">
        <v>7</v>
      </c>
      <c r="D1699" t="s">
        <v>2201</v>
      </c>
      <c r="E1699" t="s">
        <v>2202</v>
      </c>
      <c r="F1699" t="s">
        <v>56</v>
      </c>
      <c r="G1699" t="s">
        <v>4</v>
      </c>
      <c r="H1699" t="s">
        <v>5</v>
      </c>
      <c r="I1699" t="s">
        <v>2204</v>
      </c>
      <c r="J1699" s="2">
        <v>81.98</v>
      </c>
      <c r="K1699">
        <v>2</v>
      </c>
      <c r="L1699" s="4"/>
    </row>
    <row r="1700" spans="1:12" x14ac:dyDescent="0.3">
      <c r="A1700" s="1">
        <v>42258</v>
      </c>
      <c r="B1700" s="1">
        <v>42262</v>
      </c>
      <c r="C1700" t="s">
        <v>7</v>
      </c>
      <c r="D1700" t="s">
        <v>2201</v>
      </c>
      <c r="E1700" t="s">
        <v>2202</v>
      </c>
      <c r="F1700" t="s">
        <v>56</v>
      </c>
      <c r="G1700" t="s">
        <v>4</v>
      </c>
      <c r="H1700" t="s">
        <v>26</v>
      </c>
      <c r="I1700" t="s">
        <v>1965</v>
      </c>
      <c r="J1700" s="2">
        <v>39.624000000000009</v>
      </c>
      <c r="K1700">
        <v>3</v>
      </c>
      <c r="L1700" s="4"/>
    </row>
    <row r="1701" spans="1:12" x14ac:dyDescent="0.3">
      <c r="A1701" s="1">
        <v>42258</v>
      </c>
      <c r="B1701" s="1">
        <v>42260</v>
      </c>
      <c r="C1701" t="s">
        <v>0</v>
      </c>
      <c r="D1701" t="s">
        <v>2205</v>
      </c>
      <c r="E1701" t="s">
        <v>2206</v>
      </c>
      <c r="F1701" t="s">
        <v>3</v>
      </c>
      <c r="G1701" t="s">
        <v>4</v>
      </c>
      <c r="H1701" t="s">
        <v>26</v>
      </c>
      <c r="I1701" t="s">
        <v>2207</v>
      </c>
      <c r="J1701" s="2">
        <v>276.78400000000005</v>
      </c>
      <c r="K1701">
        <v>2</v>
      </c>
      <c r="L1701" s="4"/>
    </row>
    <row r="1702" spans="1:12" x14ac:dyDescent="0.3">
      <c r="A1702" s="1">
        <v>42259</v>
      </c>
      <c r="B1702" s="1">
        <v>42265</v>
      </c>
      <c r="C1702" t="s">
        <v>7</v>
      </c>
      <c r="D1702" t="s">
        <v>1668</v>
      </c>
      <c r="E1702" t="s">
        <v>1669</v>
      </c>
      <c r="F1702" t="s">
        <v>3</v>
      </c>
      <c r="G1702" t="s">
        <v>4</v>
      </c>
      <c r="H1702" t="s">
        <v>5</v>
      </c>
      <c r="I1702" t="s">
        <v>454</v>
      </c>
      <c r="J1702" s="2">
        <v>7.61</v>
      </c>
      <c r="K1702">
        <v>1</v>
      </c>
      <c r="L1702" s="4"/>
    </row>
    <row r="1703" spans="1:12" x14ac:dyDescent="0.3">
      <c r="A1703" s="1">
        <v>42259</v>
      </c>
      <c r="B1703" s="1">
        <v>42265</v>
      </c>
      <c r="C1703" t="s">
        <v>7</v>
      </c>
      <c r="D1703" t="s">
        <v>1668</v>
      </c>
      <c r="E1703" t="s">
        <v>1669</v>
      </c>
      <c r="F1703" t="s">
        <v>3</v>
      </c>
      <c r="G1703" t="s">
        <v>74</v>
      </c>
      <c r="H1703" t="s">
        <v>75</v>
      </c>
      <c r="I1703" t="s">
        <v>906</v>
      </c>
      <c r="J1703" s="2">
        <v>3347.37</v>
      </c>
      <c r="K1703">
        <v>13</v>
      </c>
      <c r="L1703" s="4"/>
    </row>
    <row r="1704" spans="1:12" x14ac:dyDescent="0.3">
      <c r="A1704" s="1">
        <v>42259</v>
      </c>
      <c r="B1704" s="1">
        <v>42265</v>
      </c>
      <c r="C1704" t="s">
        <v>7</v>
      </c>
      <c r="D1704" t="s">
        <v>1266</v>
      </c>
      <c r="E1704" t="s">
        <v>1267</v>
      </c>
      <c r="F1704" t="s">
        <v>3</v>
      </c>
      <c r="G1704" t="s">
        <v>4</v>
      </c>
      <c r="H1704" t="s">
        <v>10</v>
      </c>
      <c r="I1704" t="s">
        <v>1552</v>
      </c>
      <c r="J1704" s="2">
        <v>332.94</v>
      </c>
      <c r="K1704">
        <v>3</v>
      </c>
      <c r="L1704" s="4"/>
    </row>
    <row r="1705" spans="1:12" x14ac:dyDescent="0.3">
      <c r="A1705" s="1">
        <v>42259</v>
      </c>
      <c r="B1705" s="1">
        <v>42265</v>
      </c>
      <c r="C1705" t="s">
        <v>7</v>
      </c>
      <c r="D1705" t="s">
        <v>1266</v>
      </c>
      <c r="E1705" t="s">
        <v>1267</v>
      </c>
      <c r="F1705" t="s">
        <v>3</v>
      </c>
      <c r="G1705" t="s">
        <v>4</v>
      </c>
      <c r="H1705" t="s">
        <v>26</v>
      </c>
      <c r="I1705" t="s">
        <v>343</v>
      </c>
      <c r="J1705" s="2">
        <v>39.872000000000007</v>
      </c>
      <c r="K1705">
        <v>2</v>
      </c>
      <c r="L1705" s="4"/>
    </row>
    <row r="1706" spans="1:12" x14ac:dyDescent="0.3">
      <c r="A1706" s="1">
        <v>42259</v>
      </c>
      <c r="B1706" s="1">
        <v>42261</v>
      </c>
      <c r="C1706" t="s">
        <v>22</v>
      </c>
      <c r="D1706" t="s">
        <v>2026</v>
      </c>
      <c r="E1706" t="s">
        <v>2027</v>
      </c>
      <c r="F1706" t="s">
        <v>25</v>
      </c>
      <c r="G1706" t="s">
        <v>4</v>
      </c>
      <c r="H1706" t="s">
        <v>15</v>
      </c>
      <c r="I1706" t="s">
        <v>2208</v>
      </c>
      <c r="J1706" s="2">
        <v>2.9120000000000004</v>
      </c>
      <c r="K1706">
        <v>2</v>
      </c>
      <c r="L1706" s="4"/>
    </row>
    <row r="1707" spans="1:12" x14ac:dyDescent="0.3">
      <c r="A1707" s="1">
        <v>42259</v>
      </c>
      <c r="B1707" s="1">
        <v>42261</v>
      </c>
      <c r="C1707" t="s">
        <v>22</v>
      </c>
      <c r="D1707" t="s">
        <v>2026</v>
      </c>
      <c r="E1707" t="s">
        <v>2027</v>
      </c>
      <c r="F1707" t="s">
        <v>25</v>
      </c>
      <c r="G1707" t="s">
        <v>4</v>
      </c>
      <c r="H1707" t="s">
        <v>5</v>
      </c>
      <c r="I1707" t="s">
        <v>579</v>
      </c>
      <c r="J1707" s="2">
        <v>20.736000000000004</v>
      </c>
      <c r="K1707">
        <v>4</v>
      </c>
      <c r="L1707" s="4"/>
    </row>
    <row r="1708" spans="1:12" x14ac:dyDescent="0.3">
      <c r="A1708" s="1">
        <v>42259</v>
      </c>
      <c r="B1708" s="1">
        <v>42261</v>
      </c>
      <c r="C1708" t="s">
        <v>22</v>
      </c>
      <c r="D1708" t="s">
        <v>2026</v>
      </c>
      <c r="E1708" t="s">
        <v>2027</v>
      </c>
      <c r="F1708" t="s">
        <v>25</v>
      </c>
      <c r="G1708" t="s">
        <v>4</v>
      </c>
      <c r="H1708" t="s">
        <v>5</v>
      </c>
      <c r="I1708" t="s">
        <v>557</v>
      </c>
      <c r="J1708" s="2">
        <v>9.5680000000000014</v>
      </c>
      <c r="K1708">
        <v>2</v>
      </c>
      <c r="L1708" s="4"/>
    </row>
    <row r="1709" spans="1:12" x14ac:dyDescent="0.3">
      <c r="A1709" s="1">
        <v>42260</v>
      </c>
      <c r="B1709" s="1">
        <v>42262</v>
      </c>
      <c r="C1709" t="s">
        <v>0</v>
      </c>
      <c r="D1709" t="s">
        <v>2209</v>
      </c>
      <c r="E1709" t="s">
        <v>2210</v>
      </c>
      <c r="F1709" t="s">
        <v>115</v>
      </c>
      <c r="G1709" t="s">
        <v>12</v>
      </c>
      <c r="H1709" t="s">
        <v>35</v>
      </c>
      <c r="I1709" t="s">
        <v>205</v>
      </c>
      <c r="J1709" s="2">
        <v>15.136000000000003</v>
      </c>
      <c r="K1709">
        <v>4</v>
      </c>
      <c r="L1709" s="4"/>
    </row>
    <row r="1710" spans="1:12" x14ac:dyDescent="0.3">
      <c r="A1710" s="1">
        <v>42260</v>
      </c>
      <c r="B1710" s="1">
        <v>42262</v>
      </c>
      <c r="C1710" t="s">
        <v>0</v>
      </c>
      <c r="D1710" t="s">
        <v>2209</v>
      </c>
      <c r="E1710" t="s">
        <v>2210</v>
      </c>
      <c r="F1710" t="s">
        <v>115</v>
      </c>
      <c r="G1710" t="s">
        <v>12</v>
      </c>
      <c r="H1710" t="s">
        <v>70</v>
      </c>
      <c r="I1710" t="s">
        <v>1423</v>
      </c>
      <c r="J1710" s="2">
        <v>466.76800000000003</v>
      </c>
      <c r="K1710">
        <v>2</v>
      </c>
      <c r="L1710" s="4"/>
    </row>
    <row r="1711" spans="1:12" x14ac:dyDescent="0.3">
      <c r="A1711" s="1">
        <v>42260</v>
      </c>
      <c r="B1711" s="1">
        <v>42262</v>
      </c>
      <c r="C1711" t="s">
        <v>0</v>
      </c>
      <c r="D1711" t="s">
        <v>2209</v>
      </c>
      <c r="E1711" t="s">
        <v>2210</v>
      </c>
      <c r="F1711" t="s">
        <v>115</v>
      </c>
      <c r="G1711" t="s">
        <v>12</v>
      </c>
      <c r="H1711" t="s">
        <v>35</v>
      </c>
      <c r="I1711" t="s">
        <v>2211</v>
      </c>
      <c r="J1711" s="2">
        <v>15.231999999999999</v>
      </c>
      <c r="K1711">
        <v>1</v>
      </c>
      <c r="L1711" s="4"/>
    </row>
    <row r="1712" spans="1:12" x14ac:dyDescent="0.3">
      <c r="A1712" s="1">
        <v>42260</v>
      </c>
      <c r="B1712" s="1">
        <v>42262</v>
      </c>
      <c r="C1712" t="s">
        <v>0</v>
      </c>
      <c r="D1712" t="s">
        <v>2209</v>
      </c>
      <c r="E1712" t="s">
        <v>2210</v>
      </c>
      <c r="F1712" t="s">
        <v>115</v>
      </c>
      <c r="G1712" t="s">
        <v>4</v>
      </c>
      <c r="H1712" t="s">
        <v>168</v>
      </c>
      <c r="I1712" t="s">
        <v>1784</v>
      </c>
      <c r="J1712" s="2">
        <v>6.2640000000000002</v>
      </c>
      <c r="K1712">
        <v>3</v>
      </c>
      <c r="L1712" s="4"/>
    </row>
    <row r="1713" spans="1:12" x14ac:dyDescent="0.3">
      <c r="A1713" s="1">
        <v>42260</v>
      </c>
      <c r="B1713" s="1">
        <v>42264</v>
      </c>
      <c r="C1713" t="s">
        <v>7</v>
      </c>
      <c r="D1713" t="s">
        <v>2212</v>
      </c>
      <c r="E1713" t="s">
        <v>2213</v>
      </c>
      <c r="F1713" t="s">
        <v>56</v>
      </c>
      <c r="G1713" t="s">
        <v>4</v>
      </c>
      <c r="H1713" t="s">
        <v>52</v>
      </c>
      <c r="I1713" t="s">
        <v>1662</v>
      </c>
      <c r="J1713" s="2">
        <v>10.47</v>
      </c>
      <c r="K1713">
        <v>3</v>
      </c>
      <c r="L1713" s="4"/>
    </row>
    <row r="1714" spans="1:12" x14ac:dyDescent="0.3">
      <c r="A1714" s="1">
        <v>42260</v>
      </c>
      <c r="B1714" s="1">
        <v>42264</v>
      </c>
      <c r="C1714" t="s">
        <v>7</v>
      </c>
      <c r="D1714" t="s">
        <v>2212</v>
      </c>
      <c r="E1714" t="s">
        <v>2213</v>
      </c>
      <c r="F1714" t="s">
        <v>56</v>
      </c>
      <c r="G1714" t="s">
        <v>4</v>
      </c>
      <c r="H1714" t="s">
        <v>168</v>
      </c>
      <c r="I1714" t="s">
        <v>2203</v>
      </c>
      <c r="J1714" s="2">
        <v>11.07</v>
      </c>
      <c r="K1714">
        <v>3</v>
      </c>
      <c r="L1714" s="4"/>
    </row>
    <row r="1715" spans="1:12" x14ac:dyDescent="0.3">
      <c r="A1715" s="1">
        <v>42260</v>
      </c>
      <c r="B1715" s="1">
        <v>42264</v>
      </c>
      <c r="C1715" t="s">
        <v>7</v>
      </c>
      <c r="D1715" t="s">
        <v>2212</v>
      </c>
      <c r="E1715" t="s">
        <v>2213</v>
      </c>
      <c r="F1715" t="s">
        <v>56</v>
      </c>
      <c r="G1715" t="s">
        <v>4</v>
      </c>
      <c r="H1715" t="s">
        <v>26</v>
      </c>
      <c r="I1715" t="s">
        <v>2214</v>
      </c>
      <c r="J1715" s="2">
        <v>20.704000000000001</v>
      </c>
      <c r="K1715">
        <v>4</v>
      </c>
      <c r="L1715" s="4"/>
    </row>
    <row r="1716" spans="1:12" x14ac:dyDescent="0.3">
      <c r="A1716" s="1">
        <v>42260</v>
      </c>
      <c r="B1716" s="1">
        <v>42261</v>
      </c>
      <c r="C1716" t="s">
        <v>240</v>
      </c>
      <c r="D1716" t="s">
        <v>2215</v>
      </c>
      <c r="E1716" t="s">
        <v>2216</v>
      </c>
      <c r="F1716" t="s">
        <v>115</v>
      </c>
      <c r="G1716" t="s">
        <v>74</v>
      </c>
      <c r="H1716" t="s">
        <v>147</v>
      </c>
      <c r="I1716" t="s">
        <v>2217</v>
      </c>
      <c r="J1716" s="2">
        <v>146.952</v>
      </c>
      <c r="K1716">
        <v>3</v>
      </c>
      <c r="L1716" s="4"/>
    </row>
    <row r="1717" spans="1:12" x14ac:dyDescent="0.3">
      <c r="A1717" s="1">
        <v>42260</v>
      </c>
      <c r="B1717" s="1">
        <v>42261</v>
      </c>
      <c r="C1717" t="s">
        <v>240</v>
      </c>
      <c r="D1717" t="s">
        <v>2215</v>
      </c>
      <c r="E1717" t="s">
        <v>2216</v>
      </c>
      <c r="F1717" t="s">
        <v>115</v>
      </c>
      <c r="G1717" t="s">
        <v>12</v>
      </c>
      <c r="H1717" t="s">
        <v>70</v>
      </c>
      <c r="I1717" t="s">
        <v>1989</v>
      </c>
      <c r="J1717" s="2">
        <v>83.13600000000001</v>
      </c>
      <c r="K1717">
        <v>4</v>
      </c>
      <c r="L1717" s="4"/>
    </row>
    <row r="1718" spans="1:12" x14ac:dyDescent="0.3">
      <c r="A1718" s="1">
        <v>42263</v>
      </c>
      <c r="B1718" s="1">
        <v>42268</v>
      </c>
      <c r="C1718" t="s">
        <v>7</v>
      </c>
      <c r="D1718" t="s">
        <v>2218</v>
      </c>
      <c r="E1718" t="s">
        <v>2219</v>
      </c>
      <c r="F1718" t="s">
        <v>56</v>
      </c>
      <c r="G1718" t="s">
        <v>4</v>
      </c>
      <c r="H1718" t="s">
        <v>5</v>
      </c>
      <c r="I1718" t="s">
        <v>2220</v>
      </c>
      <c r="J1718" s="2">
        <v>21.400000000000002</v>
      </c>
      <c r="K1718">
        <v>5</v>
      </c>
      <c r="L1718" s="4"/>
    </row>
    <row r="1719" spans="1:12" x14ac:dyDescent="0.3">
      <c r="A1719" s="1">
        <v>42263</v>
      </c>
      <c r="B1719" s="1">
        <v>42268</v>
      </c>
      <c r="C1719" t="s">
        <v>7</v>
      </c>
      <c r="D1719" t="s">
        <v>2218</v>
      </c>
      <c r="E1719" t="s">
        <v>2219</v>
      </c>
      <c r="F1719" t="s">
        <v>56</v>
      </c>
      <c r="G1719" t="s">
        <v>4</v>
      </c>
      <c r="H1719" t="s">
        <v>26</v>
      </c>
      <c r="I1719" t="s">
        <v>1050</v>
      </c>
      <c r="J1719" s="2">
        <v>48.664000000000001</v>
      </c>
      <c r="K1719">
        <v>7</v>
      </c>
      <c r="L1719" s="4"/>
    </row>
    <row r="1720" spans="1:12" x14ac:dyDescent="0.3">
      <c r="A1720" s="1">
        <v>42263</v>
      </c>
      <c r="B1720" s="1">
        <v>42268</v>
      </c>
      <c r="C1720" t="s">
        <v>7</v>
      </c>
      <c r="D1720" t="s">
        <v>911</v>
      </c>
      <c r="E1720" t="s">
        <v>912</v>
      </c>
      <c r="F1720" t="s">
        <v>224</v>
      </c>
      <c r="G1720" t="s">
        <v>4</v>
      </c>
      <c r="H1720" t="s">
        <v>26</v>
      </c>
      <c r="I1720" t="s">
        <v>1487</v>
      </c>
      <c r="J1720" s="2">
        <v>20.416</v>
      </c>
      <c r="K1720">
        <v>4</v>
      </c>
      <c r="L1720" s="4"/>
    </row>
    <row r="1721" spans="1:12" x14ac:dyDescent="0.3">
      <c r="A1721" s="1">
        <v>42263</v>
      </c>
      <c r="B1721" s="1">
        <v>42268</v>
      </c>
      <c r="C1721" t="s">
        <v>7</v>
      </c>
      <c r="D1721" t="s">
        <v>911</v>
      </c>
      <c r="E1721" t="s">
        <v>912</v>
      </c>
      <c r="F1721" t="s">
        <v>224</v>
      </c>
      <c r="G1721" t="s">
        <v>12</v>
      </c>
      <c r="H1721" t="s">
        <v>44</v>
      </c>
      <c r="I1721" t="s">
        <v>1037</v>
      </c>
      <c r="J1721" s="2">
        <v>1128.3899999999999</v>
      </c>
      <c r="K1721">
        <v>3</v>
      </c>
      <c r="L1721" s="4"/>
    </row>
    <row r="1722" spans="1:12" x14ac:dyDescent="0.3">
      <c r="A1722" s="1">
        <v>42263</v>
      </c>
      <c r="B1722" s="1">
        <v>42268</v>
      </c>
      <c r="C1722" t="s">
        <v>7</v>
      </c>
      <c r="D1722" t="s">
        <v>806</v>
      </c>
      <c r="E1722" t="s">
        <v>807</v>
      </c>
      <c r="F1722" t="s">
        <v>56</v>
      </c>
      <c r="G1722" t="s">
        <v>4</v>
      </c>
      <c r="H1722" t="s">
        <v>15</v>
      </c>
      <c r="I1722" t="s">
        <v>2221</v>
      </c>
      <c r="J1722" s="2">
        <v>35.4</v>
      </c>
      <c r="K1722">
        <v>5</v>
      </c>
      <c r="L1722" s="4"/>
    </row>
    <row r="1723" spans="1:12" x14ac:dyDescent="0.3">
      <c r="A1723" s="1">
        <v>42264</v>
      </c>
      <c r="B1723" s="1">
        <v>42270</v>
      </c>
      <c r="C1723" t="s">
        <v>7</v>
      </c>
      <c r="D1723" t="s">
        <v>408</v>
      </c>
      <c r="E1723" t="s">
        <v>409</v>
      </c>
      <c r="F1723" t="s">
        <v>3</v>
      </c>
      <c r="G1723" t="s">
        <v>4</v>
      </c>
      <c r="H1723" t="s">
        <v>5</v>
      </c>
      <c r="I1723" t="s">
        <v>487</v>
      </c>
      <c r="J1723" s="2">
        <v>12.96</v>
      </c>
      <c r="K1723">
        <v>2</v>
      </c>
      <c r="L1723" s="4"/>
    </row>
    <row r="1724" spans="1:12" x14ac:dyDescent="0.3">
      <c r="A1724" s="1">
        <v>42264</v>
      </c>
      <c r="B1724" s="1">
        <v>42270</v>
      </c>
      <c r="C1724" t="s">
        <v>7</v>
      </c>
      <c r="D1724" t="s">
        <v>2222</v>
      </c>
      <c r="E1724" t="s">
        <v>2223</v>
      </c>
      <c r="F1724" t="s">
        <v>3</v>
      </c>
      <c r="G1724" t="s">
        <v>12</v>
      </c>
      <c r="H1724" t="s">
        <v>13</v>
      </c>
      <c r="I1724" t="s">
        <v>2224</v>
      </c>
      <c r="J1724" s="2">
        <v>273.666</v>
      </c>
      <c r="K1724">
        <v>2</v>
      </c>
      <c r="L1724" s="4"/>
    </row>
    <row r="1725" spans="1:12" x14ac:dyDescent="0.3">
      <c r="A1725" s="1">
        <v>42264</v>
      </c>
      <c r="B1725" s="1">
        <v>42270</v>
      </c>
      <c r="C1725" t="s">
        <v>7</v>
      </c>
      <c r="D1725" t="s">
        <v>2222</v>
      </c>
      <c r="E1725" t="s">
        <v>2223</v>
      </c>
      <c r="F1725" t="s">
        <v>3</v>
      </c>
      <c r="G1725" t="s">
        <v>4</v>
      </c>
      <c r="H1725" t="s">
        <v>20</v>
      </c>
      <c r="I1725" t="s">
        <v>2225</v>
      </c>
      <c r="J1725" s="2">
        <v>17.48</v>
      </c>
      <c r="K1725">
        <v>4</v>
      </c>
      <c r="L1725" s="4"/>
    </row>
    <row r="1726" spans="1:12" x14ac:dyDescent="0.3">
      <c r="A1726" s="1">
        <v>42265</v>
      </c>
      <c r="B1726" s="1">
        <v>42270</v>
      </c>
      <c r="C1726" t="s">
        <v>7</v>
      </c>
      <c r="D1726" t="s">
        <v>2226</v>
      </c>
      <c r="E1726" t="s">
        <v>2227</v>
      </c>
      <c r="F1726" t="s">
        <v>3</v>
      </c>
      <c r="G1726" t="s">
        <v>4</v>
      </c>
      <c r="H1726" t="s">
        <v>15</v>
      </c>
      <c r="I1726" t="s">
        <v>2228</v>
      </c>
      <c r="J1726" s="2">
        <v>20.100000000000001</v>
      </c>
      <c r="K1726">
        <v>3</v>
      </c>
      <c r="L1726" s="4"/>
    </row>
    <row r="1727" spans="1:12" x14ac:dyDescent="0.3">
      <c r="A1727" s="1">
        <v>42265</v>
      </c>
      <c r="B1727" s="1">
        <v>42270</v>
      </c>
      <c r="C1727" t="s">
        <v>7</v>
      </c>
      <c r="D1727" t="s">
        <v>2226</v>
      </c>
      <c r="E1727" t="s">
        <v>2227</v>
      </c>
      <c r="F1727" t="s">
        <v>3</v>
      </c>
      <c r="G1727" t="s">
        <v>74</v>
      </c>
      <c r="H1727" t="s">
        <v>147</v>
      </c>
      <c r="I1727" t="s">
        <v>2112</v>
      </c>
      <c r="J1727" s="2">
        <v>73.584000000000003</v>
      </c>
      <c r="K1727">
        <v>2</v>
      </c>
      <c r="L1727" s="4"/>
    </row>
    <row r="1728" spans="1:12" x14ac:dyDescent="0.3">
      <c r="A1728" s="1">
        <v>42265</v>
      </c>
      <c r="B1728" s="1">
        <v>42270</v>
      </c>
      <c r="C1728" t="s">
        <v>7</v>
      </c>
      <c r="D1728" t="s">
        <v>2226</v>
      </c>
      <c r="E1728" t="s">
        <v>2227</v>
      </c>
      <c r="F1728" t="s">
        <v>3</v>
      </c>
      <c r="G1728" t="s">
        <v>4</v>
      </c>
      <c r="H1728" t="s">
        <v>5</v>
      </c>
      <c r="I1728" t="s">
        <v>869</v>
      </c>
      <c r="J1728" s="2">
        <v>6.48</v>
      </c>
      <c r="K1728">
        <v>1</v>
      </c>
      <c r="L1728" s="4"/>
    </row>
    <row r="1729" spans="1:12" x14ac:dyDescent="0.3">
      <c r="A1729" s="1">
        <v>42265</v>
      </c>
      <c r="B1729" s="1">
        <v>42269</v>
      </c>
      <c r="C1729" t="s">
        <v>7</v>
      </c>
      <c r="D1729" t="s">
        <v>2229</v>
      </c>
      <c r="E1729" t="s">
        <v>2230</v>
      </c>
      <c r="F1729" t="s">
        <v>56</v>
      </c>
      <c r="G1729" t="s">
        <v>12</v>
      </c>
      <c r="H1729" t="s">
        <v>70</v>
      </c>
      <c r="I1729" t="s">
        <v>2231</v>
      </c>
      <c r="J1729" s="2">
        <v>113.88800000000002</v>
      </c>
      <c r="K1729">
        <v>2</v>
      </c>
      <c r="L1729" s="4"/>
    </row>
    <row r="1730" spans="1:12" x14ac:dyDescent="0.3">
      <c r="A1730" s="1">
        <v>42265</v>
      </c>
      <c r="B1730" s="1">
        <v>42269</v>
      </c>
      <c r="C1730" t="s">
        <v>7</v>
      </c>
      <c r="D1730" t="s">
        <v>2229</v>
      </c>
      <c r="E1730" t="s">
        <v>2230</v>
      </c>
      <c r="F1730" t="s">
        <v>56</v>
      </c>
      <c r="G1730" t="s">
        <v>74</v>
      </c>
      <c r="H1730" t="s">
        <v>147</v>
      </c>
      <c r="I1730" t="s">
        <v>1066</v>
      </c>
      <c r="J1730" s="2">
        <v>105.584</v>
      </c>
      <c r="K1730">
        <v>2</v>
      </c>
      <c r="L1730" s="4"/>
    </row>
    <row r="1731" spans="1:12" x14ac:dyDescent="0.3">
      <c r="A1731" s="1">
        <v>42265</v>
      </c>
      <c r="B1731" s="1">
        <v>42271</v>
      </c>
      <c r="C1731" t="s">
        <v>7</v>
      </c>
      <c r="D1731" t="s">
        <v>2232</v>
      </c>
      <c r="E1731" t="s">
        <v>2233</v>
      </c>
      <c r="F1731" t="s">
        <v>56</v>
      </c>
      <c r="G1731" t="s">
        <v>4</v>
      </c>
      <c r="H1731" t="s">
        <v>168</v>
      </c>
      <c r="I1731" t="s">
        <v>2015</v>
      </c>
      <c r="J1731" s="2">
        <v>12.32</v>
      </c>
      <c r="K1731">
        <v>4</v>
      </c>
      <c r="L1731" s="4"/>
    </row>
    <row r="1732" spans="1:12" x14ac:dyDescent="0.3">
      <c r="A1732" s="1">
        <v>42266</v>
      </c>
      <c r="B1732" s="1">
        <v>42270</v>
      </c>
      <c r="C1732" t="s">
        <v>7</v>
      </c>
      <c r="D1732" t="s">
        <v>2234</v>
      </c>
      <c r="E1732" t="s">
        <v>2235</v>
      </c>
      <c r="F1732" t="s">
        <v>3</v>
      </c>
      <c r="G1732" t="s">
        <v>12</v>
      </c>
      <c r="H1732" t="s">
        <v>70</v>
      </c>
      <c r="I1732" t="s">
        <v>462</v>
      </c>
      <c r="J1732" s="2">
        <v>801.5680000000001</v>
      </c>
      <c r="K1732">
        <v>2</v>
      </c>
      <c r="L1732" s="4"/>
    </row>
    <row r="1733" spans="1:12" x14ac:dyDescent="0.3">
      <c r="A1733" s="1">
        <v>42266</v>
      </c>
      <c r="B1733" s="1">
        <v>42270</v>
      </c>
      <c r="C1733" t="s">
        <v>7</v>
      </c>
      <c r="D1733" t="s">
        <v>2234</v>
      </c>
      <c r="E1733" t="s">
        <v>2235</v>
      </c>
      <c r="F1733" t="s">
        <v>3</v>
      </c>
      <c r="G1733" t="s">
        <v>4</v>
      </c>
      <c r="H1733" t="s">
        <v>5</v>
      </c>
      <c r="I1733" t="s">
        <v>2204</v>
      </c>
      <c r="J1733" s="2">
        <v>368.91</v>
      </c>
      <c r="K1733">
        <v>9</v>
      </c>
      <c r="L1733" s="4"/>
    </row>
    <row r="1734" spans="1:12" x14ac:dyDescent="0.3">
      <c r="A1734" s="1">
        <v>42266</v>
      </c>
      <c r="B1734" s="1">
        <v>42270</v>
      </c>
      <c r="C1734" t="s">
        <v>7</v>
      </c>
      <c r="D1734" t="s">
        <v>2234</v>
      </c>
      <c r="E1734" t="s">
        <v>2235</v>
      </c>
      <c r="F1734" t="s">
        <v>3</v>
      </c>
      <c r="G1734" t="s">
        <v>12</v>
      </c>
      <c r="H1734" t="s">
        <v>70</v>
      </c>
      <c r="I1734" t="s">
        <v>1931</v>
      </c>
      <c r="J1734" s="2">
        <v>885.52800000000002</v>
      </c>
      <c r="K1734">
        <v>9</v>
      </c>
      <c r="L1734" s="4"/>
    </row>
    <row r="1735" spans="1:12" x14ac:dyDescent="0.3">
      <c r="A1735" s="1">
        <v>42266</v>
      </c>
      <c r="B1735" s="1">
        <v>42270</v>
      </c>
      <c r="C1735" t="s">
        <v>7</v>
      </c>
      <c r="D1735" t="s">
        <v>1967</v>
      </c>
      <c r="E1735" t="s">
        <v>1968</v>
      </c>
      <c r="F1735" t="s">
        <v>3</v>
      </c>
      <c r="G1735" t="s">
        <v>74</v>
      </c>
      <c r="H1735" t="s">
        <v>147</v>
      </c>
      <c r="I1735" t="s">
        <v>690</v>
      </c>
      <c r="J1735" s="2">
        <v>239.98400000000004</v>
      </c>
      <c r="K1735">
        <v>2</v>
      </c>
      <c r="L1735" s="4"/>
    </row>
    <row r="1736" spans="1:12" x14ac:dyDescent="0.3">
      <c r="A1736" s="1">
        <v>42267</v>
      </c>
      <c r="B1736" s="1">
        <v>42271</v>
      </c>
      <c r="C1736" t="s">
        <v>7</v>
      </c>
      <c r="D1736" t="s">
        <v>1926</v>
      </c>
      <c r="E1736" t="s">
        <v>1927</v>
      </c>
      <c r="F1736" t="s">
        <v>3</v>
      </c>
      <c r="G1736" t="s">
        <v>4</v>
      </c>
      <c r="H1736" t="s">
        <v>5</v>
      </c>
      <c r="I1736" t="s">
        <v>1033</v>
      </c>
      <c r="J1736" s="2">
        <v>159.88</v>
      </c>
      <c r="K1736">
        <v>7</v>
      </c>
      <c r="L1736" s="4"/>
    </row>
    <row r="1737" spans="1:12" x14ac:dyDescent="0.3">
      <c r="A1737" s="1">
        <v>42267</v>
      </c>
      <c r="B1737" s="1">
        <v>42272</v>
      </c>
      <c r="C1737" t="s">
        <v>0</v>
      </c>
      <c r="D1737" t="s">
        <v>2232</v>
      </c>
      <c r="E1737" t="s">
        <v>2233</v>
      </c>
      <c r="F1737" t="s">
        <v>3</v>
      </c>
      <c r="G1737" t="s">
        <v>4</v>
      </c>
      <c r="H1737" t="s">
        <v>26</v>
      </c>
      <c r="I1737" t="s">
        <v>404</v>
      </c>
      <c r="J1737" s="2">
        <v>11.952000000000002</v>
      </c>
      <c r="K1737">
        <v>3</v>
      </c>
      <c r="L1737" s="4"/>
    </row>
    <row r="1738" spans="1:12" x14ac:dyDescent="0.3">
      <c r="A1738" s="1">
        <v>42267</v>
      </c>
      <c r="B1738" s="1">
        <v>42272</v>
      </c>
      <c r="C1738" t="s">
        <v>0</v>
      </c>
      <c r="D1738" t="s">
        <v>2232</v>
      </c>
      <c r="E1738" t="s">
        <v>2233</v>
      </c>
      <c r="F1738" t="s">
        <v>3</v>
      </c>
      <c r="G1738" t="s">
        <v>4</v>
      </c>
      <c r="H1738" t="s">
        <v>78</v>
      </c>
      <c r="I1738" t="s">
        <v>2236</v>
      </c>
      <c r="J1738" s="2">
        <v>6.24</v>
      </c>
      <c r="K1738">
        <v>3</v>
      </c>
      <c r="L1738" s="4"/>
    </row>
    <row r="1739" spans="1:12" x14ac:dyDescent="0.3">
      <c r="A1739" s="1">
        <v>42267</v>
      </c>
      <c r="B1739" s="1">
        <v>42271</v>
      </c>
      <c r="C1739" t="s">
        <v>7</v>
      </c>
      <c r="D1739" t="s">
        <v>208</v>
      </c>
      <c r="E1739" t="s">
        <v>209</v>
      </c>
      <c r="F1739" t="s">
        <v>3</v>
      </c>
      <c r="G1739" t="s">
        <v>4</v>
      </c>
      <c r="H1739" t="s">
        <v>26</v>
      </c>
      <c r="I1739" t="s">
        <v>569</v>
      </c>
      <c r="J1739" s="2">
        <v>8.9280000000000008</v>
      </c>
      <c r="K1739">
        <v>2</v>
      </c>
      <c r="L1739" s="4"/>
    </row>
    <row r="1740" spans="1:12" x14ac:dyDescent="0.3">
      <c r="A1740" s="1">
        <v>42268</v>
      </c>
      <c r="B1740" s="1">
        <v>42272</v>
      </c>
      <c r="C1740" t="s">
        <v>7</v>
      </c>
      <c r="D1740" t="s">
        <v>2237</v>
      </c>
      <c r="E1740" t="s">
        <v>2238</v>
      </c>
      <c r="F1740" t="s">
        <v>3</v>
      </c>
      <c r="G1740" t="s">
        <v>4</v>
      </c>
      <c r="H1740" t="s">
        <v>5</v>
      </c>
      <c r="I1740" t="s">
        <v>2239</v>
      </c>
      <c r="J1740" s="2">
        <v>65.789999999999992</v>
      </c>
      <c r="K1740">
        <v>9</v>
      </c>
      <c r="L1740" s="4"/>
    </row>
    <row r="1741" spans="1:12" x14ac:dyDescent="0.3">
      <c r="A1741" s="1">
        <v>42268</v>
      </c>
      <c r="B1741" s="1">
        <v>42272</v>
      </c>
      <c r="C1741" t="s">
        <v>7</v>
      </c>
      <c r="D1741" t="s">
        <v>2237</v>
      </c>
      <c r="E1741" t="s">
        <v>2238</v>
      </c>
      <c r="F1741" t="s">
        <v>3</v>
      </c>
      <c r="G1741" t="s">
        <v>4</v>
      </c>
      <c r="H1741" t="s">
        <v>26</v>
      </c>
      <c r="I1741" t="s">
        <v>2240</v>
      </c>
      <c r="J1741" s="2">
        <v>271.98400000000004</v>
      </c>
      <c r="K1741">
        <v>2</v>
      </c>
      <c r="L1741" s="4"/>
    </row>
    <row r="1742" spans="1:12" x14ac:dyDescent="0.3">
      <c r="A1742" s="1">
        <v>42268</v>
      </c>
      <c r="B1742" s="1">
        <v>42272</v>
      </c>
      <c r="C1742" t="s">
        <v>7</v>
      </c>
      <c r="D1742" t="s">
        <v>2237</v>
      </c>
      <c r="E1742" t="s">
        <v>2238</v>
      </c>
      <c r="F1742" t="s">
        <v>3</v>
      </c>
      <c r="G1742" t="s">
        <v>4</v>
      </c>
      <c r="H1742" t="s">
        <v>15</v>
      </c>
      <c r="I1742" t="s">
        <v>861</v>
      </c>
      <c r="J1742" s="2">
        <v>11.76</v>
      </c>
      <c r="K1742">
        <v>4</v>
      </c>
      <c r="L1742" s="4"/>
    </row>
    <row r="1743" spans="1:12" x14ac:dyDescent="0.3">
      <c r="A1743" s="1">
        <v>42268</v>
      </c>
      <c r="B1743" s="1">
        <v>42272</v>
      </c>
      <c r="C1743" t="s">
        <v>7</v>
      </c>
      <c r="D1743" t="s">
        <v>2237</v>
      </c>
      <c r="E1743" t="s">
        <v>2238</v>
      </c>
      <c r="F1743" t="s">
        <v>3</v>
      </c>
      <c r="G1743" t="s">
        <v>4</v>
      </c>
      <c r="H1743" t="s">
        <v>5</v>
      </c>
      <c r="I1743" t="s">
        <v>2241</v>
      </c>
      <c r="J1743" s="2">
        <v>77.52</v>
      </c>
      <c r="K1743">
        <v>2</v>
      </c>
      <c r="L1743" s="4"/>
    </row>
    <row r="1744" spans="1:12" x14ac:dyDescent="0.3">
      <c r="A1744" s="1">
        <v>42268</v>
      </c>
      <c r="B1744" s="1">
        <v>42272</v>
      </c>
      <c r="C1744" t="s">
        <v>7</v>
      </c>
      <c r="D1744" t="s">
        <v>2237</v>
      </c>
      <c r="E1744" t="s">
        <v>2238</v>
      </c>
      <c r="F1744" t="s">
        <v>3</v>
      </c>
      <c r="G1744" t="s">
        <v>4</v>
      </c>
      <c r="H1744" t="s">
        <v>26</v>
      </c>
      <c r="I1744" t="s">
        <v>2242</v>
      </c>
      <c r="J1744" s="2">
        <v>48.64</v>
      </c>
      <c r="K1744">
        <v>2</v>
      </c>
      <c r="L1744" s="4"/>
    </row>
    <row r="1745" spans="1:12" x14ac:dyDescent="0.3">
      <c r="A1745" s="1">
        <v>42268</v>
      </c>
      <c r="B1745" s="1">
        <v>42272</v>
      </c>
      <c r="C1745" t="s">
        <v>7</v>
      </c>
      <c r="D1745" t="s">
        <v>1257</v>
      </c>
      <c r="E1745" t="s">
        <v>1258</v>
      </c>
      <c r="F1745" t="s">
        <v>56</v>
      </c>
      <c r="G1745" t="s">
        <v>12</v>
      </c>
      <c r="H1745" t="s">
        <v>13</v>
      </c>
      <c r="I1745" t="s">
        <v>2243</v>
      </c>
      <c r="J1745" s="2">
        <v>163.88</v>
      </c>
      <c r="K1745">
        <v>2</v>
      </c>
      <c r="L1745" s="4"/>
    </row>
    <row r="1746" spans="1:12" x14ac:dyDescent="0.3">
      <c r="A1746" s="1">
        <v>42270</v>
      </c>
      <c r="B1746" s="1">
        <v>42275</v>
      </c>
      <c r="C1746" t="s">
        <v>7</v>
      </c>
      <c r="D1746" t="s">
        <v>1893</v>
      </c>
      <c r="E1746" t="s">
        <v>1894</v>
      </c>
      <c r="F1746" t="s">
        <v>115</v>
      </c>
      <c r="G1746" t="s">
        <v>12</v>
      </c>
      <c r="H1746" t="s">
        <v>35</v>
      </c>
      <c r="I1746" t="s">
        <v>344</v>
      </c>
      <c r="J1746" s="2">
        <v>68.432000000000016</v>
      </c>
      <c r="K1746">
        <v>7</v>
      </c>
      <c r="L1746" s="4"/>
    </row>
    <row r="1747" spans="1:12" x14ac:dyDescent="0.3">
      <c r="A1747" s="1">
        <v>42271</v>
      </c>
      <c r="B1747" s="1">
        <v>42274</v>
      </c>
      <c r="C1747" t="s">
        <v>0</v>
      </c>
      <c r="D1747" t="s">
        <v>2244</v>
      </c>
      <c r="E1747" t="s">
        <v>2245</v>
      </c>
      <c r="F1747" t="s">
        <v>56</v>
      </c>
      <c r="G1747" t="s">
        <v>4</v>
      </c>
      <c r="H1747" t="s">
        <v>78</v>
      </c>
      <c r="I1747" t="s">
        <v>297</v>
      </c>
      <c r="J1747" s="2">
        <v>13.68</v>
      </c>
      <c r="K1747">
        <v>2</v>
      </c>
      <c r="L1747" s="4"/>
    </row>
    <row r="1748" spans="1:12" x14ac:dyDescent="0.3">
      <c r="A1748" s="1">
        <v>42271</v>
      </c>
      <c r="B1748" s="1">
        <v>42274</v>
      </c>
      <c r="C1748" t="s">
        <v>22</v>
      </c>
      <c r="D1748" t="s">
        <v>2065</v>
      </c>
      <c r="E1748" t="s">
        <v>2066</v>
      </c>
      <c r="F1748" t="s">
        <v>3</v>
      </c>
      <c r="G1748" t="s">
        <v>4</v>
      </c>
      <c r="H1748" t="s">
        <v>29</v>
      </c>
      <c r="I1748" t="s">
        <v>1657</v>
      </c>
      <c r="J1748" s="2">
        <v>4.08</v>
      </c>
      <c r="K1748">
        <v>2</v>
      </c>
      <c r="L1748" s="4"/>
    </row>
    <row r="1749" spans="1:12" x14ac:dyDescent="0.3">
      <c r="A1749" s="1">
        <v>42271</v>
      </c>
      <c r="B1749" s="1">
        <v>42274</v>
      </c>
      <c r="C1749" t="s">
        <v>22</v>
      </c>
      <c r="D1749" t="s">
        <v>2065</v>
      </c>
      <c r="E1749" t="s">
        <v>2066</v>
      </c>
      <c r="F1749" t="s">
        <v>3</v>
      </c>
      <c r="G1749" t="s">
        <v>4</v>
      </c>
      <c r="H1749" t="s">
        <v>168</v>
      </c>
      <c r="I1749" t="s">
        <v>1704</v>
      </c>
      <c r="J1749" s="2">
        <v>18.899999999999999</v>
      </c>
      <c r="K1749">
        <v>3</v>
      </c>
      <c r="L1749" s="4"/>
    </row>
    <row r="1750" spans="1:12" x14ac:dyDescent="0.3">
      <c r="A1750" s="1">
        <v>42271</v>
      </c>
      <c r="B1750" s="1">
        <v>42275</v>
      </c>
      <c r="C1750" t="s">
        <v>7</v>
      </c>
      <c r="D1750" t="s">
        <v>2078</v>
      </c>
      <c r="E1750" t="s">
        <v>2079</v>
      </c>
      <c r="F1750" t="s">
        <v>56</v>
      </c>
      <c r="G1750" t="s">
        <v>4</v>
      </c>
      <c r="H1750" t="s">
        <v>26</v>
      </c>
      <c r="I1750" t="s">
        <v>1453</v>
      </c>
      <c r="J1750" s="2">
        <v>13.216000000000001</v>
      </c>
      <c r="K1750">
        <v>4</v>
      </c>
      <c r="L1750" s="4"/>
    </row>
    <row r="1751" spans="1:12" x14ac:dyDescent="0.3">
      <c r="A1751" s="1">
        <v>42271</v>
      </c>
      <c r="B1751" s="1">
        <v>42275</v>
      </c>
      <c r="C1751" t="s">
        <v>7</v>
      </c>
      <c r="D1751" t="s">
        <v>2078</v>
      </c>
      <c r="E1751" t="s">
        <v>2079</v>
      </c>
      <c r="F1751" t="s">
        <v>56</v>
      </c>
      <c r="G1751" t="s">
        <v>12</v>
      </c>
      <c r="H1751" t="s">
        <v>70</v>
      </c>
      <c r="I1751" t="s">
        <v>1130</v>
      </c>
      <c r="J1751" s="2">
        <v>184.75200000000001</v>
      </c>
      <c r="K1751">
        <v>3</v>
      </c>
      <c r="L1751" s="4"/>
    </row>
    <row r="1752" spans="1:12" x14ac:dyDescent="0.3">
      <c r="A1752" s="1">
        <v>42272</v>
      </c>
      <c r="B1752" s="1">
        <v>42274</v>
      </c>
      <c r="C1752" t="s">
        <v>0</v>
      </c>
      <c r="D1752" t="s">
        <v>1873</v>
      </c>
      <c r="E1752" t="s">
        <v>1874</v>
      </c>
      <c r="F1752" t="s">
        <v>3</v>
      </c>
      <c r="G1752" t="s">
        <v>4</v>
      </c>
      <c r="H1752" t="s">
        <v>10</v>
      </c>
      <c r="I1752" t="s">
        <v>2246</v>
      </c>
      <c r="J1752" s="2">
        <v>41.96</v>
      </c>
      <c r="K1752">
        <v>2</v>
      </c>
      <c r="L1752" s="4"/>
    </row>
    <row r="1753" spans="1:12" x14ac:dyDescent="0.3">
      <c r="A1753" s="1">
        <v>42272</v>
      </c>
      <c r="B1753" s="1">
        <v>42274</v>
      </c>
      <c r="C1753" t="s">
        <v>0</v>
      </c>
      <c r="D1753" t="s">
        <v>1873</v>
      </c>
      <c r="E1753" t="s">
        <v>1874</v>
      </c>
      <c r="F1753" t="s">
        <v>3</v>
      </c>
      <c r="G1753" t="s">
        <v>4</v>
      </c>
      <c r="H1753" t="s">
        <v>5</v>
      </c>
      <c r="I1753" t="s">
        <v>1215</v>
      </c>
      <c r="J1753" s="2">
        <v>41.7</v>
      </c>
      <c r="K1753">
        <v>5</v>
      </c>
      <c r="L1753" s="4"/>
    </row>
    <row r="1754" spans="1:12" x14ac:dyDescent="0.3">
      <c r="A1754" s="1">
        <v>42272</v>
      </c>
      <c r="B1754" s="1">
        <v>42272</v>
      </c>
      <c r="C1754" t="s">
        <v>240</v>
      </c>
      <c r="D1754" t="s">
        <v>1953</v>
      </c>
      <c r="E1754" t="s">
        <v>1954</v>
      </c>
      <c r="F1754" t="s">
        <v>3</v>
      </c>
      <c r="G1754" t="s">
        <v>12</v>
      </c>
      <c r="H1754" t="s">
        <v>35</v>
      </c>
      <c r="I1754" t="s">
        <v>2247</v>
      </c>
      <c r="J1754" s="2">
        <v>63.2</v>
      </c>
      <c r="K1754">
        <v>5</v>
      </c>
      <c r="L1754" s="4"/>
    </row>
    <row r="1755" spans="1:12" x14ac:dyDescent="0.3">
      <c r="A1755" s="1">
        <v>42272</v>
      </c>
      <c r="B1755" s="1">
        <v>42279</v>
      </c>
      <c r="C1755" t="s">
        <v>7</v>
      </c>
      <c r="D1755" t="s">
        <v>1985</v>
      </c>
      <c r="E1755" t="s">
        <v>1986</v>
      </c>
      <c r="F1755" t="s">
        <v>115</v>
      </c>
      <c r="G1755" t="s">
        <v>12</v>
      </c>
      <c r="H1755" t="s">
        <v>35</v>
      </c>
      <c r="I1755" t="s">
        <v>2248</v>
      </c>
      <c r="J1755" s="2">
        <v>21.44</v>
      </c>
      <c r="K1755">
        <v>2</v>
      </c>
      <c r="L1755" s="4"/>
    </row>
    <row r="1756" spans="1:12" x14ac:dyDescent="0.3">
      <c r="A1756" s="1">
        <v>42272</v>
      </c>
      <c r="B1756" s="1">
        <v>42279</v>
      </c>
      <c r="C1756" t="s">
        <v>7</v>
      </c>
      <c r="D1756" t="s">
        <v>1985</v>
      </c>
      <c r="E1756" t="s">
        <v>1986</v>
      </c>
      <c r="F1756" t="s">
        <v>115</v>
      </c>
      <c r="G1756" t="s">
        <v>4</v>
      </c>
      <c r="H1756" t="s">
        <v>10</v>
      </c>
      <c r="I1756" t="s">
        <v>2249</v>
      </c>
      <c r="J1756" s="2">
        <v>511.05600000000004</v>
      </c>
      <c r="K1756">
        <v>9</v>
      </c>
      <c r="L1756" s="4"/>
    </row>
    <row r="1757" spans="1:12" x14ac:dyDescent="0.3">
      <c r="A1757" s="1">
        <v>42272</v>
      </c>
      <c r="B1757" s="1">
        <v>42276</v>
      </c>
      <c r="C1757" t="s">
        <v>7</v>
      </c>
      <c r="D1757" t="s">
        <v>237</v>
      </c>
      <c r="E1757" t="s">
        <v>238</v>
      </c>
      <c r="F1757" t="s">
        <v>3</v>
      </c>
      <c r="G1757" t="s">
        <v>4</v>
      </c>
      <c r="H1757" t="s">
        <v>29</v>
      </c>
      <c r="I1757" t="s">
        <v>652</v>
      </c>
      <c r="J1757" s="2">
        <v>304.89999999999998</v>
      </c>
      <c r="K1757">
        <v>5</v>
      </c>
      <c r="L1757" s="4"/>
    </row>
    <row r="1758" spans="1:12" x14ac:dyDescent="0.3">
      <c r="A1758" s="1">
        <v>42272</v>
      </c>
      <c r="B1758" s="1">
        <v>42276</v>
      </c>
      <c r="C1758" t="s">
        <v>7</v>
      </c>
      <c r="D1758" t="s">
        <v>237</v>
      </c>
      <c r="E1758" t="s">
        <v>238</v>
      </c>
      <c r="F1758" t="s">
        <v>3</v>
      </c>
      <c r="G1758" t="s">
        <v>12</v>
      </c>
      <c r="H1758" t="s">
        <v>70</v>
      </c>
      <c r="I1758" t="s">
        <v>324</v>
      </c>
      <c r="J1758" s="2">
        <v>563.24</v>
      </c>
      <c r="K1758">
        <v>5</v>
      </c>
      <c r="L1758" s="4"/>
    </row>
    <row r="1759" spans="1:12" x14ac:dyDescent="0.3">
      <c r="A1759" s="1">
        <v>42273</v>
      </c>
      <c r="B1759" s="1">
        <v>42278</v>
      </c>
      <c r="C1759" t="s">
        <v>7</v>
      </c>
      <c r="D1759" t="s">
        <v>2250</v>
      </c>
      <c r="E1759" t="s">
        <v>2251</v>
      </c>
      <c r="F1759" t="s">
        <v>25</v>
      </c>
      <c r="G1759" t="s">
        <v>12</v>
      </c>
      <c r="H1759" t="s">
        <v>44</v>
      </c>
      <c r="I1759" t="s">
        <v>902</v>
      </c>
      <c r="J1759" s="2">
        <v>393.16500000000002</v>
      </c>
      <c r="K1759">
        <v>3</v>
      </c>
      <c r="L1759" s="4"/>
    </row>
    <row r="1760" spans="1:12" x14ac:dyDescent="0.3">
      <c r="A1760" s="1">
        <v>42273</v>
      </c>
      <c r="B1760" s="1">
        <v>42277</v>
      </c>
      <c r="C1760" t="s">
        <v>7</v>
      </c>
      <c r="D1760" t="s">
        <v>188</v>
      </c>
      <c r="E1760" t="s">
        <v>189</v>
      </c>
      <c r="F1760" t="s">
        <v>19</v>
      </c>
      <c r="G1760" t="s">
        <v>4</v>
      </c>
      <c r="H1760" t="s">
        <v>5</v>
      </c>
      <c r="I1760" t="s">
        <v>1215</v>
      </c>
      <c r="J1760" s="2">
        <v>60.048000000000002</v>
      </c>
      <c r="K1760">
        <v>9</v>
      </c>
      <c r="L1760" s="4"/>
    </row>
    <row r="1761" spans="1:12" x14ac:dyDescent="0.3">
      <c r="A1761" s="1">
        <v>42273</v>
      </c>
      <c r="B1761" s="1">
        <v>42277</v>
      </c>
      <c r="C1761" t="s">
        <v>7</v>
      </c>
      <c r="D1761" t="s">
        <v>188</v>
      </c>
      <c r="E1761" t="s">
        <v>189</v>
      </c>
      <c r="F1761" t="s">
        <v>19</v>
      </c>
      <c r="G1761" t="s">
        <v>4</v>
      </c>
      <c r="H1761" t="s">
        <v>26</v>
      </c>
      <c r="I1761" t="s">
        <v>1606</v>
      </c>
      <c r="J1761" s="2">
        <v>5.0220000000000002</v>
      </c>
      <c r="K1761">
        <v>1</v>
      </c>
      <c r="L1761" s="4"/>
    </row>
    <row r="1762" spans="1:12" x14ac:dyDescent="0.3">
      <c r="A1762" s="1">
        <v>42273</v>
      </c>
      <c r="B1762" s="1">
        <v>42279</v>
      </c>
      <c r="C1762" t="s">
        <v>7</v>
      </c>
      <c r="D1762" t="s">
        <v>2252</v>
      </c>
      <c r="E1762" t="s">
        <v>2253</v>
      </c>
      <c r="F1762" t="s">
        <v>3</v>
      </c>
      <c r="G1762" t="s">
        <v>4</v>
      </c>
      <c r="H1762" t="s">
        <v>15</v>
      </c>
      <c r="I1762" t="s">
        <v>1750</v>
      </c>
      <c r="J1762" s="2">
        <v>16.559999999999999</v>
      </c>
      <c r="K1762">
        <v>4</v>
      </c>
      <c r="L1762" s="4"/>
    </row>
    <row r="1763" spans="1:12" x14ac:dyDescent="0.3">
      <c r="A1763" s="1">
        <v>42273</v>
      </c>
      <c r="B1763" s="1">
        <v>42275</v>
      </c>
      <c r="C1763" t="s">
        <v>22</v>
      </c>
      <c r="D1763" t="s">
        <v>2254</v>
      </c>
      <c r="E1763" t="s">
        <v>2255</v>
      </c>
      <c r="F1763" t="s">
        <v>3</v>
      </c>
      <c r="G1763" t="s">
        <v>12</v>
      </c>
      <c r="H1763" t="s">
        <v>13</v>
      </c>
      <c r="I1763" t="s">
        <v>1851</v>
      </c>
      <c r="J1763" s="2">
        <v>477.666</v>
      </c>
      <c r="K1763">
        <v>2</v>
      </c>
      <c r="L1763" s="4"/>
    </row>
    <row r="1764" spans="1:12" x14ac:dyDescent="0.3">
      <c r="A1764" s="1">
        <v>42273</v>
      </c>
      <c r="B1764" s="1">
        <v>42279</v>
      </c>
      <c r="C1764" t="s">
        <v>7</v>
      </c>
      <c r="D1764" t="s">
        <v>2256</v>
      </c>
      <c r="E1764" t="s">
        <v>2257</v>
      </c>
      <c r="F1764" t="s">
        <v>3</v>
      </c>
      <c r="G1764" t="s">
        <v>4</v>
      </c>
      <c r="H1764" t="s">
        <v>5</v>
      </c>
      <c r="I1764" t="s">
        <v>2258</v>
      </c>
      <c r="J1764" s="2">
        <v>10.9</v>
      </c>
      <c r="K1764">
        <v>5</v>
      </c>
      <c r="L1764" s="4"/>
    </row>
    <row r="1765" spans="1:12" x14ac:dyDescent="0.3">
      <c r="A1765" s="1">
        <v>42273</v>
      </c>
      <c r="B1765" s="1">
        <v>42279</v>
      </c>
      <c r="C1765" t="s">
        <v>7</v>
      </c>
      <c r="D1765" t="s">
        <v>2256</v>
      </c>
      <c r="E1765" t="s">
        <v>2257</v>
      </c>
      <c r="F1765" t="s">
        <v>3</v>
      </c>
      <c r="G1765" t="s">
        <v>4</v>
      </c>
      <c r="H1765" t="s">
        <v>168</v>
      </c>
      <c r="I1765" t="s">
        <v>1123</v>
      </c>
      <c r="J1765" s="2">
        <v>29.6</v>
      </c>
      <c r="K1765">
        <v>2</v>
      </c>
      <c r="L1765" s="4"/>
    </row>
    <row r="1766" spans="1:12" x14ac:dyDescent="0.3">
      <c r="A1766" s="1">
        <v>42273</v>
      </c>
      <c r="B1766" s="1">
        <v>42279</v>
      </c>
      <c r="C1766" t="s">
        <v>7</v>
      </c>
      <c r="D1766" t="s">
        <v>2256</v>
      </c>
      <c r="E1766" t="s">
        <v>2257</v>
      </c>
      <c r="F1766" t="s">
        <v>3</v>
      </c>
      <c r="G1766" t="s">
        <v>4</v>
      </c>
      <c r="H1766" t="s">
        <v>168</v>
      </c>
      <c r="I1766" t="s">
        <v>1815</v>
      </c>
      <c r="J1766" s="2">
        <v>4.9800000000000004</v>
      </c>
      <c r="K1766">
        <v>1</v>
      </c>
      <c r="L1766" s="4"/>
    </row>
    <row r="1767" spans="1:12" x14ac:dyDescent="0.3">
      <c r="A1767" s="1">
        <v>42273</v>
      </c>
      <c r="B1767" s="1">
        <v>42279</v>
      </c>
      <c r="C1767" t="s">
        <v>7</v>
      </c>
      <c r="D1767" t="s">
        <v>2256</v>
      </c>
      <c r="E1767" t="s">
        <v>2257</v>
      </c>
      <c r="F1767" t="s">
        <v>3</v>
      </c>
      <c r="G1767" t="s">
        <v>74</v>
      </c>
      <c r="H1767" t="s">
        <v>534</v>
      </c>
      <c r="I1767" t="s">
        <v>1249</v>
      </c>
      <c r="J1767" s="2">
        <v>479.97600000000006</v>
      </c>
      <c r="K1767">
        <v>3</v>
      </c>
      <c r="L1767" s="4"/>
    </row>
    <row r="1768" spans="1:12" x14ac:dyDescent="0.3">
      <c r="A1768" s="1">
        <v>42273</v>
      </c>
      <c r="B1768" s="1">
        <v>42279</v>
      </c>
      <c r="C1768" t="s">
        <v>7</v>
      </c>
      <c r="D1768" t="s">
        <v>2256</v>
      </c>
      <c r="E1768" t="s">
        <v>2257</v>
      </c>
      <c r="F1768" t="s">
        <v>3</v>
      </c>
      <c r="G1768" t="s">
        <v>74</v>
      </c>
      <c r="H1768" t="s">
        <v>147</v>
      </c>
      <c r="I1768" t="s">
        <v>1193</v>
      </c>
      <c r="J1768" s="2">
        <v>44.736000000000004</v>
      </c>
      <c r="K1768">
        <v>8</v>
      </c>
      <c r="L1768" s="4"/>
    </row>
    <row r="1769" spans="1:12" x14ac:dyDescent="0.3">
      <c r="A1769" s="1">
        <v>42273</v>
      </c>
      <c r="B1769" s="1">
        <v>42279</v>
      </c>
      <c r="C1769" t="s">
        <v>7</v>
      </c>
      <c r="D1769" t="s">
        <v>2256</v>
      </c>
      <c r="E1769" t="s">
        <v>2257</v>
      </c>
      <c r="F1769" t="s">
        <v>3</v>
      </c>
      <c r="G1769" t="s">
        <v>4</v>
      </c>
      <c r="H1769" t="s">
        <v>15</v>
      </c>
      <c r="I1769" t="s">
        <v>1470</v>
      </c>
      <c r="J1769" s="2">
        <v>5.76</v>
      </c>
      <c r="K1769">
        <v>2</v>
      </c>
      <c r="L1769" s="4"/>
    </row>
    <row r="1770" spans="1:12" x14ac:dyDescent="0.3">
      <c r="A1770" s="1">
        <v>42273</v>
      </c>
      <c r="B1770" s="1">
        <v>42279</v>
      </c>
      <c r="C1770" t="s">
        <v>7</v>
      </c>
      <c r="D1770" t="s">
        <v>2256</v>
      </c>
      <c r="E1770" t="s">
        <v>2257</v>
      </c>
      <c r="F1770" t="s">
        <v>3</v>
      </c>
      <c r="G1770" t="s">
        <v>12</v>
      </c>
      <c r="H1770" t="s">
        <v>70</v>
      </c>
      <c r="I1770" t="s">
        <v>892</v>
      </c>
      <c r="J1770" s="2">
        <v>483.13599999999997</v>
      </c>
      <c r="K1770">
        <v>4</v>
      </c>
      <c r="L1770" s="4"/>
    </row>
    <row r="1771" spans="1:12" x14ac:dyDescent="0.3">
      <c r="A1771" s="1">
        <v>42274</v>
      </c>
      <c r="B1771" s="1">
        <v>42279</v>
      </c>
      <c r="C1771" t="s">
        <v>7</v>
      </c>
      <c r="D1771" t="s">
        <v>1030</v>
      </c>
      <c r="E1771" t="s">
        <v>1031</v>
      </c>
      <c r="F1771" t="s">
        <v>3</v>
      </c>
      <c r="G1771" t="s">
        <v>12</v>
      </c>
      <c r="H1771" t="s">
        <v>13</v>
      </c>
      <c r="I1771" t="s">
        <v>1038</v>
      </c>
      <c r="J1771" s="2">
        <v>424.95749999999992</v>
      </c>
      <c r="K1771">
        <v>5</v>
      </c>
      <c r="L1771" s="4"/>
    </row>
    <row r="1772" spans="1:12" x14ac:dyDescent="0.3">
      <c r="A1772" s="1">
        <v>42274</v>
      </c>
      <c r="B1772" s="1">
        <v>42278</v>
      </c>
      <c r="C1772" t="s">
        <v>7</v>
      </c>
      <c r="D1772" t="s">
        <v>284</v>
      </c>
      <c r="E1772" t="s">
        <v>285</v>
      </c>
      <c r="F1772" t="s">
        <v>56</v>
      </c>
      <c r="G1772" t="s">
        <v>4</v>
      </c>
      <c r="H1772" t="s">
        <v>20</v>
      </c>
      <c r="I1772" t="s">
        <v>2259</v>
      </c>
      <c r="J1772" s="2">
        <v>236.88</v>
      </c>
      <c r="K1772">
        <v>6</v>
      </c>
      <c r="L1772" s="4"/>
    </row>
    <row r="1773" spans="1:12" x14ac:dyDescent="0.3">
      <c r="A1773" s="1">
        <v>42274</v>
      </c>
      <c r="B1773" s="1">
        <v>42278</v>
      </c>
      <c r="C1773" t="s">
        <v>7</v>
      </c>
      <c r="D1773" t="s">
        <v>284</v>
      </c>
      <c r="E1773" t="s">
        <v>285</v>
      </c>
      <c r="F1773" t="s">
        <v>56</v>
      </c>
      <c r="G1773" t="s">
        <v>4</v>
      </c>
      <c r="H1773" t="s">
        <v>5</v>
      </c>
      <c r="I1773" t="s">
        <v>2019</v>
      </c>
      <c r="J1773" s="2">
        <v>29.900000000000002</v>
      </c>
      <c r="K1773">
        <v>5</v>
      </c>
      <c r="L1773" s="4"/>
    </row>
    <row r="1774" spans="1:12" x14ac:dyDescent="0.3">
      <c r="A1774" s="1">
        <v>42274</v>
      </c>
      <c r="B1774" s="1">
        <v>42278</v>
      </c>
      <c r="C1774" t="s">
        <v>7</v>
      </c>
      <c r="D1774" t="s">
        <v>284</v>
      </c>
      <c r="E1774" t="s">
        <v>285</v>
      </c>
      <c r="F1774" t="s">
        <v>56</v>
      </c>
      <c r="G1774" t="s">
        <v>74</v>
      </c>
      <c r="H1774" t="s">
        <v>75</v>
      </c>
      <c r="I1774" t="s">
        <v>1821</v>
      </c>
      <c r="J1774" s="2">
        <v>100</v>
      </c>
      <c r="K1774">
        <v>4</v>
      </c>
      <c r="L1774" s="4"/>
    </row>
    <row r="1775" spans="1:12" x14ac:dyDescent="0.3">
      <c r="A1775" s="1">
        <v>42274</v>
      </c>
      <c r="B1775" s="1">
        <v>42274</v>
      </c>
      <c r="C1775" t="s">
        <v>240</v>
      </c>
      <c r="D1775" t="s">
        <v>360</v>
      </c>
      <c r="E1775" t="s">
        <v>361</v>
      </c>
      <c r="F1775" t="s">
        <v>3</v>
      </c>
      <c r="G1775" t="s">
        <v>4</v>
      </c>
      <c r="H1775" t="s">
        <v>10</v>
      </c>
      <c r="I1775" t="s">
        <v>1107</v>
      </c>
      <c r="J1775" s="2">
        <v>51.449999999999996</v>
      </c>
      <c r="K1775">
        <v>3</v>
      </c>
      <c r="L1775" s="4"/>
    </row>
    <row r="1776" spans="1:12" x14ac:dyDescent="0.3">
      <c r="A1776" s="1">
        <v>42274</v>
      </c>
      <c r="B1776" s="1">
        <v>42274</v>
      </c>
      <c r="C1776" t="s">
        <v>240</v>
      </c>
      <c r="D1776" t="s">
        <v>360</v>
      </c>
      <c r="E1776" t="s">
        <v>361</v>
      </c>
      <c r="F1776" t="s">
        <v>3</v>
      </c>
      <c r="G1776" t="s">
        <v>4</v>
      </c>
      <c r="H1776" t="s">
        <v>168</v>
      </c>
      <c r="I1776" t="s">
        <v>547</v>
      </c>
      <c r="J1776" s="2">
        <v>7.83</v>
      </c>
      <c r="K1776">
        <v>3</v>
      </c>
      <c r="L1776" s="4"/>
    </row>
    <row r="1777" spans="1:12" x14ac:dyDescent="0.3">
      <c r="A1777" s="1">
        <v>42274</v>
      </c>
      <c r="B1777" s="1">
        <v>42274</v>
      </c>
      <c r="C1777" t="s">
        <v>240</v>
      </c>
      <c r="D1777" t="s">
        <v>360</v>
      </c>
      <c r="E1777" t="s">
        <v>361</v>
      </c>
      <c r="F1777" t="s">
        <v>3</v>
      </c>
      <c r="G1777" t="s">
        <v>4</v>
      </c>
      <c r="H1777" t="s">
        <v>15</v>
      </c>
      <c r="I1777" t="s">
        <v>2221</v>
      </c>
      <c r="J1777" s="2">
        <v>35.4</v>
      </c>
      <c r="K1777">
        <v>5</v>
      </c>
      <c r="L1777" s="4"/>
    </row>
    <row r="1778" spans="1:12" x14ac:dyDescent="0.3">
      <c r="A1778" s="1">
        <v>42274</v>
      </c>
      <c r="B1778" s="1">
        <v>42274</v>
      </c>
      <c r="C1778" t="s">
        <v>240</v>
      </c>
      <c r="D1778" t="s">
        <v>360</v>
      </c>
      <c r="E1778" t="s">
        <v>361</v>
      </c>
      <c r="F1778" t="s">
        <v>3</v>
      </c>
      <c r="G1778" t="s">
        <v>4</v>
      </c>
      <c r="H1778" t="s">
        <v>5</v>
      </c>
      <c r="I1778" t="s">
        <v>557</v>
      </c>
      <c r="J1778" s="2">
        <v>29.900000000000002</v>
      </c>
      <c r="K1778">
        <v>5</v>
      </c>
      <c r="L1778" s="4"/>
    </row>
    <row r="1779" spans="1:12" x14ac:dyDescent="0.3">
      <c r="A1779" s="1">
        <v>42274</v>
      </c>
      <c r="B1779" s="1">
        <v>42278</v>
      </c>
      <c r="C1779" t="s">
        <v>7</v>
      </c>
      <c r="D1779" t="s">
        <v>2145</v>
      </c>
      <c r="E1779" t="s">
        <v>2146</v>
      </c>
      <c r="F1779" t="s">
        <v>3</v>
      </c>
      <c r="G1779" t="s">
        <v>4</v>
      </c>
      <c r="H1779" t="s">
        <v>5</v>
      </c>
      <c r="I1779" t="s">
        <v>2260</v>
      </c>
      <c r="J1779" s="2">
        <v>12.96</v>
      </c>
      <c r="K1779">
        <v>2</v>
      </c>
      <c r="L1779" s="4"/>
    </row>
    <row r="1780" spans="1:12" x14ac:dyDescent="0.3">
      <c r="A1780" s="1">
        <v>42275</v>
      </c>
      <c r="B1780" s="1">
        <v>42281</v>
      </c>
      <c r="C1780" t="s">
        <v>7</v>
      </c>
      <c r="D1780" t="s">
        <v>1690</v>
      </c>
      <c r="E1780" t="s">
        <v>1691</v>
      </c>
      <c r="F1780" t="s">
        <v>56</v>
      </c>
      <c r="G1780" t="s">
        <v>74</v>
      </c>
      <c r="H1780" t="s">
        <v>147</v>
      </c>
      <c r="I1780" t="s">
        <v>2261</v>
      </c>
      <c r="J1780" s="2">
        <v>1001.5840000000001</v>
      </c>
      <c r="K1780">
        <v>2</v>
      </c>
      <c r="L1780" s="4"/>
    </row>
    <row r="1781" spans="1:12" x14ac:dyDescent="0.3">
      <c r="A1781" s="1">
        <v>42277</v>
      </c>
      <c r="B1781" s="1">
        <v>42279</v>
      </c>
      <c r="C1781" t="s">
        <v>0</v>
      </c>
      <c r="D1781" t="s">
        <v>2262</v>
      </c>
      <c r="E1781" t="s">
        <v>2263</v>
      </c>
      <c r="F1781" t="s">
        <v>3</v>
      </c>
      <c r="G1781" t="s">
        <v>4</v>
      </c>
      <c r="H1781" t="s">
        <v>5</v>
      </c>
      <c r="I1781" t="s">
        <v>1737</v>
      </c>
      <c r="J1781" s="2">
        <v>18.97</v>
      </c>
      <c r="K1781">
        <v>1</v>
      </c>
      <c r="L1781" s="4"/>
    </row>
    <row r="1782" spans="1:12" x14ac:dyDescent="0.3">
      <c r="A1782" s="1">
        <v>42277</v>
      </c>
      <c r="B1782" s="1">
        <v>42281</v>
      </c>
      <c r="C1782" t="s">
        <v>7</v>
      </c>
      <c r="D1782" t="s">
        <v>1247</v>
      </c>
      <c r="E1782" t="s">
        <v>1248</v>
      </c>
      <c r="F1782" t="s">
        <v>3</v>
      </c>
      <c r="G1782" t="s">
        <v>4</v>
      </c>
      <c r="H1782" t="s">
        <v>26</v>
      </c>
      <c r="I1782" t="s">
        <v>1650</v>
      </c>
      <c r="J1782" s="2">
        <v>27.240000000000002</v>
      </c>
      <c r="K1782">
        <v>5</v>
      </c>
      <c r="L1782" s="4"/>
    </row>
    <row r="1783" spans="1:12" x14ac:dyDescent="0.3">
      <c r="A1783" s="1">
        <v>42277</v>
      </c>
      <c r="B1783" s="1">
        <v>42279</v>
      </c>
      <c r="C1783" t="s">
        <v>0</v>
      </c>
      <c r="D1783" t="s">
        <v>1027</v>
      </c>
      <c r="E1783" t="s">
        <v>1028</v>
      </c>
      <c r="F1783" t="s">
        <v>25</v>
      </c>
      <c r="G1783" t="s">
        <v>4</v>
      </c>
      <c r="H1783" t="s">
        <v>15</v>
      </c>
      <c r="I1783" t="s">
        <v>248</v>
      </c>
      <c r="J1783" s="2">
        <v>10.496</v>
      </c>
      <c r="K1783">
        <v>4</v>
      </c>
      <c r="L1783" s="4"/>
    </row>
    <row r="1784" spans="1:12" x14ac:dyDescent="0.3">
      <c r="A1784" s="1">
        <v>42277</v>
      </c>
      <c r="B1784" s="1">
        <v>42281</v>
      </c>
      <c r="C1784" t="s">
        <v>7</v>
      </c>
      <c r="D1784" t="s">
        <v>731</v>
      </c>
      <c r="E1784" t="s">
        <v>732</v>
      </c>
      <c r="F1784" t="s">
        <v>19</v>
      </c>
      <c r="G1784" t="s">
        <v>74</v>
      </c>
      <c r="H1784" t="s">
        <v>147</v>
      </c>
      <c r="I1784" t="s">
        <v>296</v>
      </c>
      <c r="J1784" s="2">
        <v>859.2</v>
      </c>
      <c r="K1784">
        <v>3</v>
      </c>
      <c r="L1784" s="4"/>
    </row>
    <row r="1785" spans="1:12" x14ac:dyDescent="0.3">
      <c r="A1785" s="1">
        <v>42277</v>
      </c>
      <c r="B1785" s="1">
        <v>42281</v>
      </c>
      <c r="C1785" t="s">
        <v>7</v>
      </c>
      <c r="D1785" t="s">
        <v>2264</v>
      </c>
      <c r="E1785" t="s">
        <v>2265</v>
      </c>
      <c r="F1785" t="s">
        <v>3</v>
      </c>
      <c r="G1785" t="s">
        <v>74</v>
      </c>
      <c r="H1785" t="s">
        <v>75</v>
      </c>
      <c r="I1785" t="s">
        <v>231</v>
      </c>
      <c r="J1785" s="2">
        <v>36.24</v>
      </c>
      <c r="K1785">
        <v>1</v>
      </c>
      <c r="L1785" s="4"/>
    </row>
    <row r="1786" spans="1:12" x14ac:dyDescent="0.3">
      <c r="A1786" s="1">
        <v>42279</v>
      </c>
      <c r="B1786" s="1">
        <v>42280</v>
      </c>
      <c r="C1786" t="s">
        <v>22</v>
      </c>
      <c r="D1786" t="s">
        <v>2266</v>
      </c>
      <c r="E1786" t="s">
        <v>2267</v>
      </c>
      <c r="F1786" t="s">
        <v>3</v>
      </c>
      <c r="G1786" t="s">
        <v>12</v>
      </c>
      <c r="H1786" t="s">
        <v>70</v>
      </c>
      <c r="I1786" t="s">
        <v>1089</v>
      </c>
      <c r="J1786" s="2">
        <v>194.84800000000001</v>
      </c>
      <c r="K1786">
        <v>4</v>
      </c>
      <c r="L1786" s="4"/>
    </row>
    <row r="1787" spans="1:12" x14ac:dyDescent="0.3">
      <c r="A1787" s="1">
        <v>42280</v>
      </c>
      <c r="B1787" s="1">
        <v>42281</v>
      </c>
      <c r="C1787" t="s">
        <v>22</v>
      </c>
      <c r="D1787" t="s">
        <v>2196</v>
      </c>
      <c r="E1787" t="s">
        <v>2197</v>
      </c>
      <c r="F1787" t="s">
        <v>25</v>
      </c>
      <c r="G1787" t="s">
        <v>4</v>
      </c>
      <c r="H1787" t="s">
        <v>26</v>
      </c>
      <c r="I1787" t="s">
        <v>2268</v>
      </c>
      <c r="J1787" s="2">
        <v>54.792000000000009</v>
      </c>
      <c r="K1787">
        <v>6</v>
      </c>
      <c r="L1787" s="4"/>
    </row>
    <row r="1788" spans="1:12" x14ac:dyDescent="0.3">
      <c r="A1788" s="1">
        <v>42281</v>
      </c>
      <c r="B1788" s="1">
        <v>42285</v>
      </c>
      <c r="C1788" t="s">
        <v>7</v>
      </c>
      <c r="D1788" t="s">
        <v>2269</v>
      </c>
      <c r="E1788" t="s">
        <v>2270</v>
      </c>
      <c r="F1788" t="s">
        <v>3</v>
      </c>
      <c r="G1788" t="s">
        <v>4</v>
      </c>
      <c r="H1788" t="s">
        <v>168</v>
      </c>
      <c r="I1788" t="s">
        <v>1170</v>
      </c>
      <c r="J1788" s="2">
        <v>6.16</v>
      </c>
      <c r="K1788">
        <v>2</v>
      </c>
      <c r="L1788" s="4"/>
    </row>
    <row r="1789" spans="1:12" x14ac:dyDescent="0.3">
      <c r="A1789" s="1">
        <v>42281</v>
      </c>
      <c r="B1789" s="1">
        <v>42285</v>
      </c>
      <c r="C1789" t="s">
        <v>7</v>
      </c>
      <c r="D1789" t="s">
        <v>2269</v>
      </c>
      <c r="E1789" t="s">
        <v>2270</v>
      </c>
      <c r="F1789" t="s">
        <v>3</v>
      </c>
      <c r="G1789" t="s">
        <v>12</v>
      </c>
      <c r="H1789" t="s">
        <v>70</v>
      </c>
      <c r="I1789" t="s">
        <v>95</v>
      </c>
      <c r="J1789" s="2">
        <v>915.13600000000008</v>
      </c>
      <c r="K1789">
        <v>4</v>
      </c>
      <c r="L1789" s="4"/>
    </row>
    <row r="1790" spans="1:12" x14ac:dyDescent="0.3">
      <c r="A1790" s="1">
        <v>42281</v>
      </c>
      <c r="B1790" s="1">
        <v>42285</v>
      </c>
      <c r="C1790" t="s">
        <v>7</v>
      </c>
      <c r="D1790" t="s">
        <v>2269</v>
      </c>
      <c r="E1790" t="s">
        <v>2270</v>
      </c>
      <c r="F1790" t="s">
        <v>3</v>
      </c>
      <c r="G1790" t="s">
        <v>4</v>
      </c>
      <c r="H1790" t="s">
        <v>5</v>
      </c>
      <c r="I1790" t="s">
        <v>682</v>
      </c>
      <c r="J1790" s="2">
        <v>8.56</v>
      </c>
      <c r="K1790">
        <v>2</v>
      </c>
      <c r="L1790" s="4"/>
    </row>
    <row r="1791" spans="1:12" x14ac:dyDescent="0.3">
      <c r="A1791" s="1">
        <v>42281</v>
      </c>
      <c r="B1791" s="1">
        <v>42285</v>
      </c>
      <c r="C1791" t="s">
        <v>7</v>
      </c>
      <c r="D1791" t="s">
        <v>2269</v>
      </c>
      <c r="E1791" t="s">
        <v>2270</v>
      </c>
      <c r="F1791" t="s">
        <v>3</v>
      </c>
      <c r="G1791" t="s">
        <v>4</v>
      </c>
      <c r="H1791" t="s">
        <v>5</v>
      </c>
      <c r="I1791" t="s">
        <v>260</v>
      </c>
      <c r="J1791" s="2">
        <v>97.82</v>
      </c>
      <c r="K1791">
        <v>2</v>
      </c>
      <c r="L1791" s="4"/>
    </row>
    <row r="1792" spans="1:12" x14ac:dyDescent="0.3">
      <c r="A1792" s="1">
        <v>42284</v>
      </c>
      <c r="B1792" s="1">
        <v>42285</v>
      </c>
      <c r="C1792" t="s">
        <v>22</v>
      </c>
      <c r="D1792" t="s">
        <v>2180</v>
      </c>
      <c r="E1792" t="s">
        <v>2181</v>
      </c>
      <c r="F1792" t="s">
        <v>115</v>
      </c>
      <c r="G1792" t="s">
        <v>74</v>
      </c>
      <c r="H1792" t="s">
        <v>138</v>
      </c>
      <c r="I1792" t="s">
        <v>2271</v>
      </c>
      <c r="J1792" s="2">
        <v>703.71</v>
      </c>
      <c r="K1792">
        <v>6</v>
      </c>
      <c r="L1792" s="4"/>
    </row>
    <row r="1793" spans="1:12" x14ac:dyDescent="0.3">
      <c r="A1793" s="1">
        <v>42284</v>
      </c>
      <c r="B1793" s="1">
        <v>42285</v>
      </c>
      <c r="C1793" t="s">
        <v>22</v>
      </c>
      <c r="D1793" t="s">
        <v>2180</v>
      </c>
      <c r="E1793" t="s">
        <v>2181</v>
      </c>
      <c r="F1793" t="s">
        <v>115</v>
      </c>
      <c r="G1793" t="s">
        <v>4</v>
      </c>
      <c r="H1793" t="s">
        <v>26</v>
      </c>
      <c r="I1793" t="s">
        <v>2272</v>
      </c>
      <c r="J1793" s="2">
        <v>17.904000000000003</v>
      </c>
      <c r="K1793">
        <v>4</v>
      </c>
      <c r="L1793" s="4"/>
    </row>
    <row r="1794" spans="1:12" x14ac:dyDescent="0.3">
      <c r="A1794" s="1">
        <v>42284</v>
      </c>
      <c r="B1794" s="1">
        <v>42285</v>
      </c>
      <c r="C1794" t="s">
        <v>22</v>
      </c>
      <c r="D1794" t="s">
        <v>2180</v>
      </c>
      <c r="E1794" t="s">
        <v>2181</v>
      </c>
      <c r="F1794" t="s">
        <v>115</v>
      </c>
      <c r="G1794" t="s">
        <v>4</v>
      </c>
      <c r="H1794" t="s">
        <v>26</v>
      </c>
      <c r="I1794" t="s">
        <v>818</v>
      </c>
      <c r="J1794" s="2">
        <v>11.976000000000003</v>
      </c>
      <c r="K1794">
        <v>4</v>
      </c>
      <c r="L1794" s="4"/>
    </row>
    <row r="1795" spans="1:12" x14ac:dyDescent="0.3">
      <c r="A1795" s="1">
        <v>42284</v>
      </c>
      <c r="B1795" s="1">
        <v>42285</v>
      </c>
      <c r="C1795" t="s">
        <v>22</v>
      </c>
      <c r="D1795" t="s">
        <v>2180</v>
      </c>
      <c r="E1795" t="s">
        <v>2181</v>
      </c>
      <c r="F1795" t="s">
        <v>115</v>
      </c>
      <c r="G1795" t="s">
        <v>74</v>
      </c>
      <c r="H1795" t="s">
        <v>75</v>
      </c>
      <c r="I1795" t="s">
        <v>2273</v>
      </c>
      <c r="J1795" s="2">
        <v>67.959999999999994</v>
      </c>
      <c r="K1795">
        <v>5</v>
      </c>
      <c r="L1795" s="4"/>
    </row>
    <row r="1796" spans="1:12" x14ac:dyDescent="0.3">
      <c r="A1796" s="1">
        <v>42285</v>
      </c>
      <c r="B1796" s="1">
        <v>42291</v>
      </c>
      <c r="C1796" t="s">
        <v>7</v>
      </c>
      <c r="D1796" t="s">
        <v>1009</v>
      </c>
      <c r="E1796" t="s">
        <v>1010</v>
      </c>
      <c r="F1796" t="s">
        <v>3</v>
      </c>
      <c r="G1796" t="s">
        <v>4</v>
      </c>
      <c r="H1796" t="s">
        <v>26</v>
      </c>
      <c r="I1796" t="s">
        <v>1597</v>
      </c>
      <c r="J1796" s="2">
        <v>27.263999999999999</v>
      </c>
      <c r="K1796">
        <v>2</v>
      </c>
      <c r="L1796" s="4"/>
    </row>
    <row r="1797" spans="1:12" x14ac:dyDescent="0.3">
      <c r="A1797" s="1">
        <v>42285</v>
      </c>
      <c r="B1797" s="1">
        <v>42287</v>
      </c>
      <c r="C1797" t="s">
        <v>22</v>
      </c>
      <c r="D1797" t="s">
        <v>2131</v>
      </c>
      <c r="E1797" t="s">
        <v>2132</v>
      </c>
      <c r="F1797" t="s">
        <v>56</v>
      </c>
      <c r="G1797" t="s">
        <v>74</v>
      </c>
      <c r="H1797" t="s">
        <v>138</v>
      </c>
      <c r="I1797" t="s">
        <v>1450</v>
      </c>
      <c r="J1797" s="2">
        <v>837.59999999999991</v>
      </c>
      <c r="K1797">
        <v>3</v>
      </c>
      <c r="L1797" s="4"/>
    </row>
    <row r="1798" spans="1:12" x14ac:dyDescent="0.3">
      <c r="A1798" s="1">
        <v>42285</v>
      </c>
      <c r="B1798" s="1">
        <v>42290</v>
      </c>
      <c r="C1798" t="s">
        <v>7</v>
      </c>
      <c r="D1798" t="s">
        <v>311</v>
      </c>
      <c r="E1798" t="s">
        <v>312</v>
      </c>
      <c r="F1798" t="s">
        <v>3</v>
      </c>
      <c r="G1798" t="s">
        <v>4</v>
      </c>
      <c r="H1798" t="s">
        <v>5</v>
      </c>
      <c r="I1798" t="s">
        <v>2274</v>
      </c>
      <c r="J1798" s="2">
        <v>10.56</v>
      </c>
      <c r="K1798">
        <v>2</v>
      </c>
      <c r="L1798" s="4"/>
    </row>
    <row r="1799" spans="1:12" x14ac:dyDescent="0.3">
      <c r="A1799" s="1">
        <v>42285</v>
      </c>
      <c r="B1799" s="1">
        <v>42289</v>
      </c>
      <c r="C1799" t="s">
        <v>7</v>
      </c>
      <c r="D1799" t="s">
        <v>377</v>
      </c>
      <c r="E1799" t="s">
        <v>378</v>
      </c>
      <c r="F1799" t="s">
        <v>56</v>
      </c>
      <c r="G1799" t="s">
        <v>4</v>
      </c>
      <c r="H1799" t="s">
        <v>52</v>
      </c>
      <c r="I1799" t="s">
        <v>219</v>
      </c>
      <c r="J1799" s="2">
        <v>93.36</v>
      </c>
      <c r="K1799">
        <v>12</v>
      </c>
      <c r="L1799" s="4"/>
    </row>
    <row r="1800" spans="1:12" x14ac:dyDescent="0.3">
      <c r="A1800" s="1">
        <v>42286</v>
      </c>
      <c r="B1800" s="1">
        <v>42286</v>
      </c>
      <c r="C1800" t="s">
        <v>240</v>
      </c>
      <c r="D1800" t="s">
        <v>384</v>
      </c>
      <c r="E1800" t="s">
        <v>385</v>
      </c>
      <c r="F1800" t="s">
        <v>3</v>
      </c>
      <c r="G1800" t="s">
        <v>4</v>
      </c>
      <c r="H1800" t="s">
        <v>5</v>
      </c>
      <c r="I1800" t="s">
        <v>568</v>
      </c>
      <c r="J1800" s="2">
        <v>61.96</v>
      </c>
      <c r="K1800">
        <v>2</v>
      </c>
      <c r="L1800" s="4"/>
    </row>
    <row r="1801" spans="1:12" x14ac:dyDescent="0.3">
      <c r="A1801" s="1">
        <v>42287</v>
      </c>
      <c r="B1801" s="1">
        <v>42292</v>
      </c>
      <c r="C1801" t="s">
        <v>7</v>
      </c>
      <c r="D1801" t="s">
        <v>1685</v>
      </c>
      <c r="E1801" t="s">
        <v>1686</v>
      </c>
      <c r="F1801" t="s">
        <v>25</v>
      </c>
      <c r="G1801" t="s">
        <v>4</v>
      </c>
      <c r="H1801" t="s">
        <v>15</v>
      </c>
      <c r="I1801" t="s">
        <v>1155</v>
      </c>
      <c r="J1801" s="2">
        <v>1.4080000000000001</v>
      </c>
      <c r="K1801">
        <v>1</v>
      </c>
      <c r="L1801" s="4"/>
    </row>
    <row r="1802" spans="1:12" x14ac:dyDescent="0.3">
      <c r="A1802" s="1">
        <v>42287</v>
      </c>
      <c r="B1802" s="1">
        <v>42292</v>
      </c>
      <c r="C1802" t="s">
        <v>7</v>
      </c>
      <c r="D1802" t="s">
        <v>1685</v>
      </c>
      <c r="E1802" t="s">
        <v>1686</v>
      </c>
      <c r="F1802" t="s">
        <v>25</v>
      </c>
      <c r="G1802" t="s">
        <v>12</v>
      </c>
      <c r="H1802" t="s">
        <v>35</v>
      </c>
      <c r="I1802" t="s">
        <v>2275</v>
      </c>
      <c r="J1802" s="2">
        <v>169.56800000000001</v>
      </c>
      <c r="K1802">
        <v>2</v>
      </c>
      <c r="L1802" s="4"/>
    </row>
    <row r="1803" spans="1:12" x14ac:dyDescent="0.3">
      <c r="A1803" s="1">
        <v>42288</v>
      </c>
      <c r="B1803" s="1">
        <v>42290</v>
      </c>
      <c r="C1803" t="s">
        <v>22</v>
      </c>
      <c r="D1803" t="s">
        <v>2276</v>
      </c>
      <c r="E1803" t="s">
        <v>2277</v>
      </c>
      <c r="F1803" t="s">
        <v>115</v>
      </c>
      <c r="G1803" t="s">
        <v>12</v>
      </c>
      <c r="H1803" t="s">
        <v>13</v>
      </c>
      <c r="I1803" t="s">
        <v>2278</v>
      </c>
      <c r="J1803" s="2">
        <v>90.882000000000005</v>
      </c>
      <c r="K1803">
        <v>3</v>
      </c>
      <c r="L1803" s="4"/>
    </row>
    <row r="1804" spans="1:12" x14ac:dyDescent="0.3">
      <c r="A1804" s="1">
        <v>42288</v>
      </c>
      <c r="B1804" s="1">
        <v>42290</v>
      </c>
      <c r="C1804" t="s">
        <v>22</v>
      </c>
      <c r="D1804" t="s">
        <v>2276</v>
      </c>
      <c r="E1804" t="s">
        <v>2277</v>
      </c>
      <c r="F1804" t="s">
        <v>115</v>
      </c>
      <c r="G1804" t="s">
        <v>74</v>
      </c>
      <c r="H1804" t="s">
        <v>147</v>
      </c>
      <c r="I1804" t="s">
        <v>755</v>
      </c>
      <c r="J1804" s="2">
        <v>15.991999999999999</v>
      </c>
      <c r="K1804">
        <v>1</v>
      </c>
      <c r="L1804" s="4"/>
    </row>
    <row r="1805" spans="1:12" x14ac:dyDescent="0.3">
      <c r="A1805" s="1">
        <v>42288</v>
      </c>
      <c r="B1805" s="1">
        <v>42290</v>
      </c>
      <c r="C1805" t="s">
        <v>22</v>
      </c>
      <c r="D1805" t="s">
        <v>2276</v>
      </c>
      <c r="E1805" t="s">
        <v>2277</v>
      </c>
      <c r="F1805" t="s">
        <v>115</v>
      </c>
      <c r="G1805" t="s">
        <v>12</v>
      </c>
      <c r="H1805" t="s">
        <v>70</v>
      </c>
      <c r="I1805" t="s">
        <v>2075</v>
      </c>
      <c r="J1805" s="2">
        <v>120.78399999999999</v>
      </c>
      <c r="K1805">
        <v>1</v>
      </c>
      <c r="L1805" s="4"/>
    </row>
    <row r="1806" spans="1:12" x14ac:dyDescent="0.3">
      <c r="A1806" s="1">
        <v>42291</v>
      </c>
      <c r="B1806" s="1">
        <v>42297</v>
      </c>
      <c r="C1806" t="s">
        <v>7</v>
      </c>
      <c r="D1806" t="s">
        <v>331</v>
      </c>
      <c r="E1806" t="s">
        <v>332</v>
      </c>
      <c r="F1806" t="s">
        <v>3</v>
      </c>
      <c r="G1806" t="s">
        <v>4</v>
      </c>
      <c r="H1806" t="s">
        <v>5</v>
      </c>
      <c r="I1806" t="s">
        <v>40</v>
      </c>
      <c r="J1806" s="2">
        <v>20.04</v>
      </c>
      <c r="K1806">
        <v>3</v>
      </c>
      <c r="L1806" s="4"/>
    </row>
    <row r="1807" spans="1:12" x14ac:dyDescent="0.3">
      <c r="A1807" s="1">
        <v>42291</v>
      </c>
      <c r="B1807" s="1">
        <v>42297</v>
      </c>
      <c r="C1807" t="s">
        <v>7</v>
      </c>
      <c r="D1807" t="s">
        <v>331</v>
      </c>
      <c r="E1807" t="s">
        <v>332</v>
      </c>
      <c r="F1807" t="s">
        <v>3</v>
      </c>
      <c r="G1807" t="s">
        <v>4</v>
      </c>
      <c r="H1807" t="s">
        <v>5</v>
      </c>
      <c r="I1807" t="s">
        <v>1232</v>
      </c>
      <c r="J1807" s="2">
        <v>35.44</v>
      </c>
      <c r="K1807">
        <v>1</v>
      </c>
      <c r="L1807" s="4"/>
    </row>
    <row r="1808" spans="1:12" x14ac:dyDescent="0.3">
      <c r="A1808" s="1">
        <v>42291</v>
      </c>
      <c r="B1808" s="1">
        <v>42297</v>
      </c>
      <c r="C1808" t="s">
        <v>7</v>
      </c>
      <c r="D1808" t="s">
        <v>331</v>
      </c>
      <c r="E1808" t="s">
        <v>332</v>
      </c>
      <c r="F1808" t="s">
        <v>3</v>
      </c>
      <c r="G1808" t="s">
        <v>4</v>
      </c>
      <c r="H1808" t="s">
        <v>15</v>
      </c>
      <c r="I1808" t="s">
        <v>2279</v>
      </c>
      <c r="J1808" s="2">
        <v>11.52</v>
      </c>
      <c r="K1808">
        <v>4</v>
      </c>
      <c r="L1808" s="4"/>
    </row>
    <row r="1809" spans="1:12" x14ac:dyDescent="0.3">
      <c r="A1809" s="1">
        <v>42291</v>
      </c>
      <c r="B1809" s="1">
        <v>42297</v>
      </c>
      <c r="C1809" t="s">
        <v>7</v>
      </c>
      <c r="D1809" t="s">
        <v>331</v>
      </c>
      <c r="E1809" t="s">
        <v>332</v>
      </c>
      <c r="F1809" t="s">
        <v>3</v>
      </c>
      <c r="G1809" t="s">
        <v>4</v>
      </c>
      <c r="H1809" t="s">
        <v>52</v>
      </c>
      <c r="I1809" t="s">
        <v>624</v>
      </c>
      <c r="J1809" s="2">
        <v>4.0199999999999996</v>
      </c>
      <c r="K1809">
        <v>2</v>
      </c>
      <c r="L1809" s="4"/>
    </row>
    <row r="1810" spans="1:12" x14ac:dyDescent="0.3">
      <c r="A1810" s="1">
        <v>42291</v>
      </c>
      <c r="B1810" s="1">
        <v>42297</v>
      </c>
      <c r="C1810" t="s">
        <v>7</v>
      </c>
      <c r="D1810" t="s">
        <v>331</v>
      </c>
      <c r="E1810" t="s">
        <v>332</v>
      </c>
      <c r="F1810" t="s">
        <v>3</v>
      </c>
      <c r="G1810" t="s">
        <v>4</v>
      </c>
      <c r="H1810" t="s">
        <v>26</v>
      </c>
      <c r="I1810" t="s">
        <v>1889</v>
      </c>
      <c r="J1810" s="2">
        <v>76.176000000000002</v>
      </c>
      <c r="K1810">
        <v>3</v>
      </c>
      <c r="L1810" s="4"/>
    </row>
    <row r="1811" spans="1:12" x14ac:dyDescent="0.3">
      <c r="A1811" s="1">
        <v>42291</v>
      </c>
      <c r="B1811" s="1">
        <v>42297</v>
      </c>
      <c r="C1811" t="s">
        <v>7</v>
      </c>
      <c r="D1811" t="s">
        <v>331</v>
      </c>
      <c r="E1811" t="s">
        <v>332</v>
      </c>
      <c r="F1811" t="s">
        <v>3</v>
      </c>
      <c r="G1811" t="s">
        <v>4</v>
      </c>
      <c r="H1811" t="s">
        <v>78</v>
      </c>
      <c r="I1811" t="s">
        <v>1485</v>
      </c>
      <c r="J1811" s="2">
        <v>65.88</v>
      </c>
      <c r="K1811">
        <v>6</v>
      </c>
      <c r="L1811" s="4"/>
    </row>
    <row r="1812" spans="1:12" x14ac:dyDescent="0.3">
      <c r="A1812" s="1">
        <v>42291</v>
      </c>
      <c r="B1812" s="1">
        <v>42297</v>
      </c>
      <c r="C1812" t="s">
        <v>7</v>
      </c>
      <c r="D1812" t="s">
        <v>331</v>
      </c>
      <c r="E1812" t="s">
        <v>332</v>
      </c>
      <c r="F1812" t="s">
        <v>3</v>
      </c>
      <c r="G1812" t="s">
        <v>12</v>
      </c>
      <c r="H1812" t="s">
        <v>35</v>
      </c>
      <c r="I1812" t="s">
        <v>721</v>
      </c>
      <c r="J1812" s="2">
        <v>43.120000000000005</v>
      </c>
      <c r="K1812">
        <v>14</v>
      </c>
      <c r="L1812" s="4"/>
    </row>
    <row r="1813" spans="1:12" x14ac:dyDescent="0.3">
      <c r="A1813" s="1">
        <v>42291</v>
      </c>
      <c r="B1813" s="1">
        <v>42295</v>
      </c>
      <c r="C1813" t="s">
        <v>7</v>
      </c>
      <c r="D1813" t="s">
        <v>2280</v>
      </c>
      <c r="E1813" t="s">
        <v>2281</v>
      </c>
      <c r="F1813" t="s">
        <v>115</v>
      </c>
      <c r="G1813" t="s">
        <v>12</v>
      </c>
      <c r="H1813" t="s">
        <v>44</v>
      </c>
      <c r="I1813" t="s">
        <v>427</v>
      </c>
      <c r="J1813" s="2">
        <v>727.45</v>
      </c>
      <c r="K1813">
        <v>5</v>
      </c>
      <c r="L1813" s="4"/>
    </row>
    <row r="1814" spans="1:12" x14ac:dyDescent="0.3">
      <c r="A1814" s="1">
        <v>42291</v>
      </c>
      <c r="B1814" s="1">
        <v>42295</v>
      </c>
      <c r="C1814" t="s">
        <v>7</v>
      </c>
      <c r="D1814" t="s">
        <v>2280</v>
      </c>
      <c r="E1814" t="s">
        <v>2281</v>
      </c>
      <c r="F1814" t="s">
        <v>115</v>
      </c>
      <c r="G1814" t="s">
        <v>12</v>
      </c>
      <c r="H1814" t="s">
        <v>35</v>
      </c>
      <c r="I1814" t="s">
        <v>1999</v>
      </c>
      <c r="J1814" s="2">
        <v>24.96</v>
      </c>
      <c r="K1814">
        <v>3</v>
      </c>
      <c r="L1814" s="4"/>
    </row>
    <row r="1815" spans="1:12" x14ac:dyDescent="0.3">
      <c r="A1815" s="1">
        <v>42292</v>
      </c>
      <c r="B1815" s="1">
        <v>42296</v>
      </c>
      <c r="C1815" t="s">
        <v>7</v>
      </c>
      <c r="D1815" t="s">
        <v>2044</v>
      </c>
      <c r="E1815" t="s">
        <v>2045</v>
      </c>
      <c r="F1815" t="s">
        <v>56</v>
      </c>
      <c r="G1815" t="s">
        <v>74</v>
      </c>
      <c r="H1815" t="s">
        <v>75</v>
      </c>
      <c r="I1815" t="s">
        <v>642</v>
      </c>
      <c r="J1815" s="2">
        <v>177</v>
      </c>
      <c r="K1815">
        <v>3</v>
      </c>
      <c r="L1815" s="4"/>
    </row>
    <row r="1816" spans="1:12" x14ac:dyDescent="0.3">
      <c r="A1816" s="1">
        <v>42293</v>
      </c>
      <c r="B1816" s="1">
        <v>42299</v>
      </c>
      <c r="C1816" t="s">
        <v>7</v>
      </c>
      <c r="D1816" t="s">
        <v>1714</v>
      </c>
      <c r="E1816" t="s">
        <v>1715</v>
      </c>
      <c r="F1816" t="s">
        <v>126</v>
      </c>
      <c r="G1816" t="s">
        <v>4</v>
      </c>
      <c r="H1816" t="s">
        <v>5</v>
      </c>
      <c r="I1816" t="s">
        <v>2282</v>
      </c>
      <c r="J1816" s="2">
        <v>45.68</v>
      </c>
      <c r="K1816">
        <v>2</v>
      </c>
      <c r="L1816" s="4"/>
    </row>
    <row r="1817" spans="1:12" x14ac:dyDescent="0.3">
      <c r="A1817" s="1">
        <v>42293</v>
      </c>
      <c r="B1817" s="1">
        <v>42299</v>
      </c>
      <c r="C1817" t="s">
        <v>7</v>
      </c>
      <c r="D1817" t="s">
        <v>1714</v>
      </c>
      <c r="E1817" t="s">
        <v>1715</v>
      </c>
      <c r="F1817" t="s">
        <v>126</v>
      </c>
      <c r="G1817" t="s">
        <v>4</v>
      </c>
      <c r="H1817" t="s">
        <v>5</v>
      </c>
      <c r="I1817" t="s">
        <v>605</v>
      </c>
      <c r="J1817" s="2">
        <v>60.12</v>
      </c>
      <c r="K1817">
        <v>9</v>
      </c>
      <c r="L1817" s="4"/>
    </row>
    <row r="1818" spans="1:12" x14ac:dyDescent="0.3">
      <c r="A1818" s="1">
        <v>42293</v>
      </c>
      <c r="B1818" s="1">
        <v>42299</v>
      </c>
      <c r="C1818" t="s">
        <v>7</v>
      </c>
      <c r="D1818" t="s">
        <v>1714</v>
      </c>
      <c r="E1818" t="s">
        <v>1715</v>
      </c>
      <c r="F1818" t="s">
        <v>126</v>
      </c>
      <c r="G1818" t="s">
        <v>4</v>
      </c>
      <c r="H1818" t="s">
        <v>26</v>
      </c>
      <c r="I1818" t="s">
        <v>1161</v>
      </c>
      <c r="J1818" s="2">
        <v>41.72</v>
      </c>
      <c r="K1818">
        <v>5</v>
      </c>
      <c r="L1818" s="4"/>
    </row>
    <row r="1819" spans="1:12" x14ac:dyDescent="0.3">
      <c r="A1819" s="1">
        <v>42293</v>
      </c>
      <c r="B1819" s="1">
        <v>42299</v>
      </c>
      <c r="C1819" t="s">
        <v>7</v>
      </c>
      <c r="D1819" t="s">
        <v>1714</v>
      </c>
      <c r="E1819" t="s">
        <v>1715</v>
      </c>
      <c r="F1819" t="s">
        <v>126</v>
      </c>
      <c r="G1819" t="s">
        <v>4</v>
      </c>
      <c r="H1819" t="s">
        <v>5</v>
      </c>
      <c r="I1819" t="s">
        <v>879</v>
      </c>
      <c r="J1819" s="2">
        <v>71.599999999999994</v>
      </c>
      <c r="K1819">
        <v>8</v>
      </c>
      <c r="L1819" s="4"/>
    </row>
    <row r="1820" spans="1:12" x14ac:dyDescent="0.3">
      <c r="A1820" s="1">
        <v>42295</v>
      </c>
      <c r="B1820" s="1">
        <v>42298</v>
      </c>
      <c r="C1820" t="s">
        <v>22</v>
      </c>
      <c r="D1820" t="s">
        <v>1345</v>
      </c>
      <c r="E1820" t="s">
        <v>1346</v>
      </c>
      <c r="F1820" t="s">
        <v>3</v>
      </c>
      <c r="G1820" t="s">
        <v>4</v>
      </c>
      <c r="H1820" t="s">
        <v>26</v>
      </c>
      <c r="I1820" t="s">
        <v>2283</v>
      </c>
      <c r="J1820" s="2">
        <v>18.16</v>
      </c>
      <c r="K1820">
        <v>5</v>
      </c>
      <c r="L1820" s="4"/>
    </row>
    <row r="1821" spans="1:12" x14ac:dyDescent="0.3">
      <c r="A1821" s="1">
        <v>42295</v>
      </c>
      <c r="B1821" s="1">
        <v>42299</v>
      </c>
      <c r="C1821" t="s">
        <v>7</v>
      </c>
      <c r="D1821" t="s">
        <v>1916</v>
      </c>
      <c r="E1821" t="s">
        <v>1917</v>
      </c>
      <c r="F1821" t="s">
        <v>3</v>
      </c>
      <c r="G1821" t="s">
        <v>12</v>
      </c>
      <c r="H1821" t="s">
        <v>13</v>
      </c>
      <c r="I1821" t="s">
        <v>2284</v>
      </c>
      <c r="J1821" s="2">
        <v>120.666</v>
      </c>
      <c r="K1821">
        <v>2</v>
      </c>
      <c r="L1821" s="4"/>
    </row>
    <row r="1822" spans="1:12" x14ac:dyDescent="0.3">
      <c r="A1822" s="1">
        <v>42296</v>
      </c>
      <c r="B1822" s="1">
        <v>42300</v>
      </c>
      <c r="C1822" t="s">
        <v>7</v>
      </c>
      <c r="D1822" t="s">
        <v>2285</v>
      </c>
      <c r="E1822" t="s">
        <v>2286</v>
      </c>
      <c r="F1822" t="s">
        <v>25</v>
      </c>
      <c r="G1822" t="s">
        <v>12</v>
      </c>
      <c r="H1822" t="s">
        <v>70</v>
      </c>
      <c r="I1822" t="s">
        <v>1130</v>
      </c>
      <c r="J1822" s="2">
        <v>307.92</v>
      </c>
      <c r="K1822">
        <v>5</v>
      </c>
      <c r="L1822" s="4"/>
    </row>
    <row r="1823" spans="1:12" x14ac:dyDescent="0.3">
      <c r="A1823" s="1">
        <v>42298</v>
      </c>
      <c r="B1823" s="1">
        <v>42300</v>
      </c>
      <c r="C1823" t="s">
        <v>22</v>
      </c>
      <c r="D1823" t="s">
        <v>1633</v>
      </c>
      <c r="E1823" t="s">
        <v>1634</v>
      </c>
      <c r="F1823" t="s">
        <v>3</v>
      </c>
      <c r="G1823" t="s">
        <v>4</v>
      </c>
      <c r="H1823" t="s">
        <v>26</v>
      </c>
      <c r="I1823" t="s">
        <v>820</v>
      </c>
      <c r="J1823" s="2">
        <v>19.295999999999999</v>
      </c>
      <c r="K1823">
        <v>3</v>
      </c>
      <c r="L1823" s="4"/>
    </row>
    <row r="1824" spans="1:12" x14ac:dyDescent="0.3">
      <c r="A1824" s="1">
        <v>42298</v>
      </c>
      <c r="B1824" s="1">
        <v>42303</v>
      </c>
      <c r="C1824" t="s">
        <v>7</v>
      </c>
      <c r="D1824" t="s">
        <v>2287</v>
      </c>
      <c r="E1824" t="s">
        <v>2288</v>
      </c>
      <c r="F1824" t="s">
        <v>3</v>
      </c>
      <c r="G1824" t="s">
        <v>12</v>
      </c>
      <c r="H1824" t="s">
        <v>70</v>
      </c>
      <c r="I1824" t="s">
        <v>2289</v>
      </c>
      <c r="J1824" s="2">
        <v>387.13600000000002</v>
      </c>
      <c r="K1824">
        <v>4</v>
      </c>
      <c r="L1824" s="4"/>
    </row>
    <row r="1825" spans="1:12" x14ac:dyDescent="0.3">
      <c r="A1825" s="1">
        <v>42299</v>
      </c>
      <c r="B1825" s="1">
        <v>42305</v>
      </c>
      <c r="C1825" t="s">
        <v>7</v>
      </c>
      <c r="D1825" t="s">
        <v>1516</v>
      </c>
      <c r="E1825" t="s">
        <v>1517</v>
      </c>
      <c r="F1825" t="s">
        <v>3</v>
      </c>
      <c r="G1825" t="s">
        <v>4</v>
      </c>
      <c r="H1825" t="s">
        <v>5</v>
      </c>
      <c r="I1825" t="s">
        <v>2290</v>
      </c>
      <c r="J1825" s="2">
        <v>22.919999999999998</v>
      </c>
      <c r="K1825">
        <v>3</v>
      </c>
      <c r="L1825" s="4"/>
    </row>
    <row r="1826" spans="1:12" x14ac:dyDescent="0.3">
      <c r="A1826" s="1">
        <v>42299</v>
      </c>
      <c r="B1826" s="1">
        <v>42303</v>
      </c>
      <c r="C1826" t="s">
        <v>7</v>
      </c>
      <c r="D1826" t="s">
        <v>384</v>
      </c>
      <c r="E1826" t="s">
        <v>385</v>
      </c>
      <c r="F1826" t="s">
        <v>3</v>
      </c>
      <c r="G1826" t="s">
        <v>4</v>
      </c>
      <c r="H1826" t="s">
        <v>10</v>
      </c>
      <c r="I1826" t="s">
        <v>1378</v>
      </c>
      <c r="J1826" s="2">
        <v>154.44</v>
      </c>
      <c r="K1826">
        <v>3</v>
      </c>
      <c r="L1826" s="4"/>
    </row>
    <row r="1827" spans="1:12" x14ac:dyDescent="0.3">
      <c r="A1827" s="1">
        <v>42299</v>
      </c>
      <c r="B1827" s="1">
        <v>42304</v>
      </c>
      <c r="C1827" t="s">
        <v>0</v>
      </c>
      <c r="D1827" t="s">
        <v>405</v>
      </c>
      <c r="E1827" t="s">
        <v>406</v>
      </c>
      <c r="F1827" t="s">
        <v>39</v>
      </c>
      <c r="G1827" t="s">
        <v>4</v>
      </c>
      <c r="H1827" t="s">
        <v>15</v>
      </c>
      <c r="I1827" t="s">
        <v>870</v>
      </c>
      <c r="J1827" s="2">
        <v>113.22</v>
      </c>
      <c r="K1827">
        <v>3</v>
      </c>
      <c r="L1827" s="4"/>
    </row>
    <row r="1828" spans="1:12" x14ac:dyDescent="0.3">
      <c r="A1828" s="1">
        <v>42299</v>
      </c>
      <c r="B1828" s="1">
        <v>42304</v>
      </c>
      <c r="C1828" t="s">
        <v>0</v>
      </c>
      <c r="D1828" t="s">
        <v>405</v>
      </c>
      <c r="E1828" t="s">
        <v>406</v>
      </c>
      <c r="F1828" t="s">
        <v>39</v>
      </c>
      <c r="G1828" t="s">
        <v>4</v>
      </c>
      <c r="H1828" t="s">
        <v>5</v>
      </c>
      <c r="I1828" t="s">
        <v>2291</v>
      </c>
      <c r="J1828" s="2">
        <v>35.880000000000003</v>
      </c>
      <c r="K1828">
        <v>6</v>
      </c>
      <c r="L1828" s="4"/>
    </row>
    <row r="1829" spans="1:12" x14ac:dyDescent="0.3">
      <c r="A1829" s="1">
        <v>42299</v>
      </c>
      <c r="B1829" s="1">
        <v>42304</v>
      </c>
      <c r="C1829" t="s">
        <v>0</v>
      </c>
      <c r="D1829" t="s">
        <v>405</v>
      </c>
      <c r="E1829" t="s">
        <v>406</v>
      </c>
      <c r="F1829" t="s">
        <v>39</v>
      </c>
      <c r="G1829" t="s">
        <v>4</v>
      </c>
      <c r="H1829" t="s">
        <v>26</v>
      </c>
      <c r="I1829" t="s">
        <v>2292</v>
      </c>
      <c r="J1829" s="2">
        <v>4535.9760000000006</v>
      </c>
      <c r="K1829">
        <v>3</v>
      </c>
      <c r="L1829" s="4"/>
    </row>
    <row r="1830" spans="1:12" x14ac:dyDescent="0.3">
      <c r="A1830" s="1">
        <v>42299</v>
      </c>
      <c r="B1830" s="1">
        <v>42305</v>
      </c>
      <c r="C1830" t="s">
        <v>7</v>
      </c>
      <c r="D1830" t="s">
        <v>348</v>
      </c>
      <c r="E1830" t="s">
        <v>349</v>
      </c>
      <c r="F1830" t="s">
        <v>3</v>
      </c>
      <c r="G1830" t="s">
        <v>12</v>
      </c>
      <c r="H1830" t="s">
        <v>70</v>
      </c>
      <c r="I1830" t="s">
        <v>2293</v>
      </c>
      <c r="J1830" s="2">
        <v>242.13600000000002</v>
      </c>
      <c r="K1830">
        <v>3</v>
      </c>
      <c r="L1830" s="4"/>
    </row>
    <row r="1831" spans="1:12" x14ac:dyDescent="0.3">
      <c r="A1831" s="1">
        <v>42299</v>
      </c>
      <c r="B1831" s="1">
        <v>42305</v>
      </c>
      <c r="C1831" t="s">
        <v>7</v>
      </c>
      <c r="D1831" t="s">
        <v>348</v>
      </c>
      <c r="E1831" t="s">
        <v>349</v>
      </c>
      <c r="F1831" t="s">
        <v>3</v>
      </c>
      <c r="G1831" t="s">
        <v>4</v>
      </c>
      <c r="H1831" t="s">
        <v>15</v>
      </c>
      <c r="I1831" t="s">
        <v>109</v>
      </c>
      <c r="J1831" s="2">
        <v>12.39</v>
      </c>
      <c r="K1831">
        <v>3</v>
      </c>
      <c r="L1831" s="4"/>
    </row>
    <row r="1832" spans="1:12" x14ac:dyDescent="0.3">
      <c r="A1832" s="1">
        <v>42299</v>
      </c>
      <c r="B1832" s="1">
        <v>42305</v>
      </c>
      <c r="C1832" t="s">
        <v>7</v>
      </c>
      <c r="D1832" t="s">
        <v>348</v>
      </c>
      <c r="E1832" t="s">
        <v>349</v>
      </c>
      <c r="F1832" t="s">
        <v>3</v>
      </c>
      <c r="G1832" t="s">
        <v>12</v>
      </c>
      <c r="H1832" t="s">
        <v>35</v>
      </c>
      <c r="I1832" t="s">
        <v>2294</v>
      </c>
      <c r="J1832" s="2">
        <v>19.96</v>
      </c>
      <c r="K1832">
        <v>2</v>
      </c>
      <c r="L1832" s="4"/>
    </row>
    <row r="1833" spans="1:12" x14ac:dyDescent="0.3">
      <c r="A1833" s="1">
        <v>42299</v>
      </c>
      <c r="B1833" s="1">
        <v>42305</v>
      </c>
      <c r="C1833" t="s">
        <v>7</v>
      </c>
      <c r="D1833" t="s">
        <v>348</v>
      </c>
      <c r="E1833" t="s">
        <v>349</v>
      </c>
      <c r="F1833" t="s">
        <v>3</v>
      </c>
      <c r="G1833" t="s">
        <v>4</v>
      </c>
      <c r="H1833" t="s">
        <v>10</v>
      </c>
      <c r="I1833" t="s">
        <v>876</v>
      </c>
      <c r="J1833" s="2">
        <v>340.92</v>
      </c>
      <c r="K1833">
        <v>3</v>
      </c>
      <c r="L1833" s="4"/>
    </row>
    <row r="1834" spans="1:12" x14ac:dyDescent="0.3">
      <c r="A1834" s="1">
        <v>42300</v>
      </c>
      <c r="B1834" s="1">
        <v>42300</v>
      </c>
      <c r="C1834" t="s">
        <v>240</v>
      </c>
      <c r="D1834" t="s">
        <v>850</v>
      </c>
      <c r="E1834" t="s">
        <v>851</v>
      </c>
      <c r="F1834" t="s">
        <v>56</v>
      </c>
      <c r="G1834" t="s">
        <v>4</v>
      </c>
      <c r="H1834" t="s">
        <v>5</v>
      </c>
      <c r="I1834" t="s">
        <v>605</v>
      </c>
      <c r="J1834" s="2">
        <v>6.68</v>
      </c>
      <c r="K1834">
        <v>1</v>
      </c>
      <c r="L1834" s="4"/>
    </row>
    <row r="1835" spans="1:12" x14ac:dyDescent="0.3">
      <c r="A1835" s="1">
        <v>42300</v>
      </c>
      <c r="B1835" s="1">
        <v>42300</v>
      </c>
      <c r="C1835" t="s">
        <v>240</v>
      </c>
      <c r="D1835" t="s">
        <v>850</v>
      </c>
      <c r="E1835" t="s">
        <v>851</v>
      </c>
      <c r="F1835" t="s">
        <v>56</v>
      </c>
      <c r="G1835" t="s">
        <v>4</v>
      </c>
      <c r="H1835" t="s">
        <v>15</v>
      </c>
      <c r="I1835" t="s">
        <v>422</v>
      </c>
      <c r="J1835" s="2">
        <v>8.34</v>
      </c>
      <c r="K1835">
        <v>3</v>
      </c>
      <c r="L1835" s="4"/>
    </row>
    <row r="1836" spans="1:12" x14ac:dyDescent="0.3">
      <c r="A1836" s="1">
        <v>42300</v>
      </c>
      <c r="B1836" s="1">
        <v>42300</v>
      </c>
      <c r="C1836" t="s">
        <v>240</v>
      </c>
      <c r="D1836" t="s">
        <v>850</v>
      </c>
      <c r="E1836" t="s">
        <v>851</v>
      </c>
      <c r="F1836" t="s">
        <v>56</v>
      </c>
      <c r="G1836" t="s">
        <v>12</v>
      </c>
      <c r="H1836" t="s">
        <v>35</v>
      </c>
      <c r="I1836" t="s">
        <v>2295</v>
      </c>
      <c r="J1836" s="2">
        <v>101.94</v>
      </c>
      <c r="K1836">
        <v>3</v>
      </c>
      <c r="L1836" s="4"/>
    </row>
    <row r="1837" spans="1:12" x14ac:dyDescent="0.3">
      <c r="A1837" s="1">
        <v>42301</v>
      </c>
      <c r="B1837" s="1">
        <v>42306</v>
      </c>
      <c r="C1837" t="s">
        <v>7</v>
      </c>
      <c r="D1837" t="s">
        <v>467</v>
      </c>
      <c r="E1837" t="s">
        <v>468</v>
      </c>
      <c r="F1837" t="s">
        <v>56</v>
      </c>
      <c r="G1837" t="s">
        <v>4</v>
      </c>
      <c r="H1837" t="s">
        <v>52</v>
      </c>
      <c r="I1837" t="s">
        <v>2173</v>
      </c>
      <c r="J1837" s="2">
        <v>17.05</v>
      </c>
      <c r="K1837">
        <v>5</v>
      </c>
      <c r="L1837" s="4"/>
    </row>
    <row r="1838" spans="1:12" x14ac:dyDescent="0.3">
      <c r="A1838" s="1">
        <v>42302</v>
      </c>
      <c r="B1838" s="1">
        <v>42306</v>
      </c>
      <c r="C1838" t="s">
        <v>0</v>
      </c>
      <c r="D1838" t="s">
        <v>1153</v>
      </c>
      <c r="E1838" t="s">
        <v>1154</v>
      </c>
      <c r="F1838" t="s">
        <v>3</v>
      </c>
      <c r="G1838" t="s">
        <v>74</v>
      </c>
      <c r="H1838" t="s">
        <v>75</v>
      </c>
      <c r="I1838" t="s">
        <v>1821</v>
      </c>
      <c r="J1838" s="2">
        <v>100</v>
      </c>
      <c r="K1838">
        <v>4</v>
      </c>
      <c r="L1838" s="4"/>
    </row>
    <row r="1839" spans="1:12" x14ac:dyDescent="0.3">
      <c r="A1839" s="1">
        <v>42302</v>
      </c>
      <c r="B1839" s="1">
        <v>42306</v>
      </c>
      <c r="C1839" t="s">
        <v>0</v>
      </c>
      <c r="D1839" t="s">
        <v>1153</v>
      </c>
      <c r="E1839" t="s">
        <v>1154</v>
      </c>
      <c r="F1839" t="s">
        <v>3</v>
      </c>
      <c r="G1839" t="s">
        <v>74</v>
      </c>
      <c r="H1839" t="s">
        <v>75</v>
      </c>
      <c r="I1839" t="s">
        <v>2296</v>
      </c>
      <c r="J1839" s="2">
        <v>359.98</v>
      </c>
      <c r="K1839">
        <v>2</v>
      </c>
      <c r="L1839" s="4"/>
    </row>
    <row r="1840" spans="1:12" x14ac:dyDescent="0.3">
      <c r="A1840" s="1">
        <v>42302</v>
      </c>
      <c r="B1840" s="1">
        <v>42302</v>
      </c>
      <c r="C1840" t="s">
        <v>240</v>
      </c>
      <c r="D1840" t="s">
        <v>526</v>
      </c>
      <c r="E1840" t="s">
        <v>527</v>
      </c>
      <c r="F1840" t="s">
        <v>3</v>
      </c>
      <c r="G1840" t="s">
        <v>74</v>
      </c>
      <c r="H1840" t="s">
        <v>75</v>
      </c>
      <c r="I1840" t="s">
        <v>2297</v>
      </c>
      <c r="J1840" s="2">
        <v>199.99</v>
      </c>
      <c r="K1840">
        <v>1</v>
      </c>
      <c r="L1840" s="4"/>
    </row>
    <row r="1841" spans="1:12" x14ac:dyDescent="0.3">
      <c r="A1841" s="1">
        <v>42302</v>
      </c>
      <c r="B1841" s="1">
        <v>42306</v>
      </c>
      <c r="C1841" t="s">
        <v>7</v>
      </c>
      <c r="D1841" t="s">
        <v>545</v>
      </c>
      <c r="E1841" t="s">
        <v>546</v>
      </c>
      <c r="F1841" t="s">
        <v>3</v>
      </c>
      <c r="G1841" t="s">
        <v>74</v>
      </c>
      <c r="H1841" t="s">
        <v>75</v>
      </c>
      <c r="I1841" t="s">
        <v>1625</v>
      </c>
      <c r="J1841" s="2">
        <v>450</v>
      </c>
      <c r="K1841">
        <v>5</v>
      </c>
      <c r="L1841" s="4"/>
    </row>
    <row r="1842" spans="1:12" x14ac:dyDescent="0.3">
      <c r="A1842" s="1">
        <v>42305</v>
      </c>
      <c r="B1842" s="1">
        <v>42311</v>
      </c>
      <c r="C1842" t="s">
        <v>7</v>
      </c>
      <c r="D1842" t="s">
        <v>1062</v>
      </c>
      <c r="E1842" t="s">
        <v>1063</v>
      </c>
      <c r="F1842" t="s">
        <v>3</v>
      </c>
      <c r="G1842" t="s">
        <v>4</v>
      </c>
      <c r="H1842" t="s">
        <v>20</v>
      </c>
      <c r="I1842" t="s">
        <v>678</v>
      </c>
      <c r="J1842" s="2">
        <v>43.92</v>
      </c>
      <c r="K1842">
        <v>4</v>
      </c>
      <c r="L1842" s="4"/>
    </row>
    <row r="1843" spans="1:12" x14ac:dyDescent="0.3">
      <c r="A1843" s="1">
        <v>42305</v>
      </c>
      <c r="B1843" s="1">
        <v>42311</v>
      </c>
      <c r="C1843" t="s">
        <v>7</v>
      </c>
      <c r="D1843" t="s">
        <v>1062</v>
      </c>
      <c r="E1843" t="s">
        <v>1063</v>
      </c>
      <c r="F1843" t="s">
        <v>3</v>
      </c>
      <c r="G1843" t="s">
        <v>4</v>
      </c>
      <c r="H1843" t="s">
        <v>26</v>
      </c>
      <c r="I1843" t="s">
        <v>1161</v>
      </c>
      <c r="J1843" s="2">
        <v>25.031999999999996</v>
      </c>
      <c r="K1843">
        <v>3</v>
      </c>
      <c r="L1843" s="4"/>
    </row>
    <row r="1844" spans="1:12" x14ac:dyDescent="0.3">
      <c r="A1844" s="1">
        <v>42305</v>
      </c>
      <c r="B1844" s="1">
        <v>42309</v>
      </c>
      <c r="C1844" t="s">
        <v>7</v>
      </c>
      <c r="D1844" t="s">
        <v>2298</v>
      </c>
      <c r="E1844" t="s">
        <v>2299</v>
      </c>
      <c r="F1844" t="s">
        <v>3</v>
      </c>
      <c r="G1844" t="s">
        <v>4</v>
      </c>
      <c r="H1844" t="s">
        <v>26</v>
      </c>
      <c r="I1844" t="s">
        <v>618</v>
      </c>
      <c r="J1844" s="2">
        <v>67.13600000000001</v>
      </c>
      <c r="K1844">
        <v>4</v>
      </c>
      <c r="L1844" s="4"/>
    </row>
    <row r="1845" spans="1:12" x14ac:dyDescent="0.3">
      <c r="A1845" s="1">
        <v>42306</v>
      </c>
      <c r="B1845" s="1">
        <v>42310</v>
      </c>
      <c r="C1845" t="s">
        <v>7</v>
      </c>
      <c r="D1845" t="s">
        <v>2300</v>
      </c>
      <c r="E1845" t="s">
        <v>2301</v>
      </c>
      <c r="F1845" t="s">
        <v>3</v>
      </c>
      <c r="G1845" t="s">
        <v>4</v>
      </c>
      <c r="H1845" t="s">
        <v>10</v>
      </c>
      <c r="I1845" t="s">
        <v>1589</v>
      </c>
      <c r="J1845" s="2">
        <v>93.06</v>
      </c>
      <c r="K1845">
        <v>6</v>
      </c>
      <c r="L1845" s="4"/>
    </row>
    <row r="1846" spans="1:12" x14ac:dyDescent="0.3">
      <c r="A1846" s="1">
        <v>42306</v>
      </c>
      <c r="B1846" s="1">
        <v>42310</v>
      </c>
      <c r="C1846" t="s">
        <v>7</v>
      </c>
      <c r="D1846" t="s">
        <v>2300</v>
      </c>
      <c r="E1846" t="s">
        <v>2301</v>
      </c>
      <c r="F1846" t="s">
        <v>3</v>
      </c>
      <c r="G1846" t="s">
        <v>74</v>
      </c>
      <c r="H1846" t="s">
        <v>147</v>
      </c>
      <c r="I1846" t="s">
        <v>2302</v>
      </c>
      <c r="J1846" s="2">
        <v>302.37599999999998</v>
      </c>
      <c r="K1846">
        <v>3</v>
      </c>
      <c r="L1846" s="4"/>
    </row>
    <row r="1847" spans="1:12" x14ac:dyDescent="0.3">
      <c r="A1847" s="1">
        <v>42306</v>
      </c>
      <c r="B1847" s="1">
        <v>42307</v>
      </c>
      <c r="C1847" t="s">
        <v>22</v>
      </c>
      <c r="D1847" t="s">
        <v>2303</v>
      </c>
      <c r="E1847" t="s">
        <v>2304</v>
      </c>
      <c r="F1847" t="s">
        <v>3</v>
      </c>
      <c r="G1847" t="s">
        <v>4</v>
      </c>
      <c r="H1847" t="s">
        <v>5</v>
      </c>
      <c r="I1847" t="s">
        <v>2305</v>
      </c>
      <c r="J1847" s="2">
        <v>50.96</v>
      </c>
      <c r="K1847">
        <v>7</v>
      </c>
      <c r="L1847" s="4"/>
    </row>
    <row r="1848" spans="1:12" x14ac:dyDescent="0.3">
      <c r="A1848" s="1">
        <v>42306</v>
      </c>
      <c r="B1848" s="1">
        <v>42307</v>
      </c>
      <c r="C1848" t="s">
        <v>22</v>
      </c>
      <c r="D1848" t="s">
        <v>2303</v>
      </c>
      <c r="E1848" t="s">
        <v>2304</v>
      </c>
      <c r="F1848" t="s">
        <v>3</v>
      </c>
      <c r="G1848" t="s">
        <v>4</v>
      </c>
      <c r="H1848" t="s">
        <v>26</v>
      </c>
      <c r="I1848" t="s">
        <v>1730</v>
      </c>
      <c r="J1848" s="2">
        <v>49.536000000000001</v>
      </c>
      <c r="K1848">
        <v>3</v>
      </c>
      <c r="L1848" s="4"/>
    </row>
    <row r="1849" spans="1:12" x14ac:dyDescent="0.3">
      <c r="A1849" s="1">
        <v>42307</v>
      </c>
      <c r="B1849" s="1">
        <v>42310</v>
      </c>
      <c r="C1849" t="s">
        <v>0</v>
      </c>
      <c r="D1849" t="s">
        <v>1040</v>
      </c>
      <c r="E1849" t="s">
        <v>1041</v>
      </c>
      <c r="F1849" t="s">
        <v>3</v>
      </c>
      <c r="G1849" t="s">
        <v>4</v>
      </c>
      <c r="H1849" t="s">
        <v>26</v>
      </c>
      <c r="I1849" t="s">
        <v>2306</v>
      </c>
      <c r="J1849" s="2">
        <v>11.744</v>
      </c>
      <c r="K1849">
        <v>1</v>
      </c>
      <c r="L1849" s="4"/>
    </row>
    <row r="1850" spans="1:12" x14ac:dyDescent="0.3">
      <c r="A1850" s="1">
        <v>42308</v>
      </c>
      <c r="B1850" s="1">
        <v>42313</v>
      </c>
      <c r="C1850" t="s">
        <v>7</v>
      </c>
      <c r="D1850" t="s">
        <v>937</v>
      </c>
      <c r="E1850" t="s">
        <v>938</v>
      </c>
      <c r="F1850" t="s">
        <v>3</v>
      </c>
      <c r="G1850" t="s">
        <v>4</v>
      </c>
      <c r="H1850" t="s">
        <v>52</v>
      </c>
      <c r="I1850" t="s">
        <v>1400</v>
      </c>
      <c r="J1850" s="2">
        <v>3.62</v>
      </c>
      <c r="K1850">
        <v>2</v>
      </c>
      <c r="L1850" s="4"/>
    </row>
    <row r="1851" spans="1:12" x14ac:dyDescent="0.3">
      <c r="A1851" s="1">
        <v>42309</v>
      </c>
      <c r="B1851" s="1">
        <v>42313</v>
      </c>
      <c r="C1851" t="s">
        <v>7</v>
      </c>
      <c r="D1851" t="s">
        <v>158</v>
      </c>
      <c r="E1851" t="s">
        <v>159</v>
      </c>
      <c r="F1851" t="s">
        <v>3</v>
      </c>
      <c r="G1851" t="s">
        <v>4</v>
      </c>
      <c r="H1851" t="s">
        <v>10</v>
      </c>
      <c r="I1851" t="s">
        <v>706</v>
      </c>
      <c r="J1851" s="2">
        <v>1085.42</v>
      </c>
      <c r="K1851">
        <v>7</v>
      </c>
      <c r="L1851" s="4"/>
    </row>
    <row r="1852" spans="1:12" x14ac:dyDescent="0.3">
      <c r="A1852" s="1">
        <v>42309</v>
      </c>
      <c r="B1852" s="1">
        <v>42314</v>
      </c>
      <c r="C1852" t="s">
        <v>7</v>
      </c>
      <c r="D1852" t="s">
        <v>801</v>
      </c>
      <c r="E1852" t="s">
        <v>802</v>
      </c>
      <c r="F1852" t="s">
        <v>3</v>
      </c>
      <c r="G1852" t="s">
        <v>12</v>
      </c>
      <c r="H1852" t="s">
        <v>70</v>
      </c>
      <c r="I1852" t="s">
        <v>1061</v>
      </c>
      <c r="J1852" s="2">
        <v>1403.9200000000003</v>
      </c>
      <c r="K1852">
        <v>5</v>
      </c>
      <c r="L1852" s="4"/>
    </row>
    <row r="1853" spans="1:12" x14ac:dyDescent="0.3">
      <c r="A1853" s="1">
        <v>42312</v>
      </c>
      <c r="B1853" s="1">
        <v>42316</v>
      </c>
      <c r="C1853" t="s">
        <v>7</v>
      </c>
      <c r="D1853" t="s">
        <v>2212</v>
      </c>
      <c r="E1853" t="s">
        <v>2213</v>
      </c>
      <c r="F1853" t="s">
        <v>56</v>
      </c>
      <c r="G1853" t="s">
        <v>4</v>
      </c>
      <c r="H1853" t="s">
        <v>15</v>
      </c>
      <c r="I1853" t="s">
        <v>1085</v>
      </c>
      <c r="J1853" s="2">
        <v>8.82</v>
      </c>
      <c r="K1853">
        <v>3</v>
      </c>
      <c r="L1853" s="4"/>
    </row>
    <row r="1854" spans="1:12" x14ac:dyDescent="0.3">
      <c r="A1854" s="1">
        <v>42312</v>
      </c>
      <c r="B1854" s="1">
        <v>42315</v>
      </c>
      <c r="C1854" t="s">
        <v>22</v>
      </c>
      <c r="D1854" t="s">
        <v>2307</v>
      </c>
      <c r="E1854" t="s">
        <v>2308</v>
      </c>
      <c r="F1854" t="s">
        <v>3</v>
      </c>
      <c r="G1854" t="s">
        <v>12</v>
      </c>
      <c r="H1854" t="s">
        <v>70</v>
      </c>
      <c r="I1854" t="s">
        <v>1890</v>
      </c>
      <c r="J1854" s="2">
        <v>217.58400000000003</v>
      </c>
      <c r="K1854">
        <v>2</v>
      </c>
      <c r="L1854" s="4"/>
    </row>
    <row r="1855" spans="1:12" x14ac:dyDescent="0.3">
      <c r="A1855" s="1">
        <v>42312</v>
      </c>
      <c r="B1855" s="1">
        <v>42315</v>
      </c>
      <c r="C1855" t="s">
        <v>22</v>
      </c>
      <c r="D1855" t="s">
        <v>2307</v>
      </c>
      <c r="E1855" t="s">
        <v>2308</v>
      </c>
      <c r="F1855" t="s">
        <v>3</v>
      </c>
      <c r="G1855" t="s">
        <v>74</v>
      </c>
      <c r="H1855" t="s">
        <v>75</v>
      </c>
      <c r="I1855" t="s">
        <v>2309</v>
      </c>
      <c r="J1855" s="2">
        <v>82.95</v>
      </c>
      <c r="K1855">
        <v>5</v>
      </c>
      <c r="L1855" s="4"/>
    </row>
    <row r="1856" spans="1:12" x14ac:dyDescent="0.3">
      <c r="A1856" s="1">
        <v>42312</v>
      </c>
      <c r="B1856" s="1">
        <v>42315</v>
      </c>
      <c r="C1856" t="s">
        <v>22</v>
      </c>
      <c r="D1856" t="s">
        <v>2307</v>
      </c>
      <c r="E1856" t="s">
        <v>2308</v>
      </c>
      <c r="F1856" t="s">
        <v>3</v>
      </c>
      <c r="G1856" t="s">
        <v>4</v>
      </c>
      <c r="H1856" t="s">
        <v>168</v>
      </c>
      <c r="I1856" t="s">
        <v>2310</v>
      </c>
      <c r="J1856" s="2">
        <v>87.71</v>
      </c>
      <c r="K1856">
        <v>7</v>
      </c>
      <c r="L1856" s="4"/>
    </row>
    <row r="1857" spans="1:12" x14ac:dyDescent="0.3">
      <c r="A1857" s="1">
        <v>42312</v>
      </c>
      <c r="B1857" s="1">
        <v>42315</v>
      </c>
      <c r="C1857" t="s">
        <v>22</v>
      </c>
      <c r="D1857" t="s">
        <v>2307</v>
      </c>
      <c r="E1857" t="s">
        <v>2308</v>
      </c>
      <c r="F1857" t="s">
        <v>3</v>
      </c>
      <c r="G1857" t="s">
        <v>4</v>
      </c>
      <c r="H1857" t="s">
        <v>20</v>
      </c>
      <c r="I1857" t="s">
        <v>2311</v>
      </c>
      <c r="J1857" s="2">
        <v>1101.48</v>
      </c>
      <c r="K1857">
        <v>4</v>
      </c>
      <c r="L1857" s="4"/>
    </row>
    <row r="1858" spans="1:12" x14ac:dyDescent="0.3">
      <c r="A1858" s="1">
        <v>42312</v>
      </c>
      <c r="B1858" s="1">
        <v>42317</v>
      </c>
      <c r="C1858" t="s">
        <v>7</v>
      </c>
      <c r="D1858" t="s">
        <v>751</v>
      </c>
      <c r="E1858" t="s">
        <v>752</v>
      </c>
      <c r="F1858" t="s">
        <v>3</v>
      </c>
      <c r="G1858" t="s">
        <v>4</v>
      </c>
      <c r="H1858" t="s">
        <v>52</v>
      </c>
      <c r="I1858" t="s">
        <v>715</v>
      </c>
      <c r="J1858" s="2">
        <v>15.260000000000002</v>
      </c>
      <c r="K1858">
        <v>7</v>
      </c>
      <c r="L1858" s="4"/>
    </row>
    <row r="1859" spans="1:12" x14ac:dyDescent="0.3">
      <c r="A1859" s="1">
        <v>42312</v>
      </c>
      <c r="B1859" s="1">
        <v>42317</v>
      </c>
      <c r="C1859" t="s">
        <v>7</v>
      </c>
      <c r="D1859" t="s">
        <v>751</v>
      </c>
      <c r="E1859" t="s">
        <v>752</v>
      </c>
      <c r="F1859" t="s">
        <v>3</v>
      </c>
      <c r="G1859" t="s">
        <v>4</v>
      </c>
      <c r="H1859" t="s">
        <v>20</v>
      </c>
      <c r="I1859" t="s">
        <v>2113</v>
      </c>
      <c r="J1859" s="2">
        <v>43.32</v>
      </c>
      <c r="K1859">
        <v>2</v>
      </c>
      <c r="L1859" s="4"/>
    </row>
    <row r="1860" spans="1:12" x14ac:dyDescent="0.3">
      <c r="A1860" s="1">
        <v>42312</v>
      </c>
      <c r="B1860" s="1">
        <v>42317</v>
      </c>
      <c r="C1860" t="s">
        <v>7</v>
      </c>
      <c r="D1860" t="s">
        <v>751</v>
      </c>
      <c r="E1860" t="s">
        <v>752</v>
      </c>
      <c r="F1860" t="s">
        <v>3</v>
      </c>
      <c r="G1860" t="s">
        <v>4</v>
      </c>
      <c r="H1860" t="s">
        <v>26</v>
      </c>
      <c r="I1860" t="s">
        <v>2283</v>
      </c>
      <c r="J1860" s="2">
        <v>43.584000000000003</v>
      </c>
      <c r="K1860">
        <v>12</v>
      </c>
      <c r="L1860" s="4"/>
    </row>
    <row r="1861" spans="1:12" x14ac:dyDescent="0.3">
      <c r="A1861" s="1">
        <v>42312</v>
      </c>
      <c r="B1861" s="1">
        <v>42317</v>
      </c>
      <c r="C1861" t="s">
        <v>7</v>
      </c>
      <c r="D1861" t="s">
        <v>751</v>
      </c>
      <c r="E1861" t="s">
        <v>752</v>
      </c>
      <c r="F1861" t="s">
        <v>3</v>
      </c>
      <c r="G1861" t="s">
        <v>4</v>
      </c>
      <c r="H1861" t="s">
        <v>5</v>
      </c>
      <c r="I1861" t="s">
        <v>2312</v>
      </c>
      <c r="J1861" s="2">
        <v>116.28</v>
      </c>
      <c r="K1861">
        <v>3</v>
      </c>
      <c r="L1861" s="4"/>
    </row>
    <row r="1862" spans="1:12" x14ac:dyDescent="0.3">
      <c r="A1862" s="1">
        <v>42312</v>
      </c>
      <c r="B1862" s="1">
        <v>42317</v>
      </c>
      <c r="C1862" t="s">
        <v>7</v>
      </c>
      <c r="D1862" t="s">
        <v>751</v>
      </c>
      <c r="E1862" t="s">
        <v>752</v>
      </c>
      <c r="F1862" t="s">
        <v>3</v>
      </c>
      <c r="G1862" t="s">
        <v>4</v>
      </c>
      <c r="H1862" t="s">
        <v>26</v>
      </c>
      <c r="I1862" t="s">
        <v>1290</v>
      </c>
      <c r="J1862" s="2">
        <v>9.2959999999999994</v>
      </c>
      <c r="K1862">
        <v>2</v>
      </c>
      <c r="L1862" s="4"/>
    </row>
    <row r="1863" spans="1:12" x14ac:dyDescent="0.3">
      <c r="A1863" s="1">
        <v>42312</v>
      </c>
      <c r="B1863" s="1">
        <v>42317</v>
      </c>
      <c r="C1863" t="s">
        <v>7</v>
      </c>
      <c r="D1863" t="s">
        <v>751</v>
      </c>
      <c r="E1863" t="s">
        <v>752</v>
      </c>
      <c r="F1863" t="s">
        <v>3</v>
      </c>
      <c r="G1863" t="s">
        <v>4</v>
      </c>
      <c r="H1863" t="s">
        <v>5</v>
      </c>
      <c r="I1863" t="s">
        <v>1163</v>
      </c>
      <c r="J1863" s="2">
        <v>19.440000000000001</v>
      </c>
      <c r="K1863">
        <v>3</v>
      </c>
      <c r="L1863" s="4"/>
    </row>
    <row r="1864" spans="1:12" x14ac:dyDescent="0.3">
      <c r="A1864" s="1">
        <v>42312</v>
      </c>
      <c r="B1864" s="1">
        <v>42317</v>
      </c>
      <c r="C1864" t="s">
        <v>7</v>
      </c>
      <c r="D1864" t="s">
        <v>751</v>
      </c>
      <c r="E1864" t="s">
        <v>752</v>
      </c>
      <c r="F1864" t="s">
        <v>3</v>
      </c>
      <c r="G1864" t="s">
        <v>4</v>
      </c>
      <c r="H1864" t="s">
        <v>5</v>
      </c>
      <c r="I1864" t="s">
        <v>1206</v>
      </c>
      <c r="J1864" s="2">
        <v>314.54999999999995</v>
      </c>
      <c r="K1864">
        <v>3</v>
      </c>
      <c r="L1864" s="4"/>
    </row>
    <row r="1865" spans="1:12" x14ac:dyDescent="0.3">
      <c r="A1865" s="1">
        <v>42312</v>
      </c>
      <c r="B1865" s="1">
        <v>42314</v>
      </c>
      <c r="C1865" t="s">
        <v>22</v>
      </c>
      <c r="D1865" t="s">
        <v>958</v>
      </c>
      <c r="E1865" t="s">
        <v>959</v>
      </c>
      <c r="F1865" t="s">
        <v>19</v>
      </c>
      <c r="G1865" t="s">
        <v>4</v>
      </c>
      <c r="H1865" t="s">
        <v>26</v>
      </c>
      <c r="I1865" t="s">
        <v>1743</v>
      </c>
      <c r="J1865" s="2">
        <v>4.1580000000000004</v>
      </c>
      <c r="K1865">
        <v>7</v>
      </c>
      <c r="L1865" s="4"/>
    </row>
    <row r="1866" spans="1:12" x14ac:dyDescent="0.3">
      <c r="A1866" s="1">
        <v>42312</v>
      </c>
      <c r="B1866" s="1">
        <v>42314</v>
      </c>
      <c r="C1866" t="s">
        <v>22</v>
      </c>
      <c r="D1866" t="s">
        <v>958</v>
      </c>
      <c r="E1866" t="s">
        <v>959</v>
      </c>
      <c r="F1866" t="s">
        <v>19</v>
      </c>
      <c r="G1866" t="s">
        <v>74</v>
      </c>
      <c r="H1866" t="s">
        <v>138</v>
      </c>
      <c r="I1866" t="s">
        <v>2313</v>
      </c>
      <c r="J1866" s="2">
        <v>179.99100000000004</v>
      </c>
      <c r="K1866">
        <v>3</v>
      </c>
      <c r="L1866" s="4"/>
    </row>
    <row r="1867" spans="1:12" x14ac:dyDescent="0.3">
      <c r="A1867" s="1">
        <v>42313</v>
      </c>
      <c r="B1867" s="1">
        <v>42317</v>
      </c>
      <c r="C1867" t="s">
        <v>0</v>
      </c>
      <c r="D1867" t="s">
        <v>2303</v>
      </c>
      <c r="E1867" t="s">
        <v>2304</v>
      </c>
      <c r="F1867" t="s">
        <v>56</v>
      </c>
      <c r="G1867" t="s">
        <v>12</v>
      </c>
      <c r="H1867" t="s">
        <v>35</v>
      </c>
      <c r="I1867" t="s">
        <v>2314</v>
      </c>
      <c r="J1867" s="2">
        <v>209.88</v>
      </c>
      <c r="K1867">
        <v>3</v>
      </c>
      <c r="L1867" s="4"/>
    </row>
    <row r="1868" spans="1:12" x14ac:dyDescent="0.3">
      <c r="A1868" s="1">
        <v>42313</v>
      </c>
      <c r="B1868" s="1">
        <v>42314</v>
      </c>
      <c r="C1868" t="s">
        <v>22</v>
      </c>
      <c r="D1868" t="s">
        <v>2315</v>
      </c>
      <c r="E1868" t="s">
        <v>2316</v>
      </c>
      <c r="F1868" t="s">
        <v>3</v>
      </c>
      <c r="G1868" t="s">
        <v>12</v>
      </c>
      <c r="H1868" t="s">
        <v>35</v>
      </c>
      <c r="I1868" t="s">
        <v>2317</v>
      </c>
      <c r="J1868" s="2">
        <v>38.29</v>
      </c>
      <c r="K1868">
        <v>7</v>
      </c>
      <c r="L1868" s="4"/>
    </row>
    <row r="1869" spans="1:12" x14ac:dyDescent="0.3">
      <c r="A1869" s="1">
        <v>42313</v>
      </c>
      <c r="B1869" s="1">
        <v>42313</v>
      </c>
      <c r="C1869" t="s">
        <v>240</v>
      </c>
      <c r="D1869" t="s">
        <v>1457</v>
      </c>
      <c r="E1869" t="s">
        <v>1458</v>
      </c>
      <c r="F1869" t="s">
        <v>3</v>
      </c>
      <c r="G1869" t="s">
        <v>4</v>
      </c>
      <c r="H1869" t="s">
        <v>15</v>
      </c>
      <c r="I1869" t="s">
        <v>754</v>
      </c>
      <c r="J1869" s="2">
        <v>192.8</v>
      </c>
      <c r="K1869">
        <v>4</v>
      </c>
      <c r="L1869" s="4"/>
    </row>
    <row r="1870" spans="1:12" x14ac:dyDescent="0.3">
      <c r="A1870" s="1">
        <v>42313</v>
      </c>
      <c r="B1870" s="1">
        <v>42315</v>
      </c>
      <c r="C1870" t="s">
        <v>0</v>
      </c>
      <c r="D1870" t="s">
        <v>2318</v>
      </c>
      <c r="E1870" t="s">
        <v>2319</v>
      </c>
      <c r="F1870" t="s">
        <v>19</v>
      </c>
      <c r="G1870" t="s">
        <v>4</v>
      </c>
      <c r="H1870" t="s">
        <v>78</v>
      </c>
      <c r="I1870" t="s">
        <v>812</v>
      </c>
      <c r="J1870" s="2">
        <v>17.584000000000003</v>
      </c>
      <c r="K1870">
        <v>7</v>
      </c>
      <c r="L1870" s="4"/>
    </row>
    <row r="1871" spans="1:12" x14ac:dyDescent="0.3">
      <c r="A1871" s="1">
        <v>42313</v>
      </c>
      <c r="B1871" s="1">
        <v>42315</v>
      </c>
      <c r="C1871" t="s">
        <v>0</v>
      </c>
      <c r="D1871" t="s">
        <v>2318</v>
      </c>
      <c r="E1871" t="s">
        <v>2319</v>
      </c>
      <c r="F1871" t="s">
        <v>19</v>
      </c>
      <c r="G1871" t="s">
        <v>12</v>
      </c>
      <c r="H1871" t="s">
        <v>70</v>
      </c>
      <c r="I1871" t="s">
        <v>2320</v>
      </c>
      <c r="J1871" s="2">
        <v>104.78399999999999</v>
      </c>
      <c r="K1871">
        <v>1</v>
      </c>
      <c r="L1871" s="4"/>
    </row>
    <row r="1872" spans="1:12" x14ac:dyDescent="0.3">
      <c r="A1872" s="1">
        <v>42313</v>
      </c>
      <c r="B1872" s="1">
        <v>42315</v>
      </c>
      <c r="C1872" t="s">
        <v>0</v>
      </c>
      <c r="D1872" t="s">
        <v>2318</v>
      </c>
      <c r="E1872" t="s">
        <v>2319</v>
      </c>
      <c r="F1872" t="s">
        <v>19</v>
      </c>
      <c r="G1872" t="s">
        <v>4</v>
      </c>
      <c r="H1872" t="s">
        <v>5</v>
      </c>
      <c r="I1872" t="s">
        <v>295</v>
      </c>
      <c r="J1872" s="2">
        <v>47.952000000000005</v>
      </c>
      <c r="K1872">
        <v>3</v>
      </c>
      <c r="L1872" s="4"/>
    </row>
    <row r="1873" spans="1:12" x14ac:dyDescent="0.3">
      <c r="A1873" s="1">
        <v>42313</v>
      </c>
      <c r="B1873" s="1">
        <v>42315</v>
      </c>
      <c r="C1873" t="s">
        <v>0</v>
      </c>
      <c r="D1873" t="s">
        <v>2318</v>
      </c>
      <c r="E1873" t="s">
        <v>2319</v>
      </c>
      <c r="F1873" t="s">
        <v>19</v>
      </c>
      <c r="G1873" t="s">
        <v>12</v>
      </c>
      <c r="H1873" t="s">
        <v>70</v>
      </c>
      <c r="I1873" t="s">
        <v>770</v>
      </c>
      <c r="J1873" s="2">
        <v>650.35200000000009</v>
      </c>
      <c r="K1873">
        <v>3</v>
      </c>
      <c r="L1873" s="4"/>
    </row>
    <row r="1874" spans="1:12" x14ac:dyDescent="0.3">
      <c r="A1874" s="1">
        <v>42313</v>
      </c>
      <c r="B1874" s="1">
        <v>42315</v>
      </c>
      <c r="C1874" t="s">
        <v>0</v>
      </c>
      <c r="D1874" t="s">
        <v>2318</v>
      </c>
      <c r="E1874" t="s">
        <v>2319</v>
      </c>
      <c r="F1874" t="s">
        <v>19</v>
      </c>
      <c r="G1874" t="s">
        <v>4</v>
      </c>
      <c r="H1874" t="s">
        <v>168</v>
      </c>
      <c r="I1874" t="s">
        <v>2321</v>
      </c>
      <c r="J1874" s="2">
        <v>629.18400000000008</v>
      </c>
      <c r="K1874">
        <v>8</v>
      </c>
      <c r="L1874" s="4"/>
    </row>
    <row r="1875" spans="1:12" x14ac:dyDescent="0.3">
      <c r="A1875" s="1">
        <v>42313</v>
      </c>
      <c r="B1875" s="1">
        <v>42315</v>
      </c>
      <c r="C1875" t="s">
        <v>0</v>
      </c>
      <c r="D1875" t="s">
        <v>2318</v>
      </c>
      <c r="E1875" t="s">
        <v>2319</v>
      </c>
      <c r="F1875" t="s">
        <v>19</v>
      </c>
      <c r="G1875" t="s">
        <v>4</v>
      </c>
      <c r="H1875" t="s">
        <v>5</v>
      </c>
      <c r="I1875" t="s">
        <v>1737</v>
      </c>
      <c r="J1875" s="2">
        <v>15.176</v>
      </c>
      <c r="K1875">
        <v>1</v>
      </c>
      <c r="L1875" s="4"/>
    </row>
    <row r="1876" spans="1:12" x14ac:dyDescent="0.3">
      <c r="A1876" s="1">
        <v>42313</v>
      </c>
      <c r="B1876" s="1">
        <v>42317</v>
      </c>
      <c r="C1876" t="s">
        <v>7</v>
      </c>
      <c r="D1876" t="s">
        <v>1137</v>
      </c>
      <c r="E1876" t="s">
        <v>1138</v>
      </c>
      <c r="F1876" t="s">
        <v>3</v>
      </c>
      <c r="G1876" t="s">
        <v>4</v>
      </c>
      <c r="H1876" t="s">
        <v>26</v>
      </c>
      <c r="I1876" t="s">
        <v>426</v>
      </c>
      <c r="J1876" s="2">
        <v>7.7120000000000006</v>
      </c>
      <c r="K1876">
        <v>2</v>
      </c>
      <c r="L1876" s="4"/>
    </row>
    <row r="1877" spans="1:12" x14ac:dyDescent="0.3">
      <c r="A1877" s="1">
        <v>42313</v>
      </c>
      <c r="B1877" s="1">
        <v>42317</v>
      </c>
      <c r="C1877" t="s">
        <v>7</v>
      </c>
      <c r="D1877" t="s">
        <v>1137</v>
      </c>
      <c r="E1877" t="s">
        <v>1138</v>
      </c>
      <c r="F1877" t="s">
        <v>3</v>
      </c>
      <c r="G1877" t="s">
        <v>4</v>
      </c>
      <c r="H1877" t="s">
        <v>26</v>
      </c>
      <c r="I1877" t="s">
        <v>2322</v>
      </c>
      <c r="J1877" s="2">
        <v>4.1760000000000002</v>
      </c>
      <c r="K1877">
        <v>1</v>
      </c>
      <c r="L1877" s="4"/>
    </row>
    <row r="1878" spans="1:12" x14ac:dyDescent="0.3">
      <c r="A1878" s="1">
        <v>42313</v>
      </c>
      <c r="B1878" s="1">
        <v>42317</v>
      </c>
      <c r="C1878" t="s">
        <v>7</v>
      </c>
      <c r="D1878" t="s">
        <v>1137</v>
      </c>
      <c r="E1878" t="s">
        <v>1138</v>
      </c>
      <c r="F1878" t="s">
        <v>3</v>
      </c>
      <c r="G1878" t="s">
        <v>4</v>
      </c>
      <c r="H1878" t="s">
        <v>5</v>
      </c>
      <c r="I1878" t="s">
        <v>2323</v>
      </c>
      <c r="J1878" s="2">
        <v>38.880000000000003</v>
      </c>
      <c r="K1878">
        <v>6</v>
      </c>
      <c r="L1878" s="4"/>
    </row>
    <row r="1879" spans="1:12" x14ac:dyDescent="0.3">
      <c r="A1879" s="1">
        <v>42313</v>
      </c>
      <c r="B1879" s="1">
        <v>42317</v>
      </c>
      <c r="C1879" t="s">
        <v>7</v>
      </c>
      <c r="D1879" t="s">
        <v>311</v>
      </c>
      <c r="E1879" t="s">
        <v>312</v>
      </c>
      <c r="F1879" t="s">
        <v>3</v>
      </c>
      <c r="G1879" t="s">
        <v>74</v>
      </c>
      <c r="H1879" t="s">
        <v>138</v>
      </c>
      <c r="I1879" t="s">
        <v>2324</v>
      </c>
      <c r="J1879" s="2">
        <v>686.40000000000009</v>
      </c>
      <c r="K1879">
        <v>2</v>
      </c>
      <c r="L1879" s="4"/>
    </row>
    <row r="1880" spans="1:12" x14ac:dyDescent="0.3">
      <c r="A1880" s="1">
        <v>42314</v>
      </c>
      <c r="B1880" s="1">
        <v>42319</v>
      </c>
      <c r="C1880" t="s">
        <v>7</v>
      </c>
      <c r="D1880" t="s">
        <v>704</v>
      </c>
      <c r="E1880" t="s">
        <v>705</v>
      </c>
      <c r="F1880" t="s">
        <v>3</v>
      </c>
      <c r="G1880" t="s">
        <v>4</v>
      </c>
      <c r="H1880" t="s">
        <v>26</v>
      </c>
      <c r="I1880" t="s">
        <v>2325</v>
      </c>
      <c r="J1880" s="2">
        <v>29.120000000000005</v>
      </c>
      <c r="K1880">
        <v>5</v>
      </c>
      <c r="L1880" s="4"/>
    </row>
    <row r="1881" spans="1:12" x14ac:dyDescent="0.3">
      <c r="A1881" s="1">
        <v>42314</v>
      </c>
      <c r="B1881" s="1">
        <v>42317</v>
      </c>
      <c r="C1881" t="s">
        <v>22</v>
      </c>
      <c r="D1881" t="s">
        <v>552</v>
      </c>
      <c r="E1881" t="s">
        <v>553</v>
      </c>
      <c r="F1881" t="s">
        <v>3</v>
      </c>
      <c r="G1881" t="s">
        <v>4</v>
      </c>
      <c r="H1881" t="s">
        <v>26</v>
      </c>
      <c r="I1881" t="s">
        <v>2108</v>
      </c>
      <c r="J1881" s="2">
        <v>53.248000000000005</v>
      </c>
      <c r="K1881">
        <v>2</v>
      </c>
      <c r="L1881" s="4"/>
    </row>
    <row r="1882" spans="1:12" x14ac:dyDescent="0.3">
      <c r="A1882" s="1">
        <v>42314</v>
      </c>
      <c r="B1882" s="1">
        <v>42318</v>
      </c>
      <c r="C1882" t="s">
        <v>7</v>
      </c>
      <c r="D1882" t="s">
        <v>1034</v>
      </c>
      <c r="E1882" t="s">
        <v>1035</v>
      </c>
      <c r="F1882" t="s">
        <v>56</v>
      </c>
      <c r="G1882" t="s">
        <v>74</v>
      </c>
      <c r="H1882" t="s">
        <v>75</v>
      </c>
      <c r="I1882" t="s">
        <v>2326</v>
      </c>
      <c r="J1882" s="2">
        <v>479.72</v>
      </c>
      <c r="K1882">
        <v>4</v>
      </c>
      <c r="L1882" s="4"/>
    </row>
    <row r="1883" spans="1:12" x14ac:dyDescent="0.3">
      <c r="A1883" s="1">
        <v>42314</v>
      </c>
      <c r="B1883" s="1">
        <v>42316</v>
      </c>
      <c r="C1883" t="s">
        <v>0</v>
      </c>
      <c r="D1883" t="s">
        <v>1040</v>
      </c>
      <c r="E1883" t="s">
        <v>1041</v>
      </c>
      <c r="F1883" t="s">
        <v>3</v>
      </c>
      <c r="G1883" t="s">
        <v>74</v>
      </c>
      <c r="H1883" t="s">
        <v>75</v>
      </c>
      <c r="I1883" t="s">
        <v>2327</v>
      </c>
      <c r="J1883" s="2">
        <v>72</v>
      </c>
      <c r="K1883">
        <v>4</v>
      </c>
      <c r="L1883" s="4"/>
    </row>
    <row r="1884" spans="1:12" x14ac:dyDescent="0.3">
      <c r="A1884" s="1">
        <v>42314</v>
      </c>
      <c r="B1884" s="1">
        <v>42316</v>
      </c>
      <c r="C1884" t="s">
        <v>0</v>
      </c>
      <c r="D1884" t="s">
        <v>1040</v>
      </c>
      <c r="E1884" t="s">
        <v>1041</v>
      </c>
      <c r="F1884" t="s">
        <v>3</v>
      </c>
      <c r="G1884" t="s">
        <v>12</v>
      </c>
      <c r="H1884" t="s">
        <v>70</v>
      </c>
      <c r="I1884" t="s">
        <v>2231</v>
      </c>
      <c r="J1884" s="2">
        <v>113.88800000000002</v>
      </c>
      <c r="K1884">
        <v>2</v>
      </c>
      <c r="L1884" s="4"/>
    </row>
    <row r="1885" spans="1:12" x14ac:dyDescent="0.3">
      <c r="A1885" s="1">
        <v>42314</v>
      </c>
      <c r="B1885" s="1">
        <v>42316</v>
      </c>
      <c r="C1885" t="s">
        <v>0</v>
      </c>
      <c r="D1885" t="s">
        <v>1040</v>
      </c>
      <c r="E1885" t="s">
        <v>1041</v>
      </c>
      <c r="F1885" t="s">
        <v>3</v>
      </c>
      <c r="G1885" t="s">
        <v>4</v>
      </c>
      <c r="H1885" t="s">
        <v>29</v>
      </c>
      <c r="I1885" t="s">
        <v>291</v>
      </c>
      <c r="J1885" s="2">
        <v>158.13</v>
      </c>
      <c r="K1885">
        <v>3</v>
      </c>
      <c r="L1885" s="4"/>
    </row>
    <row r="1886" spans="1:12" x14ac:dyDescent="0.3">
      <c r="A1886" s="1">
        <v>42315</v>
      </c>
      <c r="B1886" s="1">
        <v>42319</v>
      </c>
      <c r="C1886" t="s">
        <v>0</v>
      </c>
      <c r="D1886" t="s">
        <v>962</v>
      </c>
      <c r="E1886" t="s">
        <v>963</v>
      </c>
      <c r="F1886" t="s">
        <v>3</v>
      </c>
      <c r="G1886" t="s">
        <v>12</v>
      </c>
      <c r="H1886" t="s">
        <v>70</v>
      </c>
      <c r="I1886" t="s">
        <v>2328</v>
      </c>
      <c r="J1886" s="2">
        <v>81.424000000000007</v>
      </c>
      <c r="K1886">
        <v>2</v>
      </c>
      <c r="L1886" s="4"/>
    </row>
    <row r="1887" spans="1:12" x14ac:dyDescent="0.3">
      <c r="A1887" s="1">
        <v>42315</v>
      </c>
      <c r="B1887" s="1">
        <v>42319</v>
      </c>
      <c r="C1887" t="s">
        <v>0</v>
      </c>
      <c r="D1887" t="s">
        <v>962</v>
      </c>
      <c r="E1887" t="s">
        <v>963</v>
      </c>
      <c r="F1887" t="s">
        <v>3</v>
      </c>
      <c r="G1887" t="s">
        <v>12</v>
      </c>
      <c r="H1887" t="s">
        <v>35</v>
      </c>
      <c r="I1887" t="s">
        <v>2329</v>
      </c>
      <c r="J1887" s="2">
        <v>238.56</v>
      </c>
      <c r="K1887">
        <v>3</v>
      </c>
      <c r="L1887" s="4"/>
    </row>
    <row r="1888" spans="1:12" x14ac:dyDescent="0.3">
      <c r="A1888" s="1">
        <v>42315</v>
      </c>
      <c r="B1888" s="1">
        <v>42319</v>
      </c>
      <c r="C1888" t="s">
        <v>0</v>
      </c>
      <c r="D1888" t="s">
        <v>1793</v>
      </c>
      <c r="E1888" t="s">
        <v>1794</v>
      </c>
      <c r="F1888" t="s">
        <v>3</v>
      </c>
      <c r="G1888" t="s">
        <v>4</v>
      </c>
      <c r="H1888" t="s">
        <v>10</v>
      </c>
      <c r="I1888" t="s">
        <v>814</v>
      </c>
      <c r="J1888" s="2">
        <v>84.84</v>
      </c>
      <c r="K1888">
        <v>3</v>
      </c>
      <c r="L1888" s="4"/>
    </row>
    <row r="1889" spans="1:12" x14ac:dyDescent="0.3">
      <c r="A1889" s="1">
        <v>42316</v>
      </c>
      <c r="B1889" s="1">
        <v>42320</v>
      </c>
      <c r="C1889" t="s">
        <v>7</v>
      </c>
      <c r="D1889" t="s">
        <v>2088</v>
      </c>
      <c r="E1889" t="s">
        <v>2089</v>
      </c>
      <c r="F1889" t="s">
        <v>56</v>
      </c>
      <c r="G1889" t="s">
        <v>4</v>
      </c>
      <c r="H1889" t="s">
        <v>26</v>
      </c>
      <c r="I1889" t="s">
        <v>2330</v>
      </c>
      <c r="J1889" s="2">
        <v>27.680000000000003</v>
      </c>
      <c r="K1889">
        <v>2</v>
      </c>
      <c r="L1889" s="4"/>
    </row>
    <row r="1890" spans="1:12" x14ac:dyDescent="0.3">
      <c r="A1890" s="1">
        <v>42316</v>
      </c>
      <c r="B1890" s="1">
        <v>42318</v>
      </c>
      <c r="C1890" t="s">
        <v>22</v>
      </c>
      <c r="D1890" t="s">
        <v>1731</v>
      </c>
      <c r="E1890" t="s">
        <v>1732</v>
      </c>
      <c r="F1890" t="s">
        <v>3</v>
      </c>
      <c r="G1890" t="s">
        <v>4</v>
      </c>
      <c r="H1890" t="s">
        <v>26</v>
      </c>
      <c r="I1890" t="s">
        <v>1131</v>
      </c>
      <c r="J1890" s="2">
        <v>37.44</v>
      </c>
      <c r="K1890">
        <v>4</v>
      </c>
      <c r="L1890" s="4"/>
    </row>
    <row r="1891" spans="1:12" x14ac:dyDescent="0.3">
      <c r="A1891" s="1">
        <v>42316</v>
      </c>
      <c r="B1891" s="1">
        <v>42318</v>
      </c>
      <c r="C1891" t="s">
        <v>22</v>
      </c>
      <c r="D1891" t="s">
        <v>1731</v>
      </c>
      <c r="E1891" t="s">
        <v>1732</v>
      </c>
      <c r="F1891" t="s">
        <v>3</v>
      </c>
      <c r="G1891" t="s">
        <v>4</v>
      </c>
      <c r="H1891" t="s">
        <v>26</v>
      </c>
      <c r="I1891" t="s">
        <v>679</v>
      </c>
      <c r="J1891" s="2">
        <v>26.975999999999999</v>
      </c>
      <c r="K1891">
        <v>4</v>
      </c>
      <c r="L1891" s="4"/>
    </row>
    <row r="1892" spans="1:12" x14ac:dyDescent="0.3">
      <c r="A1892" s="1">
        <v>42316</v>
      </c>
      <c r="B1892" s="1">
        <v>42318</v>
      </c>
      <c r="C1892" t="s">
        <v>22</v>
      </c>
      <c r="D1892" t="s">
        <v>1731</v>
      </c>
      <c r="E1892" t="s">
        <v>1732</v>
      </c>
      <c r="F1892" t="s">
        <v>3</v>
      </c>
      <c r="G1892" t="s">
        <v>4</v>
      </c>
      <c r="H1892" t="s">
        <v>78</v>
      </c>
      <c r="I1892" t="s">
        <v>2331</v>
      </c>
      <c r="J1892" s="2">
        <v>11.36</v>
      </c>
      <c r="K1892">
        <v>2</v>
      </c>
      <c r="L1892" s="4"/>
    </row>
    <row r="1893" spans="1:12" x14ac:dyDescent="0.3">
      <c r="A1893" s="1">
        <v>42316</v>
      </c>
      <c r="B1893" s="1">
        <v>42318</v>
      </c>
      <c r="C1893" t="s">
        <v>22</v>
      </c>
      <c r="D1893" t="s">
        <v>1731</v>
      </c>
      <c r="E1893" t="s">
        <v>1732</v>
      </c>
      <c r="F1893" t="s">
        <v>3</v>
      </c>
      <c r="G1893" t="s">
        <v>4</v>
      </c>
      <c r="H1893" t="s">
        <v>168</v>
      </c>
      <c r="I1893" t="s">
        <v>2062</v>
      </c>
      <c r="J1893" s="2">
        <v>14.62</v>
      </c>
      <c r="K1893">
        <v>2</v>
      </c>
      <c r="L1893" s="4"/>
    </row>
    <row r="1894" spans="1:12" x14ac:dyDescent="0.3">
      <c r="A1894" s="1">
        <v>42316</v>
      </c>
      <c r="B1894" s="1">
        <v>42321</v>
      </c>
      <c r="C1894" t="s">
        <v>7</v>
      </c>
      <c r="D1894" t="s">
        <v>1332</v>
      </c>
      <c r="E1894" t="s">
        <v>1333</v>
      </c>
      <c r="F1894" t="s">
        <v>3</v>
      </c>
      <c r="G1894" t="s">
        <v>12</v>
      </c>
      <c r="H1894" t="s">
        <v>35</v>
      </c>
      <c r="I1894" t="s">
        <v>1952</v>
      </c>
      <c r="J1894" s="2">
        <v>14.82</v>
      </c>
      <c r="K1894">
        <v>3</v>
      </c>
      <c r="L1894" s="4"/>
    </row>
    <row r="1895" spans="1:12" x14ac:dyDescent="0.3">
      <c r="A1895" s="1">
        <v>42316</v>
      </c>
      <c r="B1895" s="1">
        <v>42321</v>
      </c>
      <c r="C1895" t="s">
        <v>7</v>
      </c>
      <c r="D1895" t="s">
        <v>2332</v>
      </c>
      <c r="E1895" t="s">
        <v>2333</v>
      </c>
      <c r="F1895" t="s">
        <v>3</v>
      </c>
      <c r="G1895" t="s">
        <v>4</v>
      </c>
      <c r="H1895" t="s">
        <v>5</v>
      </c>
      <c r="I1895" t="s">
        <v>691</v>
      </c>
      <c r="J1895" s="2">
        <v>12.9</v>
      </c>
      <c r="K1895">
        <v>2</v>
      </c>
      <c r="L1895" s="4"/>
    </row>
    <row r="1896" spans="1:12" x14ac:dyDescent="0.3">
      <c r="A1896" s="1">
        <v>42316</v>
      </c>
      <c r="B1896" s="1">
        <v>42321</v>
      </c>
      <c r="C1896" t="s">
        <v>7</v>
      </c>
      <c r="D1896" t="s">
        <v>676</v>
      </c>
      <c r="E1896" t="s">
        <v>677</v>
      </c>
      <c r="F1896" t="s">
        <v>2334</v>
      </c>
      <c r="G1896" t="s">
        <v>12</v>
      </c>
      <c r="H1896" t="s">
        <v>70</v>
      </c>
      <c r="I1896" t="s">
        <v>462</v>
      </c>
      <c r="J1896" s="2">
        <v>1603.1360000000002</v>
      </c>
      <c r="K1896">
        <v>4</v>
      </c>
      <c r="L1896" s="4"/>
    </row>
    <row r="1897" spans="1:12" x14ac:dyDescent="0.3">
      <c r="A1897" s="1">
        <v>42316</v>
      </c>
      <c r="B1897" s="1">
        <v>42322</v>
      </c>
      <c r="C1897" t="s">
        <v>7</v>
      </c>
      <c r="D1897" t="s">
        <v>72</v>
      </c>
      <c r="E1897" t="s">
        <v>73</v>
      </c>
      <c r="F1897" t="s">
        <v>3</v>
      </c>
      <c r="G1897" t="s">
        <v>74</v>
      </c>
      <c r="H1897" t="s">
        <v>75</v>
      </c>
      <c r="I1897" t="s">
        <v>472</v>
      </c>
      <c r="J1897" s="2">
        <v>479.97</v>
      </c>
      <c r="K1897">
        <v>3</v>
      </c>
      <c r="L1897" s="4"/>
    </row>
    <row r="1898" spans="1:12" x14ac:dyDescent="0.3">
      <c r="A1898" s="1">
        <v>42316</v>
      </c>
      <c r="B1898" s="1">
        <v>42321</v>
      </c>
      <c r="C1898" t="s">
        <v>7</v>
      </c>
      <c r="D1898" t="s">
        <v>2032</v>
      </c>
      <c r="E1898" t="s">
        <v>2033</v>
      </c>
      <c r="F1898" t="s">
        <v>3</v>
      </c>
      <c r="G1898" t="s">
        <v>4</v>
      </c>
      <c r="H1898" t="s">
        <v>26</v>
      </c>
      <c r="I1898" t="s">
        <v>2335</v>
      </c>
      <c r="J1898" s="2">
        <v>57.584000000000003</v>
      </c>
      <c r="K1898">
        <v>2</v>
      </c>
      <c r="L1898" s="4"/>
    </row>
    <row r="1899" spans="1:12" x14ac:dyDescent="0.3">
      <c r="A1899" s="1">
        <v>42318</v>
      </c>
      <c r="B1899" s="1">
        <v>42323</v>
      </c>
      <c r="C1899" t="s">
        <v>7</v>
      </c>
      <c r="D1899" t="s">
        <v>1483</v>
      </c>
      <c r="E1899" t="s">
        <v>1484</v>
      </c>
      <c r="F1899" t="s">
        <v>3</v>
      </c>
      <c r="G1899" t="s">
        <v>74</v>
      </c>
      <c r="H1899" t="s">
        <v>75</v>
      </c>
      <c r="I1899" t="s">
        <v>2336</v>
      </c>
      <c r="J1899" s="2">
        <v>479.97</v>
      </c>
      <c r="K1899">
        <v>3</v>
      </c>
      <c r="L1899" s="4"/>
    </row>
    <row r="1900" spans="1:12" x14ac:dyDescent="0.3">
      <c r="A1900" s="1">
        <v>42319</v>
      </c>
      <c r="B1900" s="1">
        <v>42321</v>
      </c>
      <c r="C1900" t="s">
        <v>22</v>
      </c>
      <c r="D1900" t="s">
        <v>2337</v>
      </c>
      <c r="E1900" t="s">
        <v>2338</v>
      </c>
      <c r="F1900" t="s">
        <v>3</v>
      </c>
      <c r="G1900" t="s">
        <v>4</v>
      </c>
      <c r="H1900" t="s">
        <v>10</v>
      </c>
      <c r="I1900" t="s">
        <v>997</v>
      </c>
      <c r="J1900" s="2">
        <v>155.82000000000002</v>
      </c>
      <c r="K1900">
        <v>7</v>
      </c>
      <c r="L1900" s="4"/>
    </row>
    <row r="1901" spans="1:12" x14ac:dyDescent="0.3">
      <c r="A1901" s="1">
        <v>42319</v>
      </c>
      <c r="B1901" s="1">
        <v>42321</v>
      </c>
      <c r="C1901" t="s">
        <v>22</v>
      </c>
      <c r="D1901" t="s">
        <v>2337</v>
      </c>
      <c r="E1901" t="s">
        <v>2338</v>
      </c>
      <c r="F1901" t="s">
        <v>3</v>
      </c>
      <c r="G1901" t="s">
        <v>4</v>
      </c>
      <c r="H1901" t="s">
        <v>26</v>
      </c>
      <c r="I1901" t="s">
        <v>1135</v>
      </c>
      <c r="J1901" s="2">
        <v>70.00800000000001</v>
      </c>
      <c r="K1901">
        <v>3</v>
      </c>
      <c r="L1901" s="4"/>
    </row>
    <row r="1902" spans="1:12" x14ac:dyDescent="0.3">
      <c r="A1902" s="1">
        <v>42319</v>
      </c>
      <c r="B1902" s="1">
        <v>42321</v>
      </c>
      <c r="C1902" t="s">
        <v>22</v>
      </c>
      <c r="D1902" t="s">
        <v>2232</v>
      </c>
      <c r="E1902" t="s">
        <v>2233</v>
      </c>
      <c r="F1902" t="s">
        <v>3</v>
      </c>
      <c r="G1902" t="s">
        <v>4</v>
      </c>
      <c r="H1902" t="s">
        <v>26</v>
      </c>
      <c r="I1902" t="s">
        <v>1453</v>
      </c>
      <c r="J1902" s="2">
        <v>13.216000000000001</v>
      </c>
      <c r="K1902">
        <v>4</v>
      </c>
      <c r="L1902" s="4"/>
    </row>
    <row r="1903" spans="1:12" x14ac:dyDescent="0.3">
      <c r="A1903" s="1">
        <v>42319</v>
      </c>
      <c r="B1903" s="1">
        <v>42321</v>
      </c>
      <c r="C1903" t="s">
        <v>22</v>
      </c>
      <c r="D1903" t="s">
        <v>2232</v>
      </c>
      <c r="E1903" t="s">
        <v>2233</v>
      </c>
      <c r="F1903" t="s">
        <v>3</v>
      </c>
      <c r="G1903" t="s">
        <v>4</v>
      </c>
      <c r="H1903" t="s">
        <v>5</v>
      </c>
      <c r="I1903" t="s">
        <v>2339</v>
      </c>
      <c r="J1903" s="2">
        <v>32.400000000000006</v>
      </c>
      <c r="K1903">
        <v>5</v>
      </c>
      <c r="L1903" s="4"/>
    </row>
    <row r="1904" spans="1:12" x14ac:dyDescent="0.3">
      <c r="A1904" s="1">
        <v>42319</v>
      </c>
      <c r="B1904" s="1">
        <v>42322</v>
      </c>
      <c r="C1904" t="s">
        <v>0</v>
      </c>
      <c r="D1904" t="s">
        <v>274</v>
      </c>
      <c r="E1904" t="s">
        <v>275</v>
      </c>
      <c r="F1904" t="s">
        <v>3</v>
      </c>
      <c r="G1904" t="s">
        <v>4</v>
      </c>
      <c r="H1904" t="s">
        <v>5</v>
      </c>
      <c r="I1904" t="s">
        <v>2340</v>
      </c>
      <c r="J1904" s="2">
        <v>67.710000000000008</v>
      </c>
      <c r="K1904">
        <v>3</v>
      </c>
      <c r="L1904" s="4"/>
    </row>
    <row r="1905" spans="1:12" x14ac:dyDescent="0.3">
      <c r="A1905" s="1">
        <v>42319</v>
      </c>
      <c r="B1905" s="1">
        <v>42322</v>
      </c>
      <c r="C1905" t="s">
        <v>0</v>
      </c>
      <c r="D1905" t="s">
        <v>274</v>
      </c>
      <c r="E1905" t="s">
        <v>275</v>
      </c>
      <c r="F1905" t="s">
        <v>3</v>
      </c>
      <c r="G1905" t="s">
        <v>4</v>
      </c>
      <c r="H1905" t="s">
        <v>20</v>
      </c>
      <c r="I1905" t="s">
        <v>2341</v>
      </c>
      <c r="J1905" s="2">
        <v>129.91999999999999</v>
      </c>
      <c r="K1905">
        <v>4</v>
      </c>
      <c r="L1905" s="4"/>
    </row>
    <row r="1906" spans="1:12" x14ac:dyDescent="0.3">
      <c r="A1906" s="1">
        <v>42319</v>
      </c>
      <c r="B1906" s="1">
        <v>42322</v>
      </c>
      <c r="C1906" t="s">
        <v>0</v>
      </c>
      <c r="D1906" t="s">
        <v>274</v>
      </c>
      <c r="E1906" t="s">
        <v>275</v>
      </c>
      <c r="F1906" t="s">
        <v>3</v>
      </c>
      <c r="G1906" t="s">
        <v>12</v>
      </c>
      <c r="H1906" t="s">
        <v>35</v>
      </c>
      <c r="I1906" t="s">
        <v>2342</v>
      </c>
      <c r="J1906" s="2">
        <v>467.46</v>
      </c>
      <c r="K1906">
        <v>9</v>
      </c>
      <c r="L1906" s="4"/>
    </row>
    <row r="1907" spans="1:12" x14ac:dyDescent="0.3">
      <c r="A1907" s="1">
        <v>42319</v>
      </c>
      <c r="B1907" s="1">
        <v>42322</v>
      </c>
      <c r="C1907" t="s">
        <v>0</v>
      </c>
      <c r="D1907" t="s">
        <v>274</v>
      </c>
      <c r="E1907" t="s">
        <v>275</v>
      </c>
      <c r="F1907" t="s">
        <v>3</v>
      </c>
      <c r="G1907" t="s">
        <v>4</v>
      </c>
      <c r="H1907" t="s">
        <v>5</v>
      </c>
      <c r="I1907" t="s">
        <v>990</v>
      </c>
      <c r="J1907" s="2">
        <v>61.4</v>
      </c>
      <c r="K1907">
        <v>5</v>
      </c>
      <c r="L1907" s="4"/>
    </row>
    <row r="1908" spans="1:12" x14ac:dyDescent="0.3">
      <c r="A1908" s="1">
        <v>42319</v>
      </c>
      <c r="B1908" s="1">
        <v>42322</v>
      </c>
      <c r="C1908" t="s">
        <v>0</v>
      </c>
      <c r="D1908" t="s">
        <v>274</v>
      </c>
      <c r="E1908" t="s">
        <v>275</v>
      </c>
      <c r="F1908" t="s">
        <v>3</v>
      </c>
      <c r="G1908" t="s">
        <v>4</v>
      </c>
      <c r="H1908" t="s">
        <v>10</v>
      </c>
      <c r="I1908" t="s">
        <v>1001</v>
      </c>
      <c r="J1908" s="2">
        <v>720.76</v>
      </c>
      <c r="K1908">
        <v>4</v>
      </c>
      <c r="L1908" s="4"/>
    </row>
    <row r="1909" spans="1:12" x14ac:dyDescent="0.3">
      <c r="A1909" s="1">
        <v>42319</v>
      </c>
      <c r="B1909" s="1">
        <v>42322</v>
      </c>
      <c r="C1909" t="s">
        <v>0</v>
      </c>
      <c r="D1909" t="s">
        <v>274</v>
      </c>
      <c r="E1909" t="s">
        <v>275</v>
      </c>
      <c r="F1909" t="s">
        <v>3</v>
      </c>
      <c r="G1909" t="s">
        <v>4</v>
      </c>
      <c r="H1909" t="s">
        <v>26</v>
      </c>
      <c r="I1909" t="s">
        <v>950</v>
      </c>
      <c r="J1909" s="2">
        <v>5.1840000000000011</v>
      </c>
      <c r="K1909">
        <v>3</v>
      </c>
      <c r="L1909" s="4"/>
    </row>
    <row r="1910" spans="1:12" x14ac:dyDescent="0.3">
      <c r="A1910" s="1">
        <v>42319</v>
      </c>
      <c r="B1910" s="1">
        <v>42322</v>
      </c>
      <c r="C1910" t="s">
        <v>0</v>
      </c>
      <c r="D1910" t="s">
        <v>274</v>
      </c>
      <c r="E1910" t="s">
        <v>275</v>
      </c>
      <c r="F1910" t="s">
        <v>3</v>
      </c>
      <c r="G1910" t="s">
        <v>4</v>
      </c>
      <c r="H1910" t="s">
        <v>15</v>
      </c>
      <c r="I1910" t="s">
        <v>2343</v>
      </c>
      <c r="J1910" s="2">
        <v>14.7</v>
      </c>
      <c r="K1910">
        <v>5</v>
      </c>
      <c r="L1910" s="4"/>
    </row>
    <row r="1911" spans="1:12" x14ac:dyDescent="0.3">
      <c r="A1911" s="1">
        <v>42319</v>
      </c>
      <c r="B1911" s="1">
        <v>42324</v>
      </c>
      <c r="C1911" t="s">
        <v>7</v>
      </c>
      <c r="D1911" t="s">
        <v>428</v>
      </c>
      <c r="E1911" t="s">
        <v>429</v>
      </c>
      <c r="F1911" t="s">
        <v>3</v>
      </c>
      <c r="G1911" t="s">
        <v>12</v>
      </c>
      <c r="H1911" t="s">
        <v>35</v>
      </c>
      <c r="I1911" t="s">
        <v>2294</v>
      </c>
      <c r="J1911" s="2">
        <v>9.98</v>
      </c>
      <c r="K1911">
        <v>1</v>
      </c>
      <c r="L1911" s="4"/>
    </row>
    <row r="1912" spans="1:12" x14ac:dyDescent="0.3">
      <c r="A1912" s="1">
        <v>42319</v>
      </c>
      <c r="B1912" s="1">
        <v>42322</v>
      </c>
      <c r="C1912" t="s">
        <v>22</v>
      </c>
      <c r="D1912" t="s">
        <v>1326</v>
      </c>
      <c r="E1912" t="s">
        <v>1327</v>
      </c>
      <c r="F1912" t="s">
        <v>3</v>
      </c>
      <c r="G1912" t="s">
        <v>4</v>
      </c>
      <c r="H1912" t="s">
        <v>10</v>
      </c>
      <c r="I1912" t="s">
        <v>2344</v>
      </c>
      <c r="J1912" s="2">
        <v>29.74</v>
      </c>
      <c r="K1912">
        <v>1</v>
      </c>
      <c r="L1912" s="4"/>
    </row>
    <row r="1913" spans="1:12" x14ac:dyDescent="0.3">
      <c r="A1913" s="1">
        <v>42320</v>
      </c>
      <c r="B1913" s="1">
        <v>42325</v>
      </c>
      <c r="C1913" t="s">
        <v>0</v>
      </c>
      <c r="D1913" t="s">
        <v>1207</v>
      </c>
      <c r="E1913" t="s">
        <v>1208</v>
      </c>
      <c r="F1913" t="s">
        <v>3</v>
      </c>
      <c r="G1913" t="s">
        <v>12</v>
      </c>
      <c r="H1913" t="s">
        <v>35</v>
      </c>
      <c r="I1913" t="s">
        <v>279</v>
      </c>
      <c r="J1913" s="2">
        <v>6.96</v>
      </c>
      <c r="K1913">
        <v>4</v>
      </c>
      <c r="L1913" s="4"/>
    </row>
    <row r="1914" spans="1:12" x14ac:dyDescent="0.3">
      <c r="A1914" s="1">
        <v>42320</v>
      </c>
      <c r="B1914" s="1">
        <v>42325</v>
      </c>
      <c r="C1914" t="s">
        <v>7</v>
      </c>
      <c r="D1914" t="s">
        <v>390</v>
      </c>
      <c r="E1914" t="s">
        <v>391</v>
      </c>
      <c r="F1914" t="s">
        <v>3</v>
      </c>
      <c r="G1914" t="s">
        <v>12</v>
      </c>
      <c r="H1914" t="s">
        <v>35</v>
      </c>
      <c r="I1914" t="s">
        <v>2345</v>
      </c>
      <c r="J1914" s="2">
        <v>41.96</v>
      </c>
      <c r="K1914">
        <v>2</v>
      </c>
      <c r="L1914" s="4"/>
    </row>
    <row r="1915" spans="1:12" x14ac:dyDescent="0.3">
      <c r="A1915" s="1">
        <v>42320</v>
      </c>
      <c r="B1915" s="1">
        <v>42325</v>
      </c>
      <c r="C1915" t="s">
        <v>7</v>
      </c>
      <c r="D1915" t="s">
        <v>390</v>
      </c>
      <c r="E1915" t="s">
        <v>391</v>
      </c>
      <c r="F1915" t="s">
        <v>3</v>
      </c>
      <c r="G1915" t="s">
        <v>12</v>
      </c>
      <c r="H1915" t="s">
        <v>70</v>
      </c>
      <c r="I1915" t="s">
        <v>1560</v>
      </c>
      <c r="J1915" s="2">
        <v>451.15199999999993</v>
      </c>
      <c r="K1915">
        <v>3</v>
      </c>
      <c r="L1915" s="4"/>
    </row>
    <row r="1916" spans="1:12" x14ac:dyDescent="0.3">
      <c r="A1916" s="1">
        <v>42320</v>
      </c>
      <c r="B1916" s="1">
        <v>42325</v>
      </c>
      <c r="C1916" t="s">
        <v>7</v>
      </c>
      <c r="D1916" t="s">
        <v>390</v>
      </c>
      <c r="E1916" t="s">
        <v>391</v>
      </c>
      <c r="F1916" t="s">
        <v>3</v>
      </c>
      <c r="G1916" t="s">
        <v>4</v>
      </c>
      <c r="H1916" t="s">
        <v>26</v>
      </c>
      <c r="I1916" t="s">
        <v>1998</v>
      </c>
      <c r="J1916" s="2">
        <v>31.504000000000005</v>
      </c>
      <c r="K1916">
        <v>11</v>
      </c>
      <c r="L1916" s="4"/>
    </row>
    <row r="1917" spans="1:12" x14ac:dyDescent="0.3">
      <c r="A1917" s="1">
        <v>42321</v>
      </c>
      <c r="B1917" s="1">
        <v>42328</v>
      </c>
      <c r="C1917" t="s">
        <v>7</v>
      </c>
      <c r="D1917" t="s">
        <v>149</v>
      </c>
      <c r="E1917" t="s">
        <v>150</v>
      </c>
      <c r="F1917" t="s">
        <v>25</v>
      </c>
      <c r="G1917" t="s">
        <v>4</v>
      </c>
      <c r="H1917" t="s">
        <v>26</v>
      </c>
      <c r="I1917" t="s">
        <v>794</v>
      </c>
      <c r="J1917" s="2">
        <v>6.27</v>
      </c>
      <c r="K1917">
        <v>5</v>
      </c>
      <c r="L1917" s="4"/>
    </row>
    <row r="1918" spans="1:12" x14ac:dyDescent="0.3">
      <c r="A1918" s="1">
        <v>42321</v>
      </c>
      <c r="B1918" s="1">
        <v>42328</v>
      </c>
      <c r="C1918" t="s">
        <v>7</v>
      </c>
      <c r="D1918" t="s">
        <v>149</v>
      </c>
      <c r="E1918" t="s">
        <v>150</v>
      </c>
      <c r="F1918" t="s">
        <v>25</v>
      </c>
      <c r="G1918" t="s">
        <v>4</v>
      </c>
      <c r="H1918" t="s">
        <v>26</v>
      </c>
      <c r="I1918" t="s">
        <v>1978</v>
      </c>
      <c r="J1918" s="2">
        <v>4.3680000000000003</v>
      </c>
      <c r="K1918">
        <v>7</v>
      </c>
      <c r="L1918" s="4"/>
    </row>
    <row r="1919" spans="1:12" x14ac:dyDescent="0.3">
      <c r="A1919" s="1">
        <v>42321</v>
      </c>
      <c r="B1919" s="1">
        <v>42328</v>
      </c>
      <c r="C1919" t="s">
        <v>7</v>
      </c>
      <c r="D1919" t="s">
        <v>149</v>
      </c>
      <c r="E1919" t="s">
        <v>150</v>
      </c>
      <c r="F1919" t="s">
        <v>25</v>
      </c>
      <c r="G1919" t="s">
        <v>74</v>
      </c>
      <c r="H1919" t="s">
        <v>75</v>
      </c>
      <c r="I1919" t="s">
        <v>976</v>
      </c>
      <c r="J1919" s="2">
        <v>31.983999999999998</v>
      </c>
      <c r="K1919">
        <v>2</v>
      </c>
      <c r="L1919" s="4"/>
    </row>
    <row r="1920" spans="1:12" x14ac:dyDescent="0.3">
      <c r="A1920" s="1">
        <v>42321</v>
      </c>
      <c r="B1920" s="1">
        <v>42324</v>
      </c>
      <c r="C1920" t="s">
        <v>22</v>
      </c>
      <c r="D1920" t="s">
        <v>1870</v>
      </c>
      <c r="E1920" t="s">
        <v>1871</v>
      </c>
      <c r="F1920" t="s">
        <v>3</v>
      </c>
      <c r="G1920" t="s">
        <v>74</v>
      </c>
      <c r="H1920" t="s">
        <v>147</v>
      </c>
      <c r="I1920" t="s">
        <v>1129</v>
      </c>
      <c r="J1920" s="2">
        <v>203.976</v>
      </c>
      <c r="K1920">
        <v>3</v>
      </c>
      <c r="L1920" s="4"/>
    </row>
    <row r="1921" spans="1:12" x14ac:dyDescent="0.3">
      <c r="A1921" s="1">
        <v>42321</v>
      </c>
      <c r="B1921" s="1">
        <v>42324</v>
      </c>
      <c r="C1921" t="s">
        <v>22</v>
      </c>
      <c r="D1921" t="s">
        <v>1870</v>
      </c>
      <c r="E1921" t="s">
        <v>1871</v>
      </c>
      <c r="F1921" t="s">
        <v>3</v>
      </c>
      <c r="G1921" t="s">
        <v>12</v>
      </c>
      <c r="H1921" t="s">
        <v>44</v>
      </c>
      <c r="I1921" t="s">
        <v>1997</v>
      </c>
      <c r="J1921" s="2">
        <v>674.35200000000009</v>
      </c>
      <c r="K1921">
        <v>3</v>
      </c>
      <c r="L1921" s="4"/>
    </row>
    <row r="1922" spans="1:12" x14ac:dyDescent="0.3">
      <c r="A1922" s="1">
        <v>42322</v>
      </c>
      <c r="B1922" s="1">
        <v>42326</v>
      </c>
      <c r="C1922" t="s">
        <v>7</v>
      </c>
      <c r="D1922" t="s">
        <v>595</v>
      </c>
      <c r="E1922" t="s">
        <v>596</v>
      </c>
      <c r="F1922" t="s">
        <v>56</v>
      </c>
      <c r="G1922" t="s">
        <v>4</v>
      </c>
      <c r="H1922" t="s">
        <v>15</v>
      </c>
      <c r="I1922" t="s">
        <v>2346</v>
      </c>
      <c r="J1922" s="2">
        <v>44.02</v>
      </c>
      <c r="K1922">
        <v>2</v>
      </c>
      <c r="L1922" s="4"/>
    </row>
    <row r="1923" spans="1:12" x14ac:dyDescent="0.3">
      <c r="A1923" s="1">
        <v>42322</v>
      </c>
      <c r="B1923" s="1">
        <v>42328</v>
      </c>
      <c r="C1923" t="s">
        <v>7</v>
      </c>
      <c r="D1923" t="s">
        <v>2347</v>
      </c>
      <c r="E1923" t="s">
        <v>2348</v>
      </c>
      <c r="F1923" t="s">
        <v>56</v>
      </c>
      <c r="G1923" t="s">
        <v>12</v>
      </c>
      <c r="H1923" t="s">
        <v>35</v>
      </c>
      <c r="I1923" t="s">
        <v>1042</v>
      </c>
      <c r="J1923" s="2">
        <v>4.18</v>
      </c>
      <c r="K1923">
        <v>1</v>
      </c>
      <c r="L1923" s="4"/>
    </row>
    <row r="1924" spans="1:12" x14ac:dyDescent="0.3">
      <c r="A1924" s="1">
        <v>42322</v>
      </c>
      <c r="B1924" s="1">
        <v>42326</v>
      </c>
      <c r="C1924" t="s">
        <v>7</v>
      </c>
      <c r="D1924" t="s">
        <v>2215</v>
      </c>
      <c r="E1924" t="s">
        <v>2216</v>
      </c>
      <c r="F1924" t="s">
        <v>56</v>
      </c>
      <c r="G1924" t="s">
        <v>12</v>
      </c>
      <c r="H1924" t="s">
        <v>35</v>
      </c>
      <c r="I1924" t="s">
        <v>2349</v>
      </c>
      <c r="J1924" s="2">
        <v>19.54</v>
      </c>
      <c r="K1924">
        <v>2</v>
      </c>
      <c r="L1924" s="4"/>
    </row>
    <row r="1925" spans="1:12" x14ac:dyDescent="0.3">
      <c r="A1925" s="1">
        <v>42323</v>
      </c>
      <c r="B1925" s="1">
        <v>42328</v>
      </c>
      <c r="C1925" t="s">
        <v>7</v>
      </c>
      <c r="D1925" t="s">
        <v>2350</v>
      </c>
      <c r="E1925" t="s">
        <v>2351</v>
      </c>
      <c r="F1925" t="s">
        <v>3</v>
      </c>
      <c r="G1925" t="s">
        <v>4</v>
      </c>
      <c r="H1925" t="s">
        <v>168</v>
      </c>
      <c r="I1925" t="s">
        <v>2352</v>
      </c>
      <c r="J1925" s="2">
        <v>7.38</v>
      </c>
      <c r="K1925">
        <v>2</v>
      </c>
      <c r="L1925" s="4"/>
    </row>
    <row r="1926" spans="1:12" x14ac:dyDescent="0.3">
      <c r="A1926" s="1">
        <v>42323</v>
      </c>
      <c r="B1926" s="1">
        <v>42324</v>
      </c>
      <c r="C1926" t="s">
        <v>22</v>
      </c>
      <c r="D1926" t="s">
        <v>1009</v>
      </c>
      <c r="E1926" t="s">
        <v>1010</v>
      </c>
      <c r="F1926" t="s">
        <v>3</v>
      </c>
      <c r="G1926" t="s">
        <v>4</v>
      </c>
      <c r="H1926" t="s">
        <v>15</v>
      </c>
      <c r="I1926" t="s">
        <v>154</v>
      </c>
      <c r="J1926" s="2">
        <v>9.84</v>
      </c>
      <c r="K1926">
        <v>3</v>
      </c>
      <c r="L1926" s="4"/>
    </row>
    <row r="1927" spans="1:12" x14ac:dyDescent="0.3">
      <c r="A1927" s="1">
        <v>42324</v>
      </c>
      <c r="B1927" s="1">
        <v>42331</v>
      </c>
      <c r="C1927" t="s">
        <v>7</v>
      </c>
      <c r="D1927" t="s">
        <v>1389</v>
      </c>
      <c r="E1927" t="s">
        <v>1390</v>
      </c>
      <c r="F1927" t="s">
        <v>3</v>
      </c>
      <c r="G1927" t="s">
        <v>74</v>
      </c>
      <c r="H1927" t="s">
        <v>75</v>
      </c>
      <c r="I1927" t="s">
        <v>2013</v>
      </c>
      <c r="J1927" s="2">
        <v>99.390000000000015</v>
      </c>
      <c r="K1927">
        <v>3</v>
      </c>
      <c r="L1927" s="4"/>
    </row>
    <row r="1928" spans="1:12" x14ac:dyDescent="0.3">
      <c r="A1928" s="1">
        <v>42324</v>
      </c>
      <c r="B1928" s="1">
        <v>42326</v>
      </c>
      <c r="C1928" t="s">
        <v>0</v>
      </c>
      <c r="D1928" t="s">
        <v>1419</v>
      </c>
      <c r="E1928" t="s">
        <v>1420</v>
      </c>
      <c r="F1928" t="s">
        <v>3</v>
      </c>
      <c r="G1928" t="s">
        <v>4</v>
      </c>
      <c r="H1928" t="s">
        <v>26</v>
      </c>
      <c r="I1928" t="s">
        <v>900</v>
      </c>
      <c r="J1928" s="2">
        <v>1016.792</v>
      </c>
      <c r="K1928">
        <v>1</v>
      </c>
      <c r="L1928" s="4"/>
    </row>
    <row r="1929" spans="1:12" x14ac:dyDescent="0.3">
      <c r="A1929" s="1">
        <v>42324</v>
      </c>
      <c r="B1929" s="1">
        <v>42326</v>
      </c>
      <c r="C1929" t="s">
        <v>0</v>
      </c>
      <c r="D1929" t="s">
        <v>1419</v>
      </c>
      <c r="E1929" t="s">
        <v>1420</v>
      </c>
      <c r="F1929" t="s">
        <v>3</v>
      </c>
      <c r="G1929" t="s">
        <v>4</v>
      </c>
      <c r="H1929" t="s">
        <v>26</v>
      </c>
      <c r="I1929" t="s">
        <v>1650</v>
      </c>
      <c r="J1929" s="2">
        <v>38.136000000000003</v>
      </c>
      <c r="K1929">
        <v>7</v>
      </c>
      <c r="L1929" s="4"/>
    </row>
    <row r="1930" spans="1:12" x14ac:dyDescent="0.3">
      <c r="A1930" s="1">
        <v>42324</v>
      </c>
      <c r="B1930" s="1">
        <v>42328</v>
      </c>
      <c r="C1930" t="s">
        <v>7</v>
      </c>
      <c r="D1930" t="s">
        <v>2020</v>
      </c>
      <c r="E1930" t="s">
        <v>2021</v>
      </c>
      <c r="F1930" t="s">
        <v>3</v>
      </c>
      <c r="G1930" t="s">
        <v>74</v>
      </c>
      <c r="H1930" t="s">
        <v>147</v>
      </c>
      <c r="I1930" t="s">
        <v>2353</v>
      </c>
      <c r="J1930" s="2">
        <v>361.37600000000003</v>
      </c>
      <c r="K1930">
        <v>2</v>
      </c>
      <c r="L1930" s="4"/>
    </row>
    <row r="1931" spans="1:12" x14ac:dyDescent="0.3">
      <c r="A1931" s="1">
        <v>42325</v>
      </c>
      <c r="B1931" s="1">
        <v>42329</v>
      </c>
      <c r="C1931" t="s">
        <v>7</v>
      </c>
      <c r="D1931" t="s">
        <v>881</v>
      </c>
      <c r="E1931" t="s">
        <v>882</v>
      </c>
      <c r="F1931" t="s">
        <v>172</v>
      </c>
      <c r="G1931" t="s">
        <v>4</v>
      </c>
      <c r="H1931" t="s">
        <v>29</v>
      </c>
      <c r="I1931" t="s">
        <v>190</v>
      </c>
      <c r="J1931" s="2">
        <v>28.4</v>
      </c>
      <c r="K1931">
        <v>5</v>
      </c>
      <c r="L1931" s="4"/>
    </row>
    <row r="1932" spans="1:12" x14ac:dyDescent="0.3">
      <c r="A1932" s="1">
        <v>42325</v>
      </c>
      <c r="B1932" s="1">
        <v>42326</v>
      </c>
      <c r="C1932" t="s">
        <v>22</v>
      </c>
      <c r="D1932" t="s">
        <v>37</v>
      </c>
      <c r="E1932" t="s">
        <v>38</v>
      </c>
      <c r="F1932" t="s">
        <v>3</v>
      </c>
      <c r="G1932" t="s">
        <v>4</v>
      </c>
      <c r="H1932" t="s">
        <v>26</v>
      </c>
      <c r="I1932" t="s">
        <v>1978</v>
      </c>
      <c r="J1932" s="2">
        <v>8.32</v>
      </c>
      <c r="K1932">
        <v>5</v>
      </c>
      <c r="L1932" s="4"/>
    </row>
    <row r="1933" spans="1:12" x14ac:dyDescent="0.3">
      <c r="A1933" s="1">
        <v>42326</v>
      </c>
      <c r="B1933" s="1">
        <v>42331</v>
      </c>
      <c r="C1933" t="s">
        <v>7</v>
      </c>
      <c r="D1933" t="s">
        <v>1853</v>
      </c>
      <c r="E1933" t="s">
        <v>1854</v>
      </c>
      <c r="F1933" t="s">
        <v>172</v>
      </c>
      <c r="G1933" t="s">
        <v>4</v>
      </c>
      <c r="H1933" t="s">
        <v>26</v>
      </c>
      <c r="I1933" t="s">
        <v>197</v>
      </c>
      <c r="J1933" s="2">
        <v>10.776000000000002</v>
      </c>
      <c r="K1933">
        <v>3</v>
      </c>
      <c r="L1933" s="4"/>
    </row>
    <row r="1934" spans="1:12" x14ac:dyDescent="0.3">
      <c r="A1934" s="1">
        <v>42326</v>
      </c>
      <c r="B1934" s="1">
        <v>42327</v>
      </c>
      <c r="C1934" t="s">
        <v>22</v>
      </c>
      <c r="D1934" t="s">
        <v>1257</v>
      </c>
      <c r="E1934" t="s">
        <v>1258</v>
      </c>
      <c r="F1934" t="s">
        <v>3</v>
      </c>
      <c r="G1934" t="s">
        <v>4</v>
      </c>
      <c r="H1934" t="s">
        <v>78</v>
      </c>
      <c r="I1934" t="s">
        <v>1664</v>
      </c>
      <c r="J1934" s="2">
        <v>49.5</v>
      </c>
      <c r="K1934">
        <v>5</v>
      </c>
      <c r="L1934" s="4"/>
    </row>
    <row r="1935" spans="1:12" x14ac:dyDescent="0.3">
      <c r="A1935" s="1">
        <v>42327</v>
      </c>
      <c r="B1935" s="1">
        <v>42331</v>
      </c>
      <c r="C1935" t="s">
        <v>7</v>
      </c>
      <c r="D1935" t="s">
        <v>847</v>
      </c>
      <c r="E1935" t="s">
        <v>848</v>
      </c>
      <c r="F1935" t="s">
        <v>3</v>
      </c>
      <c r="G1935" t="s">
        <v>74</v>
      </c>
      <c r="H1935" t="s">
        <v>147</v>
      </c>
      <c r="I1935" t="s">
        <v>2354</v>
      </c>
      <c r="J1935" s="2">
        <v>61.192</v>
      </c>
      <c r="K1935">
        <v>1</v>
      </c>
      <c r="L1935" s="4"/>
    </row>
    <row r="1936" spans="1:12" x14ac:dyDescent="0.3">
      <c r="A1936" s="1">
        <v>42327</v>
      </c>
      <c r="B1936" s="1">
        <v>42331</v>
      </c>
      <c r="C1936" t="s">
        <v>7</v>
      </c>
      <c r="D1936" t="s">
        <v>847</v>
      </c>
      <c r="E1936" t="s">
        <v>848</v>
      </c>
      <c r="F1936" t="s">
        <v>3</v>
      </c>
      <c r="G1936" t="s">
        <v>4</v>
      </c>
      <c r="H1936" t="s">
        <v>20</v>
      </c>
      <c r="I1936" t="s">
        <v>1733</v>
      </c>
      <c r="J1936" s="2">
        <v>67.84</v>
      </c>
      <c r="K1936">
        <v>1</v>
      </c>
      <c r="L1936" s="4"/>
    </row>
    <row r="1937" spans="1:12" x14ac:dyDescent="0.3">
      <c r="A1937" s="1">
        <v>42327</v>
      </c>
      <c r="B1937" s="1">
        <v>42331</v>
      </c>
      <c r="C1937" t="s">
        <v>7</v>
      </c>
      <c r="D1937" t="s">
        <v>288</v>
      </c>
      <c r="E1937" t="s">
        <v>289</v>
      </c>
      <c r="F1937" t="s">
        <v>3</v>
      </c>
      <c r="G1937" t="s">
        <v>74</v>
      </c>
      <c r="H1937" t="s">
        <v>75</v>
      </c>
      <c r="I1937" t="s">
        <v>498</v>
      </c>
      <c r="J1937" s="2">
        <v>595</v>
      </c>
      <c r="K1937">
        <v>5</v>
      </c>
      <c r="L1937" s="4"/>
    </row>
    <row r="1938" spans="1:12" x14ac:dyDescent="0.3">
      <c r="A1938" s="1">
        <v>42327</v>
      </c>
      <c r="B1938" s="1">
        <v>42327</v>
      </c>
      <c r="C1938" t="s">
        <v>240</v>
      </c>
      <c r="D1938" t="s">
        <v>2355</v>
      </c>
      <c r="E1938" t="s">
        <v>2356</v>
      </c>
      <c r="F1938" t="s">
        <v>3</v>
      </c>
      <c r="G1938" t="s">
        <v>4</v>
      </c>
      <c r="H1938" t="s">
        <v>26</v>
      </c>
      <c r="I1938" t="s">
        <v>1805</v>
      </c>
      <c r="J1938" s="2">
        <v>61.120000000000005</v>
      </c>
      <c r="K1938">
        <v>5</v>
      </c>
      <c r="L1938" s="4"/>
    </row>
    <row r="1939" spans="1:12" x14ac:dyDescent="0.3">
      <c r="A1939" s="1">
        <v>42328</v>
      </c>
      <c r="B1939" s="1">
        <v>42332</v>
      </c>
      <c r="C1939" t="s">
        <v>7</v>
      </c>
      <c r="D1939" t="s">
        <v>586</v>
      </c>
      <c r="E1939" t="s">
        <v>587</v>
      </c>
      <c r="F1939" t="s">
        <v>56</v>
      </c>
      <c r="G1939" t="s">
        <v>12</v>
      </c>
      <c r="H1939" t="s">
        <v>35</v>
      </c>
      <c r="I1939" t="s">
        <v>808</v>
      </c>
      <c r="J1939" s="2">
        <v>31.96</v>
      </c>
      <c r="K1939">
        <v>2</v>
      </c>
      <c r="L1939" s="4"/>
    </row>
    <row r="1940" spans="1:12" x14ac:dyDescent="0.3">
      <c r="A1940" s="1">
        <v>42329</v>
      </c>
      <c r="B1940" s="1">
        <v>42336</v>
      </c>
      <c r="C1940" t="s">
        <v>7</v>
      </c>
      <c r="D1940" t="s">
        <v>2357</v>
      </c>
      <c r="E1940" t="s">
        <v>2358</v>
      </c>
      <c r="F1940" t="s">
        <v>3</v>
      </c>
      <c r="G1940" t="s">
        <v>4</v>
      </c>
      <c r="H1940" t="s">
        <v>20</v>
      </c>
      <c r="I1940" t="s">
        <v>511</v>
      </c>
      <c r="J1940" s="2">
        <v>39</v>
      </c>
      <c r="K1940">
        <v>12</v>
      </c>
      <c r="L1940" s="4"/>
    </row>
    <row r="1941" spans="1:12" x14ac:dyDescent="0.3">
      <c r="A1941" s="1">
        <v>42329</v>
      </c>
      <c r="B1941" s="1">
        <v>42333</v>
      </c>
      <c r="C1941" t="s">
        <v>7</v>
      </c>
      <c r="D1941" t="s">
        <v>2359</v>
      </c>
      <c r="E1941" t="s">
        <v>2360</v>
      </c>
      <c r="F1941" t="s">
        <v>3</v>
      </c>
      <c r="G1941" t="s">
        <v>74</v>
      </c>
      <c r="H1941" t="s">
        <v>75</v>
      </c>
      <c r="I1941" t="s">
        <v>2361</v>
      </c>
      <c r="J1941" s="2">
        <v>27.88</v>
      </c>
      <c r="K1941">
        <v>2</v>
      </c>
      <c r="L1941" s="4"/>
    </row>
    <row r="1942" spans="1:12" x14ac:dyDescent="0.3">
      <c r="A1942" s="1">
        <v>42330</v>
      </c>
      <c r="B1942" s="1">
        <v>42335</v>
      </c>
      <c r="C1942" t="s">
        <v>7</v>
      </c>
      <c r="D1942" t="s">
        <v>1340</v>
      </c>
      <c r="E1942" t="s">
        <v>1341</v>
      </c>
      <c r="F1942" t="s">
        <v>19</v>
      </c>
      <c r="G1942" t="s">
        <v>12</v>
      </c>
      <c r="H1942" t="s">
        <v>70</v>
      </c>
      <c r="I1942" t="s">
        <v>571</v>
      </c>
      <c r="J1942" s="2">
        <v>195.136</v>
      </c>
      <c r="K1942">
        <v>4</v>
      </c>
      <c r="L1942" s="4"/>
    </row>
    <row r="1943" spans="1:12" x14ac:dyDescent="0.3">
      <c r="A1943" s="1">
        <v>42330</v>
      </c>
      <c r="B1943" s="1">
        <v>42335</v>
      </c>
      <c r="C1943" t="s">
        <v>7</v>
      </c>
      <c r="D1943" t="s">
        <v>859</v>
      </c>
      <c r="E1943" t="s">
        <v>860</v>
      </c>
      <c r="F1943" t="s">
        <v>3</v>
      </c>
      <c r="G1943" t="s">
        <v>4</v>
      </c>
      <c r="H1943" t="s">
        <v>5</v>
      </c>
      <c r="I1943" t="s">
        <v>2362</v>
      </c>
      <c r="J1943" s="2">
        <v>32.400000000000006</v>
      </c>
      <c r="K1943">
        <v>5</v>
      </c>
      <c r="L1943" s="4"/>
    </row>
    <row r="1944" spans="1:12" x14ac:dyDescent="0.3">
      <c r="A1944" s="1">
        <v>42333</v>
      </c>
      <c r="B1944" s="1">
        <v>42340</v>
      </c>
      <c r="C1944" t="s">
        <v>7</v>
      </c>
      <c r="D1944" t="s">
        <v>1104</v>
      </c>
      <c r="E1944" t="s">
        <v>1105</v>
      </c>
      <c r="F1944" t="s">
        <v>3</v>
      </c>
      <c r="G1944" t="s">
        <v>74</v>
      </c>
      <c r="H1944" t="s">
        <v>147</v>
      </c>
      <c r="I1944" t="s">
        <v>2363</v>
      </c>
      <c r="J1944" s="2">
        <v>33.520000000000003</v>
      </c>
      <c r="K1944">
        <v>2</v>
      </c>
      <c r="L1944" s="4"/>
    </row>
    <row r="1945" spans="1:12" x14ac:dyDescent="0.3">
      <c r="A1945" s="1">
        <v>42333</v>
      </c>
      <c r="B1945" s="1">
        <v>42340</v>
      </c>
      <c r="C1945" t="s">
        <v>7</v>
      </c>
      <c r="D1945" t="s">
        <v>1104</v>
      </c>
      <c r="E1945" t="s">
        <v>1105</v>
      </c>
      <c r="F1945" t="s">
        <v>3</v>
      </c>
      <c r="G1945" t="s">
        <v>12</v>
      </c>
      <c r="H1945" t="s">
        <v>35</v>
      </c>
      <c r="I1945" t="s">
        <v>1571</v>
      </c>
      <c r="J1945" s="2">
        <v>9.94</v>
      </c>
      <c r="K1945">
        <v>2</v>
      </c>
      <c r="L1945" s="4"/>
    </row>
    <row r="1946" spans="1:12" x14ac:dyDescent="0.3">
      <c r="A1946" s="1">
        <v>42333</v>
      </c>
      <c r="B1946" s="1">
        <v>42338</v>
      </c>
      <c r="C1946" t="s">
        <v>7</v>
      </c>
      <c r="D1946" t="s">
        <v>2364</v>
      </c>
      <c r="E1946" t="s">
        <v>2365</v>
      </c>
      <c r="F1946" t="s">
        <v>19</v>
      </c>
      <c r="G1946" t="s">
        <v>4</v>
      </c>
      <c r="H1946" t="s">
        <v>5</v>
      </c>
      <c r="I1946" t="s">
        <v>2069</v>
      </c>
      <c r="J1946" s="2">
        <v>24.784000000000002</v>
      </c>
      <c r="K1946">
        <v>1</v>
      </c>
      <c r="L1946" s="4"/>
    </row>
    <row r="1947" spans="1:12" x14ac:dyDescent="0.3">
      <c r="A1947" s="1">
        <v>42333</v>
      </c>
      <c r="B1947" s="1">
        <v>42339</v>
      </c>
      <c r="C1947" t="s">
        <v>7</v>
      </c>
      <c r="D1947" t="s">
        <v>2366</v>
      </c>
      <c r="E1947" t="s">
        <v>2367</v>
      </c>
      <c r="F1947" t="s">
        <v>3</v>
      </c>
      <c r="G1947" t="s">
        <v>74</v>
      </c>
      <c r="H1947" t="s">
        <v>75</v>
      </c>
      <c r="I1947" t="s">
        <v>2368</v>
      </c>
      <c r="J1947" s="2">
        <v>659.9</v>
      </c>
      <c r="K1947">
        <v>2</v>
      </c>
      <c r="L1947" s="4"/>
    </row>
    <row r="1948" spans="1:12" x14ac:dyDescent="0.3">
      <c r="A1948" s="1">
        <v>42333</v>
      </c>
      <c r="B1948" s="1">
        <v>42339</v>
      </c>
      <c r="C1948" t="s">
        <v>7</v>
      </c>
      <c r="D1948" t="s">
        <v>2366</v>
      </c>
      <c r="E1948" t="s">
        <v>2367</v>
      </c>
      <c r="F1948" t="s">
        <v>3</v>
      </c>
      <c r="G1948" t="s">
        <v>12</v>
      </c>
      <c r="H1948" t="s">
        <v>70</v>
      </c>
      <c r="I1948" t="s">
        <v>2369</v>
      </c>
      <c r="J1948" s="2">
        <v>1684.7520000000002</v>
      </c>
      <c r="K1948">
        <v>6</v>
      </c>
      <c r="L1948" s="4"/>
    </row>
    <row r="1949" spans="1:12" x14ac:dyDescent="0.3">
      <c r="A1949" s="1">
        <v>42333</v>
      </c>
      <c r="B1949" s="1">
        <v>42339</v>
      </c>
      <c r="C1949" t="s">
        <v>7</v>
      </c>
      <c r="D1949" t="s">
        <v>2366</v>
      </c>
      <c r="E1949" t="s">
        <v>2367</v>
      </c>
      <c r="F1949" t="s">
        <v>3</v>
      </c>
      <c r="G1949" t="s">
        <v>74</v>
      </c>
      <c r="H1949" t="s">
        <v>75</v>
      </c>
      <c r="I1949" t="s">
        <v>1875</v>
      </c>
      <c r="J1949" s="2">
        <v>559.91999999999996</v>
      </c>
      <c r="K1949">
        <v>8</v>
      </c>
      <c r="L1949" s="4"/>
    </row>
    <row r="1950" spans="1:12" x14ac:dyDescent="0.3">
      <c r="A1950" s="1">
        <v>42333</v>
      </c>
      <c r="B1950" s="1">
        <v>42336</v>
      </c>
      <c r="C1950" t="s">
        <v>22</v>
      </c>
      <c r="D1950" t="s">
        <v>824</v>
      </c>
      <c r="E1950" t="s">
        <v>825</v>
      </c>
      <c r="F1950" t="s">
        <v>56</v>
      </c>
      <c r="G1950" t="s">
        <v>4</v>
      </c>
      <c r="H1950" t="s">
        <v>26</v>
      </c>
      <c r="I1950" t="s">
        <v>1069</v>
      </c>
      <c r="J1950" s="2">
        <v>1219.96</v>
      </c>
      <c r="K1950">
        <v>5</v>
      </c>
      <c r="L1950" s="4"/>
    </row>
    <row r="1951" spans="1:12" x14ac:dyDescent="0.3">
      <c r="A1951" s="1">
        <v>42333</v>
      </c>
      <c r="B1951" s="1">
        <v>42337</v>
      </c>
      <c r="C1951" t="s">
        <v>7</v>
      </c>
      <c r="D1951" t="s">
        <v>2370</v>
      </c>
      <c r="E1951" t="s">
        <v>2371</v>
      </c>
      <c r="F1951" t="s">
        <v>56</v>
      </c>
      <c r="G1951" t="s">
        <v>4</v>
      </c>
      <c r="H1951" t="s">
        <v>78</v>
      </c>
      <c r="I1951" t="s">
        <v>1545</v>
      </c>
      <c r="J1951" s="2">
        <v>25.349999999999998</v>
      </c>
      <c r="K1951">
        <v>3</v>
      </c>
      <c r="L1951" s="4"/>
    </row>
    <row r="1952" spans="1:12" x14ac:dyDescent="0.3">
      <c r="A1952" s="1">
        <v>42333</v>
      </c>
      <c r="B1952" s="1">
        <v>42340</v>
      </c>
      <c r="C1952" t="s">
        <v>7</v>
      </c>
      <c r="D1952" t="s">
        <v>933</v>
      </c>
      <c r="E1952" t="s">
        <v>934</v>
      </c>
      <c r="F1952" t="s">
        <v>56</v>
      </c>
      <c r="G1952" t="s">
        <v>12</v>
      </c>
      <c r="H1952" t="s">
        <v>35</v>
      </c>
      <c r="I1952" t="s">
        <v>2372</v>
      </c>
      <c r="J1952" s="2">
        <v>82.26</v>
      </c>
      <c r="K1952">
        <v>3</v>
      </c>
      <c r="L1952" s="4"/>
    </row>
    <row r="1953" spans="1:12" x14ac:dyDescent="0.3">
      <c r="A1953" s="1">
        <v>42334</v>
      </c>
      <c r="B1953" s="1">
        <v>42338</v>
      </c>
      <c r="C1953" t="s">
        <v>7</v>
      </c>
      <c r="D1953" t="s">
        <v>2373</v>
      </c>
      <c r="E1953" t="s">
        <v>2374</v>
      </c>
      <c r="F1953" t="s">
        <v>3</v>
      </c>
      <c r="G1953" t="s">
        <v>12</v>
      </c>
      <c r="H1953" t="s">
        <v>70</v>
      </c>
      <c r="I1953" t="s">
        <v>2375</v>
      </c>
      <c r="J1953" s="2">
        <v>194.35200000000003</v>
      </c>
      <c r="K1953">
        <v>3</v>
      </c>
      <c r="L1953" s="4"/>
    </row>
    <row r="1954" spans="1:12" x14ac:dyDescent="0.3">
      <c r="A1954" s="1">
        <v>42335</v>
      </c>
      <c r="B1954" s="1">
        <v>42341</v>
      </c>
      <c r="C1954" t="s">
        <v>7</v>
      </c>
      <c r="D1954" t="s">
        <v>2376</v>
      </c>
      <c r="E1954" t="s">
        <v>2377</v>
      </c>
      <c r="F1954" t="s">
        <v>56</v>
      </c>
      <c r="G1954" t="s">
        <v>4</v>
      </c>
      <c r="H1954" t="s">
        <v>26</v>
      </c>
      <c r="I1954" t="s">
        <v>2378</v>
      </c>
      <c r="J1954" s="2">
        <v>7.3120000000000012</v>
      </c>
      <c r="K1954">
        <v>2</v>
      </c>
      <c r="L1954" s="4"/>
    </row>
    <row r="1955" spans="1:12" x14ac:dyDescent="0.3">
      <c r="A1955" s="1">
        <v>42335</v>
      </c>
      <c r="B1955" s="1">
        <v>42339</v>
      </c>
      <c r="C1955" t="s">
        <v>7</v>
      </c>
      <c r="D1955" t="s">
        <v>1853</v>
      </c>
      <c r="E1955" t="s">
        <v>1854</v>
      </c>
      <c r="F1955" t="s">
        <v>3</v>
      </c>
      <c r="G1955" t="s">
        <v>12</v>
      </c>
      <c r="H1955" t="s">
        <v>13</v>
      </c>
      <c r="I1955" t="s">
        <v>1666</v>
      </c>
      <c r="J1955" s="2">
        <v>3406.6640000000002</v>
      </c>
      <c r="K1955">
        <v>8</v>
      </c>
      <c r="L1955" s="4"/>
    </row>
    <row r="1956" spans="1:12" x14ac:dyDescent="0.3">
      <c r="A1956" s="1">
        <v>42335</v>
      </c>
      <c r="B1956" s="1">
        <v>42339</v>
      </c>
      <c r="C1956" t="s">
        <v>7</v>
      </c>
      <c r="D1956" t="s">
        <v>1853</v>
      </c>
      <c r="E1956" t="s">
        <v>1854</v>
      </c>
      <c r="F1956" t="s">
        <v>3</v>
      </c>
      <c r="G1956" t="s">
        <v>4</v>
      </c>
      <c r="H1956" t="s">
        <v>15</v>
      </c>
      <c r="I1956" t="s">
        <v>1070</v>
      </c>
      <c r="J1956" s="2">
        <v>37.17</v>
      </c>
      <c r="K1956">
        <v>9</v>
      </c>
      <c r="L1956" s="4"/>
    </row>
    <row r="1957" spans="1:12" x14ac:dyDescent="0.3">
      <c r="A1957" s="1">
        <v>42335</v>
      </c>
      <c r="B1957" s="1">
        <v>42339</v>
      </c>
      <c r="C1957" t="s">
        <v>7</v>
      </c>
      <c r="D1957" t="s">
        <v>1853</v>
      </c>
      <c r="E1957" t="s">
        <v>1854</v>
      </c>
      <c r="F1957" t="s">
        <v>3</v>
      </c>
      <c r="G1957" t="s">
        <v>4</v>
      </c>
      <c r="H1957" t="s">
        <v>20</v>
      </c>
      <c r="I1957" t="s">
        <v>2341</v>
      </c>
      <c r="J1957" s="2">
        <v>64.959999999999994</v>
      </c>
      <c r="K1957">
        <v>2</v>
      </c>
      <c r="L1957" s="4"/>
    </row>
    <row r="1958" spans="1:12" x14ac:dyDescent="0.3">
      <c r="A1958" s="1">
        <v>42335</v>
      </c>
      <c r="B1958" s="1">
        <v>42339</v>
      </c>
      <c r="C1958" t="s">
        <v>7</v>
      </c>
      <c r="D1958" t="s">
        <v>1853</v>
      </c>
      <c r="E1958" t="s">
        <v>1854</v>
      </c>
      <c r="F1958" t="s">
        <v>3</v>
      </c>
      <c r="G1958" t="s">
        <v>12</v>
      </c>
      <c r="H1958" t="s">
        <v>35</v>
      </c>
      <c r="I1958" t="s">
        <v>1507</v>
      </c>
      <c r="J1958" s="2">
        <v>595.38</v>
      </c>
      <c r="K1958">
        <v>6</v>
      </c>
      <c r="L1958" s="4"/>
    </row>
    <row r="1959" spans="1:12" x14ac:dyDescent="0.3">
      <c r="A1959" s="1">
        <v>42336</v>
      </c>
      <c r="B1959" s="1">
        <v>42338</v>
      </c>
      <c r="C1959" t="s">
        <v>0</v>
      </c>
      <c r="D1959" t="s">
        <v>1531</v>
      </c>
      <c r="E1959" t="s">
        <v>1532</v>
      </c>
      <c r="F1959" t="s">
        <v>25</v>
      </c>
      <c r="G1959" t="s">
        <v>74</v>
      </c>
      <c r="H1959" t="s">
        <v>147</v>
      </c>
      <c r="I1959" t="s">
        <v>2379</v>
      </c>
      <c r="J1959" s="2">
        <v>271.99200000000002</v>
      </c>
      <c r="K1959">
        <v>1</v>
      </c>
      <c r="L1959" s="4"/>
    </row>
    <row r="1960" spans="1:12" x14ac:dyDescent="0.3">
      <c r="A1960" s="1">
        <v>42336</v>
      </c>
      <c r="B1960" s="1">
        <v>42340</v>
      </c>
      <c r="C1960" t="s">
        <v>7</v>
      </c>
      <c r="D1960" t="s">
        <v>2380</v>
      </c>
      <c r="E1960" t="s">
        <v>2381</v>
      </c>
      <c r="F1960" t="s">
        <v>25</v>
      </c>
      <c r="G1960" t="s">
        <v>4</v>
      </c>
      <c r="H1960" t="s">
        <v>10</v>
      </c>
      <c r="I1960" t="s">
        <v>229</v>
      </c>
      <c r="J1960" s="2">
        <v>39.808</v>
      </c>
      <c r="K1960">
        <v>4</v>
      </c>
      <c r="L1960" s="4"/>
    </row>
    <row r="1961" spans="1:12" x14ac:dyDescent="0.3">
      <c r="A1961" s="1">
        <v>42340</v>
      </c>
      <c r="B1961" s="1">
        <v>42344</v>
      </c>
      <c r="C1961" t="s">
        <v>7</v>
      </c>
      <c r="D1961" t="s">
        <v>2382</v>
      </c>
      <c r="E1961" t="s">
        <v>2383</v>
      </c>
      <c r="F1961" t="s">
        <v>3</v>
      </c>
      <c r="G1961" t="s">
        <v>12</v>
      </c>
      <c r="H1961" t="s">
        <v>35</v>
      </c>
      <c r="I1961" t="s">
        <v>761</v>
      </c>
      <c r="J1961" s="2">
        <v>16.739999999999998</v>
      </c>
      <c r="K1961">
        <v>2</v>
      </c>
      <c r="L1961" s="4"/>
    </row>
    <row r="1962" spans="1:12" x14ac:dyDescent="0.3">
      <c r="A1962" s="1">
        <v>42340</v>
      </c>
      <c r="B1962" s="1">
        <v>42340</v>
      </c>
      <c r="C1962" t="s">
        <v>240</v>
      </c>
      <c r="D1962" t="s">
        <v>2180</v>
      </c>
      <c r="E1962" t="s">
        <v>2181</v>
      </c>
      <c r="F1962" t="s">
        <v>3</v>
      </c>
      <c r="G1962" t="s">
        <v>12</v>
      </c>
      <c r="H1962" t="s">
        <v>35</v>
      </c>
      <c r="I1962" t="s">
        <v>808</v>
      </c>
      <c r="J1962" s="2">
        <v>31.96</v>
      </c>
      <c r="K1962">
        <v>2</v>
      </c>
      <c r="L1962" s="4"/>
    </row>
    <row r="1963" spans="1:12" x14ac:dyDescent="0.3">
      <c r="A1963" s="1">
        <v>42340</v>
      </c>
      <c r="B1963" s="1">
        <v>42340</v>
      </c>
      <c r="C1963" t="s">
        <v>240</v>
      </c>
      <c r="D1963" t="s">
        <v>2180</v>
      </c>
      <c r="E1963" t="s">
        <v>2181</v>
      </c>
      <c r="F1963" t="s">
        <v>3</v>
      </c>
      <c r="G1963" t="s">
        <v>4</v>
      </c>
      <c r="H1963" t="s">
        <v>5</v>
      </c>
      <c r="I1963" t="s">
        <v>2384</v>
      </c>
      <c r="J1963" s="2">
        <v>47.9</v>
      </c>
      <c r="K1963">
        <v>1</v>
      </c>
      <c r="L1963" s="4"/>
    </row>
    <row r="1964" spans="1:12" x14ac:dyDescent="0.3">
      <c r="A1964" s="1">
        <v>42340</v>
      </c>
      <c r="B1964" s="1">
        <v>42340</v>
      </c>
      <c r="C1964" t="s">
        <v>240</v>
      </c>
      <c r="D1964" t="s">
        <v>2180</v>
      </c>
      <c r="E1964" t="s">
        <v>2181</v>
      </c>
      <c r="F1964" t="s">
        <v>3</v>
      </c>
      <c r="G1964" t="s">
        <v>4</v>
      </c>
      <c r="H1964" t="s">
        <v>10</v>
      </c>
      <c r="I1964" t="s">
        <v>2125</v>
      </c>
      <c r="J1964" s="2">
        <v>1112.94</v>
      </c>
      <c r="K1964">
        <v>3</v>
      </c>
      <c r="L1964" s="4"/>
    </row>
    <row r="1965" spans="1:12" x14ac:dyDescent="0.3">
      <c r="A1965" s="1">
        <v>42340</v>
      </c>
      <c r="B1965" s="1">
        <v>42340</v>
      </c>
      <c r="C1965" t="s">
        <v>240</v>
      </c>
      <c r="D1965" t="s">
        <v>2180</v>
      </c>
      <c r="E1965" t="s">
        <v>2181</v>
      </c>
      <c r="F1965" t="s">
        <v>3</v>
      </c>
      <c r="G1965" t="s">
        <v>4</v>
      </c>
      <c r="H1965" t="s">
        <v>29</v>
      </c>
      <c r="I1965" t="s">
        <v>758</v>
      </c>
      <c r="J1965" s="2">
        <v>22.919999999999998</v>
      </c>
      <c r="K1965">
        <v>3</v>
      </c>
      <c r="L1965" s="4"/>
    </row>
    <row r="1966" spans="1:12" x14ac:dyDescent="0.3">
      <c r="A1966" s="1">
        <v>42340</v>
      </c>
      <c r="B1966" s="1">
        <v>42344</v>
      </c>
      <c r="C1966" t="s">
        <v>7</v>
      </c>
      <c r="D1966" t="s">
        <v>1202</v>
      </c>
      <c r="E1966" t="s">
        <v>1203</v>
      </c>
      <c r="F1966" t="s">
        <v>3</v>
      </c>
      <c r="G1966" t="s">
        <v>4</v>
      </c>
      <c r="H1966" t="s">
        <v>15</v>
      </c>
      <c r="I1966" t="s">
        <v>2279</v>
      </c>
      <c r="J1966" s="2">
        <v>23.04</v>
      </c>
      <c r="K1966">
        <v>8</v>
      </c>
      <c r="L1966" s="4"/>
    </row>
    <row r="1967" spans="1:12" x14ac:dyDescent="0.3">
      <c r="A1967" s="1">
        <v>42341</v>
      </c>
      <c r="B1967" s="1">
        <v>42347</v>
      </c>
      <c r="C1967" t="s">
        <v>7</v>
      </c>
      <c r="D1967" t="s">
        <v>2385</v>
      </c>
      <c r="E1967" t="s">
        <v>2386</v>
      </c>
      <c r="F1967" t="s">
        <v>3</v>
      </c>
      <c r="G1967" t="s">
        <v>4</v>
      </c>
      <c r="H1967" t="s">
        <v>5</v>
      </c>
      <c r="I1967" t="s">
        <v>2387</v>
      </c>
      <c r="J1967" s="2">
        <v>25.92</v>
      </c>
      <c r="K1967">
        <v>4</v>
      </c>
      <c r="L1967" s="4"/>
    </row>
    <row r="1968" spans="1:12" x14ac:dyDescent="0.3">
      <c r="A1968" s="1">
        <v>42341</v>
      </c>
      <c r="B1968" s="1">
        <v>42347</v>
      </c>
      <c r="C1968" t="s">
        <v>7</v>
      </c>
      <c r="D1968" t="s">
        <v>2385</v>
      </c>
      <c r="E1968" t="s">
        <v>2386</v>
      </c>
      <c r="F1968" t="s">
        <v>3</v>
      </c>
      <c r="G1968" t="s">
        <v>4</v>
      </c>
      <c r="H1968" t="s">
        <v>5</v>
      </c>
      <c r="I1968" t="s">
        <v>2388</v>
      </c>
      <c r="J1968" s="2">
        <v>40.46</v>
      </c>
      <c r="K1968">
        <v>7</v>
      </c>
      <c r="L1968" s="4"/>
    </row>
    <row r="1969" spans="1:12" x14ac:dyDescent="0.3">
      <c r="A1969" s="1">
        <v>42341</v>
      </c>
      <c r="B1969" s="1">
        <v>42347</v>
      </c>
      <c r="C1969" t="s">
        <v>7</v>
      </c>
      <c r="D1969" t="s">
        <v>2385</v>
      </c>
      <c r="E1969" t="s">
        <v>2386</v>
      </c>
      <c r="F1969" t="s">
        <v>3</v>
      </c>
      <c r="G1969" t="s">
        <v>4</v>
      </c>
      <c r="H1969" t="s">
        <v>10</v>
      </c>
      <c r="I1969" t="s">
        <v>2389</v>
      </c>
      <c r="J1969" s="2">
        <v>33.869999999999997</v>
      </c>
      <c r="K1969">
        <v>3</v>
      </c>
      <c r="L1969" s="4"/>
    </row>
    <row r="1970" spans="1:12" x14ac:dyDescent="0.3">
      <c r="A1970" s="1">
        <v>42341</v>
      </c>
      <c r="B1970" s="1">
        <v>42346</v>
      </c>
      <c r="C1970" t="s">
        <v>7</v>
      </c>
      <c r="D1970" t="s">
        <v>2222</v>
      </c>
      <c r="E1970" t="s">
        <v>2223</v>
      </c>
      <c r="F1970" t="s">
        <v>3</v>
      </c>
      <c r="G1970" t="s">
        <v>4</v>
      </c>
      <c r="H1970" t="s">
        <v>26</v>
      </c>
      <c r="I1970" t="s">
        <v>805</v>
      </c>
      <c r="J1970" s="2">
        <v>24.704000000000001</v>
      </c>
      <c r="K1970">
        <v>2</v>
      </c>
      <c r="L1970" s="4"/>
    </row>
    <row r="1971" spans="1:12" x14ac:dyDescent="0.3">
      <c r="A1971" s="1">
        <v>42341</v>
      </c>
      <c r="B1971" s="1">
        <v>42346</v>
      </c>
      <c r="C1971" t="s">
        <v>7</v>
      </c>
      <c r="D1971" t="s">
        <v>2222</v>
      </c>
      <c r="E1971" t="s">
        <v>2223</v>
      </c>
      <c r="F1971" t="s">
        <v>3</v>
      </c>
      <c r="G1971" t="s">
        <v>4</v>
      </c>
      <c r="H1971" t="s">
        <v>20</v>
      </c>
      <c r="I1971" t="s">
        <v>2390</v>
      </c>
      <c r="J1971" s="2">
        <v>59.699999999999996</v>
      </c>
      <c r="K1971">
        <v>3</v>
      </c>
      <c r="L1971" s="4"/>
    </row>
    <row r="1972" spans="1:12" x14ac:dyDescent="0.3">
      <c r="A1972" s="1">
        <v>42341</v>
      </c>
      <c r="B1972" s="1">
        <v>42346</v>
      </c>
      <c r="C1972" t="s">
        <v>7</v>
      </c>
      <c r="D1972" t="s">
        <v>2222</v>
      </c>
      <c r="E1972" t="s">
        <v>2223</v>
      </c>
      <c r="F1972" t="s">
        <v>3</v>
      </c>
      <c r="G1972" t="s">
        <v>12</v>
      </c>
      <c r="H1972" t="s">
        <v>35</v>
      </c>
      <c r="I1972" t="s">
        <v>1656</v>
      </c>
      <c r="J1972" s="2">
        <v>14.52</v>
      </c>
      <c r="K1972">
        <v>3</v>
      </c>
      <c r="L1972" s="4"/>
    </row>
    <row r="1973" spans="1:12" x14ac:dyDescent="0.3">
      <c r="A1973" s="1">
        <v>42341</v>
      </c>
      <c r="B1973" s="1">
        <v>42346</v>
      </c>
      <c r="C1973" t="s">
        <v>7</v>
      </c>
      <c r="D1973" t="s">
        <v>2222</v>
      </c>
      <c r="E1973" t="s">
        <v>2223</v>
      </c>
      <c r="F1973" t="s">
        <v>3</v>
      </c>
      <c r="G1973" t="s">
        <v>4</v>
      </c>
      <c r="H1973" t="s">
        <v>26</v>
      </c>
      <c r="I1973" t="s">
        <v>573</v>
      </c>
      <c r="J1973" s="2">
        <v>104.184</v>
      </c>
      <c r="K1973">
        <v>3</v>
      </c>
      <c r="L1973" s="4"/>
    </row>
    <row r="1974" spans="1:12" x14ac:dyDescent="0.3">
      <c r="A1974" s="1">
        <v>42341</v>
      </c>
      <c r="B1974" s="1">
        <v>42347</v>
      </c>
      <c r="C1974" t="s">
        <v>7</v>
      </c>
      <c r="D1974" t="s">
        <v>2391</v>
      </c>
      <c r="E1974" t="s">
        <v>2392</v>
      </c>
      <c r="F1974" t="s">
        <v>115</v>
      </c>
      <c r="G1974" t="s">
        <v>74</v>
      </c>
      <c r="H1974" t="s">
        <v>75</v>
      </c>
      <c r="I1974" t="s">
        <v>766</v>
      </c>
      <c r="J1974" s="2">
        <v>165.60000000000002</v>
      </c>
      <c r="K1974">
        <v>3</v>
      </c>
      <c r="L1974" s="4"/>
    </row>
    <row r="1975" spans="1:12" x14ac:dyDescent="0.3">
      <c r="A1975" s="1">
        <v>42342</v>
      </c>
      <c r="B1975" s="1">
        <v>42345</v>
      </c>
      <c r="C1975" t="s">
        <v>22</v>
      </c>
      <c r="D1975" t="s">
        <v>1516</v>
      </c>
      <c r="E1975" t="s">
        <v>1517</v>
      </c>
      <c r="F1975" t="s">
        <v>3</v>
      </c>
      <c r="G1975" t="s">
        <v>74</v>
      </c>
      <c r="H1975" t="s">
        <v>75</v>
      </c>
      <c r="I1975" t="s">
        <v>1365</v>
      </c>
      <c r="J1975" s="2">
        <v>1649.95</v>
      </c>
      <c r="K1975">
        <v>5</v>
      </c>
      <c r="L1975" s="4"/>
    </row>
    <row r="1976" spans="1:12" x14ac:dyDescent="0.3">
      <c r="A1976" s="1">
        <v>42342</v>
      </c>
      <c r="B1976" s="1">
        <v>42345</v>
      </c>
      <c r="C1976" t="s">
        <v>22</v>
      </c>
      <c r="D1976" t="s">
        <v>1516</v>
      </c>
      <c r="E1976" t="s">
        <v>1517</v>
      </c>
      <c r="F1976" t="s">
        <v>3</v>
      </c>
      <c r="G1976" t="s">
        <v>12</v>
      </c>
      <c r="H1976" t="s">
        <v>35</v>
      </c>
      <c r="I1976" t="s">
        <v>2393</v>
      </c>
      <c r="J1976" s="2">
        <v>111.89999999999999</v>
      </c>
      <c r="K1976">
        <v>6</v>
      </c>
      <c r="L1976" s="4"/>
    </row>
    <row r="1977" spans="1:12" x14ac:dyDescent="0.3">
      <c r="A1977" s="1">
        <v>42342</v>
      </c>
      <c r="B1977" s="1">
        <v>42348</v>
      </c>
      <c r="C1977" t="s">
        <v>7</v>
      </c>
      <c r="D1977" t="s">
        <v>1080</v>
      </c>
      <c r="E1977" t="s">
        <v>1081</v>
      </c>
      <c r="F1977" t="s">
        <v>3</v>
      </c>
      <c r="G1977" t="s">
        <v>4</v>
      </c>
      <c r="H1977" t="s">
        <v>10</v>
      </c>
      <c r="I1977" t="s">
        <v>1960</v>
      </c>
      <c r="J1977" s="2">
        <v>772.68</v>
      </c>
      <c r="K1977">
        <v>4</v>
      </c>
      <c r="L1977" s="4"/>
    </row>
    <row r="1978" spans="1:12" x14ac:dyDescent="0.3">
      <c r="A1978" s="1">
        <v>42342</v>
      </c>
      <c r="B1978" s="1">
        <v>42346</v>
      </c>
      <c r="C1978" t="s">
        <v>7</v>
      </c>
      <c r="D1978" t="s">
        <v>451</v>
      </c>
      <c r="E1978" t="s">
        <v>452</v>
      </c>
      <c r="F1978" t="s">
        <v>3</v>
      </c>
      <c r="G1978" t="s">
        <v>12</v>
      </c>
      <c r="H1978" t="s">
        <v>44</v>
      </c>
      <c r="I1978" t="s">
        <v>395</v>
      </c>
      <c r="J1978" s="2">
        <v>268.70400000000001</v>
      </c>
      <c r="K1978">
        <v>3</v>
      </c>
      <c r="L1978" s="4"/>
    </row>
    <row r="1979" spans="1:12" x14ac:dyDescent="0.3">
      <c r="A1979" s="1">
        <v>42342</v>
      </c>
      <c r="B1979" s="1">
        <v>42346</v>
      </c>
      <c r="C1979" t="s">
        <v>7</v>
      </c>
      <c r="D1979" t="s">
        <v>451</v>
      </c>
      <c r="E1979" t="s">
        <v>452</v>
      </c>
      <c r="F1979" t="s">
        <v>3</v>
      </c>
      <c r="G1979" t="s">
        <v>4</v>
      </c>
      <c r="H1979" t="s">
        <v>15</v>
      </c>
      <c r="I1979" t="s">
        <v>2394</v>
      </c>
      <c r="J1979" s="2">
        <v>21.92</v>
      </c>
      <c r="K1979">
        <v>8</v>
      </c>
      <c r="L1979" s="4"/>
    </row>
    <row r="1980" spans="1:12" x14ac:dyDescent="0.3">
      <c r="A1980" s="1">
        <v>42342</v>
      </c>
      <c r="B1980" s="1">
        <v>42346</v>
      </c>
      <c r="C1980" t="s">
        <v>7</v>
      </c>
      <c r="D1980" t="s">
        <v>451</v>
      </c>
      <c r="E1980" t="s">
        <v>452</v>
      </c>
      <c r="F1980" t="s">
        <v>3</v>
      </c>
      <c r="G1980" t="s">
        <v>4</v>
      </c>
      <c r="H1980" t="s">
        <v>10</v>
      </c>
      <c r="I1980" t="s">
        <v>2395</v>
      </c>
      <c r="J1980" s="2">
        <v>48.72</v>
      </c>
      <c r="K1980">
        <v>3</v>
      </c>
      <c r="L1980" s="4"/>
    </row>
    <row r="1981" spans="1:12" x14ac:dyDescent="0.3">
      <c r="A1981" s="1">
        <v>42342</v>
      </c>
      <c r="B1981" s="1">
        <v>42346</v>
      </c>
      <c r="C1981" t="s">
        <v>7</v>
      </c>
      <c r="D1981" t="s">
        <v>451</v>
      </c>
      <c r="E1981" t="s">
        <v>452</v>
      </c>
      <c r="F1981" t="s">
        <v>3</v>
      </c>
      <c r="G1981" t="s">
        <v>12</v>
      </c>
      <c r="H1981" t="s">
        <v>13</v>
      </c>
      <c r="I1981" t="s">
        <v>180</v>
      </c>
      <c r="J1981" s="2">
        <v>205.666</v>
      </c>
      <c r="K1981">
        <v>2</v>
      </c>
      <c r="L1981" s="4"/>
    </row>
    <row r="1982" spans="1:12" x14ac:dyDescent="0.3">
      <c r="A1982" s="1">
        <v>42343</v>
      </c>
      <c r="B1982" s="1">
        <v>42348</v>
      </c>
      <c r="C1982" t="s">
        <v>7</v>
      </c>
      <c r="D1982" t="s">
        <v>701</v>
      </c>
      <c r="E1982" t="s">
        <v>702</v>
      </c>
      <c r="F1982" t="s">
        <v>3</v>
      </c>
      <c r="G1982" t="s">
        <v>4</v>
      </c>
      <c r="H1982" t="s">
        <v>5</v>
      </c>
      <c r="I1982" t="s">
        <v>1536</v>
      </c>
      <c r="J1982" s="2">
        <v>104.85</v>
      </c>
      <c r="K1982">
        <v>1</v>
      </c>
      <c r="L1982" s="4"/>
    </row>
    <row r="1983" spans="1:12" x14ac:dyDescent="0.3">
      <c r="A1983" s="1">
        <v>42344</v>
      </c>
      <c r="B1983" s="1">
        <v>42349</v>
      </c>
      <c r="C1983" t="s">
        <v>7</v>
      </c>
      <c r="D1983" t="s">
        <v>1793</v>
      </c>
      <c r="E1983" t="s">
        <v>1794</v>
      </c>
      <c r="F1983" t="s">
        <v>56</v>
      </c>
      <c r="G1983" t="s">
        <v>4</v>
      </c>
      <c r="H1983" t="s">
        <v>26</v>
      </c>
      <c r="I1983" t="s">
        <v>2240</v>
      </c>
      <c r="J1983" s="2">
        <v>407.97600000000006</v>
      </c>
      <c r="K1983">
        <v>3</v>
      </c>
      <c r="L1983" s="4"/>
    </row>
    <row r="1984" spans="1:12" x14ac:dyDescent="0.3">
      <c r="A1984" s="1">
        <v>42345</v>
      </c>
      <c r="B1984" s="1">
        <v>42346</v>
      </c>
      <c r="C1984" t="s">
        <v>22</v>
      </c>
      <c r="D1984" t="s">
        <v>815</v>
      </c>
      <c r="E1984" t="s">
        <v>816</v>
      </c>
      <c r="F1984" t="s">
        <v>3</v>
      </c>
      <c r="G1984" t="s">
        <v>4</v>
      </c>
      <c r="H1984" t="s">
        <v>5</v>
      </c>
      <c r="I1984" t="s">
        <v>1539</v>
      </c>
      <c r="J1984" s="2">
        <v>19.440000000000001</v>
      </c>
      <c r="K1984">
        <v>3</v>
      </c>
      <c r="L1984" s="4"/>
    </row>
    <row r="1985" spans="1:12" x14ac:dyDescent="0.3">
      <c r="A1985" s="1">
        <v>42345</v>
      </c>
      <c r="B1985" s="1">
        <v>42351</v>
      </c>
      <c r="C1985" t="s">
        <v>7</v>
      </c>
      <c r="D1985" t="s">
        <v>1907</v>
      </c>
      <c r="E1985" t="s">
        <v>1908</v>
      </c>
      <c r="F1985" t="s">
        <v>56</v>
      </c>
      <c r="G1985" t="s">
        <v>74</v>
      </c>
      <c r="H1985" t="s">
        <v>147</v>
      </c>
      <c r="I1985" t="s">
        <v>1277</v>
      </c>
      <c r="J1985" s="2">
        <v>156.79200000000003</v>
      </c>
      <c r="K1985">
        <v>1</v>
      </c>
      <c r="L1985" s="4"/>
    </row>
    <row r="1986" spans="1:12" x14ac:dyDescent="0.3">
      <c r="A1986" s="1">
        <v>42345</v>
      </c>
      <c r="B1986" s="1">
        <v>42351</v>
      </c>
      <c r="C1986" t="s">
        <v>7</v>
      </c>
      <c r="D1986" t="s">
        <v>1907</v>
      </c>
      <c r="E1986" t="s">
        <v>1908</v>
      </c>
      <c r="F1986" t="s">
        <v>56</v>
      </c>
      <c r="G1986" t="s">
        <v>74</v>
      </c>
      <c r="H1986" t="s">
        <v>147</v>
      </c>
      <c r="I1986" t="s">
        <v>2396</v>
      </c>
      <c r="J1986" s="2">
        <v>431.97600000000006</v>
      </c>
      <c r="K1986">
        <v>3</v>
      </c>
      <c r="L1986" s="4"/>
    </row>
    <row r="1987" spans="1:12" x14ac:dyDescent="0.3">
      <c r="A1987" s="1">
        <v>42345</v>
      </c>
      <c r="B1987" s="1">
        <v>42351</v>
      </c>
      <c r="C1987" t="s">
        <v>7</v>
      </c>
      <c r="D1987" t="s">
        <v>1907</v>
      </c>
      <c r="E1987" t="s">
        <v>1908</v>
      </c>
      <c r="F1987" t="s">
        <v>56</v>
      </c>
      <c r="G1987" t="s">
        <v>4</v>
      </c>
      <c r="H1987" t="s">
        <v>29</v>
      </c>
      <c r="I1987" t="s">
        <v>2397</v>
      </c>
      <c r="J1987" s="2">
        <v>35.89</v>
      </c>
      <c r="K1987">
        <v>1</v>
      </c>
      <c r="L1987" s="4"/>
    </row>
    <row r="1988" spans="1:12" x14ac:dyDescent="0.3">
      <c r="A1988" s="1">
        <v>42345</v>
      </c>
      <c r="B1988" s="1">
        <v>42351</v>
      </c>
      <c r="C1988" t="s">
        <v>7</v>
      </c>
      <c r="D1988" t="s">
        <v>1907</v>
      </c>
      <c r="E1988" t="s">
        <v>1908</v>
      </c>
      <c r="F1988" t="s">
        <v>56</v>
      </c>
      <c r="G1988" t="s">
        <v>4</v>
      </c>
      <c r="H1988" t="s">
        <v>26</v>
      </c>
      <c r="I1988" t="s">
        <v>679</v>
      </c>
      <c r="J1988" s="2">
        <v>47.207999999999998</v>
      </c>
      <c r="K1988">
        <v>7</v>
      </c>
      <c r="L1988" s="4"/>
    </row>
    <row r="1989" spans="1:12" x14ac:dyDescent="0.3">
      <c r="A1989" s="1">
        <v>42345</v>
      </c>
      <c r="B1989" s="1">
        <v>42351</v>
      </c>
      <c r="C1989" t="s">
        <v>7</v>
      </c>
      <c r="D1989" t="s">
        <v>1907</v>
      </c>
      <c r="E1989" t="s">
        <v>1908</v>
      </c>
      <c r="F1989" t="s">
        <v>56</v>
      </c>
      <c r="G1989" t="s">
        <v>4</v>
      </c>
      <c r="H1989" t="s">
        <v>5</v>
      </c>
      <c r="I1989" t="s">
        <v>1232</v>
      </c>
      <c r="J1989" s="2">
        <v>248.07999999999998</v>
      </c>
      <c r="K1989">
        <v>7</v>
      </c>
      <c r="L1989" s="4"/>
    </row>
    <row r="1990" spans="1:12" x14ac:dyDescent="0.3">
      <c r="A1990" s="1">
        <v>42345</v>
      </c>
      <c r="B1990" s="1">
        <v>42351</v>
      </c>
      <c r="C1990" t="s">
        <v>7</v>
      </c>
      <c r="D1990" t="s">
        <v>1907</v>
      </c>
      <c r="E1990" t="s">
        <v>1908</v>
      </c>
      <c r="F1990" t="s">
        <v>56</v>
      </c>
      <c r="G1990" t="s">
        <v>4</v>
      </c>
      <c r="H1990" t="s">
        <v>5</v>
      </c>
      <c r="I1990" t="s">
        <v>1749</v>
      </c>
      <c r="J1990" s="2">
        <v>189.7</v>
      </c>
      <c r="K1990">
        <v>5</v>
      </c>
      <c r="L1990" s="4"/>
    </row>
    <row r="1991" spans="1:12" x14ac:dyDescent="0.3">
      <c r="A1991" s="1">
        <v>42345</v>
      </c>
      <c r="B1991" s="1">
        <v>42351</v>
      </c>
      <c r="C1991" t="s">
        <v>7</v>
      </c>
      <c r="D1991" t="s">
        <v>1907</v>
      </c>
      <c r="E1991" t="s">
        <v>1908</v>
      </c>
      <c r="F1991" t="s">
        <v>56</v>
      </c>
      <c r="G1991" t="s">
        <v>4</v>
      </c>
      <c r="H1991" t="s">
        <v>26</v>
      </c>
      <c r="I1991" t="s">
        <v>343</v>
      </c>
      <c r="J1991" s="2">
        <v>59.808000000000007</v>
      </c>
      <c r="K1991">
        <v>3</v>
      </c>
      <c r="L1991" s="4"/>
    </row>
    <row r="1992" spans="1:12" x14ac:dyDescent="0.3">
      <c r="A1992" s="1">
        <v>42345</v>
      </c>
      <c r="B1992" s="1">
        <v>42349</v>
      </c>
      <c r="C1992" t="s">
        <v>7</v>
      </c>
      <c r="D1992" t="s">
        <v>2398</v>
      </c>
      <c r="E1992" t="s">
        <v>2399</v>
      </c>
      <c r="F1992" t="s">
        <v>3</v>
      </c>
      <c r="G1992" t="s">
        <v>74</v>
      </c>
      <c r="H1992" t="s">
        <v>147</v>
      </c>
      <c r="I1992" t="s">
        <v>2400</v>
      </c>
      <c r="J1992" s="2">
        <v>271.95999999999998</v>
      </c>
      <c r="K1992">
        <v>5</v>
      </c>
      <c r="L1992" s="4"/>
    </row>
    <row r="1993" spans="1:12" x14ac:dyDescent="0.3">
      <c r="A1993" s="1">
        <v>42345</v>
      </c>
      <c r="B1993" s="1">
        <v>42349</v>
      </c>
      <c r="C1993" t="s">
        <v>7</v>
      </c>
      <c r="D1993" t="s">
        <v>2398</v>
      </c>
      <c r="E1993" t="s">
        <v>2399</v>
      </c>
      <c r="F1993" t="s">
        <v>3</v>
      </c>
      <c r="G1993" t="s">
        <v>4</v>
      </c>
      <c r="H1993" t="s">
        <v>15</v>
      </c>
      <c r="I1993" t="s">
        <v>2188</v>
      </c>
      <c r="J1993" s="2">
        <v>18.689999999999998</v>
      </c>
      <c r="K1993">
        <v>7</v>
      </c>
      <c r="L1993" s="4"/>
    </row>
    <row r="1994" spans="1:12" x14ac:dyDescent="0.3">
      <c r="A1994" s="1">
        <v>42345</v>
      </c>
      <c r="B1994" s="1">
        <v>42349</v>
      </c>
      <c r="C1994" t="s">
        <v>7</v>
      </c>
      <c r="D1994" t="s">
        <v>2398</v>
      </c>
      <c r="E1994" t="s">
        <v>2399</v>
      </c>
      <c r="F1994" t="s">
        <v>3</v>
      </c>
      <c r="G1994" t="s">
        <v>4</v>
      </c>
      <c r="H1994" t="s">
        <v>5</v>
      </c>
      <c r="I1994" t="s">
        <v>1228</v>
      </c>
      <c r="J1994" s="2">
        <v>13.36</v>
      </c>
      <c r="K1994">
        <v>2</v>
      </c>
      <c r="L1994" s="4"/>
    </row>
    <row r="1995" spans="1:12" x14ac:dyDescent="0.3">
      <c r="A1995" s="1">
        <v>42345</v>
      </c>
      <c r="B1995" s="1">
        <v>42349</v>
      </c>
      <c r="C1995" t="s">
        <v>7</v>
      </c>
      <c r="D1995" t="s">
        <v>2398</v>
      </c>
      <c r="E1995" t="s">
        <v>2399</v>
      </c>
      <c r="F1995" t="s">
        <v>3</v>
      </c>
      <c r="G1995" t="s">
        <v>74</v>
      </c>
      <c r="H1995" t="s">
        <v>147</v>
      </c>
      <c r="I1995" t="s">
        <v>2401</v>
      </c>
      <c r="J1995" s="2">
        <v>249.58400000000003</v>
      </c>
      <c r="K1995">
        <v>2</v>
      </c>
      <c r="L1995" s="4"/>
    </row>
    <row r="1996" spans="1:12" x14ac:dyDescent="0.3">
      <c r="A1996" s="1">
        <v>42345</v>
      </c>
      <c r="B1996" s="1">
        <v>42349</v>
      </c>
      <c r="C1996" t="s">
        <v>7</v>
      </c>
      <c r="D1996" t="s">
        <v>2398</v>
      </c>
      <c r="E1996" t="s">
        <v>2399</v>
      </c>
      <c r="F1996" t="s">
        <v>3</v>
      </c>
      <c r="G1996" t="s">
        <v>4</v>
      </c>
      <c r="H1996" t="s">
        <v>52</v>
      </c>
      <c r="I1996" t="s">
        <v>1783</v>
      </c>
      <c r="J1996" s="2">
        <v>13.86</v>
      </c>
      <c r="K1996">
        <v>7</v>
      </c>
      <c r="L1996" s="4"/>
    </row>
    <row r="1997" spans="1:12" x14ac:dyDescent="0.3">
      <c r="A1997" s="1">
        <v>42345</v>
      </c>
      <c r="B1997" s="1">
        <v>42349</v>
      </c>
      <c r="C1997" t="s">
        <v>7</v>
      </c>
      <c r="D1997" t="s">
        <v>2398</v>
      </c>
      <c r="E1997" t="s">
        <v>2399</v>
      </c>
      <c r="F1997" t="s">
        <v>3</v>
      </c>
      <c r="G1997" t="s">
        <v>4</v>
      </c>
      <c r="H1997" t="s">
        <v>26</v>
      </c>
      <c r="I1997" t="s">
        <v>794</v>
      </c>
      <c r="J1997" s="2">
        <v>13.375999999999999</v>
      </c>
      <c r="K1997">
        <v>4</v>
      </c>
      <c r="L1997" s="4"/>
    </row>
    <row r="1998" spans="1:12" x14ac:dyDescent="0.3">
      <c r="A1998" s="1">
        <v>42345</v>
      </c>
      <c r="B1998" s="1">
        <v>42349</v>
      </c>
      <c r="C1998" t="s">
        <v>7</v>
      </c>
      <c r="D1998" t="s">
        <v>2398</v>
      </c>
      <c r="E1998" t="s">
        <v>2399</v>
      </c>
      <c r="F1998" t="s">
        <v>3</v>
      </c>
      <c r="G1998" t="s">
        <v>4</v>
      </c>
      <c r="H1998" t="s">
        <v>26</v>
      </c>
      <c r="I1998" t="s">
        <v>1319</v>
      </c>
      <c r="J1998" s="2">
        <v>437.47200000000009</v>
      </c>
      <c r="K1998">
        <v>14</v>
      </c>
      <c r="L1998" s="4"/>
    </row>
    <row r="1999" spans="1:12" x14ac:dyDescent="0.3">
      <c r="A1999" s="1">
        <v>42347</v>
      </c>
      <c r="B1999" s="1">
        <v>42353</v>
      </c>
      <c r="C1999" t="s">
        <v>7</v>
      </c>
      <c r="D1999" t="s">
        <v>1132</v>
      </c>
      <c r="E1999" t="s">
        <v>1133</v>
      </c>
      <c r="F1999" t="s">
        <v>3</v>
      </c>
      <c r="G1999" t="s">
        <v>4</v>
      </c>
      <c r="H1999" t="s">
        <v>15</v>
      </c>
      <c r="I1999" t="s">
        <v>599</v>
      </c>
      <c r="J1999" s="2">
        <v>8.56</v>
      </c>
      <c r="K1999">
        <v>2</v>
      </c>
      <c r="L1999" s="4"/>
    </row>
    <row r="2000" spans="1:12" x14ac:dyDescent="0.3">
      <c r="A2000" s="1">
        <v>42347</v>
      </c>
      <c r="B2000" s="1">
        <v>42353</v>
      </c>
      <c r="C2000" t="s">
        <v>7</v>
      </c>
      <c r="D2000" t="s">
        <v>1132</v>
      </c>
      <c r="E2000" t="s">
        <v>1133</v>
      </c>
      <c r="F2000" t="s">
        <v>3</v>
      </c>
      <c r="G2000" t="s">
        <v>4</v>
      </c>
      <c r="H2000" t="s">
        <v>5</v>
      </c>
      <c r="I2000" t="s">
        <v>85</v>
      </c>
      <c r="J2000" s="2">
        <v>45.36</v>
      </c>
      <c r="K2000">
        <v>7</v>
      </c>
      <c r="L2000" s="4"/>
    </row>
    <row r="2001" spans="1:12" x14ac:dyDescent="0.3">
      <c r="A2001" s="1">
        <v>42347</v>
      </c>
      <c r="B2001" s="1">
        <v>42353</v>
      </c>
      <c r="C2001" t="s">
        <v>7</v>
      </c>
      <c r="D2001" t="s">
        <v>1132</v>
      </c>
      <c r="E2001" t="s">
        <v>1133</v>
      </c>
      <c r="F2001" t="s">
        <v>3</v>
      </c>
      <c r="G2001" t="s">
        <v>12</v>
      </c>
      <c r="H2001" t="s">
        <v>44</v>
      </c>
      <c r="I2001" t="s">
        <v>1253</v>
      </c>
      <c r="J2001" s="2">
        <v>1421.6640000000002</v>
      </c>
      <c r="K2001">
        <v>6</v>
      </c>
      <c r="L2001" s="4"/>
    </row>
    <row r="2002" spans="1:12" x14ac:dyDescent="0.3">
      <c r="A2002" s="1">
        <v>42347</v>
      </c>
      <c r="B2002" s="1">
        <v>42350</v>
      </c>
      <c r="C2002" t="s">
        <v>0</v>
      </c>
      <c r="D2002" t="s">
        <v>726</v>
      </c>
      <c r="E2002" t="s">
        <v>727</v>
      </c>
      <c r="F2002" t="s">
        <v>3</v>
      </c>
      <c r="G2002" t="s">
        <v>4</v>
      </c>
      <c r="H2002" t="s">
        <v>10</v>
      </c>
      <c r="I2002" t="s">
        <v>2402</v>
      </c>
      <c r="J2002" s="2">
        <v>34.049999999999997</v>
      </c>
      <c r="K2002">
        <v>3</v>
      </c>
      <c r="L2002" s="4"/>
    </row>
    <row r="2003" spans="1:12" x14ac:dyDescent="0.3">
      <c r="A2003" s="1">
        <v>42347</v>
      </c>
      <c r="B2003" s="1">
        <v>42350</v>
      </c>
      <c r="C2003" t="s">
        <v>0</v>
      </c>
      <c r="D2003" t="s">
        <v>726</v>
      </c>
      <c r="E2003" t="s">
        <v>727</v>
      </c>
      <c r="F2003" t="s">
        <v>3</v>
      </c>
      <c r="G2003" t="s">
        <v>4</v>
      </c>
      <c r="H2003" t="s">
        <v>10</v>
      </c>
      <c r="I2003" t="s">
        <v>2403</v>
      </c>
      <c r="J2003" s="2">
        <v>352.38</v>
      </c>
      <c r="K2003">
        <v>2</v>
      </c>
      <c r="L2003" s="4"/>
    </row>
    <row r="2004" spans="1:12" x14ac:dyDescent="0.3">
      <c r="A2004" s="1">
        <v>42348</v>
      </c>
      <c r="B2004" s="1">
        <v>42351</v>
      </c>
      <c r="C2004" t="s">
        <v>22</v>
      </c>
      <c r="D2004" t="s">
        <v>1349</v>
      </c>
      <c r="E2004" t="s">
        <v>1350</v>
      </c>
      <c r="F2004" t="s">
        <v>3</v>
      </c>
      <c r="G2004" t="s">
        <v>4</v>
      </c>
      <c r="H2004" t="s">
        <v>26</v>
      </c>
      <c r="I2004" t="s">
        <v>2404</v>
      </c>
      <c r="J2004" s="2">
        <v>273.92</v>
      </c>
      <c r="K2004">
        <v>8</v>
      </c>
      <c r="L2004" s="4"/>
    </row>
    <row r="2005" spans="1:12" x14ac:dyDescent="0.3">
      <c r="A2005" s="1">
        <v>42349</v>
      </c>
      <c r="B2005" s="1">
        <v>42354</v>
      </c>
      <c r="C2005" t="s">
        <v>0</v>
      </c>
      <c r="D2005" t="s">
        <v>1040</v>
      </c>
      <c r="E2005" t="s">
        <v>1041</v>
      </c>
      <c r="F2005" t="s">
        <v>3</v>
      </c>
      <c r="G2005" t="s">
        <v>12</v>
      </c>
      <c r="H2005" t="s">
        <v>70</v>
      </c>
      <c r="I2005" t="s">
        <v>2405</v>
      </c>
      <c r="J2005" s="2">
        <v>321.56799999999998</v>
      </c>
      <c r="K2005">
        <v>2</v>
      </c>
      <c r="L2005" s="4"/>
    </row>
    <row r="2006" spans="1:12" x14ac:dyDescent="0.3">
      <c r="A2006" s="1">
        <v>42349</v>
      </c>
      <c r="B2006" s="1">
        <v>42356</v>
      </c>
      <c r="C2006" t="s">
        <v>7</v>
      </c>
      <c r="D2006" t="s">
        <v>577</v>
      </c>
      <c r="E2006" t="s">
        <v>578</v>
      </c>
      <c r="F2006" t="s">
        <v>56</v>
      </c>
      <c r="G2006" t="s">
        <v>4</v>
      </c>
      <c r="H2006" t="s">
        <v>26</v>
      </c>
      <c r="I2006" t="s">
        <v>2406</v>
      </c>
      <c r="J2006" s="2">
        <v>153.55199999999999</v>
      </c>
      <c r="K2006">
        <v>3</v>
      </c>
      <c r="L2006" s="4"/>
    </row>
    <row r="2007" spans="1:12" x14ac:dyDescent="0.3">
      <c r="A2007" s="1">
        <v>42349</v>
      </c>
      <c r="B2007" s="1">
        <v>42356</v>
      </c>
      <c r="C2007" t="s">
        <v>7</v>
      </c>
      <c r="D2007" t="s">
        <v>577</v>
      </c>
      <c r="E2007" t="s">
        <v>578</v>
      </c>
      <c r="F2007" t="s">
        <v>56</v>
      </c>
      <c r="G2007" t="s">
        <v>4</v>
      </c>
      <c r="H2007" t="s">
        <v>20</v>
      </c>
      <c r="I2007" t="s">
        <v>1593</v>
      </c>
      <c r="J2007" s="2">
        <v>65.34</v>
      </c>
      <c r="K2007">
        <v>3</v>
      </c>
      <c r="L2007" s="4"/>
    </row>
    <row r="2008" spans="1:12" x14ac:dyDescent="0.3">
      <c r="A2008" s="1">
        <v>42349</v>
      </c>
      <c r="B2008" s="1">
        <v>42356</v>
      </c>
      <c r="C2008" t="s">
        <v>7</v>
      </c>
      <c r="D2008" t="s">
        <v>577</v>
      </c>
      <c r="E2008" t="s">
        <v>578</v>
      </c>
      <c r="F2008" t="s">
        <v>56</v>
      </c>
      <c r="G2008" t="s">
        <v>4</v>
      </c>
      <c r="H2008" t="s">
        <v>5</v>
      </c>
      <c r="I2008" t="s">
        <v>584</v>
      </c>
      <c r="J2008" s="2">
        <v>123.92</v>
      </c>
      <c r="K2008">
        <v>4</v>
      </c>
      <c r="L2008" s="4"/>
    </row>
    <row r="2009" spans="1:12" x14ac:dyDescent="0.3">
      <c r="A2009" s="1">
        <v>42349</v>
      </c>
      <c r="B2009" s="1">
        <v>42356</v>
      </c>
      <c r="C2009" t="s">
        <v>7</v>
      </c>
      <c r="D2009" t="s">
        <v>577</v>
      </c>
      <c r="E2009" t="s">
        <v>578</v>
      </c>
      <c r="F2009" t="s">
        <v>56</v>
      </c>
      <c r="G2009" t="s">
        <v>4</v>
      </c>
      <c r="H2009" t="s">
        <v>20</v>
      </c>
      <c r="I2009" t="s">
        <v>2407</v>
      </c>
      <c r="J2009" s="2">
        <v>35.099999999999994</v>
      </c>
      <c r="K2009">
        <v>3</v>
      </c>
      <c r="L2009" s="4"/>
    </row>
    <row r="2010" spans="1:12" x14ac:dyDescent="0.3">
      <c r="A2010" s="1">
        <v>42349</v>
      </c>
      <c r="B2010" s="1">
        <v>42356</v>
      </c>
      <c r="C2010" t="s">
        <v>7</v>
      </c>
      <c r="D2010" t="s">
        <v>577</v>
      </c>
      <c r="E2010" t="s">
        <v>578</v>
      </c>
      <c r="F2010" t="s">
        <v>56</v>
      </c>
      <c r="G2010" t="s">
        <v>74</v>
      </c>
      <c r="H2010" t="s">
        <v>75</v>
      </c>
      <c r="I2010" t="s">
        <v>737</v>
      </c>
      <c r="J2010" s="2">
        <v>44.75</v>
      </c>
      <c r="K2010">
        <v>5</v>
      </c>
      <c r="L2010" s="4"/>
    </row>
    <row r="2011" spans="1:12" x14ac:dyDescent="0.3">
      <c r="A2011" s="1">
        <v>42349</v>
      </c>
      <c r="B2011" s="1">
        <v>42351</v>
      </c>
      <c r="C2011" t="s">
        <v>22</v>
      </c>
      <c r="D2011" t="s">
        <v>2229</v>
      </c>
      <c r="E2011" t="s">
        <v>2230</v>
      </c>
      <c r="F2011" t="s">
        <v>3</v>
      </c>
      <c r="G2011" t="s">
        <v>4</v>
      </c>
      <c r="H2011" t="s">
        <v>5</v>
      </c>
      <c r="I2011" t="s">
        <v>955</v>
      </c>
      <c r="J2011" s="2">
        <v>80.28</v>
      </c>
      <c r="K2011">
        <v>12</v>
      </c>
      <c r="L2011" s="4"/>
    </row>
    <row r="2012" spans="1:12" x14ac:dyDescent="0.3">
      <c r="A2012" s="1">
        <v>42350</v>
      </c>
      <c r="B2012" s="1">
        <v>42352</v>
      </c>
      <c r="C2012" t="s">
        <v>0</v>
      </c>
      <c r="D2012" t="s">
        <v>2408</v>
      </c>
      <c r="E2012" t="s">
        <v>2409</v>
      </c>
      <c r="F2012" t="s">
        <v>115</v>
      </c>
      <c r="G2012" t="s">
        <v>4</v>
      </c>
      <c r="H2012" t="s">
        <v>10</v>
      </c>
      <c r="I2012" t="s">
        <v>821</v>
      </c>
      <c r="J2012" s="2">
        <v>243.38400000000001</v>
      </c>
      <c r="K2012">
        <v>3</v>
      </c>
      <c r="L2012" s="4"/>
    </row>
    <row r="2013" spans="1:12" x14ac:dyDescent="0.3">
      <c r="A2013" s="1">
        <v>42350</v>
      </c>
      <c r="B2013" s="1">
        <v>42352</v>
      </c>
      <c r="C2013" t="s">
        <v>0</v>
      </c>
      <c r="D2013" t="s">
        <v>2408</v>
      </c>
      <c r="E2013" t="s">
        <v>2409</v>
      </c>
      <c r="F2013" t="s">
        <v>115</v>
      </c>
      <c r="G2013" t="s">
        <v>74</v>
      </c>
      <c r="H2013" t="s">
        <v>75</v>
      </c>
      <c r="I2013" t="s">
        <v>2410</v>
      </c>
      <c r="J2013" s="2">
        <v>119.80000000000001</v>
      </c>
      <c r="K2013">
        <v>5</v>
      </c>
      <c r="L2013" s="4"/>
    </row>
    <row r="2014" spans="1:12" x14ac:dyDescent="0.3">
      <c r="A2014" s="1">
        <v>42350</v>
      </c>
      <c r="B2014" s="1">
        <v>42352</v>
      </c>
      <c r="C2014" t="s">
        <v>0</v>
      </c>
      <c r="D2014" t="s">
        <v>2408</v>
      </c>
      <c r="E2014" t="s">
        <v>2409</v>
      </c>
      <c r="F2014" t="s">
        <v>115</v>
      </c>
      <c r="G2014" t="s">
        <v>74</v>
      </c>
      <c r="H2014" t="s">
        <v>147</v>
      </c>
      <c r="I2014" t="s">
        <v>883</v>
      </c>
      <c r="J2014" s="2">
        <v>300.76799999999997</v>
      </c>
      <c r="K2014">
        <v>4</v>
      </c>
      <c r="L2014" s="4"/>
    </row>
    <row r="2015" spans="1:12" x14ac:dyDescent="0.3">
      <c r="A2015" s="1">
        <v>42350</v>
      </c>
      <c r="B2015" s="1">
        <v>42355</v>
      </c>
      <c r="C2015" t="s">
        <v>0</v>
      </c>
      <c r="D2015" t="s">
        <v>401</v>
      </c>
      <c r="E2015" t="s">
        <v>402</v>
      </c>
      <c r="F2015" t="s">
        <v>56</v>
      </c>
      <c r="G2015" t="s">
        <v>12</v>
      </c>
      <c r="H2015" t="s">
        <v>35</v>
      </c>
      <c r="I2015" t="s">
        <v>2411</v>
      </c>
      <c r="J2015" s="2">
        <v>14.8</v>
      </c>
      <c r="K2015">
        <v>4</v>
      </c>
      <c r="L2015" s="4"/>
    </row>
    <row r="2016" spans="1:12" x14ac:dyDescent="0.3">
      <c r="A2016" s="1">
        <v>42350</v>
      </c>
      <c r="B2016" s="1">
        <v>42355</v>
      </c>
      <c r="C2016" t="s">
        <v>0</v>
      </c>
      <c r="D2016" t="s">
        <v>401</v>
      </c>
      <c r="E2016" t="s">
        <v>402</v>
      </c>
      <c r="F2016" t="s">
        <v>56</v>
      </c>
      <c r="G2016" t="s">
        <v>74</v>
      </c>
      <c r="H2016" t="s">
        <v>147</v>
      </c>
      <c r="I2016" t="s">
        <v>173</v>
      </c>
      <c r="J2016" s="2">
        <v>302.37599999999998</v>
      </c>
      <c r="K2016">
        <v>3</v>
      </c>
      <c r="L2016" s="4"/>
    </row>
    <row r="2017" spans="1:12" x14ac:dyDescent="0.3">
      <c r="A2017" s="1">
        <v>42350</v>
      </c>
      <c r="B2017" s="1">
        <v>42355</v>
      </c>
      <c r="C2017" t="s">
        <v>0</v>
      </c>
      <c r="D2017" t="s">
        <v>401</v>
      </c>
      <c r="E2017" t="s">
        <v>402</v>
      </c>
      <c r="F2017" t="s">
        <v>56</v>
      </c>
      <c r="G2017" t="s">
        <v>74</v>
      </c>
      <c r="H2017" t="s">
        <v>75</v>
      </c>
      <c r="I2017" t="s">
        <v>1057</v>
      </c>
      <c r="J2017" s="2">
        <v>316</v>
      </c>
      <c r="K2017">
        <v>4</v>
      </c>
      <c r="L2017" s="4"/>
    </row>
    <row r="2018" spans="1:12" x14ac:dyDescent="0.3">
      <c r="A2018" s="1">
        <v>42350</v>
      </c>
      <c r="B2018" s="1">
        <v>42352</v>
      </c>
      <c r="C2018" t="s">
        <v>22</v>
      </c>
      <c r="D2018" t="s">
        <v>59</v>
      </c>
      <c r="E2018" t="s">
        <v>60</v>
      </c>
      <c r="F2018" t="s">
        <v>19</v>
      </c>
      <c r="G2018" t="s">
        <v>12</v>
      </c>
      <c r="H2018" t="s">
        <v>70</v>
      </c>
      <c r="I2018" t="s">
        <v>1663</v>
      </c>
      <c r="J2018" s="2">
        <v>403.92</v>
      </c>
      <c r="K2018">
        <v>5</v>
      </c>
      <c r="L2018" s="4"/>
    </row>
    <row r="2019" spans="1:12" x14ac:dyDescent="0.3">
      <c r="A2019" s="1">
        <v>42350</v>
      </c>
      <c r="B2019" s="1">
        <v>42350</v>
      </c>
      <c r="C2019" t="s">
        <v>240</v>
      </c>
      <c r="D2019" t="s">
        <v>852</v>
      </c>
      <c r="E2019" t="s">
        <v>853</v>
      </c>
      <c r="F2019" t="s">
        <v>3</v>
      </c>
      <c r="G2019" t="s">
        <v>4</v>
      </c>
      <c r="H2019" t="s">
        <v>26</v>
      </c>
      <c r="I2019" t="s">
        <v>57</v>
      </c>
      <c r="J2019" s="2">
        <v>209.60000000000002</v>
      </c>
      <c r="K2019">
        <v>5</v>
      </c>
      <c r="L2019" s="4"/>
    </row>
    <row r="2020" spans="1:12" x14ac:dyDescent="0.3">
      <c r="A2020" s="1">
        <v>42350</v>
      </c>
      <c r="B2020" s="1">
        <v>42350</v>
      </c>
      <c r="C2020" t="s">
        <v>240</v>
      </c>
      <c r="D2020" t="s">
        <v>852</v>
      </c>
      <c r="E2020" t="s">
        <v>853</v>
      </c>
      <c r="F2020" t="s">
        <v>3</v>
      </c>
      <c r="G2020" t="s">
        <v>4</v>
      </c>
      <c r="H2020" t="s">
        <v>15</v>
      </c>
      <c r="I2020" t="s">
        <v>2412</v>
      </c>
      <c r="J2020" s="2">
        <v>23.32</v>
      </c>
      <c r="K2020">
        <v>2</v>
      </c>
      <c r="L2020" s="4"/>
    </row>
    <row r="2021" spans="1:12" x14ac:dyDescent="0.3">
      <c r="A2021" s="1">
        <v>42350</v>
      </c>
      <c r="B2021" s="1">
        <v>42350</v>
      </c>
      <c r="C2021" t="s">
        <v>240</v>
      </c>
      <c r="D2021" t="s">
        <v>852</v>
      </c>
      <c r="E2021" t="s">
        <v>853</v>
      </c>
      <c r="F2021" t="s">
        <v>3</v>
      </c>
      <c r="G2021" t="s">
        <v>4</v>
      </c>
      <c r="H2021" t="s">
        <v>5</v>
      </c>
      <c r="I2021" t="s">
        <v>2069</v>
      </c>
      <c r="J2021" s="2">
        <v>30.98</v>
      </c>
      <c r="K2021">
        <v>1</v>
      </c>
      <c r="L2021" s="4"/>
    </row>
    <row r="2022" spans="1:12" x14ac:dyDescent="0.3">
      <c r="A2022" s="1">
        <v>42350</v>
      </c>
      <c r="B2022" s="1">
        <v>42350</v>
      </c>
      <c r="C2022" t="s">
        <v>240</v>
      </c>
      <c r="D2022" t="s">
        <v>852</v>
      </c>
      <c r="E2022" t="s">
        <v>853</v>
      </c>
      <c r="F2022" t="s">
        <v>3</v>
      </c>
      <c r="G2022" t="s">
        <v>74</v>
      </c>
      <c r="H2022" t="s">
        <v>75</v>
      </c>
      <c r="I2022" t="s">
        <v>2413</v>
      </c>
      <c r="J2022" s="2">
        <v>119.96</v>
      </c>
      <c r="K2022">
        <v>4</v>
      </c>
      <c r="L2022" s="4"/>
    </row>
    <row r="2023" spans="1:12" x14ac:dyDescent="0.3">
      <c r="A2023" s="1">
        <v>42350</v>
      </c>
      <c r="B2023" s="1">
        <v>42350</v>
      </c>
      <c r="C2023" t="s">
        <v>240</v>
      </c>
      <c r="D2023" t="s">
        <v>852</v>
      </c>
      <c r="E2023" t="s">
        <v>853</v>
      </c>
      <c r="F2023" t="s">
        <v>3</v>
      </c>
      <c r="G2023" t="s">
        <v>12</v>
      </c>
      <c r="H2023" t="s">
        <v>70</v>
      </c>
      <c r="I2023" t="s">
        <v>2414</v>
      </c>
      <c r="J2023" s="2">
        <v>363.92</v>
      </c>
      <c r="K2023">
        <v>5</v>
      </c>
      <c r="L2023" s="4"/>
    </row>
    <row r="2024" spans="1:12" x14ac:dyDescent="0.3">
      <c r="A2024" s="1">
        <v>42350</v>
      </c>
      <c r="B2024" s="1">
        <v>42350</v>
      </c>
      <c r="C2024" t="s">
        <v>240</v>
      </c>
      <c r="D2024" t="s">
        <v>852</v>
      </c>
      <c r="E2024" t="s">
        <v>853</v>
      </c>
      <c r="F2024" t="s">
        <v>3</v>
      </c>
      <c r="G2024" t="s">
        <v>4</v>
      </c>
      <c r="H2024" t="s">
        <v>26</v>
      </c>
      <c r="I2024" t="s">
        <v>2272</v>
      </c>
      <c r="J2024" s="2">
        <v>35.808</v>
      </c>
      <c r="K2024">
        <v>3</v>
      </c>
      <c r="L2024" s="4"/>
    </row>
    <row r="2025" spans="1:12" x14ac:dyDescent="0.3">
      <c r="A2025" s="1">
        <v>42350</v>
      </c>
      <c r="B2025" s="1">
        <v>42350</v>
      </c>
      <c r="C2025" t="s">
        <v>240</v>
      </c>
      <c r="D2025" t="s">
        <v>852</v>
      </c>
      <c r="E2025" t="s">
        <v>853</v>
      </c>
      <c r="F2025" t="s">
        <v>3</v>
      </c>
      <c r="G2025" t="s">
        <v>4</v>
      </c>
      <c r="H2025" t="s">
        <v>26</v>
      </c>
      <c r="I2025" t="s">
        <v>1597</v>
      </c>
      <c r="J2025" s="2">
        <v>122.688</v>
      </c>
      <c r="K2025">
        <v>9</v>
      </c>
      <c r="L2025" s="4"/>
    </row>
    <row r="2026" spans="1:12" x14ac:dyDescent="0.3">
      <c r="A2026" s="1">
        <v>42350</v>
      </c>
      <c r="B2026" s="1">
        <v>42350</v>
      </c>
      <c r="C2026" t="s">
        <v>240</v>
      </c>
      <c r="D2026" t="s">
        <v>852</v>
      </c>
      <c r="E2026" t="s">
        <v>853</v>
      </c>
      <c r="F2026" t="s">
        <v>3</v>
      </c>
      <c r="G2026" t="s">
        <v>12</v>
      </c>
      <c r="H2026" t="s">
        <v>44</v>
      </c>
      <c r="I2026" t="s">
        <v>1036</v>
      </c>
      <c r="J2026" s="2">
        <v>892.13600000000008</v>
      </c>
      <c r="K2026">
        <v>7</v>
      </c>
      <c r="L2026" s="4"/>
    </row>
    <row r="2027" spans="1:12" x14ac:dyDescent="0.3">
      <c r="A2027" s="1">
        <v>42350</v>
      </c>
      <c r="B2027" s="1">
        <v>42350</v>
      </c>
      <c r="C2027" t="s">
        <v>240</v>
      </c>
      <c r="D2027" t="s">
        <v>852</v>
      </c>
      <c r="E2027" t="s">
        <v>853</v>
      </c>
      <c r="F2027" t="s">
        <v>3</v>
      </c>
      <c r="G2027" t="s">
        <v>4</v>
      </c>
      <c r="H2027" t="s">
        <v>10</v>
      </c>
      <c r="I2027" t="s">
        <v>1224</v>
      </c>
      <c r="J2027" s="2">
        <v>50.22</v>
      </c>
      <c r="K2027">
        <v>3</v>
      </c>
      <c r="L2027" s="4"/>
    </row>
    <row r="2028" spans="1:12" x14ac:dyDescent="0.3">
      <c r="A2028" s="1">
        <v>42350</v>
      </c>
      <c r="B2028" s="1">
        <v>42350</v>
      </c>
      <c r="C2028" t="s">
        <v>240</v>
      </c>
      <c r="D2028" t="s">
        <v>852</v>
      </c>
      <c r="E2028" t="s">
        <v>853</v>
      </c>
      <c r="F2028" t="s">
        <v>3</v>
      </c>
      <c r="G2028" t="s">
        <v>4</v>
      </c>
      <c r="H2028" t="s">
        <v>20</v>
      </c>
      <c r="I2028" t="s">
        <v>994</v>
      </c>
      <c r="J2028" s="2">
        <v>83.42</v>
      </c>
      <c r="K2028">
        <v>2</v>
      </c>
      <c r="L2028" s="4"/>
    </row>
    <row r="2029" spans="1:12" x14ac:dyDescent="0.3">
      <c r="A2029" s="1">
        <v>42350</v>
      </c>
      <c r="B2029" s="1">
        <v>42350</v>
      </c>
      <c r="C2029" t="s">
        <v>240</v>
      </c>
      <c r="D2029" t="s">
        <v>852</v>
      </c>
      <c r="E2029" t="s">
        <v>853</v>
      </c>
      <c r="F2029" t="s">
        <v>3</v>
      </c>
      <c r="G2029" t="s">
        <v>4</v>
      </c>
      <c r="H2029" t="s">
        <v>26</v>
      </c>
      <c r="I2029" t="s">
        <v>2415</v>
      </c>
      <c r="J2029" s="2">
        <v>5.8719999999999999</v>
      </c>
      <c r="K2029">
        <v>2</v>
      </c>
      <c r="L2029" s="4"/>
    </row>
    <row r="2030" spans="1:12" x14ac:dyDescent="0.3">
      <c r="A2030" s="1">
        <v>42351</v>
      </c>
      <c r="B2030" s="1">
        <v>42355</v>
      </c>
      <c r="C2030" t="s">
        <v>7</v>
      </c>
      <c r="D2030" t="s">
        <v>2416</v>
      </c>
      <c r="E2030" t="s">
        <v>2417</v>
      </c>
      <c r="F2030" t="s">
        <v>3</v>
      </c>
      <c r="G2030" t="s">
        <v>12</v>
      </c>
      <c r="H2030" t="s">
        <v>35</v>
      </c>
      <c r="I2030" t="s">
        <v>2136</v>
      </c>
      <c r="J2030" s="2">
        <v>383.64</v>
      </c>
      <c r="K2030">
        <v>6</v>
      </c>
      <c r="L2030" s="4"/>
    </row>
    <row r="2031" spans="1:12" x14ac:dyDescent="0.3">
      <c r="A2031" s="1">
        <v>42351</v>
      </c>
      <c r="B2031" s="1">
        <v>42355</v>
      </c>
      <c r="C2031" t="s">
        <v>7</v>
      </c>
      <c r="D2031" t="s">
        <v>2416</v>
      </c>
      <c r="E2031" t="s">
        <v>2417</v>
      </c>
      <c r="F2031" t="s">
        <v>3</v>
      </c>
      <c r="G2031" t="s">
        <v>4</v>
      </c>
      <c r="H2031" t="s">
        <v>20</v>
      </c>
      <c r="I2031" t="s">
        <v>1948</v>
      </c>
      <c r="J2031" s="2">
        <v>56.519999999999996</v>
      </c>
      <c r="K2031">
        <v>3</v>
      </c>
      <c r="L2031" s="4"/>
    </row>
    <row r="2032" spans="1:12" x14ac:dyDescent="0.3">
      <c r="A2032" s="1">
        <v>42352</v>
      </c>
      <c r="B2032" s="1">
        <v>42359</v>
      </c>
      <c r="C2032" t="s">
        <v>7</v>
      </c>
      <c r="D2032" t="s">
        <v>2139</v>
      </c>
      <c r="E2032" t="s">
        <v>2140</v>
      </c>
      <c r="F2032" t="s">
        <v>3</v>
      </c>
      <c r="G2032" t="s">
        <v>4</v>
      </c>
      <c r="H2032" t="s">
        <v>26</v>
      </c>
      <c r="I2032" t="s">
        <v>444</v>
      </c>
      <c r="J2032" s="2">
        <v>6.0960000000000001</v>
      </c>
      <c r="K2032">
        <v>2</v>
      </c>
      <c r="L2032" s="4"/>
    </row>
    <row r="2033" spans="1:12" x14ac:dyDescent="0.3">
      <c r="A2033" s="1">
        <v>42352</v>
      </c>
      <c r="B2033" s="1">
        <v>42359</v>
      </c>
      <c r="C2033" t="s">
        <v>7</v>
      </c>
      <c r="D2033" t="s">
        <v>2139</v>
      </c>
      <c r="E2033" t="s">
        <v>2140</v>
      </c>
      <c r="F2033" t="s">
        <v>3</v>
      </c>
      <c r="G2033" t="s">
        <v>12</v>
      </c>
      <c r="H2033" t="s">
        <v>44</v>
      </c>
      <c r="I2033" t="s">
        <v>1575</v>
      </c>
      <c r="J2033" s="2">
        <v>1114.2719999999999</v>
      </c>
      <c r="K2033">
        <v>4</v>
      </c>
      <c r="L2033" s="4"/>
    </row>
    <row r="2034" spans="1:12" x14ac:dyDescent="0.3">
      <c r="A2034" s="1">
        <v>42352</v>
      </c>
      <c r="B2034" s="1">
        <v>42358</v>
      </c>
      <c r="C2034" t="s">
        <v>7</v>
      </c>
      <c r="D2034" t="s">
        <v>2418</v>
      </c>
      <c r="E2034" t="s">
        <v>2419</v>
      </c>
      <c r="F2034" t="s">
        <v>3</v>
      </c>
      <c r="G2034" t="s">
        <v>4</v>
      </c>
      <c r="H2034" t="s">
        <v>15</v>
      </c>
      <c r="I2034" t="s">
        <v>469</v>
      </c>
      <c r="J2034" s="2">
        <v>9.84</v>
      </c>
      <c r="K2034">
        <v>3</v>
      </c>
      <c r="L2034" s="4"/>
    </row>
    <row r="2035" spans="1:12" x14ac:dyDescent="0.3">
      <c r="A2035" s="1">
        <v>42353</v>
      </c>
      <c r="B2035" s="1">
        <v>42356</v>
      </c>
      <c r="C2035" t="s">
        <v>22</v>
      </c>
      <c r="D2035" t="s">
        <v>1478</v>
      </c>
      <c r="E2035" t="s">
        <v>1479</v>
      </c>
      <c r="F2035" t="s">
        <v>3</v>
      </c>
      <c r="G2035" t="s">
        <v>12</v>
      </c>
      <c r="H2035" t="s">
        <v>70</v>
      </c>
      <c r="I2035" t="s">
        <v>2328</v>
      </c>
      <c r="J2035" s="2">
        <v>81.424000000000007</v>
      </c>
      <c r="K2035">
        <v>2</v>
      </c>
      <c r="L2035" s="4"/>
    </row>
    <row r="2036" spans="1:12" x14ac:dyDescent="0.3">
      <c r="A2036" s="1">
        <v>42353</v>
      </c>
      <c r="B2036" s="1">
        <v>42356</v>
      </c>
      <c r="C2036" t="s">
        <v>22</v>
      </c>
      <c r="D2036" t="s">
        <v>1478</v>
      </c>
      <c r="E2036" t="s">
        <v>1479</v>
      </c>
      <c r="F2036" t="s">
        <v>3</v>
      </c>
      <c r="G2036" t="s">
        <v>4</v>
      </c>
      <c r="H2036" t="s">
        <v>10</v>
      </c>
      <c r="I2036" t="s">
        <v>1353</v>
      </c>
      <c r="J2036" s="2">
        <v>134.80000000000001</v>
      </c>
      <c r="K2036">
        <v>10</v>
      </c>
      <c r="L2036" s="4"/>
    </row>
    <row r="2037" spans="1:12" x14ac:dyDescent="0.3">
      <c r="A2037" s="1">
        <v>42354</v>
      </c>
      <c r="B2037" s="1">
        <v>42361</v>
      </c>
      <c r="C2037" t="s">
        <v>7</v>
      </c>
      <c r="D2037" t="s">
        <v>254</v>
      </c>
      <c r="E2037" t="s">
        <v>255</v>
      </c>
      <c r="F2037" t="s">
        <v>3</v>
      </c>
      <c r="G2037" t="s">
        <v>12</v>
      </c>
      <c r="H2037" t="s">
        <v>35</v>
      </c>
      <c r="I2037" t="s">
        <v>1719</v>
      </c>
      <c r="J2037" s="2">
        <v>14.76</v>
      </c>
      <c r="K2037">
        <v>2</v>
      </c>
      <c r="L2037" s="4"/>
    </row>
    <row r="2038" spans="1:12" x14ac:dyDescent="0.3">
      <c r="A2038" s="1">
        <v>42354</v>
      </c>
      <c r="B2038" s="1">
        <v>42360</v>
      </c>
      <c r="C2038" t="s">
        <v>7</v>
      </c>
      <c r="D2038" t="s">
        <v>2420</v>
      </c>
      <c r="E2038" t="s">
        <v>2421</v>
      </c>
      <c r="F2038" t="s">
        <v>19</v>
      </c>
      <c r="G2038" t="s">
        <v>12</v>
      </c>
      <c r="H2038" t="s">
        <v>44</v>
      </c>
      <c r="I2038" t="s">
        <v>1037</v>
      </c>
      <c r="J2038" s="2">
        <v>564.19499999999994</v>
      </c>
      <c r="K2038">
        <v>3</v>
      </c>
      <c r="L2038" s="4"/>
    </row>
    <row r="2039" spans="1:12" x14ac:dyDescent="0.3">
      <c r="A2039" s="1">
        <v>42354</v>
      </c>
      <c r="B2039" s="1">
        <v>42360</v>
      </c>
      <c r="C2039" t="s">
        <v>7</v>
      </c>
      <c r="D2039" t="s">
        <v>2420</v>
      </c>
      <c r="E2039" t="s">
        <v>2421</v>
      </c>
      <c r="F2039" t="s">
        <v>19</v>
      </c>
      <c r="G2039" t="s">
        <v>4</v>
      </c>
      <c r="H2039" t="s">
        <v>20</v>
      </c>
      <c r="I2039" t="s">
        <v>2422</v>
      </c>
      <c r="J2039" s="2">
        <v>87.168000000000006</v>
      </c>
      <c r="K2039">
        <v>2</v>
      </c>
      <c r="L2039" s="4"/>
    </row>
    <row r="2040" spans="1:12" x14ac:dyDescent="0.3">
      <c r="A2040" s="1">
        <v>42355</v>
      </c>
      <c r="B2040" s="1">
        <v>42362</v>
      </c>
      <c r="C2040" t="s">
        <v>7</v>
      </c>
      <c r="D2040" t="s">
        <v>2157</v>
      </c>
      <c r="E2040" t="s">
        <v>2158</v>
      </c>
      <c r="F2040" t="s">
        <v>3</v>
      </c>
      <c r="G2040" t="s">
        <v>12</v>
      </c>
      <c r="H2040" t="s">
        <v>70</v>
      </c>
      <c r="I2040" t="s">
        <v>1032</v>
      </c>
      <c r="J2040" s="2">
        <v>563.91999999999996</v>
      </c>
      <c r="K2040">
        <v>5</v>
      </c>
      <c r="L2040" s="4"/>
    </row>
    <row r="2041" spans="1:12" x14ac:dyDescent="0.3">
      <c r="A2041" s="1">
        <v>42355</v>
      </c>
      <c r="B2041" s="1">
        <v>42362</v>
      </c>
      <c r="C2041" t="s">
        <v>7</v>
      </c>
      <c r="D2041" t="s">
        <v>756</v>
      </c>
      <c r="E2041" t="s">
        <v>757</v>
      </c>
      <c r="F2041" t="s">
        <v>3</v>
      </c>
      <c r="G2041" t="s">
        <v>74</v>
      </c>
      <c r="H2041" t="s">
        <v>75</v>
      </c>
      <c r="I2041" t="s">
        <v>753</v>
      </c>
      <c r="J2041" s="2">
        <v>21.209999999999997</v>
      </c>
      <c r="K2041">
        <v>7</v>
      </c>
      <c r="L2041" s="4"/>
    </row>
    <row r="2042" spans="1:12" x14ac:dyDescent="0.3">
      <c r="A2042" s="1">
        <v>42356</v>
      </c>
      <c r="B2042" s="1">
        <v>42360</v>
      </c>
      <c r="C2042" t="s">
        <v>7</v>
      </c>
      <c r="D2042" t="s">
        <v>2423</v>
      </c>
      <c r="E2042" t="s">
        <v>2424</v>
      </c>
      <c r="F2042" t="s">
        <v>3</v>
      </c>
      <c r="G2042" t="s">
        <v>12</v>
      </c>
      <c r="H2042" t="s">
        <v>44</v>
      </c>
      <c r="I2042" t="s">
        <v>2061</v>
      </c>
      <c r="J2042" s="2">
        <v>2003.52</v>
      </c>
      <c r="K2042">
        <v>6</v>
      </c>
      <c r="L2042" s="4"/>
    </row>
    <row r="2043" spans="1:12" x14ac:dyDescent="0.3">
      <c r="A2043" s="1">
        <v>42356</v>
      </c>
      <c r="B2043" s="1">
        <v>42361</v>
      </c>
      <c r="C2043" t="s">
        <v>7</v>
      </c>
      <c r="D2043" t="s">
        <v>933</v>
      </c>
      <c r="E2043" t="s">
        <v>934</v>
      </c>
      <c r="F2043" t="s">
        <v>56</v>
      </c>
      <c r="G2043" t="s">
        <v>4</v>
      </c>
      <c r="H2043" t="s">
        <v>10</v>
      </c>
      <c r="I2043" t="s">
        <v>1589</v>
      </c>
      <c r="J2043" s="2">
        <v>46.53</v>
      </c>
      <c r="K2043">
        <v>3</v>
      </c>
      <c r="L2043" s="4"/>
    </row>
    <row r="2044" spans="1:12" x14ac:dyDescent="0.3">
      <c r="A2044" s="1">
        <v>42356</v>
      </c>
      <c r="B2044" s="1">
        <v>42362</v>
      </c>
      <c r="C2044" t="s">
        <v>7</v>
      </c>
      <c r="D2044" t="s">
        <v>393</v>
      </c>
      <c r="E2044" t="s">
        <v>394</v>
      </c>
      <c r="F2044" t="s">
        <v>172</v>
      </c>
      <c r="G2044" t="s">
        <v>4</v>
      </c>
      <c r="H2044" t="s">
        <v>26</v>
      </c>
      <c r="I2044" t="s">
        <v>679</v>
      </c>
      <c r="J2044" s="2">
        <v>13.488</v>
      </c>
      <c r="K2044">
        <v>2</v>
      </c>
      <c r="L2044" s="4"/>
    </row>
    <row r="2045" spans="1:12" x14ac:dyDescent="0.3">
      <c r="A2045" s="1">
        <v>42356</v>
      </c>
      <c r="B2045" s="1">
        <v>42362</v>
      </c>
      <c r="C2045" t="s">
        <v>7</v>
      </c>
      <c r="D2045" t="s">
        <v>393</v>
      </c>
      <c r="E2045" t="s">
        <v>394</v>
      </c>
      <c r="F2045" t="s">
        <v>172</v>
      </c>
      <c r="G2045" t="s">
        <v>4</v>
      </c>
      <c r="H2045" t="s">
        <v>26</v>
      </c>
      <c r="I2045" t="s">
        <v>1825</v>
      </c>
      <c r="J2045" s="2">
        <v>11.416</v>
      </c>
      <c r="K2045">
        <v>1</v>
      </c>
      <c r="L2045" s="4"/>
    </row>
    <row r="2046" spans="1:12" x14ac:dyDescent="0.3">
      <c r="A2046" s="1">
        <v>42357</v>
      </c>
      <c r="B2046" s="1">
        <v>42362</v>
      </c>
      <c r="C2046" t="s">
        <v>7</v>
      </c>
      <c r="D2046" t="s">
        <v>680</v>
      </c>
      <c r="E2046" t="s">
        <v>681</v>
      </c>
      <c r="F2046" t="s">
        <v>3</v>
      </c>
      <c r="G2046" t="s">
        <v>4</v>
      </c>
      <c r="H2046" t="s">
        <v>5</v>
      </c>
      <c r="I2046" t="s">
        <v>2425</v>
      </c>
      <c r="J2046" s="2">
        <v>38.880000000000003</v>
      </c>
      <c r="K2046">
        <v>6</v>
      </c>
      <c r="L2046" s="4"/>
    </row>
    <row r="2047" spans="1:12" x14ac:dyDescent="0.3">
      <c r="A2047" s="1">
        <v>42357</v>
      </c>
      <c r="B2047" s="1">
        <v>42362</v>
      </c>
      <c r="C2047" t="s">
        <v>7</v>
      </c>
      <c r="D2047" t="s">
        <v>680</v>
      </c>
      <c r="E2047" t="s">
        <v>681</v>
      </c>
      <c r="F2047" t="s">
        <v>3</v>
      </c>
      <c r="G2047" t="s">
        <v>12</v>
      </c>
      <c r="H2047" t="s">
        <v>35</v>
      </c>
      <c r="I2047" t="s">
        <v>2426</v>
      </c>
      <c r="J2047" s="2">
        <v>183.84</v>
      </c>
      <c r="K2047">
        <v>8</v>
      </c>
      <c r="L2047" s="4"/>
    </row>
    <row r="2048" spans="1:12" x14ac:dyDescent="0.3">
      <c r="A2048" s="1">
        <v>42357</v>
      </c>
      <c r="B2048" s="1">
        <v>42362</v>
      </c>
      <c r="C2048" t="s">
        <v>7</v>
      </c>
      <c r="D2048" t="s">
        <v>680</v>
      </c>
      <c r="E2048" t="s">
        <v>681</v>
      </c>
      <c r="F2048" t="s">
        <v>3</v>
      </c>
      <c r="G2048" t="s">
        <v>4</v>
      </c>
      <c r="H2048" t="s">
        <v>78</v>
      </c>
      <c r="I2048" t="s">
        <v>1980</v>
      </c>
      <c r="J2048" s="2">
        <v>579.29999999999995</v>
      </c>
      <c r="K2048">
        <v>5</v>
      </c>
      <c r="L2048" s="4"/>
    </row>
    <row r="2049" spans="1:12" x14ac:dyDescent="0.3">
      <c r="A2049" s="1">
        <v>42357</v>
      </c>
      <c r="B2049" s="1">
        <v>42363</v>
      </c>
      <c r="C2049" t="s">
        <v>7</v>
      </c>
      <c r="D2049" t="s">
        <v>1194</v>
      </c>
      <c r="E2049" t="s">
        <v>1195</v>
      </c>
      <c r="F2049" t="s">
        <v>3</v>
      </c>
      <c r="G2049" t="s">
        <v>74</v>
      </c>
      <c r="H2049" t="s">
        <v>75</v>
      </c>
      <c r="I2049" t="s">
        <v>2427</v>
      </c>
      <c r="J2049" s="2">
        <v>72.64</v>
      </c>
      <c r="K2049">
        <v>2</v>
      </c>
      <c r="L2049" s="4"/>
    </row>
    <row r="2050" spans="1:12" x14ac:dyDescent="0.3">
      <c r="A2050" s="1">
        <v>42357</v>
      </c>
      <c r="B2050" s="1">
        <v>42363</v>
      </c>
      <c r="C2050" t="s">
        <v>7</v>
      </c>
      <c r="D2050" t="s">
        <v>1194</v>
      </c>
      <c r="E2050" t="s">
        <v>1195</v>
      </c>
      <c r="F2050" t="s">
        <v>3</v>
      </c>
      <c r="G2050" t="s">
        <v>74</v>
      </c>
      <c r="H2050" t="s">
        <v>75</v>
      </c>
      <c r="I2050" t="s">
        <v>906</v>
      </c>
      <c r="J2050" s="2">
        <v>772.47</v>
      </c>
      <c r="K2050">
        <v>3</v>
      </c>
      <c r="L2050" s="4"/>
    </row>
    <row r="2051" spans="1:12" x14ac:dyDescent="0.3">
      <c r="A2051" s="1">
        <v>42357</v>
      </c>
      <c r="B2051" s="1">
        <v>42363</v>
      </c>
      <c r="C2051" t="s">
        <v>7</v>
      </c>
      <c r="D2051" t="s">
        <v>1194</v>
      </c>
      <c r="E2051" t="s">
        <v>1195</v>
      </c>
      <c r="F2051" t="s">
        <v>3</v>
      </c>
      <c r="G2051" t="s">
        <v>12</v>
      </c>
      <c r="H2051" t="s">
        <v>35</v>
      </c>
      <c r="I2051" t="s">
        <v>2294</v>
      </c>
      <c r="J2051" s="2">
        <v>39.92</v>
      </c>
      <c r="K2051">
        <v>4</v>
      </c>
      <c r="L2051" s="4"/>
    </row>
    <row r="2052" spans="1:12" x14ac:dyDescent="0.3">
      <c r="A2052" s="1">
        <v>42357</v>
      </c>
      <c r="B2052" s="1">
        <v>42360</v>
      </c>
      <c r="C2052" t="s">
        <v>22</v>
      </c>
      <c r="D2052" t="s">
        <v>439</v>
      </c>
      <c r="E2052" t="s">
        <v>440</v>
      </c>
      <c r="F2052" t="s">
        <v>19</v>
      </c>
      <c r="G2052" t="s">
        <v>4</v>
      </c>
      <c r="H2052" t="s">
        <v>26</v>
      </c>
      <c r="I2052" t="s">
        <v>407</v>
      </c>
      <c r="J2052" s="2">
        <v>45.240000000000009</v>
      </c>
      <c r="K2052">
        <v>4</v>
      </c>
      <c r="L2052" s="4"/>
    </row>
    <row r="2053" spans="1:12" x14ac:dyDescent="0.3">
      <c r="A2053" s="1">
        <v>42357</v>
      </c>
      <c r="B2053" s="1">
        <v>42360</v>
      </c>
      <c r="C2053" t="s">
        <v>22</v>
      </c>
      <c r="D2053" t="s">
        <v>439</v>
      </c>
      <c r="E2053" t="s">
        <v>440</v>
      </c>
      <c r="F2053" t="s">
        <v>19</v>
      </c>
      <c r="G2053" t="s">
        <v>4</v>
      </c>
      <c r="H2053" t="s">
        <v>15</v>
      </c>
      <c r="I2053" t="s">
        <v>2428</v>
      </c>
      <c r="J2053" s="2">
        <v>18.687999999999999</v>
      </c>
      <c r="K2053">
        <v>4</v>
      </c>
      <c r="L2053" s="4"/>
    </row>
    <row r="2054" spans="1:12" x14ac:dyDescent="0.3">
      <c r="A2054" s="1">
        <v>42357</v>
      </c>
      <c r="B2054" s="1">
        <v>42360</v>
      </c>
      <c r="C2054" t="s">
        <v>22</v>
      </c>
      <c r="D2054" t="s">
        <v>439</v>
      </c>
      <c r="E2054" t="s">
        <v>440</v>
      </c>
      <c r="F2054" t="s">
        <v>19</v>
      </c>
      <c r="G2054" t="s">
        <v>4</v>
      </c>
      <c r="H2054" t="s">
        <v>5</v>
      </c>
      <c r="I2054" t="s">
        <v>2429</v>
      </c>
      <c r="J2054" s="2">
        <v>11.648000000000001</v>
      </c>
      <c r="K2054">
        <v>2</v>
      </c>
      <c r="L2054" s="4"/>
    </row>
    <row r="2055" spans="1:12" x14ac:dyDescent="0.3">
      <c r="A2055" s="1">
        <v>42357</v>
      </c>
      <c r="B2055" s="1">
        <v>42360</v>
      </c>
      <c r="C2055" t="s">
        <v>22</v>
      </c>
      <c r="D2055" t="s">
        <v>439</v>
      </c>
      <c r="E2055" t="s">
        <v>440</v>
      </c>
      <c r="F2055" t="s">
        <v>19</v>
      </c>
      <c r="G2055" t="s">
        <v>74</v>
      </c>
      <c r="H2055" t="s">
        <v>75</v>
      </c>
      <c r="I2055" t="s">
        <v>2001</v>
      </c>
      <c r="J2055" s="2">
        <v>112.77600000000001</v>
      </c>
      <c r="K2055">
        <v>3</v>
      </c>
      <c r="L2055" s="4"/>
    </row>
    <row r="2056" spans="1:12" x14ac:dyDescent="0.3">
      <c r="A2056" s="1">
        <v>42357</v>
      </c>
      <c r="B2056" s="1">
        <v>42360</v>
      </c>
      <c r="C2056" t="s">
        <v>22</v>
      </c>
      <c r="D2056" t="s">
        <v>439</v>
      </c>
      <c r="E2056" t="s">
        <v>440</v>
      </c>
      <c r="F2056" t="s">
        <v>19</v>
      </c>
      <c r="G2056" t="s">
        <v>12</v>
      </c>
      <c r="H2056" t="s">
        <v>44</v>
      </c>
      <c r="I2056" t="s">
        <v>1268</v>
      </c>
      <c r="J2056" s="2">
        <v>377.45</v>
      </c>
      <c r="K2056">
        <v>5</v>
      </c>
      <c r="L2056" s="4"/>
    </row>
    <row r="2057" spans="1:12" x14ac:dyDescent="0.3">
      <c r="A2057" s="1">
        <v>42357</v>
      </c>
      <c r="B2057" s="1">
        <v>42360</v>
      </c>
      <c r="C2057" t="s">
        <v>22</v>
      </c>
      <c r="D2057" t="s">
        <v>439</v>
      </c>
      <c r="E2057" t="s">
        <v>440</v>
      </c>
      <c r="F2057" t="s">
        <v>19</v>
      </c>
      <c r="G2057" t="s">
        <v>4</v>
      </c>
      <c r="H2057" t="s">
        <v>168</v>
      </c>
      <c r="I2057" t="s">
        <v>888</v>
      </c>
      <c r="J2057" s="2">
        <v>15.936000000000002</v>
      </c>
      <c r="K2057">
        <v>4</v>
      </c>
      <c r="L2057" s="4"/>
    </row>
    <row r="2058" spans="1:12" x14ac:dyDescent="0.3">
      <c r="A2058" s="1">
        <v>42357</v>
      </c>
      <c r="B2058" s="1">
        <v>42360</v>
      </c>
      <c r="C2058" t="s">
        <v>22</v>
      </c>
      <c r="D2058" t="s">
        <v>439</v>
      </c>
      <c r="E2058" t="s">
        <v>440</v>
      </c>
      <c r="F2058" t="s">
        <v>19</v>
      </c>
      <c r="G2058" t="s">
        <v>74</v>
      </c>
      <c r="H2058" t="s">
        <v>147</v>
      </c>
      <c r="I2058" t="s">
        <v>2087</v>
      </c>
      <c r="J2058" s="2">
        <v>28.68</v>
      </c>
      <c r="K2058">
        <v>3</v>
      </c>
      <c r="L2058" s="4"/>
    </row>
    <row r="2059" spans="1:12" x14ac:dyDescent="0.3">
      <c r="A2059" s="1">
        <v>42357</v>
      </c>
      <c r="B2059" s="1">
        <v>42359</v>
      </c>
      <c r="C2059" t="s">
        <v>22</v>
      </c>
      <c r="D2059" t="s">
        <v>202</v>
      </c>
      <c r="E2059" t="s">
        <v>203</v>
      </c>
      <c r="F2059" t="s">
        <v>3</v>
      </c>
      <c r="G2059" t="s">
        <v>74</v>
      </c>
      <c r="H2059" t="s">
        <v>147</v>
      </c>
      <c r="I2059" t="s">
        <v>337</v>
      </c>
      <c r="J2059" s="2">
        <v>66.976000000000013</v>
      </c>
      <c r="K2059">
        <v>7</v>
      </c>
      <c r="L2059" s="4"/>
    </row>
    <row r="2060" spans="1:12" x14ac:dyDescent="0.3">
      <c r="A2060" s="1">
        <v>42358</v>
      </c>
      <c r="B2060" s="1">
        <v>42364</v>
      </c>
      <c r="C2060" t="s">
        <v>7</v>
      </c>
      <c r="D2060" t="s">
        <v>731</v>
      </c>
      <c r="E2060" t="s">
        <v>732</v>
      </c>
      <c r="F2060" t="s">
        <v>25</v>
      </c>
      <c r="G2060" t="s">
        <v>12</v>
      </c>
      <c r="H2060" t="s">
        <v>44</v>
      </c>
      <c r="I2060" t="s">
        <v>1627</v>
      </c>
      <c r="J2060" s="2">
        <v>455.97</v>
      </c>
      <c r="K2060">
        <v>6</v>
      </c>
      <c r="L2060" s="4"/>
    </row>
    <row r="2061" spans="1:12" x14ac:dyDescent="0.3">
      <c r="A2061" s="1">
        <v>42358</v>
      </c>
      <c r="B2061" s="1">
        <v>42364</v>
      </c>
      <c r="C2061" t="s">
        <v>7</v>
      </c>
      <c r="D2061" t="s">
        <v>731</v>
      </c>
      <c r="E2061" t="s">
        <v>732</v>
      </c>
      <c r="F2061" t="s">
        <v>25</v>
      </c>
      <c r="G2061" t="s">
        <v>4</v>
      </c>
      <c r="H2061" t="s">
        <v>26</v>
      </c>
      <c r="I2061" t="s">
        <v>1911</v>
      </c>
      <c r="J2061" s="2">
        <v>10.440000000000001</v>
      </c>
      <c r="K2061">
        <v>6</v>
      </c>
      <c r="L2061" s="4"/>
    </row>
    <row r="2062" spans="1:12" x14ac:dyDescent="0.3">
      <c r="A2062" s="1">
        <v>42358</v>
      </c>
      <c r="B2062" s="1">
        <v>42364</v>
      </c>
      <c r="C2062" t="s">
        <v>7</v>
      </c>
      <c r="D2062" t="s">
        <v>731</v>
      </c>
      <c r="E2062" t="s">
        <v>732</v>
      </c>
      <c r="F2062" t="s">
        <v>25</v>
      </c>
      <c r="G2062" t="s">
        <v>4</v>
      </c>
      <c r="H2062" t="s">
        <v>26</v>
      </c>
      <c r="I2062" t="s">
        <v>1050</v>
      </c>
      <c r="J2062" s="2">
        <v>5.2140000000000004</v>
      </c>
      <c r="K2062">
        <v>2</v>
      </c>
      <c r="L2062" s="4"/>
    </row>
    <row r="2063" spans="1:12" x14ac:dyDescent="0.3">
      <c r="A2063" s="1">
        <v>42361</v>
      </c>
      <c r="B2063" s="1">
        <v>42367</v>
      </c>
      <c r="C2063" t="s">
        <v>7</v>
      </c>
      <c r="D2063" t="s">
        <v>86</v>
      </c>
      <c r="E2063" t="s">
        <v>87</v>
      </c>
      <c r="F2063" t="s">
        <v>19</v>
      </c>
      <c r="G2063" t="s">
        <v>4</v>
      </c>
      <c r="H2063" t="s">
        <v>26</v>
      </c>
      <c r="I2063" t="s">
        <v>2430</v>
      </c>
      <c r="J2063" s="2">
        <v>31.32</v>
      </c>
      <c r="K2063">
        <v>10</v>
      </c>
      <c r="L2063" s="4"/>
    </row>
    <row r="2064" spans="1:12" x14ac:dyDescent="0.3">
      <c r="A2064" s="1">
        <v>42361</v>
      </c>
      <c r="B2064" s="1">
        <v>42367</v>
      </c>
      <c r="C2064" t="s">
        <v>7</v>
      </c>
      <c r="D2064" t="s">
        <v>86</v>
      </c>
      <c r="E2064" t="s">
        <v>87</v>
      </c>
      <c r="F2064" t="s">
        <v>19</v>
      </c>
      <c r="G2064" t="s">
        <v>12</v>
      </c>
      <c r="H2064" t="s">
        <v>35</v>
      </c>
      <c r="I2064" t="s">
        <v>2411</v>
      </c>
      <c r="J2064" s="2">
        <v>11.840000000000002</v>
      </c>
      <c r="K2064">
        <v>4</v>
      </c>
      <c r="L2064" s="4"/>
    </row>
    <row r="2065" spans="1:12" x14ac:dyDescent="0.3">
      <c r="A2065" s="1">
        <v>42361</v>
      </c>
      <c r="B2065" s="1">
        <v>42367</v>
      </c>
      <c r="C2065" t="s">
        <v>7</v>
      </c>
      <c r="D2065" t="s">
        <v>86</v>
      </c>
      <c r="E2065" t="s">
        <v>87</v>
      </c>
      <c r="F2065" t="s">
        <v>19</v>
      </c>
      <c r="G2065" t="s">
        <v>12</v>
      </c>
      <c r="H2065" t="s">
        <v>35</v>
      </c>
      <c r="I2065" t="s">
        <v>566</v>
      </c>
      <c r="J2065" s="2">
        <v>22.784000000000002</v>
      </c>
      <c r="K2065">
        <v>1</v>
      </c>
      <c r="L2065" s="4"/>
    </row>
    <row r="2066" spans="1:12" x14ac:dyDescent="0.3">
      <c r="A2066" s="1">
        <v>42361</v>
      </c>
      <c r="B2066" s="1">
        <v>42363</v>
      </c>
      <c r="C2066" t="s">
        <v>0</v>
      </c>
      <c r="D2066" t="s">
        <v>545</v>
      </c>
      <c r="E2066" t="s">
        <v>546</v>
      </c>
      <c r="F2066" t="s">
        <v>56</v>
      </c>
      <c r="G2066" t="s">
        <v>4</v>
      </c>
      <c r="H2066" t="s">
        <v>26</v>
      </c>
      <c r="I2066" t="s">
        <v>2330</v>
      </c>
      <c r="J2066" s="2">
        <v>55.360000000000007</v>
      </c>
      <c r="K2066">
        <v>4</v>
      </c>
      <c r="L2066" s="4"/>
    </row>
    <row r="2067" spans="1:12" x14ac:dyDescent="0.3">
      <c r="A2067" s="1">
        <v>42361</v>
      </c>
      <c r="B2067" s="1">
        <v>42363</v>
      </c>
      <c r="C2067" t="s">
        <v>0</v>
      </c>
      <c r="D2067" t="s">
        <v>545</v>
      </c>
      <c r="E2067" t="s">
        <v>546</v>
      </c>
      <c r="F2067" t="s">
        <v>56</v>
      </c>
      <c r="G2067" t="s">
        <v>74</v>
      </c>
      <c r="H2067" t="s">
        <v>138</v>
      </c>
      <c r="I2067" t="s">
        <v>2431</v>
      </c>
      <c r="J2067" s="2">
        <v>11.56</v>
      </c>
      <c r="K2067">
        <v>1</v>
      </c>
      <c r="L2067" s="4"/>
    </row>
    <row r="2068" spans="1:12" x14ac:dyDescent="0.3">
      <c r="A2068" s="1">
        <v>42361</v>
      </c>
      <c r="B2068" s="1">
        <v>42367</v>
      </c>
      <c r="C2068" t="s">
        <v>7</v>
      </c>
      <c r="D2068" t="s">
        <v>773</v>
      </c>
      <c r="E2068" t="s">
        <v>774</v>
      </c>
      <c r="F2068" t="s">
        <v>3</v>
      </c>
      <c r="G2068" t="s">
        <v>12</v>
      </c>
      <c r="H2068" t="s">
        <v>35</v>
      </c>
      <c r="I2068" t="s">
        <v>2432</v>
      </c>
      <c r="J2068" s="2">
        <v>842.72</v>
      </c>
      <c r="K2068">
        <v>8</v>
      </c>
      <c r="L2068" s="4"/>
    </row>
    <row r="2069" spans="1:12" x14ac:dyDescent="0.3">
      <c r="A2069" s="1">
        <v>42361</v>
      </c>
      <c r="B2069" s="1">
        <v>42367</v>
      </c>
      <c r="C2069" t="s">
        <v>7</v>
      </c>
      <c r="D2069" t="s">
        <v>773</v>
      </c>
      <c r="E2069" t="s">
        <v>774</v>
      </c>
      <c r="F2069" t="s">
        <v>3</v>
      </c>
      <c r="G2069" t="s">
        <v>12</v>
      </c>
      <c r="H2069" t="s">
        <v>35</v>
      </c>
      <c r="I2069" t="s">
        <v>2345</v>
      </c>
      <c r="J2069" s="2">
        <v>41.96</v>
      </c>
      <c r="K2069">
        <v>2</v>
      </c>
      <c r="L2069" s="4"/>
    </row>
    <row r="2070" spans="1:12" x14ac:dyDescent="0.3">
      <c r="A2070" s="1">
        <v>42362</v>
      </c>
      <c r="B2070" s="1">
        <v>42369</v>
      </c>
      <c r="C2070" t="s">
        <v>7</v>
      </c>
      <c r="D2070" t="s">
        <v>237</v>
      </c>
      <c r="E2070" t="s">
        <v>238</v>
      </c>
      <c r="F2070" t="s">
        <v>56</v>
      </c>
      <c r="G2070" t="s">
        <v>4</v>
      </c>
      <c r="H2070" t="s">
        <v>15</v>
      </c>
      <c r="I2070" t="s">
        <v>1318</v>
      </c>
      <c r="J2070" s="2">
        <v>8.82</v>
      </c>
      <c r="K2070">
        <v>3</v>
      </c>
      <c r="L2070" s="4"/>
    </row>
    <row r="2071" spans="1:12" x14ac:dyDescent="0.3">
      <c r="A2071" s="1">
        <v>42362</v>
      </c>
      <c r="B2071" s="1">
        <v>42369</v>
      </c>
      <c r="C2071" t="s">
        <v>7</v>
      </c>
      <c r="D2071" t="s">
        <v>237</v>
      </c>
      <c r="E2071" t="s">
        <v>238</v>
      </c>
      <c r="F2071" t="s">
        <v>56</v>
      </c>
      <c r="G2071" t="s">
        <v>4</v>
      </c>
      <c r="H2071" t="s">
        <v>5</v>
      </c>
      <c r="I2071" t="s">
        <v>1855</v>
      </c>
      <c r="J2071" s="2">
        <v>37.94</v>
      </c>
      <c r="K2071">
        <v>2</v>
      </c>
      <c r="L2071" s="4"/>
    </row>
    <row r="2072" spans="1:12" x14ac:dyDescent="0.3">
      <c r="A2072" s="1">
        <v>42362</v>
      </c>
      <c r="B2072" s="1">
        <v>42369</v>
      </c>
      <c r="C2072" t="s">
        <v>7</v>
      </c>
      <c r="D2072" t="s">
        <v>237</v>
      </c>
      <c r="E2072" t="s">
        <v>238</v>
      </c>
      <c r="F2072" t="s">
        <v>56</v>
      </c>
      <c r="G2072" t="s">
        <v>4</v>
      </c>
      <c r="H2072" t="s">
        <v>15</v>
      </c>
      <c r="I2072" t="s">
        <v>2433</v>
      </c>
      <c r="J2072" s="2">
        <v>4.2</v>
      </c>
      <c r="K2072">
        <v>2</v>
      </c>
      <c r="L2072" s="4"/>
    </row>
    <row r="2073" spans="1:12" x14ac:dyDescent="0.3">
      <c r="A2073" s="1">
        <v>42362</v>
      </c>
      <c r="B2073" s="1">
        <v>42369</v>
      </c>
      <c r="C2073" t="s">
        <v>7</v>
      </c>
      <c r="D2073" t="s">
        <v>237</v>
      </c>
      <c r="E2073" t="s">
        <v>238</v>
      </c>
      <c r="F2073" t="s">
        <v>56</v>
      </c>
      <c r="G2073" t="s">
        <v>4</v>
      </c>
      <c r="H2073" t="s">
        <v>10</v>
      </c>
      <c r="I2073" t="s">
        <v>876</v>
      </c>
      <c r="J2073" s="2">
        <v>227.28</v>
      </c>
      <c r="K2073">
        <v>2</v>
      </c>
      <c r="L2073" s="4"/>
    </row>
    <row r="2074" spans="1:12" x14ac:dyDescent="0.3">
      <c r="A2074" s="1">
        <v>42362</v>
      </c>
      <c r="B2074" s="1">
        <v>42369</v>
      </c>
      <c r="C2074" t="s">
        <v>7</v>
      </c>
      <c r="D2074" t="s">
        <v>237</v>
      </c>
      <c r="E2074" t="s">
        <v>238</v>
      </c>
      <c r="F2074" t="s">
        <v>56</v>
      </c>
      <c r="G2074" t="s">
        <v>4</v>
      </c>
      <c r="H2074" t="s">
        <v>5</v>
      </c>
      <c r="I2074" t="s">
        <v>1971</v>
      </c>
      <c r="J2074" s="2">
        <v>47.9</v>
      </c>
      <c r="K2074">
        <v>1</v>
      </c>
      <c r="L2074" s="4"/>
    </row>
    <row r="2075" spans="1:12" x14ac:dyDescent="0.3">
      <c r="A2075" s="1">
        <v>42362</v>
      </c>
      <c r="B2075" s="1">
        <v>42369</v>
      </c>
      <c r="C2075" t="s">
        <v>7</v>
      </c>
      <c r="D2075" t="s">
        <v>237</v>
      </c>
      <c r="E2075" t="s">
        <v>238</v>
      </c>
      <c r="F2075" t="s">
        <v>56</v>
      </c>
      <c r="G2075" t="s">
        <v>4</v>
      </c>
      <c r="H2075" t="s">
        <v>29</v>
      </c>
      <c r="I2075" t="s">
        <v>190</v>
      </c>
      <c r="J2075" s="2">
        <v>61.96</v>
      </c>
      <c r="K2075">
        <v>2</v>
      </c>
      <c r="L2075" s="4"/>
    </row>
    <row r="2076" spans="1:12" x14ac:dyDescent="0.3">
      <c r="A2076" s="1">
        <v>42362</v>
      </c>
      <c r="B2076" s="1">
        <v>42369</v>
      </c>
      <c r="C2076" t="s">
        <v>7</v>
      </c>
      <c r="D2076" t="s">
        <v>237</v>
      </c>
      <c r="E2076" t="s">
        <v>238</v>
      </c>
      <c r="F2076" t="s">
        <v>56</v>
      </c>
      <c r="G2076" t="s">
        <v>4</v>
      </c>
      <c r="H2076" t="s">
        <v>10</v>
      </c>
      <c r="I2076" t="s">
        <v>1331</v>
      </c>
      <c r="J2076" s="2">
        <v>1117.92</v>
      </c>
      <c r="K2076">
        <v>4</v>
      </c>
      <c r="L2076" s="4"/>
    </row>
    <row r="2077" spans="1:12" x14ac:dyDescent="0.3">
      <c r="A2077" s="1">
        <v>42363</v>
      </c>
      <c r="B2077" s="1">
        <v>42364</v>
      </c>
      <c r="C2077" t="s">
        <v>22</v>
      </c>
      <c r="D2077" t="s">
        <v>2434</v>
      </c>
      <c r="E2077" t="s">
        <v>2435</v>
      </c>
      <c r="F2077" t="s">
        <v>56</v>
      </c>
      <c r="G2077" t="s">
        <v>4</v>
      </c>
      <c r="H2077" t="s">
        <v>5</v>
      </c>
      <c r="I2077" t="s">
        <v>1653</v>
      </c>
      <c r="J2077" s="2">
        <v>33.4</v>
      </c>
      <c r="K2077">
        <v>5</v>
      </c>
      <c r="L2077" s="4"/>
    </row>
    <row r="2078" spans="1:12" x14ac:dyDescent="0.3">
      <c r="A2078" s="1">
        <v>42363</v>
      </c>
      <c r="B2078" s="1">
        <v>42369</v>
      </c>
      <c r="C2078" t="s">
        <v>7</v>
      </c>
      <c r="D2078" t="s">
        <v>1143</v>
      </c>
      <c r="E2078" t="s">
        <v>1144</v>
      </c>
      <c r="F2078" t="s">
        <v>3</v>
      </c>
      <c r="G2078" t="s">
        <v>12</v>
      </c>
      <c r="H2078" t="s">
        <v>35</v>
      </c>
      <c r="I2078" t="s">
        <v>588</v>
      </c>
      <c r="J2078" s="2">
        <v>43.96</v>
      </c>
      <c r="K2078">
        <v>7</v>
      </c>
      <c r="L2078" s="4"/>
    </row>
    <row r="2079" spans="1:12" x14ac:dyDescent="0.3">
      <c r="A2079" s="1">
        <v>42363</v>
      </c>
      <c r="B2079" s="1">
        <v>42369</v>
      </c>
      <c r="C2079" t="s">
        <v>7</v>
      </c>
      <c r="D2079" t="s">
        <v>1143</v>
      </c>
      <c r="E2079" t="s">
        <v>1144</v>
      </c>
      <c r="F2079" t="s">
        <v>3</v>
      </c>
      <c r="G2079" t="s">
        <v>4</v>
      </c>
      <c r="H2079" t="s">
        <v>29</v>
      </c>
      <c r="I2079" t="s">
        <v>190</v>
      </c>
      <c r="J2079" s="2">
        <v>39.76</v>
      </c>
      <c r="K2079">
        <v>7</v>
      </c>
      <c r="L2079" s="4"/>
    </row>
    <row r="2080" spans="1:12" x14ac:dyDescent="0.3">
      <c r="A2080" s="1">
        <v>42364</v>
      </c>
      <c r="B2080" s="1">
        <v>42367</v>
      </c>
      <c r="C2080" t="s">
        <v>22</v>
      </c>
      <c r="D2080" t="s">
        <v>396</v>
      </c>
      <c r="E2080" t="s">
        <v>397</v>
      </c>
      <c r="F2080" t="s">
        <v>3</v>
      </c>
      <c r="G2080" t="s">
        <v>74</v>
      </c>
      <c r="H2080" t="s">
        <v>147</v>
      </c>
      <c r="I2080" t="s">
        <v>2436</v>
      </c>
      <c r="J2080" s="2">
        <v>2575.944</v>
      </c>
      <c r="K2080">
        <v>7</v>
      </c>
      <c r="L2080" s="4"/>
    </row>
    <row r="2081" spans="1:12" x14ac:dyDescent="0.3">
      <c r="A2081" s="1">
        <v>42364</v>
      </c>
      <c r="B2081" s="1">
        <v>42367</v>
      </c>
      <c r="C2081" t="s">
        <v>22</v>
      </c>
      <c r="D2081" t="s">
        <v>396</v>
      </c>
      <c r="E2081" t="s">
        <v>397</v>
      </c>
      <c r="F2081" t="s">
        <v>3</v>
      </c>
      <c r="G2081" t="s">
        <v>4</v>
      </c>
      <c r="H2081" t="s">
        <v>5</v>
      </c>
      <c r="I2081" t="s">
        <v>6</v>
      </c>
      <c r="J2081" s="2">
        <v>45.36</v>
      </c>
      <c r="K2081">
        <v>7</v>
      </c>
      <c r="L2081" s="4"/>
    </row>
    <row r="2082" spans="1:12" x14ac:dyDescent="0.3">
      <c r="A2082" s="1">
        <v>42364</v>
      </c>
      <c r="B2082" s="1">
        <v>42367</v>
      </c>
      <c r="C2082" t="s">
        <v>22</v>
      </c>
      <c r="D2082" t="s">
        <v>396</v>
      </c>
      <c r="E2082" t="s">
        <v>397</v>
      </c>
      <c r="F2082" t="s">
        <v>3</v>
      </c>
      <c r="G2082" t="s">
        <v>74</v>
      </c>
      <c r="H2082" t="s">
        <v>75</v>
      </c>
      <c r="I2082" t="s">
        <v>2427</v>
      </c>
      <c r="J2082" s="2">
        <v>254.24</v>
      </c>
      <c r="K2082">
        <v>7</v>
      </c>
      <c r="L2082" s="4"/>
    </row>
    <row r="2083" spans="1:12" x14ac:dyDescent="0.3">
      <c r="A2083" s="1">
        <v>42364</v>
      </c>
      <c r="B2083" s="1">
        <v>42369</v>
      </c>
      <c r="C2083" t="s">
        <v>7</v>
      </c>
      <c r="D2083" t="s">
        <v>1175</v>
      </c>
      <c r="E2083" t="s">
        <v>1176</v>
      </c>
      <c r="F2083" t="s">
        <v>56</v>
      </c>
      <c r="G2083" t="s">
        <v>12</v>
      </c>
      <c r="H2083" t="s">
        <v>70</v>
      </c>
      <c r="I2083" t="s">
        <v>2437</v>
      </c>
      <c r="J2083" s="2">
        <v>698.35200000000009</v>
      </c>
      <c r="K2083">
        <v>3</v>
      </c>
      <c r="L2083" s="4"/>
    </row>
    <row r="2084" spans="1:12" x14ac:dyDescent="0.3">
      <c r="A2084" s="1">
        <v>42364</v>
      </c>
      <c r="B2084" s="1">
        <v>42369</v>
      </c>
      <c r="C2084" t="s">
        <v>7</v>
      </c>
      <c r="D2084" t="s">
        <v>1175</v>
      </c>
      <c r="E2084" t="s">
        <v>1176</v>
      </c>
      <c r="F2084" t="s">
        <v>56</v>
      </c>
      <c r="G2084" t="s">
        <v>12</v>
      </c>
      <c r="H2084" t="s">
        <v>44</v>
      </c>
      <c r="I2084" t="s">
        <v>2438</v>
      </c>
      <c r="J2084" s="2">
        <v>1747.25</v>
      </c>
      <c r="K2084">
        <v>5</v>
      </c>
      <c r="L2084" s="4"/>
    </row>
    <row r="2085" spans="1:12" x14ac:dyDescent="0.3">
      <c r="A2085" s="1">
        <v>42364</v>
      </c>
      <c r="B2085" s="1">
        <v>42371</v>
      </c>
      <c r="C2085" t="s">
        <v>7</v>
      </c>
      <c r="D2085" t="s">
        <v>953</v>
      </c>
      <c r="E2085" t="s">
        <v>954</v>
      </c>
      <c r="F2085" t="s">
        <v>25</v>
      </c>
      <c r="G2085" t="s">
        <v>12</v>
      </c>
      <c r="H2085" t="s">
        <v>44</v>
      </c>
      <c r="I2085" t="s">
        <v>329</v>
      </c>
      <c r="J2085" s="2">
        <v>35.445</v>
      </c>
      <c r="K2085">
        <v>1</v>
      </c>
      <c r="L2085" s="4"/>
    </row>
    <row r="2086" spans="1:12" x14ac:dyDescent="0.3">
      <c r="A2086" s="1">
        <v>42364</v>
      </c>
      <c r="B2086" s="1">
        <v>42371</v>
      </c>
      <c r="C2086" t="s">
        <v>7</v>
      </c>
      <c r="D2086" t="s">
        <v>953</v>
      </c>
      <c r="E2086" t="s">
        <v>954</v>
      </c>
      <c r="F2086" t="s">
        <v>25</v>
      </c>
      <c r="G2086" t="s">
        <v>74</v>
      </c>
      <c r="H2086" t="s">
        <v>138</v>
      </c>
      <c r="I2086" t="s">
        <v>2439</v>
      </c>
      <c r="J2086" s="2">
        <v>269.97000000000003</v>
      </c>
      <c r="K2086">
        <v>2</v>
      </c>
      <c r="L2086" s="4"/>
    </row>
    <row r="2087" spans="1:12" x14ac:dyDescent="0.3">
      <c r="A2087" s="1">
        <v>42364</v>
      </c>
      <c r="B2087" s="1">
        <v>42371</v>
      </c>
      <c r="C2087" t="s">
        <v>7</v>
      </c>
      <c r="D2087" t="s">
        <v>953</v>
      </c>
      <c r="E2087" t="s">
        <v>954</v>
      </c>
      <c r="F2087" t="s">
        <v>25</v>
      </c>
      <c r="G2087" t="s">
        <v>74</v>
      </c>
      <c r="H2087" t="s">
        <v>75</v>
      </c>
      <c r="I2087" t="s">
        <v>313</v>
      </c>
      <c r="J2087" s="2">
        <v>45.120000000000005</v>
      </c>
      <c r="K2087">
        <v>3</v>
      </c>
      <c r="L2087" s="4"/>
    </row>
    <row r="2088" spans="1:12" x14ac:dyDescent="0.3">
      <c r="A2088" s="1">
        <v>42364</v>
      </c>
      <c r="B2088" s="1">
        <v>42371</v>
      </c>
      <c r="C2088" t="s">
        <v>7</v>
      </c>
      <c r="D2088" t="s">
        <v>953</v>
      </c>
      <c r="E2088" t="s">
        <v>954</v>
      </c>
      <c r="F2088" t="s">
        <v>25</v>
      </c>
      <c r="G2088" t="s">
        <v>74</v>
      </c>
      <c r="H2088" t="s">
        <v>75</v>
      </c>
      <c r="I2088" t="s">
        <v>2440</v>
      </c>
      <c r="J2088" s="2">
        <v>100.80000000000001</v>
      </c>
      <c r="K2088">
        <v>2</v>
      </c>
      <c r="L2088" s="4"/>
    </row>
    <row r="2089" spans="1:12" x14ac:dyDescent="0.3">
      <c r="A2089" s="1">
        <v>42364</v>
      </c>
      <c r="B2089" s="1">
        <v>42371</v>
      </c>
      <c r="C2089" t="s">
        <v>7</v>
      </c>
      <c r="D2089" t="s">
        <v>953</v>
      </c>
      <c r="E2089" t="s">
        <v>954</v>
      </c>
      <c r="F2089" t="s">
        <v>25</v>
      </c>
      <c r="G2089" t="s">
        <v>12</v>
      </c>
      <c r="H2089" t="s">
        <v>70</v>
      </c>
      <c r="I2089" t="s">
        <v>1941</v>
      </c>
      <c r="J2089" s="2">
        <v>47.968000000000004</v>
      </c>
      <c r="K2089">
        <v>2</v>
      </c>
      <c r="L2089" s="4"/>
    </row>
    <row r="2090" spans="1:12" x14ac:dyDescent="0.3">
      <c r="A2090" s="1">
        <v>42365</v>
      </c>
      <c r="B2090" s="1">
        <v>42369</v>
      </c>
      <c r="C2090" t="s">
        <v>7</v>
      </c>
      <c r="D2090" t="s">
        <v>1002</v>
      </c>
      <c r="E2090" t="s">
        <v>1003</v>
      </c>
      <c r="F2090" t="s">
        <v>56</v>
      </c>
      <c r="G2090" t="s">
        <v>4</v>
      </c>
      <c r="H2090" t="s">
        <v>5</v>
      </c>
      <c r="I2090" t="s">
        <v>2441</v>
      </c>
      <c r="J2090" s="2">
        <v>33.9</v>
      </c>
      <c r="K2090">
        <v>5</v>
      </c>
      <c r="L2090" s="4"/>
    </row>
    <row r="2091" spans="1:12" x14ac:dyDescent="0.3">
      <c r="A2091" s="1">
        <v>42365</v>
      </c>
      <c r="B2091" s="1">
        <v>42372</v>
      </c>
      <c r="C2091" t="s">
        <v>7</v>
      </c>
      <c r="D2091" t="s">
        <v>1030</v>
      </c>
      <c r="E2091" t="s">
        <v>1031</v>
      </c>
      <c r="F2091" t="s">
        <v>115</v>
      </c>
      <c r="G2091" t="s">
        <v>4</v>
      </c>
      <c r="H2091" t="s">
        <v>20</v>
      </c>
      <c r="I2091" t="s">
        <v>2407</v>
      </c>
      <c r="J2091" s="2">
        <v>18.72</v>
      </c>
      <c r="K2091">
        <v>2</v>
      </c>
      <c r="L2091" s="4"/>
    </row>
    <row r="2092" spans="1:12" x14ac:dyDescent="0.3">
      <c r="A2092" s="1">
        <v>42365</v>
      </c>
      <c r="B2092" s="1">
        <v>42366</v>
      </c>
      <c r="C2092" t="s">
        <v>22</v>
      </c>
      <c r="D2092" t="s">
        <v>2081</v>
      </c>
      <c r="E2092" t="s">
        <v>2082</v>
      </c>
      <c r="F2092" t="s">
        <v>115</v>
      </c>
      <c r="G2092" t="s">
        <v>4</v>
      </c>
      <c r="H2092" t="s">
        <v>15</v>
      </c>
      <c r="I2092" t="s">
        <v>2221</v>
      </c>
      <c r="J2092" s="2">
        <v>11.328000000000001</v>
      </c>
      <c r="K2092">
        <v>2</v>
      </c>
      <c r="L2092" s="4"/>
    </row>
    <row r="2093" spans="1:12" x14ac:dyDescent="0.3">
      <c r="A2093" s="1">
        <v>42365</v>
      </c>
      <c r="B2093" s="1">
        <v>42370</v>
      </c>
      <c r="C2093" t="s">
        <v>7</v>
      </c>
      <c r="D2093" t="s">
        <v>663</v>
      </c>
      <c r="E2093" t="s">
        <v>664</v>
      </c>
      <c r="F2093" t="s">
        <v>3</v>
      </c>
      <c r="G2093" t="s">
        <v>4</v>
      </c>
      <c r="H2093" t="s">
        <v>78</v>
      </c>
      <c r="I2093" t="s">
        <v>2114</v>
      </c>
      <c r="J2093" s="2">
        <v>17.760000000000002</v>
      </c>
      <c r="K2093">
        <v>2</v>
      </c>
      <c r="L2093" s="4"/>
    </row>
    <row r="2094" spans="1:12" x14ac:dyDescent="0.3">
      <c r="A2094" s="1">
        <v>42365</v>
      </c>
      <c r="B2094" s="1">
        <v>42370</v>
      </c>
      <c r="C2094" t="s">
        <v>7</v>
      </c>
      <c r="D2094" t="s">
        <v>663</v>
      </c>
      <c r="E2094" t="s">
        <v>664</v>
      </c>
      <c r="F2094" t="s">
        <v>3</v>
      </c>
      <c r="G2094" t="s">
        <v>74</v>
      </c>
      <c r="H2094" t="s">
        <v>147</v>
      </c>
      <c r="I2094" t="s">
        <v>355</v>
      </c>
      <c r="J2094" s="2">
        <v>302.38400000000001</v>
      </c>
      <c r="K2094">
        <v>2</v>
      </c>
      <c r="L2094" s="4"/>
    </row>
    <row r="2095" spans="1:12" x14ac:dyDescent="0.3">
      <c r="A2095" s="1">
        <v>42365</v>
      </c>
      <c r="B2095" s="1">
        <v>42370</v>
      </c>
      <c r="C2095" t="s">
        <v>7</v>
      </c>
      <c r="D2095" t="s">
        <v>663</v>
      </c>
      <c r="E2095" t="s">
        <v>664</v>
      </c>
      <c r="F2095" t="s">
        <v>3</v>
      </c>
      <c r="G2095" t="s">
        <v>12</v>
      </c>
      <c r="H2095" t="s">
        <v>70</v>
      </c>
      <c r="I2095" t="s">
        <v>2442</v>
      </c>
      <c r="J2095" s="2">
        <v>146.352</v>
      </c>
      <c r="K2095">
        <v>3</v>
      </c>
      <c r="L2095" s="4"/>
    </row>
    <row r="2096" spans="1:12" x14ac:dyDescent="0.3">
      <c r="A2096" s="1">
        <v>42365</v>
      </c>
      <c r="B2096" s="1">
        <v>42370</v>
      </c>
      <c r="C2096" t="s">
        <v>7</v>
      </c>
      <c r="D2096" t="s">
        <v>663</v>
      </c>
      <c r="E2096" t="s">
        <v>664</v>
      </c>
      <c r="F2096" t="s">
        <v>3</v>
      </c>
      <c r="G2096" t="s">
        <v>4</v>
      </c>
      <c r="H2096" t="s">
        <v>20</v>
      </c>
      <c r="I2096" t="s">
        <v>2443</v>
      </c>
      <c r="J2096" s="2">
        <v>7.9</v>
      </c>
      <c r="K2096">
        <v>2</v>
      </c>
      <c r="L2096" s="4"/>
    </row>
    <row r="2097" spans="1:12" x14ac:dyDescent="0.3">
      <c r="A2097" s="1">
        <v>42365</v>
      </c>
      <c r="B2097" s="1">
        <v>42370</v>
      </c>
      <c r="C2097" t="s">
        <v>7</v>
      </c>
      <c r="D2097" t="s">
        <v>663</v>
      </c>
      <c r="E2097" t="s">
        <v>664</v>
      </c>
      <c r="F2097" t="s">
        <v>3</v>
      </c>
      <c r="G2097" t="s">
        <v>12</v>
      </c>
      <c r="H2097" t="s">
        <v>44</v>
      </c>
      <c r="I2097" t="s">
        <v>1037</v>
      </c>
      <c r="J2097" s="2">
        <v>902.71199999999999</v>
      </c>
      <c r="K2097">
        <v>3</v>
      </c>
      <c r="L2097" s="4"/>
    </row>
    <row r="2098" spans="1:12" x14ac:dyDescent="0.3">
      <c r="A2098" s="1">
        <v>42365</v>
      </c>
      <c r="B2098" s="1">
        <v>42370</v>
      </c>
      <c r="C2098" t="s">
        <v>7</v>
      </c>
      <c r="D2098" t="s">
        <v>663</v>
      </c>
      <c r="E2098" t="s">
        <v>664</v>
      </c>
      <c r="F2098" t="s">
        <v>3</v>
      </c>
      <c r="G2098" t="s">
        <v>4</v>
      </c>
      <c r="H2098" t="s">
        <v>15</v>
      </c>
      <c r="I2098" t="s">
        <v>287</v>
      </c>
      <c r="J2098" s="2">
        <v>53.97</v>
      </c>
      <c r="K2098">
        <v>3</v>
      </c>
      <c r="L2098" s="4"/>
    </row>
    <row r="2099" spans="1:12" x14ac:dyDescent="0.3">
      <c r="A2099" s="1">
        <v>42366</v>
      </c>
      <c r="B2099" s="1">
        <v>42370</v>
      </c>
      <c r="C2099" t="s">
        <v>7</v>
      </c>
      <c r="D2099" t="s">
        <v>442</v>
      </c>
      <c r="E2099" t="s">
        <v>443</v>
      </c>
      <c r="F2099" t="s">
        <v>3</v>
      </c>
      <c r="G2099" t="s">
        <v>4</v>
      </c>
      <c r="H2099" t="s">
        <v>168</v>
      </c>
      <c r="I2099" t="s">
        <v>1792</v>
      </c>
      <c r="J2099" s="2">
        <v>20.16</v>
      </c>
      <c r="K2099">
        <v>7</v>
      </c>
      <c r="L2099" s="4"/>
    </row>
    <row r="2100" spans="1:12" x14ac:dyDescent="0.3">
      <c r="A2100" s="1">
        <v>42368</v>
      </c>
      <c r="B2100" s="1">
        <v>42372</v>
      </c>
      <c r="C2100" t="s">
        <v>7</v>
      </c>
      <c r="D2100" t="s">
        <v>2307</v>
      </c>
      <c r="E2100" t="s">
        <v>2308</v>
      </c>
      <c r="F2100" t="s">
        <v>3</v>
      </c>
      <c r="G2100" t="s">
        <v>4</v>
      </c>
      <c r="H2100" t="s">
        <v>26</v>
      </c>
      <c r="I2100" t="s">
        <v>2043</v>
      </c>
      <c r="J2100" s="2">
        <v>11.231999999999999</v>
      </c>
      <c r="K2100">
        <v>3</v>
      </c>
      <c r="L2100" s="4"/>
    </row>
    <row r="2101" spans="1:12" x14ac:dyDescent="0.3">
      <c r="A2101" s="1">
        <v>42368</v>
      </c>
      <c r="B2101" s="1">
        <v>42370</v>
      </c>
      <c r="C2101" t="s">
        <v>0</v>
      </c>
      <c r="D2101" t="s">
        <v>480</v>
      </c>
      <c r="E2101" t="s">
        <v>481</v>
      </c>
      <c r="F2101" t="s">
        <v>19</v>
      </c>
      <c r="G2101" t="s">
        <v>4</v>
      </c>
      <c r="H2101" t="s">
        <v>29</v>
      </c>
      <c r="I2101" t="s">
        <v>2444</v>
      </c>
      <c r="J2101" s="2">
        <v>27.792000000000002</v>
      </c>
      <c r="K2101">
        <v>3</v>
      </c>
      <c r="L2101" s="4"/>
    </row>
    <row r="2102" spans="1:12" x14ac:dyDescent="0.3">
      <c r="A2102" s="1">
        <v>42368</v>
      </c>
      <c r="B2102" s="1">
        <v>42372</v>
      </c>
      <c r="C2102" t="s">
        <v>7</v>
      </c>
      <c r="D2102" t="s">
        <v>2445</v>
      </c>
      <c r="E2102" t="s">
        <v>2446</v>
      </c>
      <c r="F2102" t="s">
        <v>3</v>
      </c>
      <c r="G2102" t="s">
        <v>4</v>
      </c>
      <c r="H2102" t="s">
        <v>10</v>
      </c>
      <c r="I2102" t="s">
        <v>2447</v>
      </c>
      <c r="J2102" s="2">
        <v>14.03</v>
      </c>
      <c r="K2102">
        <v>1</v>
      </c>
      <c r="L2102" s="4"/>
    </row>
    <row r="2103" spans="1:12" x14ac:dyDescent="0.3">
      <c r="A2103" s="1">
        <v>42368</v>
      </c>
      <c r="B2103" s="1">
        <v>42372</v>
      </c>
      <c r="C2103" t="s">
        <v>7</v>
      </c>
      <c r="D2103" t="s">
        <v>2445</v>
      </c>
      <c r="E2103" t="s">
        <v>2446</v>
      </c>
      <c r="F2103" t="s">
        <v>3</v>
      </c>
      <c r="G2103" t="s">
        <v>4</v>
      </c>
      <c r="H2103" t="s">
        <v>78</v>
      </c>
      <c r="I2103" t="s">
        <v>2448</v>
      </c>
      <c r="J2103" s="2">
        <v>27.96</v>
      </c>
      <c r="K2103">
        <v>2</v>
      </c>
      <c r="L2103" s="4"/>
    </row>
    <row r="2104" spans="1:12" x14ac:dyDescent="0.3">
      <c r="A2104" s="1">
        <v>42369</v>
      </c>
      <c r="B2104" s="1">
        <v>42369</v>
      </c>
      <c r="C2104" t="s">
        <v>240</v>
      </c>
      <c r="D2104" t="s">
        <v>1408</v>
      </c>
      <c r="E2104" t="s">
        <v>1409</v>
      </c>
      <c r="F2104" t="s">
        <v>3</v>
      </c>
      <c r="G2104" t="s">
        <v>4</v>
      </c>
      <c r="H2104" t="s">
        <v>10</v>
      </c>
      <c r="I2104" t="s">
        <v>2449</v>
      </c>
      <c r="J2104" s="2">
        <v>481.32</v>
      </c>
      <c r="K2104">
        <v>4</v>
      </c>
      <c r="L2104" s="4"/>
    </row>
    <row r="2105" spans="1:12" x14ac:dyDescent="0.3">
      <c r="A2105" s="1">
        <v>42369</v>
      </c>
      <c r="B2105" s="1">
        <v>42369</v>
      </c>
      <c r="C2105" t="s">
        <v>240</v>
      </c>
      <c r="D2105" t="s">
        <v>1408</v>
      </c>
      <c r="E2105" t="s">
        <v>1409</v>
      </c>
      <c r="F2105" t="s">
        <v>3</v>
      </c>
      <c r="G2105" t="s">
        <v>4</v>
      </c>
      <c r="H2105" t="s">
        <v>26</v>
      </c>
      <c r="I2105" t="s">
        <v>1456</v>
      </c>
      <c r="J2105" s="2">
        <v>6.3840000000000003</v>
      </c>
      <c r="K2105">
        <v>1</v>
      </c>
      <c r="L2105" s="4"/>
    </row>
    <row r="2106" spans="1:12" x14ac:dyDescent="0.3">
      <c r="A2106" s="1">
        <v>42370</v>
      </c>
      <c r="B2106" s="1">
        <v>42376</v>
      </c>
      <c r="C2106" t="s">
        <v>7</v>
      </c>
      <c r="D2106" t="s">
        <v>1097</v>
      </c>
      <c r="E2106" t="s">
        <v>1098</v>
      </c>
      <c r="F2106" t="s">
        <v>39</v>
      </c>
      <c r="G2106" t="s">
        <v>4</v>
      </c>
      <c r="H2106" t="s">
        <v>15</v>
      </c>
      <c r="I2106" t="s">
        <v>2208</v>
      </c>
      <c r="J2106" s="2">
        <v>3.64</v>
      </c>
      <c r="K2106">
        <v>2</v>
      </c>
      <c r="L2106" s="4"/>
    </row>
    <row r="2107" spans="1:12" x14ac:dyDescent="0.3">
      <c r="A2107" s="1">
        <v>42370</v>
      </c>
      <c r="B2107" s="1">
        <v>42376</v>
      </c>
      <c r="C2107" t="s">
        <v>7</v>
      </c>
      <c r="D2107" t="s">
        <v>1097</v>
      </c>
      <c r="E2107" t="s">
        <v>1098</v>
      </c>
      <c r="F2107" t="s">
        <v>39</v>
      </c>
      <c r="G2107" t="s">
        <v>4</v>
      </c>
      <c r="H2107" t="s">
        <v>26</v>
      </c>
      <c r="I2107" t="s">
        <v>1585</v>
      </c>
      <c r="J2107" s="2">
        <v>159.768</v>
      </c>
      <c r="K2107">
        <v>7</v>
      </c>
      <c r="L2107" s="4"/>
    </row>
    <row r="2108" spans="1:12" x14ac:dyDescent="0.3">
      <c r="A2108" s="1">
        <v>42370</v>
      </c>
      <c r="B2108" s="1">
        <v>42375</v>
      </c>
      <c r="C2108" t="s">
        <v>7</v>
      </c>
      <c r="D2108" t="s">
        <v>2266</v>
      </c>
      <c r="E2108" t="s">
        <v>2267</v>
      </c>
      <c r="F2108" t="s">
        <v>3</v>
      </c>
      <c r="G2108" t="s">
        <v>74</v>
      </c>
      <c r="H2108" t="s">
        <v>147</v>
      </c>
      <c r="I2108" t="s">
        <v>2302</v>
      </c>
      <c r="J2108" s="2">
        <v>302.37599999999998</v>
      </c>
      <c r="K2108">
        <v>3</v>
      </c>
      <c r="L2108" s="4"/>
    </row>
    <row r="2109" spans="1:12" x14ac:dyDescent="0.3">
      <c r="A2109" s="1">
        <v>42370</v>
      </c>
      <c r="B2109" s="1">
        <v>42376</v>
      </c>
      <c r="C2109" t="s">
        <v>7</v>
      </c>
      <c r="D2109" t="s">
        <v>1362</v>
      </c>
      <c r="E2109" t="s">
        <v>1363</v>
      </c>
      <c r="F2109" t="s">
        <v>3</v>
      </c>
      <c r="G2109" t="s">
        <v>4</v>
      </c>
      <c r="H2109" t="s">
        <v>26</v>
      </c>
      <c r="I2109" t="s">
        <v>2450</v>
      </c>
      <c r="J2109" s="2">
        <v>38.376000000000005</v>
      </c>
      <c r="K2109">
        <v>3</v>
      </c>
      <c r="L2109" s="4"/>
    </row>
    <row r="2110" spans="1:12" x14ac:dyDescent="0.3">
      <c r="A2110" s="1">
        <v>42371</v>
      </c>
      <c r="B2110" s="1">
        <v>42375</v>
      </c>
      <c r="C2110" t="s">
        <v>7</v>
      </c>
      <c r="D2110" t="s">
        <v>345</v>
      </c>
      <c r="E2110" t="s">
        <v>346</v>
      </c>
      <c r="F2110" t="s">
        <v>3</v>
      </c>
      <c r="G2110" t="s">
        <v>12</v>
      </c>
      <c r="H2110" t="s">
        <v>35</v>
      </c>
      <c r="I2110" t="s">
        <v>1198</v>
      </c>
      <c r="J2110" s="2">
        <v>474.43</v>
      </c>
      <c r="K2110">
        <v>11</v>
      </c>
      <c r="L2110" s="4"/>
    </row>
    <row r="2111" spans="1:12" x14ac:dyDescent="0.3">
      <c r="A2111" s="1">
        <v>42372</v>
      </c>
      <c r="B2111" s="1">
        <v>42374</v>
      </c>
      <c r="C2111" t="s">
        <v>0</v>
      </c>
      <c r="D2111" t="s">
        <v>2451</v>
      </c>
      <c r="E2111" t="s">
        <v>2452</v>
      </c>
      <c r="F2111" t="s">
        <v>3</v>
      </c>
      <c r="G2111" t="s">
        <v>74</v>
      </c>
      <c r="H2111" t="s">
        <v>75</v>
      </c>
      <c r="I2111" t="s">
        <v>2309</v>
      </c>
      <c r="J2111" s="2">
        <v>16.59</v>
      </c>
      <c r="K2111">
        <v>1</v>
      </c>
      <c r="L2111" s="4"/>
    </row>
    <row r="2112" spans="1:12" x14ac:dyDescent="0.3">
      <c r="A2112" s="1">
        <v>42373</v>
      </c>
      <c r="B2112" s="1">
        <v>42378</v>
      </c>
      <c r="C2112" t="s">
        <v>7</v>
      </c>
      <c r="D2112" t="s">
        <v>2453</v>
      </c>
      <c r="E2112" t="s">
        <v>2454</v>
      </c>
      <c r="F2112" t="s">
        <v>3</v>
      </c>
      <c r="G2112" t="s">
        <v>4</v>
      </c>
      <c r="H2112" t="s">
        <v>5</v>
      </c>
      <c r="I2112" t="s">
        <v>2260</v>
      </c>
      <c r="J2112" s="2">
        <v>38.880000000000003</v>
      </c>
      <c r="K2112">
        <v>6</v>
      </c>
      <c r="L2112" s="4"/>
    </row>
    <row r="2113" spans="1:12" x14ac:dyDescent="0.3">
      <c r="A2113" s="1">
        <v>42373</v>
      </c>
      <c r="B2113" s="1">
        <v>42377</v>
      </c>
      <c r="C2113" t="s">
        <v>7</v>
      </c>
      <c r="D2113" t="s">
        <v>2455</v>
      </c>
      <c r="E2113" t="s">
        <v>2456</v>
      </c>
      <c r="F2113" t="s">
        <v>3</v>
      </c>
      <c r="G2113" t="s">
        <v>4</v>
      </c>
      <c r="H2113" t="s">
        <v>26</v>
      </c>
      <c r="I2113" t="s">
        <v>2457</v>
      </c>
      <c r="J2113" s="2">
        <v>2022.2720000000002</v>
      </c>
      <c r="K2113">
        <v>8</v>
      </c>
      <c r="L2113" s="4"/>
    </row>
    <row r="2114" spans="1:12" x14ac:dyDescent="0.3">
      <c r="A2114" s="1">
        <v>42373</v>
      </c>
      <c r="B2114" s="1">
        <v>42377</v>
      </c>
      <c r="C2114" t="s">
        <v>7</v>
      </c>
      <c r="D2114" t="s">
        <v>2455</v>
      </c>
      <c r="E2114" t="s">
        <v>2456</v>
      </c>
      <c r="F2114" t="s">
        <v>3</v>
      </c>
      <c r="G2114" t="s">
        <v>4</v>
      </c>
      <c r="H2114" t="s">
        <v>15</v>
      </c>
      <c r="I2114" t="s">
        <v>2458</v>
      </c>
      <c r="J2114" s="2">
        <v>9.120000000000001</v>
      </c>
      <c r="K2114">
        <v>3</v>
      </c>
      <c r="L2114" s="4"/>
    </row>
    <row r="2115" spans="1:12" x14ac:dyDescent="0.3">
      <c r="A2115" s="1">
        <v>42377</v>
      </c>
      <c r="B2115" s="1">
        <v>42379</v>
      </c>
      <c r="C2115" t="s">
        <v>0</v>
      </c>
      <c r="D2115" t="s">
        <v>2459</v>
      </c>
      <c r="E2115" t="s">
        <v>2460</v>
      </c>
      <c r="F2115" t="s">
        <v>3</v>
      </c>
      <c r="G2115" t="s">
        <v>4</v>
      </c>
      <c r="H2115" t="s">
        <v>10</v>
      </c>
      <c r="I2115" t="s">
        <v>438</v>
      </c>
      <c r="J2115" s="2">
        <v>153.78</v>
      </c>
      <c r="K2115">
        <v>11</v>
      </c>
      <c r="L2115" s="4"/>
    </row>
    <row r="2116" spans="1:12" x14ac:dyDescent="0.3">
      <c r="A2116" s="1">
        <v>42377</v>
      </c>
      <c r="B2116" s="1">
        <v>42379</v>
      </c>
      <c r="C2116" t="s">
        <v>0</v>
      </c>
      <c r="D2116" t="s">
        <v>2459</v>
      </c>
      <c r="E2116" t="s">
        <v>2460</v>
      </c>
      <c r="F2116" t="s">
        <v>3</v>
      </c>
      <c r="G2116" t="s">
        <v>4</v>
      </c>
      <c r="H2116" t="s">
        <v>10</v>
      </c>
      <c r="I2116" t="s">
        <v>693</v>
      </c>
      <c r="J2116" s="2">
        <v>61.019999999999996</v>
      </c>
      <c r="K2116">
        <v>3</v>
      </c>
      <c r="L2116" s="4"/>
    </row>
    <row r="2117" spans="1:12" x14ac:dyDescent="0.3">
      <c r="A2117" s="1">
        <v>42377</v>
      </c>
      <c r="B2117" s="1">
        <v>42379</v>
      </c>
      <c r="C2117" t="s">
        <v>0</v>
      </c>
      <c r="D2117" t="s">
        <v>2459</v>
      </c>
      <c r="E2117" t="s">
        <v>2460</v>
      </c>
      <c r="F2117" t="s">
        <v>3</v>
      </c>
      <c r="G2117" t="s">
        <v>4</v>
      </c>
      <c r="H2117" t="s">
        <v>78</v>
      </c>
      <c r="I2117" t="s">
        <v>1598</v>
      </c>
      <c r="J2117" s="2">
        <v>110.11</v>
      </c>
      <c r="K2117">
        <v>7</v>
      </c>
      <c r="L2117" s="4"/>
    </row>
    <row r="2118" spans="1:12" x14ac:dyDescent="0.3">
      <c r="A2118" s="1">
        <v>42377</v>
      </c>
      <c r="B2118" s="1">
        <v>42379</v>
      </c>
      <c r="C2118" t="s">
        <v>0</v>
      </c>
      <c r="D2118" t="s">
        <v>2459</v>
      </c>
      <c r="E2118" t="s">
        <v>2460</v>
      </c>
      <c r="F2118" t="s">
        <v>3</v>
      </c>
      <c r="G2118" t="s">
        <v>4</v>
      </c>
      <c r="H2118" t="s">
        <v>52</v>
      </c>
      <c r="I2118" t="s">
        <v>53</v>
      </c>
      <c r="J2118" s="2">
        <v>7.89</v>
      </c>
      <c r="K2118">
        <v>1</v>
      </c>
      <c r="L2118" s="4"/>
    </row>
    <row r="2119" spans="1:12" x14ac:dyDescent="0.3">
      <c r="A2119" s="1">
        <v>42378</v>
      </c>
      <c r="B2119" s="1">
        <v>42381</v>
      </c>
      <c r="C2119" t="s">
        <v>22</v>
      </c>
      <c r="D2119" t="s">
        <v>2002</v>
      </c>
      <c r="E2119" t="s">
        <v>2003</v>
      </c>
      <c r="F2119" t="s">
        <v>56</v>
      </c>
      <c r="G2119" t="s">
        <v>12</v>
      </c>
      <c r="H2119" t="s">
        <v>44</v>
      </c>
      <c r="I2119" t="s">
        <v>2461</v>
      </c>
      <c r="J2119" s="2">
        <v>892.98</v>
      </c>
      <c r="K2119">
        <v>2</v>
      </c>
      <c r="L2119" s="4"/>
    </row>
    <row r="2120" spans="1:12" x14ac:dyDescent="0.3">
      <c r="A2120" s="1">
        <v>42382</v>
      </c>
      <c r="B2120" s="1">
        <v>42386</v>
      </c>
      <c r="C2120" t="s">
        <v>7</v>
      </c>
      <c r="D2120" t="s">
        <v>1291</v>
      </c>
      <c r="E2120" t="s">
        <v>1292</v>
      </c>
      <c r="F2120" t="s">
        <v>3</v>
      </c>
      <c r="G2120" t="s">
        <v>4</v>
      </c>
      <c r="H2120" t="s">
        <v>29</v>
      </c>
      <c r="I2120" t="s">
        <v>190</v>
      </c>
      <c r="J2120" s="2">
        <v>9.7799999999999994</v>
      </c>
      <c r="K2120">
        <v>1</v>
      </c>
      <c r="L2120" s="4"/>
    </row>
    <row r="2121" spans="1:12" x14ac:dyDescent="0.3">
      <c r="A2121" s="1">
        <v>42384</v>
      </c>
      <c r="B2121" s="1">
        <v>42386</v>
      </c>
      <c r="C2121" t="s">
        <v>22</v>
      </c>
      <c r="D2121" t="s">
        <v>2318</v>
      </c>
      <c r="E2121" t="s">
        <v>2319</v>
      </c>
      <c r="F2121" t="s">
        <v>115</v>
      </c>
      <c r="G2121" t="s">
        <v>74</v>
      </c>
      <c r="H2121" t="s">
        <v>75</v>
      </c>
      <c r="I2121" t="s">
        <v>1881</v>
      </c>
      <c r="J2121" s="2">
        <v>169.06400000000002</v>
      </c>
      <c r="K2121">
        <v>7</v>
      </c>
      <c r="L2121" s="4"/>
    </row>
    <row r="2122" spans="1:12" x14ac:dyDescent="0.3">
      <c r="A2122" s="1">
        <v>42384</v>
      </c>
      <c r="B2122" s="1">
        <v>42386</v>
      </c>
      <c r="C2122" t="s">
        <v>22</v>
      </c>
      <c r="D2122" t="s">
        <v>2318</v>
      </c>
      <c r="E2122" t="s">
        <v>2319</v>
      </c>
      <c r="F2122" t="s">
        <v>115</v>
      </c>
      <c r="G2122" t="s">
        <v>4</v>
      </c>
      <c r="H2122" t="s">
        <v>10</v>
      </c>
      <c r="I2122" t="s">
        <v>1467</v>
      </c>
      <c r="J2122" s="2">
        <v>168.624</v>
      </c>
      <c r="K2122">
        <v>9</v>
      </c>
      <c r="L2122" s="4"/>
    </row>
    <row r="2123" spans="1:12" x14ac:dyDescent="0.3">
      <c r="A2123" s="1">
        <v>42384</v>
      </c>
      <c r="B2123" s="1">
        <v>42389</v>
      </c>
      <c r="C2123" t="s">
        <v>7</v>
      </c>
      <c r="D2123" t="s">
        <v>2462</v>
      </c>
      <c r="E2123" t="s">
        <v>2463</v>
      </c>
      <c r="F2123" t="s">
        <v>3</v>
      </c>
      <c r="G2123" t="s">
        <v>4</v>
      </c>
      <c r="H2123" t="s">
        <v>5</v>
      </c>
      <c r="I2123" t="s">
        <v>1281</v>
      </c>
      <c r="J2123" s="2">
        <v>154.9</v>
      </c>
      <c r="K2123">
        <v>5</v>
      </c>
      <c r="L2123" s="4"/>
    </row>
    <row r="2124" spans="1:12" x14ac:dyDescent="0.3">
      <c r="A2124" s="1">
        <v>42385</v>
      </c>
      <c r="B2124" s="1">
        <v>42389</v>
      </c>
      <c r="C2124" t="s">
        <v>7</v>
      </c>
      <c r="D2124" t="s">
        <v>2464</v>
      </c>
      <c r="E2124" t="s">
        <v>2465</v>
      </c>
      <c r="F2124" t="s">
        <v>3</v>
      </c>
      <c r="G2124" t="s">
        <v>4</v>
      </c>
      <c r="H2124" t="s">
        <v>15</v>
      </c>
      <c r="I2124" t="s">
        <v>272</v>
      </c>
      <c r="J2124" s="2">
        <v>21.400000000000002</v>
      </c>
      <c r="K2124">
        <v>5</v>
      </c>
      <c r="L2124" s="4"/>
    </row>
    <row r="2125" spans="1:12" x14ac:dyDescent="0.3">
      <c r="A2125" s="1">
        <v>42386</v>
      </c>
      <c r="B2125" s="1">
        <v>42386</v>
      </c>
      <c r="C2125" t="s">
        <v>240</v>
      </c>
      <c r="D2125" t="s">
        <v>493</v>
      </c>
      <c r="E2125" t="s">
        <v>494</v>
      </c>
      <c r="F2125" t="s">
        <v>3</v>
      </c>
      <c r="G2125" t="s">
        <v>12</v>
      </c>
      <c r="H2125" t="s">
        <v>35</v>
      </c>
      <c r="I2125" t="s">
        <v>353</v>
      </c>
      <c r="J2125" s="2">
        <v>27.92</v>
      </c>
      <c r="K2125">
        <v>4</v>
      </c>
      <c r="L2125" s="4"/>
    </row>
    <row r="2126" spans="1:12" x14ac:dyDescent="0.3">
      <c r="A2126" s="1">
        <v>42386</v>
      </c>
      <c r="B2126" s="1">
        <v>42386</v>
      </c>
      <c r="C2126" t="s">
        <v>240</v>
      </c>
      <c r="D2126" t="s">
        <v>493</v>
      </c>
      <c r="E2126" t="s">
        <v>494</v>
      </c>
      <c r="F2126" t="s">
        <v>3</v>
      </c>
      <c r="G2126" t="s">
        <v>12</v>
      </c>
      <c r="H2126" t="s">
        <v>44</v>
      </c>
      <c r="I2126" t="s">
        <v>2466</v>
      </c>
      <c r="J2126" s="2">
        <v>399.67200000000003</v>
      </c>
      <c r="K2126">
        <v>7</v>
      </c>
      <c r="L2126" s="4"/>
    </row>
    <row r="2127" spans="1:12" x14ac:dyDescent="0.3">
      <c r="A2127" s="1">
        <v>42390</v>
      </c>
      <c r="B2127" s="1">
        <v>42396</v>
      </c>
      <c r="C2127" t="s">
        <v>7</v>
      </c>
      <c r="D2127" t="s">
        <v>710</v>
      </c>
      <c r="E2127" t="s">
        <v>711</v>
      </c>
      <c r="F2127" t="s">
        <v>3</v>
      </c>
      <c r="G2127" t="s">
        <v>74</v>
      </c>
      <c r="H2127" t="s">
        <v>147</v>
      </c>
      <c r="I2127" t="s">
        <v>800</v>
      </c>
      <c r="J2127" s="2">
        <v>160.77600000000001</v>
      </c>
      <c r="K2127">
        <v>3</v>
      </c>
      <c r="L2127" s="4"/>
    </row>
    <row r="2128" spans="1:12" x14ac:dyDescent="0.3">
      <c r="A2128" s="1">
        <v>42390</v>
      </c>
      <c r="B2128" s="1">
        <v>42395</v>
      </c>
      <c r="C2128" t="s">
        <v>7</v>
      </c>
      <c r="D2128" t="s">
        <v>542</v>
      </c>
      <c r="E2128" t="s">
        <v>543</v>
      </c>
      <c r="F2128" t="s">
        <v>3</v>
      </c>
      <c r="G2128" t="s">
        <v>4</v>
      </c>
      <c r="H2128" t="s">
        <v>15</v>
      </c>
      <c r="I2128" t="s">
        <v>371</v>
      </c>
      <c r="J2128" s="2">
        <v>24.2</v>
      </c>
      <c r="K2128">
        <v>5</v>
      </c>
      <c r="L2128" s="4"/>
    </row>
    <row r="2129" spans="1:12" x14ac:dyDescent="0.3">
      <c r="A2129" s="1">
        <v>42390</v>
      </c>
      <c r="B2129" s="1">
        <v>42395</v>
      </c>
      <c r="C2129" t="s">
        <v>7</v>
      </c>
      <c r="D2129" t="s">
        <v>542</v>
      </c>
      <c r="E2129" t="s">
        <v>543</v>
      </c>
      <c r="F2129" t="s">
        <v>3</v>
      </c>
      <c r="G2129" t="s">
        <v>74</v>
      </c>
      <c r="H2129" t="s">
        <v>147</v>
      </c>
      <c r="I2129" t="s">
        <v>2467</v>
      </c>
      <c r="J2129" s="2">
        <v>359.97600000000006</v>
      </c>
      <c r="K2129">
        <v>3</v>
      </c>
      <c r="L2129" s="4"/>
    </row>
    <row r="2130" spans="1:12" x14ac:dyDescent="0.3">
      <c r="A2130" s="1">
        <v>42391</v>
      </c>
      <c r="B2130" s="1">
        <v>42395</v>
      </c>
      <c r="C2130" t="s">
        <v>7</v>
      </c>
      <c r="D2130" t="s">
        <v>419</v>
      </c>
      <c r="E2130" t="s">
        <v>420</v>
      </c>
      <c r="F2130" t="s">
        <v>56</v>
      </c>
      <c r="G2130" t="s">
        <v>4</v>
      </c>
      <c r="H2130" t="s">
        <v>10</v>
      </c>
      <c r="I2130" t="s">
        <v>128</v>
      </c>
      <c r="J2130" s="2">
        <v>242.94</v>
      </c>
      <c r="K2130">
        <v>3</v>
      </c>
      <c r="L2130" s="4"/>
    </row>
    <row r="2131" spans="1:12" x14ac:dyDescent="0.3">
      <c r="A2131" s="1">
        <v>42391</v>
      </c>
      <c r="B2131" s="1">
        <v>42395</v>
      </c>
      <c r="C2131" t="s">
        <v>7</v>
      </c>
      <c r="D2131" t="s">
        <v>419</v>
      </c>
      <c r="E2131" t="s">
        <v>420</v>
      </c>
      <c r="F2131" t="s">
        <v>56</v>
      </c>
      <c r="G2131" t="s">
        <v>74</v>
      </c>
      <c r="H2131" t="s">
        <v>75</v>
      </c>
      <c r="I2131" t="s">
        <v>784</v>
      </c>
      <c r="J2131" s="2">
        <v>179.97</v>
      </c>
      <c r="K2131">
        <v>3</v>
      </c>
      <c r="L2131" s="4"/>
    </row>
    <row r="2132" spans="1:12" x14ac:dyDescent="0.3">
      <c r="A2132" s="1">
        <v>42391</v>
      </c>
      <c r="B2132" s="1">
        <v>42395</v>
      </c>
      <c r="C2132" t="s">
        <v>7</v>
      </c>
      <c r="D2132" t="s">
        <v>419</v>
      </c>
      <c r="E2132" t="s">
        <v>420</v>
      </c>
      <c r="F2132" t="s">
        <v>56</v>
      </c>
      <c r="G2132" t="s">
        <v>4</v>
      </c>
      <c r="H2132" t="s">
        <v>26</v>
      </c>
      <c r="I2132" t="s">
        <v>2468</v>
      </c>
      <c r="J2132" s="2">
        <v>99.695999999999998</v>
      </c>
      <c r="K2132">
        <v>6</v>
      </c>
      <c r="L2132" s="4"/>
    </row>
    <row r="2133" spans="1:12" x14ac:dyDescent="0.3">
      <c r="A2133" s="1">
        <v>42391</v>
      </c>
      <c r="B2133" s="1">
        <v>42395</v>
      </c>
      <c r="C2133" t="s">
        <v>7</v>
      </c>
      <c r="D2133" t="s">
        <v>419</v>
      </c>
      <c r="E2133" t="s">
        <v>420</v>
      </c>
      <c r="F2133" t="s">
        <v>56</v>
      </c>
      <c r="G2133" t="s">
        <v>4</v>
      </c>
      <c r="H2133" t="s">
        <v>26</v>
      </c>
      <c r="I2133" t="s">
        <v>164</v>
      </c>
      <c r="J2133" s="2">
        <v>27.936000000000003</v>
      </c>
      <c r="K2133">
        <v>4</v>
      </c>
      <c r="L2133" s="4"/>
    </row>
    <row r="2134" spans="1:12" x14ac:dyDescent="0.3">
      <c r="A2134" s="1">
        <v>42391</v>
      </c>
      <c r="B2134" s="1">
        <v>42395</v>
      </c>
      <c r="C2134" t="s">
        <v>7</v>
      </c>
      <c r="D2134" t="s">
        <v>419</v>
      </c>
      <c r="E2134" t="s">
        <v>420</v>
      </c>
      <c r="F2134" t="s">
        <v>56</v>
      </c>
      <c r="G2134" t="s">
        <v>12</v>
      </c>
      <c r="H2134" t="s">
        <v>13</v>
      </c>
      <c r="I2134" t="s">
        <v>2469</v>
      </c>
      <c r="J2134" s="2">
        <v>84.98</v>
      </c>
      <c r="K2134">
        <v>1</v>
      </c>
      <c r="L2134" s="4"/>
    </row>
    <row r="2135" spans="1:12" x14ac:dyDescent="0.3">
      <c r="A2135" s="1">
        <v>42391</v>
      </c>
      <c r="B2135" s="1">
        <v>42395</v>
      </c>
      <c r="C2135" t="s">
        <v>7</v>
      </c>
      <c r="D2135" t="s">
        <v>419</v>
      </c>
      <c r="E2135" t="s">
        <v>420</v>
      </c>
      <c r="F2135" t="s">
        <v>56</v>
      </c>
      <c r="G2135" t="s">
        <v>4</v>
      </c>
      <c r="H2135" t="s">
        <v>26</v>
      </c>
      <c r="I2135" t="s">
        <v>2043</v>
      </c>
      <c r="J2135" s="2">
        <v>18.72</v>
      </c>
      <c r="K2135">
        <v>5</v>
      </c>
      <c r="L2135" s="4"/>
    </row>
    <row r="2136" spans="1:12" x14ac:dyDescent="0.3">
      <c r="A2136" s="1">
        <v>42392</v>
      </c>
      <c r="B2136" s="1">
        <v>42397</v>
      </c>
      <c r="C2136" t="s">
        <v>7</v>
      </c>
      <c r="D2136" t="s">
        <v>2470</v>
      </c>
      <c r="E2136" t="s">
        <v>2471</v>
      </c>
      <c r="F2136" t="s">
        <v>228</v>
      </c>
      <c r="G2136" t="s">
        <v>74</v>
      </c>
      <c r="H2136" t="s">
        <v>534</v>
      </c>
      <c r="I2136" t="s">
        <v>2472</v>
      </c>
      <c r="J2136" s="2">
        <v>2999.95</v>
      </c>
      <c r="K2136">
        <v>5</v>
      </c>
      <c r="L2136" s="4"/>
    </row>
    <row r="2137" spans="1:12" x14ac:dyDescent="0.3">
      <c r="A2137" s="1">
        <v>42392</v>
      </c>
      <c r="B2137" s="1">
        <v>42397</v>
      </c>
      <c r="C2137" t="s">
        <v>7</v>
      </c>
      <c r="D2137" t="s">
        <v>2470</v>
      </c>
      <c r="E2137" t="s">
        <v>2471</v>
      </c>
      <c r="F2137" t="s">
        <v>228</v>
      </c>
      <c r="G2137" t="s">
        <v>4</v>
      </c>
      <c r="H2137" t="s">
        <v>10</v>
      </c>
      <c r="I2137" t="s">
        <v>1107</v>
      </c>
      <c r="J2137" s="2">
        <v>51.449999999999996</v>
      </c>
      <c r="K2137">
        <v>3</v>
      </c>
      <c r="L2137" s="4"/>
    </row>
    <row r="2138" spans="1:12" x14ac:dyDescent="0.3">
      <c r="A2138" s="1">
        <v>42392</v>
      </c>
      <c r="B2138" s="1">
        <v>42397</v>
      </c>
      <c r="C2138" t="s">
        <v>7</v>
      </c>
      <c r="D2138" t="s">
        <v>2470</v>
      </c>
      <c r="E2138" t="s">
        <v>2471</v>
      </c>
      <c r="F2138" t="s">
        <v>228</v>
      </c>
      <c r="G2138" t="s">
        <v>4</v>
      </c>
      <c r="H2138" t="s">
        <v>5</v>
      </c>
      <c r="I2138" t="s">
        <v>557</v>
      </c>
      <c r="J2138" s="2">
        <v>11.96</v>
      </c>
      <c r="K2138">
        <v>2</v>
      </c>
      <c r="L2138" s="4"/>
    </row>
    <row r="2139" spans="1:12" x14ac:dyDescent="0.3">
      <c r="A2139" s="1">
        <v>42392</v>
      </c>
      <c r="B2139" s="1">
        <v>42397</v>
      </c>
      <c r="C2139" t="s">
        <v>7</v>
      </c>
      <c r="D2139" t="s">
        <v>2470</v>
      </c>
      <c r="E2139" t="s">
        <v>2471</v>
      </c>
      <c r="F2139" t="s">
        <v>228</v>
      </c>
      <c r="G2139" t="s">
        <v>4</v>
      </c>
      <c r="H2139" t="s">
        <v>10</v>
      </c>
      <c r="I2139" t="s">
        <v>2473</v>
      </c>
      <c r="J2139" s="2">
        <v>1126.02</v>
      </c>
      <c r="K2139">
        <v>3</v>
      </c>
      <c r="L2139" s="4"/>
    </row>
    <row r="2140" spans="1:12" x14ac:dyDescent="0.3">
      <c r="A2140" s="1">
        <v>42393</v>
      </c>
      <c r="B2140" s="1">
        <v>42398</v>
      </c>
      <c r="C2140" t="s">
        <v>7</v>
      </c>
      <c r="D2140" t="s">
        <v>1723</v>
      </c>
      <c r="E2140" t="s">
        <v>1724</v>
      </c>
      <c r="F2140" t="s">
        <v>56</v>
      </c>
      <c r="G2140" t="s">
        <v>4</v>
      </c>
      <c r="H2140" t="s">
        <v>26</v>
      </c>
      <c r="I2140" t="s">
        <v>1605</v>
      </c>
      <c r="J2140" s="2">
        <v>19.68</v>
      </c>
      <c r="K2140">
        <v>5</v>
      </c>
      <c r="L2140" s="4"/>
    </row>
    <row r="2141" spans="1:12" x14ac:dyDescent="0.3">
      <c r="A2141" s="1">
        <v>42393</v>
      </c>
      <c r="B2141" s="1">
        <v>42398</v>
      </c>
      <c r="C2141" t="s">
        <v>7</v>
      </c>
      <c r="D2141" t="s">
        <v>1723</v>
      </c>
      <c r="E2141" t="s">
        <v>1724</v>
      </c>
      <c r="F2141" t="s">
        <v>56</v>
      </c>
      <c r="G2141" t="s">
        <v>4</v>
      </c>
      <c r="H2141" t="s">
        <v>5</v>
      </c>
      <c r="I2141" t="s">
        <v>2474</v>
      </c>
      <c r="J2141" s="2">
        <v>25.92</v>
      </c>
      <c r="K2141">
        <v>4</v>
      </c>
      <c r="L2141" s="4"/>
    </row>
    <row r="2142" spans="1:12" x14ac:dyDescent="0.3">
      <c r="A2142" s="1">
        <v>42393</v>
      </c>
      <c r="B2142" s="1">
        <v>42398</v>
      </c>
      <c r="C2142" t="s">
        <v>7</v>
      </c>
      <c r="D2142" t="s">
        <v>1723</v>
      </c>
      <c r="E2142" t="s">
        <v>1724</v>
      </c>
      <c r="F2142" t="s">
        <v>56</v>
      </c>
      <c r="G2142" t="s">
        <v>4</v>
      </c>
      <c r="H2142" t="s">
        <v>5</v>
      </c>
      <c r="I2142" t="s">
        <v>2387</v>
      </c>
      <c r="J2142" s="2">
        <v>6.48</v>
      </c>
      <c r="K2142">
        <v>1</v>
      </c>
      <c r="L2142" s="4"/>
    </row>
    <row r="2143" spans="1:12" x14ac:dyDescent="0.3">
      <c r="A2143" s="1">
        <v>42393</v>
      </c>
      <c r="B2143" s="1">
        <v>42398</v>
      </c>
      <c r="C2143" t="s">
        <v>7</v>
      </c>
      <c r="D2143" t="s">
        <v>1723</v>
      </c>
      <c r="E2143" t="s">
        <v>1724</v>
      </c>
      <c r="F2143" t="s">
        <v>56</v>
      </c>
      <c r="G2143" t="s">
        <v>74</v>
      </c>
      <c r="H2143" t="s">
        <v>147</v>
      </c>
      <c r="I2143" t="s">
        <v>165</v>
      </c>
      <c r="J2143" s="2">
        <v>86.352000000000004</v>
      </c>
      <c r="K2143">
        <v>6</v>
      </c>
      <c r="L2143" s="4"/>
    </row>
    <row r="2144" spans="1:12" x14ac:dyDescent="0.3">
      <c r="A2144" s="1">
        <v>42393</v>
      </c>
      <c r="B2144" s="1">
        <v>42397</v>
      </c>
      <c r="C2144" t="s">
        <v>7</v>
      </c>
      <c r="D2144" t="s">
        <v>281</v>
      </c>
      <c r="E2144" t="s">
        <v>282</v>
      </c>
      <c r="F2144" t="s">
        <v>25</v>
      </c>
      <c r="G2144" t="s">
        <v>74</v>
      </c>
      <c r="H2144" t="s">
        <v>75</v>
      </c>
      <c r="I2144" t="s">
        <v>1364</v>
      </c>
      <c r="J2144" s="2">
        <v>95.984000000000009</v>
      </c>
      <c r="K2144">
        <v>2</v>
      </c>
      <c r="L2144" s="4"/>
    </row>
    <row r="2145" spans="1:12" x14ac:dyDescent="0.3">
      <c r="A2145" s="1">
        <v>42393</v>
      </c>
      <c r="B2145" s="1">
        <v>42397</v>
      </c>
      <c r="C2145" t="s">
        <v>7</v>
      </c>
      <c r="D2145" t="s">
        <v>281</v>
      </c>
      <c r="E2145" t="s">
        <v>282</v>
      </c>
      <c r="F2145" t="s">
        <v>25</v>
      </c>
      <c r="G2145" t="s">
        <v>4</v>
      </c>
      <c r="H2145" t="s">
        <v>26</v>
      </c>
      <c r="I2145" t="s">
        <v>507</v>
      </c>
      <c r="J2145" s="2">
        <v>4.9380000000000006</v>
      </c>
      <c r="K2145">
        <v>2</v>
      </c>
      <c r="L2145" s="4"/>
    </row>
    <row r="2146" spans="1:12" x14ac:dyDescent="0.3">
      <c r="A2146" s="1">
        <v>42394</v>
      </c>
      <c r="B2146" s="1">
        <v>42399</v>
      </c>
      <c r="C2146" t="s">
        <v>7</v>
      </c>
      <c r="D2146" t="s">
        <v>2222</v>
      </c>
      <c r="E2146" t="s">
        <v>2223</v>
      </c>
      <c r="F2146" t="s">
        <v>3</v>
      </c>
      <c r="G2146" t="s">
        <v>4</v>
      </c>
      <c r="H2146" t="s">
        <v>20</v>
      </c>
      <c r="I2146" t="s">
        <v>2172</v>
      </c>
      <c r="J2146" s="2">
        <v>25.86</v>
      </c>
      <c r="K2146">
        <v>3</v>
      </c>
      <c r="L2146" s="4"/>
    </row>
    <row r="2147" spans="1:12" x14ac:dyDescent="0.3">
      <c r="A2147" s="1">
        <v>42394</v>
      </c>
      <c r="B2147" s="1">
        <v>42399</v>
      </c>
      <c r="C2147" t="s">
        <v>7</v>
      </c>
      <c r="D2147" t="s">
        <v>2222</v>
      </c>
      <c r="E2147" t="s">
        <v>2223</v>
      </c>
      <c r="F2147" t="s">
        <v>3</v>
      </c>
      <c r="G2147" t="s">
        <v>4</v>
      </c>
      <c r="H2147" t="s">
        <v>26</v>
      </c>
      <c r="I2147" t="s">
        <v>2207</v>
      </c>
      <c r="J2147" s="2">
        <v>276.78400000000005</v>
      </c>
      <c r="K2147">
        <v>2</v>
      </c>
      <c r="L2147" s="4"/>
    </row>
    <row r="2148" spans="1:12" x14ac:dyDescent="0.3">
      <c r="A2148" s="1">
        <v>42394</v>
      </c>
      <c r="B2148" s="1">
        <v>42399</v>
      </c>
      <c r="C2148" t="s">
        <v>7</v>
      </c>
      <c r="D2148" t="s">
        <v>2222</v>
      </c>
      <c r="E2148" t="s">
        <v>2223</v>
      </c>
      <c r="F2148" t="s">
        <v>3</v>
      </c>
      <c r="G2148" t="s">
        <v>74</v>
      </c>
      <c r="H2148" t="s">
        <v>147</v>
      </c>
      <c r="I2148" t="s">
        <v>1771</v>
      </c>
      <c r="J2148" s="2">
        <v>110.352</v>
      </c>
      <c r="K2148">
        <v>3</v>
      </c>
      <c r="L2148" s="4"/>
    </row>
    <row r="2149" spans="1:12" x14ac:dyDescent="0.3">
      <c r="A2149" s="1">
        <v>42396</v>
      </c>
      <c r="B2149" s="1">
        <v>42400</v>
      </c>
      <c r="C2149" t="s">
        <v>7</v>
      </c>
      <c r="D2149" t="s">
        <v>2475</v>
      </c>
      <c r="E2149" t="s">
        <v>2476</v>
      </c>
      <c r="F2149" t="s">
        <v>3</v>
      </c>
      <c r="G2149" t="s">
        <v>4</v>
      </c>
      <c r="H2149" t="s">
        <v>52</v>
      </c>
      <c r="I2149" t="s">
        <v>215</v>
      </c>
      <c r="J2149" s="2">
        <v>11.84</v>
      </c>
      <c r="K2149">
        <v>8</v>
      </c>
      <c r="L2149" s="4"/>
    </row>
    <row r="2150" spans="1:12" x14ac:dyDescent="0.3">
      <c r="A2150" s="1">
        <v>42398</v>
      </c>
      <c r="B2150" s="1">
        <v>42401</v>
      </c>
      <c r="C2150" t="s">
        <v>0</v>
      </c>
      <c r="D2150" t="s">
        <v>261</v>
      </c>
      <c r="E2150" t="s">
        <v>262</v>
      </c>
      <c r="F2150" t="s">
        <v>3</v>
      </c>
      <c r="G2150" t="s">
        <v>74</v>
      </c>
      <c r="H2150" t="s">
        <v>75</v>
      </c>
      <c r="I2150" t="s">
        <v>2477</v>
      </c>
      <c r="J2150" s="2">
        <v>239.96999999999997</v>
      </c>
      <c r="K2150">
        <v>3</v>
      </c>
      <c r="L2150" s="4"/>
    </row>
    <row r="2151" spans="1:12" x14ac:dyDescent="0.3">
      <c r="A2151" s="1">
        <v>42398</v>
      </c>
      <c r="B2151" s="1">
        <v>42401</v>
      </c>
      <c r="C2151" t="s">
        <v>0</v>
      </c>
      <c r="D2151" t="s">
        <v>261</v>
      </c>
      <c r="E2151" t="s">
        <v>262</v>
      </c>
      <c r="F2151" t="s">
        <v>3</v>
      </c>
      <c r="G2151" t="s">
        <v>12</v>
      </c>
      <c r="H2151" t="s">
        <v>35</v>
      </c>
      <c r="I2151" t="s">
        <v>2478</v>
      </c>
      <c r="J2151" s="2">
        <v>37.74</v>
      </c>
      <c r="K2151">
        <v>3</v>
      </c>
      <c r="L2151" s="4"/>
    </row>
    <row r="2152" spans="1:12" x14ac:dyDescent="0.3">
      <c r="A2152" s="1">
        <v>42399</v>
      </c>
      <c r="B2152" s="1">
        <v>42403</v>
      </c>
      <c r="C2152" t="s">
        <v>7</v>
      </c>
      <c r="D2152" t="s">
        <v>946</v>
      </c>
      <c r="E2152" t="s">
        <v>947</v>
      </c>
      <c r="F2152" t="s">
        <v>3</v>
      </c>
      <c r="G2152" t="s">
        <v>4</v>
      </c>
      <c r="H2152" t="s">
        <v>15</v>
      </c>
      <c r="I2152" t="s">
        <v>2479</v>
      </c>
      <c r="J2152" s="2">
        <v>8.34</v>
      </c>
      <c r="K2152">
        <v>3</v>
      </c>
      <c r="L2152" s="4"/>
    </row>
    <row r="2153" spans="1:12" x14ac:dyDescent="0.3">
      <c r="A2153" s="1">
        <v>42399</v>
      </c>
      <c r="B2153" s="1">
        <v>42403</v>
      </c>
      <c r="C2153" t="s">
        <v>7</v>
      </c>
      <c r="D2153" t="s">
        <v>946</v>
      </c>
      <c r="E2153" t="s">
        <v>947</v>
      </c>
      <c r="F2153" t="s">
        <v>3</v>
      </c>
      <c r="G2153" t="s">
        <v>4</v>
      </c>
      <c r="H2153" t="s">
        <v>78</v>
      </c>
      <c r="I2153" t="s">
        <v>980</v>
      </c>
      <c r="J2153" s="2">
        <v>8.57</v>
      </c>
      <c r="K2153">
        <v>1</v>
      </c>
      <c r="L2153" s="4"/>
    </row>
    <row r="2154" spans="1:12" x14ac:dyDescent="0.3">
      <c r="A2154" s="1">
        <v>42399</v>
      </c>
      <c r="B2154" s="1">
        <v>42403</v>
      </c>
      <c r="C2154" t="s">
        <v>7</v>
      </c>
      <c r="D2154" t="s">
        <v>946</v>
      </c>
      <c r="E2154" t="s">
        <v>947</v>
      </c>
      <c r="F2154" t="s">
        <v>3</v>
      </c>
      <c r="G2154" t="s">
        <v>4</v>
      </c>
      <c r="H2154" t="s">
        <v>26</v>
      </c>
      <c r="I2154" t="s">
        <v>453</v>
      </c>
      <c r="J2154" s="2">
        <v>119.61600000000001</v>
      </c>
      <c r="K2154">
        <v>8</v>
      </c>
      <c r="L2154" s="4"/>
    </row>
    <row r="2155" spans="1:12" x14ac:dyDescent="0.3">
      <c r="A2155" s="1">
        <v>42400</v>
      </c>
      <c r="B2155" s="1">
        <v>42400</v>
      </c>
      <c r="C2155" t="s">
        <v>240</v>
      </c>
      <c r="D2155" t="s">
        <v>2480</v>
      </c>
      <c r="E2155" t="s">
        <v>2481</v>
      </c>
      <c r="F2155" t="s">
        <v>3</v>
      </c>
      <c r="G2155" t="s">
        <v>4</v>
      </c>
      <c r="H2155" t="s">
        <v>10</v>
      </c>
      <c r="I2155" t="s">
        <v>2482</v>
      </c>
      <c r="J2155" s="2">
        <v>129.30000000000001</v>
      </c>
      <c r="K2155">
        <v>2</v>
      </c>
      <c r="L2155" s="4"/>
    </row>
    <row r="2156" spans="1:12" x14ac:dyDescent="0.3">
      <c r="A2156" s="1">
        <v>42400</v>
      </c>
      <c r="B2156" s="1">
        <v>42407</v>
      </c>
      <c r="C2156" t="s">
        <v>7</v>
      </c>
      <c r="D2156" t="s">
        <v>798</v>
      </c>
      <c r="E2156" t="s">
        <v>799</v>
      </c>
      <c r="F2156" t="s">
        <v>3</v>
      </c>
      <c r="G2156" t="s">
        <v>4</v>
      </c>
      <c r="H2156" t="s">
        <v>15</v>
      </c>
      <c r="I2156" t="s">
        <v>2208</v>
      </c>
      <c r="J2156" s="2">
        <v>12.74</v>
      </c>
      <c r="K2156">
        <v>7</v>
      </c>
      <c r="L2156" s="4"/>
    </row>
    <row r="2157" spans="1:12" x14ac:dyDescent="0.3">
      <c r="A2157" s="1">
        <v>42400</v>
      </c>
      <c r="B2157" s="1">
        <v>42407</v>
      </c>
      <c r="C2157" t="s">
        <v>7</v>
      </c>
      <c r="D2157" t="s">
        <v>798</v>
      </c>
      <c r="E2157" t="s">
        <v>799</v>
      </c>
      <c r="F2157" t="s">
        <v>3</v>
      </c>
      <c r="G2157" t="s">
        <v>4</v>
      </c>
      <c r="H2157" t="s">
        <v>15</v>
      </c>
      <c r="I2157" t="s">
        <v>2343</v>
      </c>
      <c r="J2157" s="2">
        <v>8.82</v>
      </c>
      <c r="K2157">
        <v>3</v>
      </c>
      <c r="L2157" s="4"/>
    </row>
    <row r="2158" spans="1:12" x14ac:dyDescent="0.3">
      <c r="A2158" s="1">
        <v>42400</v>
      </c>
      <c r="B2158" s="1">
        <v>42407</v>
      </c>
      <c r="C2158" t="s">
        <v>7</v>
      </c>
      <c r="D2158" t="s">
        <v>798</v>
      </c>
      <c r="E2158" t="s">
        <v>799</v>
      </c>
      <c r="F2158" t="s">
        <v>3</v>
      </c>
      <c r="G2158" t="s">
        <v>12</v>
      </c>
      <c r="H2158" t="s">
        <v>70</v>
      </c>
      <c r="I2158" t="s">
        <v>940</v>
      </c>
      <c r="J2158" s="2">
        <v>120.78399999999999</v>
      </c>
      <c r="K2158">
        <v>1</v>
      </c>
      <c r="L2158" s="4"/>
    </row>
    <row r="2159" spans="1:12" x14ac:dyDescent="0.3">
      <c r="A2159" s="1">
        <v>42400</v>
      </c>
      <c r="B2159" s="1">
        <v>42403</v>
      </c>
      <c r="C2159" t="s">
        <v>22</v>
      </c>
      <c r="D2159" t="s">
        <v>2183</v>
      </c>
      <c r="E2159" t="s">
        <v>2184</v>
      </c>
      <c r="F2159" t="s">
        <v>56</v>
      </c>
      <c r="G2159" t="s">
        <v>74</v>
      </c>
      <c r="H2159" t="s">
        <v>147</v>
      </c>
      <c r="I2159" t="s">
        <v>355</v>
      </c>
      <c r="J2159" s="2">
        <v>604.76800000000003</v>
      </c>
      <c r="K2159">
        <v>4</v>
      </c>
      <c r="L2159" s="4"/>
    </row>
    <row r="2160" spans="1:12" x14ac:dyDescent="0.3">
      <c r="A2160" s="1">
        <v>42403</v>
      </c>
      <c r="B2160" s="1">
        <v>42408</v>
      </c>
      <c r="C2160" t="s">
        <v>7</v>
      </c>
      <c r="D2160" t="s">
        <v>245</v>
      </c>
      <c r="E2160" t="s">
        <v>246</v>
      </c>
      <c r="F2160" t="s">
        <v>3</v>
      </c>
      <c r="G2160" t="s">
        <v>12</v>
      </c>
      <c r="H2160" t="s">
        <v>35</v>
      </c>
      <c r="I2160" t="s">
        <v>2104</v>
      </c>
      <c r="J2160" s="2">
        <v>86.26</v>
      </c>
      <c r="K2160">
        <v>2</v>
      </c>
      <c r="L2160" s="4"/>
    </row>
    <row r="2161" spans="1:12" x14ac:dyDescent="0.3">
      <c r="A2161" s="1">
        <v>42403</v>
      </c>
      <c r="B2161" s="1">
        <v>42408</v>
      </c>
      <c r="C2161" t="s">
        <v>7</v>
      </c>
      <c r="D2161" t="s">
        <v>245</v>
      </c>
      <c r="E2161" t="s">
        <v>246</v>
      </c>
      <c r="F2161" t="s">
        <v>3</v>
      </c>
      <c r="G2161" t="s">
        <v>4</v>
      </c>
      <c r="H2161" t="s">
        <v>10</v>
      </c>
      <c r="I2161" t="s">
        <v>2483</v>
      </c>
      <c r="J2161" s="2">
        <v>139.04</v>
      </c>
      <c r="K2161">
        <v>4</v>
      </c>
      <c r="L2161" s="4"/>
    </row>
    <row r="2162" spans="1:12" x14ac:dyDescent="0.3">
      <c r="A2162" s="1">
        <v>42403</v>
      </c>
      <c r="B2162" s="1">
        <v>42408</v>
      </c>
      <c r="C2162" t="s">
        <v>7</v>
      </c>
      <c r="D2162" t="s">
        <v>245</v>
      </c>
      <c r="E2162" t="s">
        <v>246</v>
      </c>
      <c r="F2162" t="s">
        <v>3</v>
      </c>
      <c r="G2162" t="s">
        <v>4</v>
      </c>
      <c r="H2162" t="s">
        <v>20</v>
      </c>
      <c r="I2162" t="s">
        <v>2407</v>
      </c>
      <c r="J2162" s="2">
        <v>46.8</v>
      </c>
      <c r="K2162">
        <v>4</v>
      </c>
      <c r="L2162" s="4"/>
    </row>
    <row r="2163" spans="1:12" x14ac:dyDescent="0.3">
      <c r="A2163" s="1">
        <v>42403</v>
      </c>
      <c r="B2163" s="1">
        <v>42408</v>
      </c>
      <c r="C2163" t="s">
        <v>7</v>
      </c>
      <c r="D2163" t="s">
        <v>1987</v>
      </c>
      <c r="E2163" t="s">
        <v>1988</v>
      </c>
      <c r="F2163" t="s">
        <v>3</v>
      </c>
      <c r="G2163" t="s">
        <v>12</v>
      </c>
      <c r="H2163" t="s">
        <v>35</v>
      </c>
      <c r="I2163" t="s">
        <v>2484</v>
      </c>
      <c r="J2163" s="2">
        <v>210.58</v>
      </c>
      <c r="K2163">
        <v>2</v>
      </c>
      <c r="L2163" s="4"/>
    </row>
    <row r="2164" spans="1:12" x14ac:dyDescent="0.3">
      <c r="A2164" s="1">
        <v>42403</v>
      </c>
      <c r="B2164" s="1">
        <v>42408</v>
      </c>
      <c r="C2164" t="s">
        <v>7</v>
      </c>
      <c r="D2164" t="s">
        <v>1987</v>
      </c>
      <c r="E2164" t="s">
        <v>1988</v>
      </c>
      <c r="F2164" t="s">
        <v>3</v>
      </c>
      <c r="G2164" t="s">
        <v>4</v>
      </c>
      <c r="H2164" t="s">
        <v>26</v>
      </c>
      <c r="I2164" t="s">
        <v>570</v>
      </c>
      <c r="J2164" s="2">
        <v>30.960000000000004</v>
      </c>
      <c r="K2164">
        <v>2</v>
      </c>
      <c r="L2164" s="4"/>
    </row>
    <row r="2165" spans="1:12" x14ac:dyDescent="0.3">
      <c r="A2165" s="1">
        <v>42403</v>
      </c>
      <c r="B2165" s="1">
        <v>42408</v>
      </c>
      <c r="C2165" t="s">
        <v>7</v>
      </c>
      <c r="D2165" t="s">
        <v>1987</v>
      </c>
      <c r="E2165" t="s">
        <v>1988</v>
      </c>
      <c r="F2165" t="s">
        <v>3</v>
      </c>
      <c r="G2165" t="s">
        <v>74</v>
      </c>
      <c r="H2165" t="s">
        <v>138</v>
      </c>
      <c r="I2165" t="s">
        <v>2485</v>
      </c>
      <c r="J2165" s="2">
        <v>239.98400000000004</v>
      </c>
      <c r="K2165">
        <v>2</v>
      </c>
      <c r="L2165" s="4"/>
    </row>
    <row r="2166" spans="1:12" x14ac:dyDescent="0.3">
      <c r="A2166" s="1">
        <v>42406</v>
      </c>
      <c r="B2166" s="1">
        <v>42410</v>
      </c>
      <c r="C2166" t="s">
        <v>7</v>
      </c>
      <c r="D2166" t="s">
        <v>762</v>
      </c>
      <c r="E2166" t="s">
        <v>763</v>
      </c>
      <c r="F2166" t="s">
        <v>3</v>
      </c>
      <c r="G2166" t="s">
        <v>4</v>
      </c>
      <c r="H2166" t="s">
        <v>20</v>
      </c>
      <c r="I2166" t="s">
        <v>1624</v>
      </c>
      <c r="J2166" s="2">
        <v>1640.6999999999998</v>
      </c>
      <c r="K2166">
        <v>5</v>
      </c>
      <c r="L2166" s="4"/>
    </row>
    <row r="2167" spans="1:12" x14ac:dyDescent="0.3">
      <c r="A2167" s="1">
        <v>42406</v>
      </c>
      <c r="B2167" s="1">
        <v>42410</v>
      </c>
      <c r="C2167" t="s">
        <v>7</v>
      </c>
      <c r="D2167" t="s">
        <v>762</v>
      </c>
      <c r="E2167" t="s">
        <v>763</v>
      </c>
      <c r="F2167" t="s">
        <v>3</v>
      </c>
      <c r="G2167" t="s">
        <v>74</v>
      </c>
      <c r="H2167" t="s">
        <v>147</v>
      </c>
      <c r="I2167" t="s">
        <v>1867</v>
      </c>
      <c r="J2167" s="2">
        <v>371.2</v>
      </c>
      <c r="K2167">
        <v>5</v>
      </c>
      <c r="L2167" s="4"/>
    </row>
    <row r="2168" spans="1:12" x14ac:dyDescent="0.3">
      <c r="A2168" s="1">
        <v>42407</v>
      </c>
      <c r="B2168" s="1">
        <v>42414</v>
      </c>
      <c r="C2168" t="s">
        <v>7</v>
      </c>
      <c r="D2168" t="s">
        <v>1381</v>
      </c>
      <c r="E2168" t="s">
        <v>1382</v>
      </c>
      <c r="F2168" t="s">
        <v>3</v>
      </c>
      <c r="G2168" t="s">
        <v>4</v>
      </c>
      <c r="H2168" t="s">
        <v>5</v>
      </c>
      <c r="I2168" t="s">
        <v>2486</v>
      </c>
      <c r="J2168" s="2">
        <v>29.900000000000002</v>
      </c>
      <c r="K2168">
        <v>5</v>
      </c>
      <c r="L2168" s="4"/>
    </row>
    <row r="2169" spans="1:12" x14ac:dyDescent="0.3">
      <c r="A2169" s="1">
        <v>42410</v>
      </c>
      <c r="B2169" s="1">
        <v>42415</v>
      </c>
      <c r="C2169" t="s">
        <v>0</v>
      </c>
      <c r="D2169" t="s">
        <v>72</v>
      </c>
      <c r="E2169" t="s">
        <v>73</v>
      </c>
      <c r="F2169" t="s">
        <v>3</v>
      </c>
      <c r="G2169" t="s">
        <v>12</v>
      </c>
      <c r="H2169" t="s">
        <v>35</v>
      </c>
      <c r="I2169" t="s">
        <v>2487</v>
      </c>
      <c r="J2169" s="2">
        <v>21.12</v>
      </c>
      <c r="K2169">
        <v>4</v>
      </c>
      <c r="L2169" s="4"/>
    </row>
    <row r="2170" spans="1:12" x14ac:dyDescent="0.3">
      <c r="A2170" s="1">
        <v>42410</v>
      </c>
      <c r="B2170" s="1">
        <v>42414</v>
      </c>
      <c r="C2170" t="s">
        <v>7</v>
      </c>
      <c r="D2170" t="s">
        <v>2488</v>
      </c>
      <c r="E2170" t="s">
        <v>2489</v>
      </c>
      <c r="F2170" t="s">
        <v>3</v>
      </c>
      <c r="G2170" t="s">
        <v>4</v>
      </c>
      <c r="H2170" t="s">
        <v>10</v>
      </c>
      <c r="I2170" t="s">
        <v>2249</v>
      </c>
      <c r="J2170" s="2">
        <v>354.90000000000003</v>
      </c>
      <c r="K2170">
        <v>5</v>
      </c>
      <c r="L2170" s="4"/>
    </row>
    <row r="2171" spans="1:12" x14ac:dyDescent="0.3">
      <c r="A2171" s="1">
        <v>42411</v>
      </c>
      <c r="B2171" s="1">
        <v>42415</v>
      </c>
      <c r="C2171" t="s">
        <v>7</v>
      </c>
      <c r="D2171" t="s">
        <v>2420</v>
      </c>
      <c r="E2171" t="s">
        <v>2421</v>
      </c>
      <c r="F2171" t="s">
        <v>3</v>
      </c>
      <c r="G2171" t="s">
        <v>12</v>
      </c>
      <c r="H2171" t="s">
        <v>13</v>
      </c>
      <c r="I2171" t="s">
        <v>914</v>
      </c>
      <c r="J2171" s="2">
        <v>203.98299999999998</v>
      </c>
      <c r="K2171">
        <v>2</v>
      </c>
      <c r="L2171" s="4"/>
    </row>
    <row r="2172" spans="1:12" x14ac:dyDescent="0.3">
      <c r="A2172" s="1">
        <v>42412</v>
      </c>
      <c r="B2172" s="1">
        <v>42415</v>
      </c>
      <c r="C2172" t="s">
        <v>0</v>
      </c>
      <c r="D2172" t="s">
        <v>1153</v>
      </c>
      <c r="E2172" t="s">
        <v>1154</v>
      </c>
      <c r="F2172" t="s">
        <v>3</v>
      </c>
      <c r="G2172" t="s">
        <v>4</v>
      </c>
      <c r="H2172" t="s">
        <v>26</v>
      </c>
      <c r="I2172" t="s">
        <v>444</v>
      </c>
      <c r="J2172" s="2">
        <v>21.335999999999999</v>
      </c>
      <c r="K2172">
        <v>7</v>
      </c>
      <c r="L2172" s="4"/>
    </row>
    <row r="2173" spans="1:12" x14ac:dyDescent="0.3">
      <c r="A2173" s="1">
        <v>42412</v>
      </c>
      <c r="B2173" s="1">
        <v>42414</v>
      </c>
      <c r="C2173" t="s">
        <v>0</v>
      </c>
      <c r="D2173" t="s">
        <v>1540</v>
      </c>
      <c r="E2173" t="s">
        <v>1541</v>
      </c>
      <c r="F2173" t="s">
        <v>56</v>
      </c>
      <c r="G2173" t="s">
        <v>12</v>
      </c>
      <c r="H2173" t="s">
        <v>70</v>
      </c>
      <c r="I2173" t="s">
        <v>112</v>
      </c>
      <c r="J2173" s="2">
        <v>963.13600000000008</v>
      </c>
      <c r="K2173">
        <v>4</v>
      </c>
      <c r="L2173" s="4"/>
    </row>
    <row r="2174" spans="1:12" x14ac:dyDescent="0.3">
      <c r="A2174" s="1">
        <v>42412</v>
      </c>
      <c r="B2174" s="1">
        <v>42414</v>
      </c>
      <c r="C2174" t="s">
        <v>0</v>
      </c>
      <c r="D2174" t="s">
        <v>1540</v>
      </c>
      <c r="E2174" t="s">
        <v>1541</v>
      </c>
      <c r="F2174" t="s">
        <v>56</v>
      </c>
      <c r="G2174" t="s">
        <v>74</v>
      </c>
      <c r="H2174" t="s">
        <v>147</v>
      </c>
      <c r="I2174" t="s">
        <v>1286</v>
      </c>
      <c r="J2174" s="2">
        <v>88.77600000000001</v>
      </c>
      <c r="K2174">
        <v>3</v>
      </c>
      <c r="L2174" s="4"/>
    </row>
    <row r="2175" spans="1:12" x14ac:dyDescent="0.3">
      <c r="A2175" s="1">
        <v>42414</v>
      </c>
      <c r="B2175" s="1">
        <v>42420</v>
      </c>
      <c r="C2175" t="s">
        <v>7</v>
      </c>
      <c r="D2175" t="s">
        <v>2490</v>
      </c>
      <c r="E2175" t="s">
        <v>2491</v>
      </c>
      <c r="F2175" t="s">
        <v>56</v>
      </c>
      <c r="G2175" t="s">
        <v>4</v>
      </c>
      <c r="H2175" t="s">
        <v>15</v>
      </c>
      <c r="I2175" t="s">
        <v>1347</v>
      </c>
      <c r="J2175" s="2">
        <v>6.63</v>
      </c>
      <c r="K2175">
        <v>3</v>
      </c>
      <c r="L2175" s="4"/>
    </row>
    <row r="2176" spans="1:12" x14ac:dyDescent="0.3">
      <c r="A2176" s="1">
        <v>42414</v>
      </c>
      <c r="B2176" s="1">
        <v>42420</v>
      </c>
      <c r="C2176" t="s">
        <v>7</v>
      </c>
      <c r="D2176" t="s">
        <v>2490</v>
      </c>
      <c r="E2176" t="s">
        <v>2491</v>
      </c>
      <c r="F2176" t="s">
        <v>56</v>
      </c>
      <c r="G2176" t="s">
        <v>74</v>
      </c>
      <c r="H2176" t="s">
        <v>75</v>
      </c>
      <c r="I2176" t="s">
        <v>2297</v>
      </c>
      <c r="J2176" s="2">
        <v>799.96</v>
      </c>
      <c r="K2176">
        <v>4</v>
      </c>
      <c r="L2176" s="4"/>
    </row>
    <row r="2177" spans="1:12" x14ac:dyDescent="0.3">
      <c r="A2177" s="1">
        <v>42414</v>
      </c>
      <c r="B2177" s="1">
        <v>42420</v>
      </c>
      <c r="C2177" t="s">
        <v>7</v>
      </c>
      <c r="D2177" t="s">
        <v>2490</v>
      </c>
      <c r="E2177" t="s">
        <v>2491</v>
      </c>
      <c r="F2177" t="s">
        <v>56</v>
      </c>
      <c r="G2177" t="s">
        <v>12</v>
      </c>
      <c r="H2177" t="s">
        <v>35</v>
      </c>
      <c r="I2177" t="s">
        <v>2492</v>
      </c>
      <c r="J2177" s="2">
        <v>107.53</v>
      </c>
      <c r="K2177">
        <v>1</v>
      </c>
      <c r="L2177" s="4"/>
    </row>
    <row r="2178" spans="1:12" x14ac:dyDescent="0.3">
      <c r="A2178" s="1">
        <v>42419</v>
      </c>
      <c r="B2178" s="1">
        <v>42422</v>
      </c>
      <c r="C2178" t="s">
        <v>0</v>
      </c>
      <c r="D2178" t="s">
        <v>2177</v>
      </c>
      <c r="E2178" t="s">
        <v>2178</v>
      </c>
      <c r="F2178" t="s">
        <v>3</v>
      </c>
      <c r="G2178" t="s">
        <v>74</v>
      </c>
      <c r="H2178" t="s">
        <v>147</v>
      </c>
      <c r="I2178" t="s">
        <v>2129</v>
      </c>
      <c r="J2178" s="2">
        <v>167.976</v>
      </c>
      <c r="K2178">
        <v>3</v>
      </c>
      <c r="L2178" s="4"/>
    </row>
    <row r="2179" spans="1:12" x14ac:dyDescent="0.3">
      <c r="A2179" s="1">
        <v>42419</v>
      </c>
      <c r="B2179" s="1">
        <v>42422</v>
      </c>
      <c r="C2179" t="s">
        <v>0</v>
      </c>
      <c r="D2179" t="s">
        <v>2177</v>
      </c>
      <c r="E2179" t="s">
        <v>2178</v>
      </c>
      <c r="F2179" t="s">
        <v>3</v>
      </c>
      <c r="G2179" t="s">
        <v>74</v>
      </c>
      <c r="H2179" t="s">
        <v>75</v>
      </c>
      <c r="I2179" t="s">
        <v>1496</v>
      </c>
      <c r="J2179" s="2">
        <v>109.53</v>
      </c>
      <c r="K2179">
        <v>3</v>
      </c>
      <c r="L2179" s="4"/>
    </row>
    <row r="2180" spans="1:12" x14ac:dyDescent="0.3">
      <c r="A2180" s="1">
        <v>42419</v>
      </c>
      <c r="B2180" s="1">
        <v>42422</v>
      </c>
      <c r="C2180" t="s">
        <v>0</v>
      </c>
      <c r="D2180" t="s">
        <v>2177</v>
      </c>
      <c r="E2180" t="s">
        <v>2178</v>
      </c>
      <c r="F2180" t="s">
        <v>3</v>
      </c>
      <c r="G2180" t="s">
        <v>4</v>
      </c>
      <c r="H2180" t="s">
        <v>168</v>
      </c>
      <c r="I2180" t="s">
        <v>2493</v>
      </c>
      <c r="J2180" s="2">
        <v>9.82</v>
      </c>
      <c r="K2180">
        <v>2</v>
      </c>
      <c r="L2180" s="4"/>
    </row>
    <row r="2181" spans="1:12" x14ac:dyDescent="0.3">
      <c r="A2181" s="1">
        <v>42420</v>
      </c>
      <c r="B2181" s="1">
        <v>42424</v>
      </c>
      <c r="C2181" t="s">
        <v>7</v>
      </c>
      <c r="D2181" t="s">
        <v>1567</v>
      </c>
      <c r="E2181" t="s">
        <v>1568</v>
      </c>
      <c r="F2181" t="s">
        <v>56</v>
      </c>
      <c r="G2181" t="s">
        <v>4</v>
      </c>
      <c r="H2181" t="s">
        <v>52</v>
      </c>
      <c r="I2181" t="s">
        <v>2494</v>
      </c>
      <c r="J2181" s="2">
        <v>11.22</v>
      </c>
      <c r="K2181">
        <v>3</v>
      </c>
      <c r="L2181" s="4"/>
    </row>
    <row r="2182" spans="1:12" x14ac:dyDescent="0.3">
      <c r="A2182" s="1">
        <v>42420</v>
      </c>
      <c r="B2182" s="1">
        <v>42421</v>
      </c>
      <c r="C2182" t="s">
        <v>22</v>
      </c>
      <c r="D2182" t="s">
        <v>545</v>
      </c>
      <c r="E2182" t="s">
        <v>546</v>
      </c>
      <c r="F2182" t="s">
        <v>3</v>
      </c>
      <c r="G2182" t="s">
        <v>4</v>
      </c>
      <c r="H2182" t="s">
        <v>15</v>
      </c>
      <c r="I2182" t="s">
        <v>1837</v>
      </c>
      <c r="J2182" s="2">
        <v>12.84</v>
      </c>
      <c r="K2182">
        <v>3</v>
      </c>
      <c r="L2182" s="4"/>
    </row>
    <row r="2183" spans="1:12" x14ac:dyDescent="0.3">
      <c r="A2183" s="1">
        <v>42420</v>
      </c>
      <c r="B2183" s="1">
        <v>42421</v>
      </c>
      <c r="C2183" t="s">
        <v>22</v>
      </c>
      <c r="D2183" t="s">
        <v>545</v>
      </c>
      <c r="E2183" t="s">
        <v>546</v>
      </c>
      <c r="F2183" t="s">
        <v>3</v>
      </c>
      <c r="G2183" t="s">
        <v>12</v>
      </c>
      <c r="H2183" t="s">
        <v>35</v>
      </c>
      <c r="I2183" t="s">
        <v>491</v>
      </c>
      <c r="J2183" s="2">
        <v>44.67</v>
      </c>
      <c r="K2183">
        <v>3</v>
      </c>
      <c r="L2183" s="4"/>
    </row>
    <row r="2184" spans="1:12" x14ac:dyDescent="0.3">
      <c r="A2184" s="1">
        <v>42421</v>
      </c>
      <c r="B2184" s="1">
        <v>42424</v>
      </c>
      <c r="C2184" t="s">
        <v>22</v>
      </c>
      <c r="D2184" t="s">
        <v>2495</v>
      </c>
      <c r="E2184" t="s">
        <v>2496</v>
      </c>
      <c r="F2184" t="s">
        <v>3</v>
      </c>
      <c r="G2184" t="s">
        <v>12</v>
      </c>
      <c r="H2184" t="s">
        <v>35</v>
      </c>
      <c r="I2184" t="s">
        <v>1056</v>
      </c>
      <c r="J2184" s="2">
        <v>22.23</v>
      </c>
      <c r="K2184">
        <v>1</v>
      </c>
      <c r="L2184" s="4"/>
    </row>
    <row r="2185" spans="1:12" x14ac:dyDescent="0.3">
      <c r="A2185" s="1">
        <v>42421</v>
      </c>
      <c r="B2185" s="1">
        <v>42424</v>
      </c>
      <c r="C2185" t="s">
        <v>22</v>
      </c>
      <c r="D2185" t="s">
        <v>2495</v>
      </c>
      <c r="E2185" t="s">
        <v>2496</v>
      </c>
      <c r="F2185" t="s">
        <v>3</v>
      </c>
      <c r="G2185" t="s">
        <v>74</v>
      </c>
      <c r="H2185" t="s">
        <v>147</v>
      </c>
      <c r="I2185" t="s">
        <v>956</v>
      </c>
      <c r="J2185" s="2">
        <v>215.96799999999999</v>
      </c>
      <c r="K2185">
        <v>2</v>
      </c>
      <c r="L2185" s="4"/>
    </row>
    <row r="2186" spans="1:12" x14ac:dyDescent="0.3">
      <c r="A2186" s="1">
        <v>42421</v>
      </c>
      <c r="B2186" s="1">
        <v>42426</v>
      </c>
      <c r="C2186" t="s">
        <v>0</v>
      </c>
      <c r="D2186" t="s">
        <v>1062</v>
      </c>
      <c r="E2186" t="s">
        <v>1063</v>
      </c>
      <c r="F2186" t="s">
        <v>115</v>
      </c>
      <c r="G2186" t="s">
        <v>4</v>
      </c>
      <c r="H2186" t="s">
        <v>52</v>
      </c>
      <c r="I2186" t="s">
        <v>53</v>
      </c>
      <c r="J2186" s="2">
        <v>9.4320000000000004</v>
      </c>
      <c r="K2186">
        <v>3</v>
      </c>
      <c r="L2186" s="4"/>
    </row>
    <row r="2187" spans="1:12" x14ac:dyDescent="0.3">
      <c r="A2187" s="1">
        <v>42421</v>
      </c>
      <c r="B2187" s="1">
        <v>42428</v>
      </c>
      <c r="C2187" t="s">
        <v>7</v>
      </c>
      <c r="D2187" t="s">
        <v>1776</v>
      </c>
      <c r="E2187" t="s">
        <v>1777</v>
      </c>
      <c r="F2187" t="s">
        <v>25</v>
      </c>
      <c r="G2187" t="s">
        <v>74</v>
      </c>
      <c r="H2187" t="s">
        <v>147</v>
      </c>
      <c r="I2187" t="s">
        <v>873</v>
      </c>
      <c r="J2187" s="2">
        <v>333.57600000000002</v>
      </c>
      <c r="K2187">
        <v>3</v>
      </c>
      <c r="L2187" s="4"/>
    </row>
    <row r="2188" spans="1:12" x14ac:dyDescent="0.3">
      <c r="A2188" s="1">
        <v>42421</v>
      </c>
      <c r="B2188" s="1">
        <v>42428</v>
      </c>
      <c r="C2188" t="s">
        <v>7</v>
      </c>
      <c r="D2188" t="s">
        <v>1776</v>
      </c>
      <c r="E2188" t="s">
        <v>1777</v>
      </c>
      <c r="F2188" t="s">
        <v>25</v>
      </c>
      <c r="G2188" t="s">
        <v>74</v>
      </c>
      <c r="H2188" t="s">
        <v>75</v>
      </c>
      <c r="I2188" t="s">
        <v>2497</v>
      </c>
      <c r="J2188" s="2">
        <v>31.992000000000004</v>
      </c>
      <c r="K2188">
        <v>1</v>
      </c>
      <c r="L2188" s="4"/>
    </row>
    <row r="2189" spans="1:12" x14ac:dyDescent="0.3">
      <c r="A2189" s="1">
        <v>42421</v>
      </c>
      <c r="B2189" s="1">
        <v>42428</v>
      </c>
      <c r="C2189" t="s">
        <v>7</v>
      </c>
      <c r="D2189" t="s">
        <v>1776</v>
      </c>
      <c r="E2189" t="s">
        <v>1777</v>
      </c>
      <c r="F2189" t="s">
        <v>25</v>
      </c>
      <c r="G2189" t="s">
        <v>4</v>
      </c>
      <c r="H2189" t="s">
        <v>10</v>
      </c>
      <c r="I2189" t="s">
        <v>2498</v>
      </c>
      <c r="J2189" s="2">
        <v>51.168000000000006</v>
      </c>
      <c r="K2189">
        <v>2</v>
      </c>
      <c r="L2189" s="4"/>
    </row>
    <row r="2190" spans="1:12" x14ac:dyDescent="0.3">
      <c r="A2190" s="1">
        <v>42421</v>
      </c>
      <c r="B2190" s="1">
        <v>42428</v>
      </c>
      <c r="C2190" t="s">
        <v>7</v>
      </c>
      <c r="D2190" t="s">
        <v>1776</v>
      </c>
      <c r="E2190" t="s">
        <v>1777</v>
      </c>
      <c r="F2190" t="s">
        <v>25</v>
      </c>
      <c r="G2190" t="s">
        <v>4</v>
      </c>
      <c r="H2190" t="s">
        <v>29</v>
      </c>
      <c r="I2190" t="s">
        <v>735</v>
      </c>
      <c r="J2190" s="2">
        <v>10.64</v>
      </c>
      <c r="K2190">
        <v>5</v>
      </c>
      <c r="L2190" s="4"/>
    </row>
    <row r="2191" spans="1:12" x14ac:dyDescent="0.3">
      <c r="A2191" s="1">
        <v>42421</v>
      </c>
      <c r="B2191" s="1">
        <v>42428</v>
      </c>
      <c r="C2191" t="s">
        <v>7</v>
      </c>
      <c r="D2191" t="s">
        <v>1776</v>
      </c>
      <c r="E2191" t="s">
        <v>1777</v>
      </c>
      <c r="F2191" t="s">
        <v>25</v>
      </c>
      <c r="G2191" t="s">
        <v>12</v>
      </c>
      <c r="H2191" t="s">
        <v>35</v>
      </c>
      <c r="I2191" t="s">
        <v>1391</v>
      </c>
      <c r="J2191" s="2">
        <v>68.703999999999994</v>
      </c>
      <c r="K2191">
        <v>2</v>
      </c>
      <c r="L2191" s="4"/>
    </row>
    <row r="2192" spans="1:12" x14ac:dyDescent="0.3">
      <c r="A2192" s="1">
        <v>42421</v>
      </c>
      <c r="B2192" s="1">
        <v>42428</v>
      </c>
      <c r="C2192" t="s">
        <v>7</v>
      </c>
      <c r="D2192" t="s">
        <v>1776</v>
      </c>
      <c r="E2192" t="s">
        <v>1777</v>
      </c>
      <c r="F2192" t="s">
        <v>25</v>
      </c>
      <c r="G2192" t="s">
        <v>12</v>
      </c>
      <c r="H2192" t="s">
        <v>44</v>
      </c>
      <c r="I2192" t="s">
        <v>347</v>
      </c>
      <c r="J2192" s="2">
        <v>386.91</v>
      </c>
      <c r="K2192">
        <v>9</v>
      </c>
      <c r="L2192" s="4"/>
    </row>
    <row r="2193" spans="1:12" x14ac:dyDescent="0.3">
      <c r="A2193" s="1">
        <v>42424</v>
      </c>
      <c r="B2193" s="1">
        <v>42430</v>
      </c>
      <c r="C2193" t="s">
        <v>7</v>
      </c>
      <c r="D2193" t="s">
        <v>1101</v>
      </c>
      <c r="E2193" t="s">
        <v>1102</v>
      </c>
      <c r="F2193" t="s">
        <v>3</v>
      </c>
      <c r="G2193" t="s">
        <v>4</v>
      </c>
      <c r="H2193" t="s">
        <v>5</v>
      </c>
      <c r="I2193" t="s">
        <v>2090</v>
      </c>
      <c r="J2193" s="2">
        <v>37.44</v>
      </c>
      <c r="K2193">
        <v>6</v>
      </c>
      <c r="L2193" s="4"/>
    </row>
    <row r="2194" spans="1:12" x14ac:dyDescent="0.3">
      <c r="A2194" s="1">
        <v>42424</v>
      </c>
      <c r="B2194" s="1">
        <v>42431</v>
      </c>
      <c r="C2194" t="s">
        <v>7</v>
      </c>
      <c r="D2194" t="s">
        <v>2499</v>
      </c>
      <c r="E2194" t="s">
        <v>2500</v>
      </c>
      <c r="F2194" t="s">
        <v>56</v>
      </c>
      <c r="G2194" t="s">
        <v>4</v>
      </c>
      <c r="H2194" t="s">
        <v>52</v>
      </c>
      <c r="I2194" t="s">
        <v>1688</v>
      </c>
      <c r="J2194" s="2">
        <v>8.4</v>
      </c>
      <c r="K2194">
        <v>5</v>
      </c>
      <c r="L2194" s="4"/>
    </row>
    <row r="2195" spans="1:12" x14ac:dyDescent="0.3">
      <c r="A2195" s="1">
        <v>42424</v>
      </c>
      <c r="B2195" s="1">
        <v>42431</v>
      </c>
      <c r="C2195" t="s">
        <v>7</v>
      </c>
      <c r="D2195" t="s">
        <v>2499</v>
      </c>
      <c r="E2195" t="s">
        <v>2500</v>
      </c>
      <c r="F2195" t="s">
        <v>56</v>
      </c>
      <c r="G2195" t="s">
        <v>74</v>
      </c>
      <c r="H2195" t="s">
        <v>147</v>
      </c>
      <c r="I2195" t="s">
        <v>1491</v>
      </c>
      <c r="J2195" s="2">
        <v>71.959999999999994</v>
      </c>
      <c r="K2195">
        <v>5</v>
      </c>
      <c r="L2195" s="4"/>
    </row>
    <row r="2196" spans="1:12" x14ac:dyDescent="0.3">
      <c r="A2196" s="1">
        <v>42427</v>
      </c>
      <c r="B2196" s="1">
        <v>42429</v>
      </c>
      <c r="C2196" t="s">
        <v>0</v>
      </c>
      <c r="D2196" t="s">
        <v>314</v>
      </c>
      <c r="E2196" t="s">
        <v>315</v>
      </c>
      <c r="F2196" t="s">
        <v>3</v>
      </c>
      <c r="G2196" t="s">
        <v>4</v>
      </c>
      <c r="H2196" t="s">
        <v>20</v>
      </c>
      <c r="I2196" t="s">
        <v>1566</v>
      </c>
      <c r="J2196" s="2">
        <v>81.92</v>
      </c>
      <c r="K2196">
        <v>4</v>
      </c>
      <c r="L2196" s="4"/>
    </row>
    <row r="2197" spans="1:12" x14ac:dyDescent="0.3">
      <c r="A2197" s="1">
        <v>42427</v>
      </c>
      <c r="B2197" s="1">
        <v>42429</v>
      </c>
      <c r="C2197" t="s">
        <v>0</v>
      </c>
      <c r="D2197" t="s">
        <v>314</v>
      </c>
      <c r="E2197" t="s">
        <v>315</v>
      </c>
      <c r="F2197" t="s">
        <v>3</v>
      </c>
      <c r="G2197" t="s">
        <v>74</v>
      </c>
      <c r="H2197" t="s">
        <v>147</v>
      </c>
      <c r="I2197" t="s">
        <v>873</v>
      </c>
      <c r="J2197" s="2">
        <v>889.53600000000006</v>
      </c>
      <c r="K2197">
        <v>8</v>
      </c>
      <c r="L2197" s="4"/>
    </row>
    <row r="2198" spans="1:12" x14ac:dyDescent="0.3">
      <c r="A2198" s="1">
        <v>42427</v>
      </c>
      <c r="B2198" s="1">
        <v>42429</v>
      </c>
      <c r="C2198" t="s">
        <v>0</v>
      </c>
      <c r="D2198" t="s">
        <v>314</v>
      </c>
      <c r="E2198" t="s">
        <v>315</v>
      </c>
      <c r="F2198" t="s">
        <v>3</v>
      </c>
      <c r="G2198" t="s">
        <v>12</v>
      </c>
      <c r="H2198" t="s">
        <v>70</v>
      </c>
      <c r="I2198" t="s">
        <v>265</v>
      </c>
      <c r="J2198" s="2">
        <v>892.22400000000005</v>
      </c>
      <c r="K2198">
        <v>3</v>
      </c>
      <c r="L2198" s="4"/>
    </row>
    <row r="2199" spans="1:12" x14ac:dyDescent="0.3">
      <c r="A2199" s="1">
        <v>42427</v>
      </c>
      <c r="B2199" s="1">
        <v>42429</v>
      </c>
      <c r="C2199" t="s">
        <v>0</v>
      </c>
      <c r="D2199" t="s">
        <v>314</v>
      </c>
      <c r="E2199" t="s">
        <v>315</v>
      </c>
      <c r="F2199" t="s">
        <v>3</v>
      </c>
      <c r="G2199" t="s">
        <v>4</v>
      </c>
      <c r="H2199" t="s">
        <v>5</v>
      </c>
      <c r="I2199" t="s">
        <v>2501</v>
      </c>
      <c r="J2199" s="2">
        <v>223.92</v>
      </c>
      <c r="K2199">
        <v>4</v>
      </c>
      <c r="L2199" s="4"/>
    </row>
    <row r="2200" spans="1:12" x14ac:dyDescent="0.3">
      <c r="A2200" s="1">
        <v>42427</v>
      </c>
      <c r="B2200" s="1">
        <v>42429</v>
      </c>
      <c r="C2200" t="s">
        <v>0</v>
      </c>
      <c r="D2200" t="s">
        <v>314</v>
      </c>
      <c r="E2200" t="s">
        <v>315</v>
      </c>
      <c r="F2200" t="s">
        <v>3</v>
      </c>
      <c r="G2200" t="s">
        <v>4</v>
      </c>
      <c r="H2200" t="s">
        <v>5</v>
      </c>
      <c r="I2200" t="s">
        <v>2502</v>
      </c>
      <c r="J2200" s="2">
        <v>23.12</v>
      </c>
      <c r="K2200">
        <v>4</v>
      </c>
      <c r="L2200" s="4"/>
    </row>
    <row r="2201" spans="1:12" x14ac:dyDescent="0.3">
      <c r="A2201" s="1">
        <v>42427</v>
      </c>
      <c r="B2201" s="1">
        <v>42431</v>
      </c>
      <c r="C2201" t="s">
        <v>7</v>
      </c>
      <c r="D2201" t="s">
        <v>2186</v>
      </c>
      <c r="E2201" t="s">
        <v>2187</v>
      </c>
      <c r="F2201" t="s">
        <v>3</v>
      </c>
      <c r="G2201" t="s">
        <v>4</v>
      </c>
      <c r="H2201" t="s">
        <v>20</v>
      </c>
      <c r="I2201" t="s">
        <v>567</v>
      </c>
      <c r="J2201" s="2">
        <v>356.78999999999996</v>
      </c>
      <c r="K2201">
        <v>7</v>
      </c>
      <c r="L2201" s="4"/>
    </row>
    <row r="2202" spans="1:12" x14ac:dyDescent="0.3">
      <c r="A2202" s="1">
        <v>42427</v>
      </c>
      <c r="B2202" s="1">
        <v>42432</v>
      </c>
      <c r="C2202" t="s">
        <v>7</v>
      </c>
      <c r="D2202" t="s">
        <v>93</v>
      </c>
      <c r="E2202" t="s">
        <v>94</v>
      </c>
      <c r="F2202" t="s">
        <v>3</v>
      </c>
      <c r="G2202" t="s">
        <v>12</v>
      </c>
      <c r="H2202" t="s">
        <v>35</v>
      </c>
      <c r="I2202" t="s">
        <v>204</v>
      </c>
      <c r="J2202" s="2">
        <v>91.96</v>
      </c>
      <c r="K2202">
        <v>2</v>
      </c>
      <c r="L2202" s="4"/>
    </row>
    <row r="2203" spans="1:12" x14ac:dyDescent="0.3">
      <c r="A2203" s="1">
        <v>42427</v>
      </c>
      <c r="B2203" s="1">
        <v>42432</v>
      </c>
      <c r="C2203" t="s">
        <v>7</v>
      </c>
      <c r="D2203" t="s">
        <v>93</v>
      </c>
      <c r="E2203" t="s">
        <v>94</v>
      </c>
      <c r="F2203" t="s">
        <v>3</v>
      </c>
      <c r="G2203" t="s">
        <v>74</v>
      </c>
      <c r="H2203" t="s">
        <v>147</v>
      </c>
      <c r="I2203" t="s">
        <v>1264</v>
      </c>
      <c r="J2203" s="2">
        <v>258.57600000000002</v>
      </c>
      <c r="K2203">
        <v>2</v>
      </c>
      <c r="L2203" s="4"/>
    </row>
    <row r="2204" spans="1:12" x14ac:dyDescent="0.3">
      <c r="A2204" s="1">
        <v>42427</v>
      </c>
      <c r="B2204" s="1">
        <v>42432</v>
      </c>
      <c r="C2204" t="s">
        <v>7</v>
      </c>
      <c r="D2204" t="s">
        <v>93</v>
      </c>
      <c r="E2204" t="s">
        <v>94</v>
      </c>
      <c r="F2204" t="s">
        <v>3</v>
      </c>
      <c r="G2204" t="s">
        <v>4</v>
      </c>
      <c r="H2204" t="s">
        <v>5</v>
      </c>
      <c r="I2204" t="s">
        <v>1134</v>
      </c>
      <c r="J2204" s="2">
        <v>29.6</v>
      </c>
      <c r="K2204">
        <v>4</v>
      </c>
      <c r="L2204" s="4"/>
    </row>
    <row r="2205" spans="1:12" x14ac:dyDescent="0.3">
      <c r="A2205" s="1">
        <v>42431</v>
      </c>
      <c r="B2205" s="1">
        <v>42437</v>
      </c>
      <c r="C2205" t="s">
        <v>7</v>
      </c>
      <c r="D2205" t="s">
        <v>1642</v>
      </c>
      <c r="E2205" t="s">
        <v>1643</v>
      </c>
      <c r="F2205" t="s">
        <v>3</v>
      </c>
      <c r="G2205" t="s">
        <v>74</v>
      </c>
      <c r="H2205" t="s">
        <v>147</v>
      </c>
      <c r="I2205" t="s">
        <v>2503</v>
      </c>
      <c r="J2205" s="2">
        <v>196.77600000000001</v>
      </c>
      <c r="K2205">
        <v>3</v>
      </c>
      <c r="L2205" s="4"/>
    </row>
    <row r="2206" spans="1:12" x14ac:dyDescent="0.3">
      <c r="A2206" s="1">
        <v>42431</v>
      </c>
      <c r="B2206" s="1">
        <v>42437</v>
      </c>
      <c r="C2206" t="s">
        <v>7</v>
      </c>
      <c r="D2206" t="s">
        <v>1642</v>
      </c>
      <c r="E2206" t="s">
        <v>1643</v>
      </c>
      <c r="F2206" t="s">
        <v>3</v>
      </c>
      <c r="G2206" t="s">
        <v>74</v>
      </c>
      <c r="H2206" t="s">
        <v>75</v>
      </c>
      <c r="I2206" t="s">
        <v>2477</v>
      </c>
      <c r="J2206" s="2">
        <v>479.93999999999994</v>
      </c>
      <c r="K2206">
        <v>6</v>
      </c>
      <c r="L2206" s="4"/>
    </row>
    <row r="2207" spans="1:12" x14ac:dyDescent="0.3">
      <c r="A2207" s="1">
        <v>42431</v>
      </c>
      <c r="B2207" s="1">
        <v>42437</v>
      </c>
      <c r="C2207" t="s">
        <v>7</v>
      </c>
      <c r="D2207" t="s">
        <v>1533</v>
      </c>
      <c r="E2207" t="s">
        <v>1534</v>
      </c>
      <c r="F2207" t="s">
        <v>3</v>
      </c>
      <c r="G2207" t="s">
        <v>4</v>
      </c>
      <c r="H2207" t="s">
        <v>26</v>
      </c>
      <c r="I2207" t="s">
        <v>106</v>
      </c>
      <c r="J2207" s="2">
        <v>107.64800000000001</v>
      </c>
      <c r="K2207">
        <v>2</v>
      </c>
      <c r="L2207" s="4"/>
    </row>
    <row r="2208" spans="1:12" x14ac:dyDescent="0.3">
      <c r="A2208" s="1">
        <v>42432</v>
      </c>
      <c r="B2208" s="1">
        <v>42437</v>
      </c>
      <c r="C2208" t="s">
        <v>7</v>
      </c>
      <c r="D2208" t="s">
        <v>41</v>
      </c>
      <c r="E2208" t="s">
        <v>42</v>
      </c>
      <c r="F2208" t="s">
        <v>3</v>
      </c>
      <c r="G2208" t="s">
        <v>74</v>
      </c>
      <c r="H2208" t="s">
        <v>75</v>
      </c>
      <c r="I2208" t="s">
        <v>2504</v>
      </c>
      <c r="J2208" s="2">
        <v>1049.44</v>
      </c>
      <c r="K2208">
        <v>8</v>
      </c>
      <c r="L2208" s="4"/>
    </row>
    <row r="2209" spans="1:12" x14ac:dyDescent="0.3">
      <c r="A2209" s="1">
        <v>42432</v>
      </c>
      <c r="B2209" s="1">
        <v>42437</v>
      </c>
      <c r="C2209" t="s">
        <v>7</v>
      </c>
      <c r="D2209" t="s">
        <v>41</v>
      </c>
      <c r="E2209" t="s">
        <v>42</v>
      </c>
      <c r="F2209" t="s">
        <v>3</v>
      </c>
      <c r="G2209" t="s">
        <v>12</v>
      </c>
      <c r="H2209" t="s">
        <v>70</v>
      </c>
      <c r="I2209" t="s">
        <v>1410</v>
      </c>
      <c r="J2209" s="2">
        <v>170.35200000000003</v>
      </c>
      <c r="K2209">
        <v>3</v>
      </c>
      <c r="L2209" s="4"/>
    </row>
    <row r="2210" spans="1:12" x14ac:dyDescent="0.3">
      <c r="A2210" s="1">
        <v>42432</v>
      </c>
      <c r="B2210" s="1">
        <v>42437</v>
      </c>
      <c r="C2210" t="s">
        <v>7</v>
      </c>
      <c r="D2210" t="s">
        <v>1261</v>
      </c>
      <c r="E2210" t="s">
        <v>1262</v>
      </c>
      <c r="F2210" t="s">
        <v>3</v>
      </c>
      <c r="G2210" t="s">
        <v>12</v>
      </c>
      <c r="H2210" t="s">
        <v>44</v>
      </c>
      <c r="I2210" t="s">
        <v>2466</v>
      </c>
      <c r="J2210" s="2">
        <v>399.67200000000003</v>
      </c>
      <c r="K2210">
        <v>7</v>
      </c>
      <c r="L2210" s="4"/>
    </row>
    <row r="2211" spans="1:12" x14ac:dyDescent="0.3">
      <c r="A2211" s="1">
        <v>42433</v>
      </c>
      <c r="B2211" s="1">
        <v>42438</v>
      </c>
      <c r="C2211" t="s">
        <v>7</v>
      </c>
      <c r="D2211" t="s">
        <v>2366</v>
      </c>
      <c r="E2211" t="s">
        <v>2367</v>
      </c>
      <c r="F2211" t="s">
        <v>3</v>
      </c>
      <c r="G2211" t="s">
        <v>4</v>
      </c>
      <c r="H2211" t="s">
        <v>15</v>
      </c>
      <c r="I2211" t="s">
        <v>2505</v>
      </c>
      <c r="J2211" s="2">
        <v>9.32</v>
      </c>
      <c r="K2211">
        <v>4</v>
      </c>
      <c r="L2211" s="4"/>
    </row>
    <row r="2212" spans="1:12" x14ac:dyDescent="0.3">
      <c r="A2212" s="1">
        <v>42433</v>
      </c>
      <c r="B2212" s="1">
        <v>42438</v>
      </c>
      <c r="C2212" t="s">
        <v>7</v>
      </c>
      <c r="D2212" t="s">
        <v>2366</v>
      </c>
      <c r="E2212" t="s">
        <v>2367</v>
      </c>
      <c r="F2212" t="s">
        <v>3</v>
      </c>
      <c r="G2212" t="s">
        <v>4</v>
      </c>
      <c r="H2212" t="s">
        <v>29</v>
      </c>
      <c r="I2212" t="s">
        <v>2506</v>
      </c>
      <c r="J2212" s="2">
        <v>15.25</v>
      </c>
      <c r="K2212">
        <v>1</v>
      </c>
      <c r="L2212" s="4"/>
    </row>
    <row r="2213" spans="1:12" x14ac:dyDescent="0.3">
      <c r="A2213" s="1">
        <v>42435</v>
      </c>
      <c r="B2213" s="1">
        <v>42439</v>
      </c>
      <c r="C2213" t="s">
        <v>7</v>
      </c>
      <c r="D2213" t="s">
        <v>428</v>
      </c>
      <c r="E2213" t="s">
        <v>429</v>
      </c>
      <c r="F2213" t="s">
        <v>3</v>
      </c>
      <c r="G2213" t="s">
        <v>4</v>
      </c>
      <c r="H2213" t="s">
        <v>26</v>
      </c>
      <c r="I2213" t="s">
        <v>2507</v>
      </c>
      <c r="J2213" s="2">
        <v>14.976000000000001</v>
      </c>
      <c r="K2213">
        <v>9</v>
      </c>
      <c r="L2213" s="4"/>
    </row>
    <row r="2214" spans="1:12" x14ac:dyDescent="0.3">
      <c r="A2214" s="1">
        <v>42435</v>
      </c>
      <c r="B2214" s="1">
        <v>42439</v>
      </c>
      <c r="C2214" t="s">
        <v>0</v>
      </c>
      <c r="D2214" t="s">
        <v>1030</v>
      </c>
      <c r="E2214" t="s">
        <v>1031</v>
      </c>
      <c r="F2214" t="s">
        <v>3</v>
      </c>
      <c r="G2214" t="s">
        <v>4</v>
      </c>
      <c r="H2214" t="s">
        <v>10</v>
      </c>
      <c r="I2214" t="s">
        <v>692</v>
      </c>
      <c r="J2214" s="2">
        <v>67.78</v>
      </c>
      <c r="K2214">
        <v>2</v>
      </c>
      <c r="L2214" s="4"/>
    </row>
    <row r="2215" spans="1:12" x14ac:dyDescent="0.3">
      <c r="A2215" s="1">
        <v>42435</v>
      </c>
      <c r="B2215" s="1">
        <v>42439</v>
      </c>
      <c r="C2215" t="s">
        <v>7</v>
      </c>
      <c r="D2215" t="s">
        <v>1554</v>
      </c>
      <c r="E2215" t="s">
        <v>1555</v>
      </c>
      <c r="F2215" t="s">
        <v>3</v>
      </c>
      <c r="G2215" t="s">
        <v>4</v>
      </c>
      <c r="H2215" t="s">
        <v>15</v>
      </c>
      <c r="I2215" t="s">
        <v>2508</v>
      </c>
      <c r="J2215" s="2">
        <v>23.88</v>
      </c>
      <c r="K2215">
        <v>6</v>
      </c>
      <c r="L2215" s="4"/>
    </row>
    <row r="2216" spans="1:12" x14ac:dyDescent="0.3">
      <c r="A2216" s="1">
        <v>42435</v>
      </c>
      <c r="B2216" s="1">
        <v>42439</v>
      </c>
      <c r="C2216" t="s">
        <v>7</v>
      </c>
      <c r="D2216" t="s">
        <v>1554</v>
      </c>
      <c r="E2216" t="s">
        <v>1555</v>
      </c>
      <c r="F2216" t="s">
        <v>3</v>
      </c>
      <c r="G2216" t="s">
        <v>4</v>
      </c>
      <c r="H2216" t="s">
        <v>168</v>
      </c>
      <c r="I2216" t="s">
        <v>417</v>
      </c>
      <c r="J2216" s="2">
        <v>11.52</v>
      </c>
      <c r="K2216">
        <v>4</v>
      </c>
      <c r="L2216" s="4"/>
    </row>
    <row r="2217" spans="1:12" x14ac:dyDescent="0.3">
      <c r="A2217" s="1">
        <v>42435</v>
      </c>
      <c r="B2217" s="1">
        <v>42439</v>
      </c>
      <c r="C2217" t="s">
        <v>7</v>
      </c>
      <c r="D2217" t="s">
        <v>1554</v>
      </c>
      <c r="E2217" t="s">
        <v>1555</v>
      </c>
      <c r="F2217" t="s">
        <v>3</v>
      </c>
      <c r="G2217" t="s">
        <v>4</v>
      </c>
      <c r="H2217" t="s">
        <v>5</v>
      </c>
      <c r="I2217" t="s">
        <v>964</v>
      </c>
      <c r="J2217" s="2">
        <v>286.93</v>
      </c>
      <c r="K2217">
        <v>7</v>
      </c>
      <c r="L2217" s="4"/>
    </row>
    <row r="2218" spans="1:12" x14ac:dyDescent="0.3">
      <c r="A2218" s="1">
        <v>42435</v>
      </c>
      <c r="B2218" s="1">
        <v>42439</v>
      </c>
      <c r="C2218" t="s">
        <v>7</v>
      </c>
      <c r="D2218" t="s">
        <v>1554</v>
      </c>
      <c r="E2218" t="s">
        <v>1555</v>
      </c>
      <c r="F2218" t="s">
        <v>3</v>
      </c>
      <c r="G2218" t="s">
        <v>74</v>
      </c>
      <c r="H2218" t="s">
        <v>147</v>
      </c>
      <c r="I2218" t="s">
        <v>2509</v>
      </c>
      <c r="J2218" s="2">
        <v>206.38400000000001</v>
      </c>
      <c r="K2218">
        <v>2</v>
      </c>
      <c r="L2218" s="4"/>
    </row>
    <row r="2219" spans="1:12" x14ac:dyDescent="0.3">
      <c r="A2219" s="1">
        <v>42437</v>
      </c>
      <c r="B2219" s="1">
        <v>42444</v>
      </c>
      <c r="C2219" t="s">
        <v>7</v>
      </c>
      <c r="D2219" t="s">
        <v>977</v>
      </c>
      <c r="E2219" t="s">
        <v>978</v>
      </c>
      <c r="F2219" t="s">
        <v>3</v>
      </c>
      <c r="G2219" t="s">
        <v>4</v>
      </c>
      <c r="H2219" t="s">
        <v>26</v>
      </c>
      <c r="I2219" t="s">
        <v>340</v>
      </c>
      <c r="J2219" s="2">
        <v>171.20000000000002</v>
      </c>
      <c r="K2219">
        <v>5</v>
      </c>
      <c r="L2219" s="4"/>
    </row>
    <row r="2220" spans="1:12" x14ac:dyDescent="0.3">
      <c r="A2220" s="1">
        <v>42437</v>
      </c>
      <c r="B2220" s="1">
        <v>42444</v>
      </c>
      <c r="C2220" t="s">
        <v>7</v>
      </c>
      <c r="D2220" t="s">
        <v>977</v>
      </c>
      <c r="E2220" t="s">
        <v>978</v>
      </c>
      <c r="F2220" t="s">
        <v>3</v>
      </c>
      <c r="G2220" t="s">
        <v>4</v>
      </c>
      <c r="H2220" t="s">
        <v>15</v>
      </c>
      <c r="I2220" t="s">
        <v>1553</v>
      </c>
      <c r="J2220" s="2">
        <v>3.36</v>
      </c>
      <c r="K2220">
        <v>2</v>
      </c>
      <c r="L2220" s="4"/>
    </row>
    <row r="2221" spans="1:12" x14ac:dyDescent="0.3">
      <c r="A2221" s="1">
        <v>42438</v>
      </c>
      <c r="B2221" s="1">
        <v>42442</v>
      </c>
      <c r="C2221" t="s">
        <v>7</v>
      </c>
      <c r="D2221" t="s">
        <v>1995</v>
      </c>
      <c r="E2221" t="s">
        <v>1996</v>
      </c>
      <c r="F2221" t="s">
        <v>3</v>
      </c>
      <c r="G2221" t="s">
        <v>74</v>
      </c>
      <c r="H2221" t="s">
        <v>75</v>
      </c>
      <c r="I2221" t="s">
        <v>221</v>
      </c>
      <c r="J2221" s="2">
        <v>199.98</v>
      </c>
      <c r="K2221">
        <v>2</v>
      </c>
      <c r="L2221" s="4"/>
    </row>
    <row r="2222" spans="1:12" x14ac:dyDescent="0.3">
      <c r="A2222" s="1">
        <v>42438</v>
      </c>
      <c r="B2222" s="1">
        <v>42442</v>
      </c>
      <c r="C2222" t="s">
        <v>7</v>
      </c>
      <c r="D2222" t="s">
        <v>2510</v>
      </c>
      <c r="E2222" t="s">
        <v>2511</v>
      </c>
      <c r="F2222" t="s">
        <v>3</v>
      </c>
      <c r="G2222" t="s">
        <v>74</v>
      </c>
      <c r="H2222" t="s">
        <v>534</v>
      </c>
      <c r="I2222" t="s">
        <v>2091</v>
      </c>
      <c r="J2222" s="2">
        <v>479.98400000000004</v>
      </c>
      <c r="K2222">
        <v>2</v>
      </c>
      <c r="L2222" s="4"/>
    </row>
    <row r="2223" spans="1:12" x14ac:dyDescent="0.3">
      <c r="A2223" s="1">
        <v>42438</v>
      </c>
      <c r="B2223" s="1">
        <v>42442</v>
      </c>
      <c r="C2223" t="s">
        <v>7</v>
      </c>
      <c r="D2223" t="s">
        <v>2510</v>
      </c>
      <c r="E2223" t="s">
        <v>2511</v>
      </c>
      <c r="F2223" t="s">
        <v>3</v>
      </c>
      <c r="G2223" t="s">
        <v>4</v>
      </c>
      <c r="H2223" t="s">
        <v>26</v>
      </c>
      <c r="I2223" t="s">
        <v>356</v>
      </c>
      <c r="J2223" s="2">
        <v>30.84</v>
      </c>
      <c r="K2223">
        <v>5</v>
      </c>
      <c r="L2223" s="4"/>
    </row>
    <row r="2224" spans="1:12" x14ac:dyDescent="0.3">
      <c r="A2224" s="1">
        <v>42439</v>
      </c>
      <c r="B2224" s="1">
        <v>42444</v>
      </c>
      <c r="C2224" t="s">
        <v>0</v>
      </c>
      <c r="D2224" t="s">
        <v>2244</v>
      </c>
      <c r="E2224" t="s">
        <v>2245</v>
      </c>
      <c r="F2224" t="s">
        <v>3</v>
      </c>
      <c r="G2224" t="s">
        <v>74</v>
      </c>
      <c r="H2224" t="s">
        <v>75</v>
      </c>
      <c r="I2224" t="s">
        <v>822</v>
      </c>
      <c r="J2224" s="2">
        <v>111.96</v>
      </c>
      <c r="K2224">
        <v>4</v>
      </c>
      <c r="L2224" s="4"/>
    </row>
    <row r="2225" spans="1:12" x14ac:dyDescent="0.3">
      <c r="A2225" s="1">
        <v>42441</v>
      </c>
      <c r="B2225" s="1">
        <v>42446</v>
      </c>
      <c r="C2225" t="s">
        <v>7</v>
      </c>
      <c r="D2225" t="s">
        <v>2512</v>
      </c>
      <c r="E2225" t="s">
        <v>2513</v>
      </c>
      <c r="F2225" t="s">
        <v>3</v>
      </c>
      <c r="G2225" t="s">
        <v>4</v>
      </c>
      <c r="H2225" t="s">
        <v>10</v>
      </c>
      <c r="I2225" t="s">
        <v>128</v>
      </c>
      <c r="J2225" s="2">
        <v>242.94</v>
      </c>
      <c r="K2225">
        <v>3</v>
      </c>
      <c r="L2225" s="4"/>
    </row>
    <row r="2226" spans="1:12" x14ac:dyDescent="0.3">
      <c r="A2226" s="1">
        <v>42442</v>
      </c>
      <c r="B2226" s="1">
        <v>42448</v>
      </c>
      <c r="C2226" t="s">
        <v>7</v>
      </c>
      <c r="D2226" t="s">
        <v>707</v>
      </c>
      <c r="E2226" t="s">
        <v>708</v>
      </c>
      <c r="F2226" t="s">
        <v>3</v>
      </c>
      <c r="G2226" t="s">
        <v>4</v>
      </c>
      <c r="H2226" t="s">
        <v>5</v>
      </c>
      <c r="I2226" t="s">
        <v>1206</v>
      </c>
      <c r="J2226" s="2">
        <v>314.54999999999995</v>
      </c>
      <c r="K2226">
        <v>3</v>
      </c>
      <c r="L2226" s="4"/>
    </row>
    <row r="2227" spans="1:12" x14ac:dyDescent="0.3">
      <c r="A2227" s="1">
        <v>42442</v>
      </c>
      <c r="B2227" s="1">
        <v>42447</v>
      </c>
      <c r="C2227" t="s">
        <v>0</v>
      </c>
      <c r="D2227" t="s">
        <v>2514</v>
      </c>
      <c r="E2227" t="s">
        <v>2515</v>
      </c>
      <c r="F2227" t="s">
        <v>172</v>
      </c>
      <c r="G2227" t="s">
        <v>4</v>
      </c>
      <c r="H2227" t="s">
        <v>10</v>
      </c>
      <c r="I2227" t="s">
        <v>2402</v>
      </c>
      <c r="J2227" s="2">
        <v>90.8</v>
      </c>
      <c r="K2227">
        <v>8</v>
      </c>
      <c r="L2227" s="4"/>
    </row>
    <row r="2228" spans="1:12" x14ac:dyDescent="0.3">
      <c r="A2228" s="1">
        <v>42442</v>
      </c>
      <c r="B2228" s="1">
        <v>42447</v>
      </c>
      <c r="C2228" t="s">
        <v>0</v>
      </c>
      <c r="D2228" t="s">
        <v>2514</v>
      </c>
      <c r="E2228" t="s">
        <v>2515</v>
      </c>
      <c r="F2228" t="s">
        <v>172</v>
      </c>
      <c r="G2228" t="s">
        <v>74</v>
      </c>
      <c r="H2228" t="s">
        <v>147</v>
      </c>
      <c r="I2228" t="s">
        <v>1655</v>
      </c>
      <c r="J2228" s="2">
        <v>140.73599999999999</v>
      </c>
      <c r="K2228">
        <v>8</v>
      </c>
      <c r="L2228" s="4"/>
    </row>
    <row r="2229" spans="1:12" x14ac:dyDescent="0.3">
      <c r="A2229" s="1">
        <v>42442</v>
      </c>
      <c r="B2229" s="1">
        <v>42447</v>
      </c>
      <c r="C2229" t="s">
        <v>0</v>
      </c>
      <c r="D2229" t="s">
        <v>2514</v>
      </c>
      <c r="E2229" t="s">
        <v>2515</v>
      </c>
      <c r="F2229" t="s">
        <v>172</v>
      </c>
      <c r="G2229" t="s">
        <v>74</v>
      </c>
      <c r="H2229" t="s">
        <v>75</v>
      </c>
      <c r="I2229" t="s">
        <v>2516</v>
      </c>
      <c r="J2229" s="2">
        <v>214.95000000000002</v>
      </c>
      <c r="K2229">
        <v>5</v>
      </c>
      <c r="L2229" s="4"/>
    </row>
    <row r="2230" spans="1:12" x14ac:dyDescent="0.3">
      <c r="A2230" s="1">
        <v>42442</v>
      </c>
      <c r="B2230" s="1">
        <v>42447</v>
      </c>
      <c r="C2230" t="s">
        <v>0</v>
      </c>
      <c r="D2230" t="s">
        <v>2514</v>
      </c>
      <c r="E2230" t="s">
        <v>2515</v>
      </c>
      <c r="F2230" t="s">
        <v>172</v>
      </c>
      <c r="G2230" t="s">
        <v>4</v>
      </c>
      <c r="H2230" t="s">
        <v>5</v>
      </c>
      <c r="I2230" t="s">
        <v>2517</v>
      </c>
      <c r="J2230" s="2">
        <v>45.36</v>
      </c>
      <c r="K2230">
        <v>7</v>
      </c>
      <c r="L2230" s="4"/>
    </row>
    <row r="2231" spans="1:12" x14ac:dyDescent="0.3">
      <c r="A2231" s="1">
        <v>42442</v>
      </c>
      <c r="B2231" s="1">
        <v>42447</v>
      </c>
      <c r="C2231" t="s">
        <v>0</v>
      </c>
      <c r="D2231" t="s">
        <v>2514</v>
      </c>
      <c r="E2231" t="s">
        <v>2515</v>
      </c>
      <c r="F2231" t="s">
        <v>172</v>
      </c>
      <c r="G2231" t="s">
        <v>4</v>
      </c>
      <c r="H2231" t="s">
        <v>5</v>
      </c>
      <c r="I2231" t="s">
        <v>2518</v>
      </c>
      <c r="J2231" s="2">
        <v>288.24</v>
      </c>
      <c r="K2231">
        <v>6</v>
      </c>
      <c r="L2231" s="4"/>
    </row>
    <row r="2232" spans="1:12" x14ac:dyDescent="0.3">
      <c r="A2232" s="1">
        <v>42442</v>
      </c>
      <c r="B2232" s="1">
        <v>42449</v>
      </c>
      <c r="C2232" t="s">
        <v>7</v>
      </c>
      <c r="D2232" t="s">
        <v>222</v>
      </c>
      <c r="E2232" t="s">
        <v>223</v>
      </c>
      <c r="F2232" t="s">
        <v>115</v>
      </c>
      <c r="G2232" t="s">
        <v>4</v>
      </c>
      <c r="H2232" t="s">
        <v>78</v>
      </c>
      <c r="I2232" t="s">
        <v>2519</v>
      </c>
      <c r="J2232" s="2">
        <v>1332.4960000000001</v>
      </c>
      <c r="K2232">
        <v>2</v>
      </c>
      <c r="L2232" s="4"/>
    </row>
    <row r="2233" spans="1:12" x14ac:dyDescent="0.3">
      <c r="A2233" s="1">
        <v>42445</v>
      </c>
      <c r="B2233" s="1">
        <v>42447</v>
      </c>
      <c r="C2233" t="s">
        <v>0</v>
      </c>
      <c r="D2233" t="s">
        <v>2191</v>
      </c>
      <c r="E2233" t="s">
        <v>2192</v>
      </c>
      <c r="F2233" t="s">
        <v>56</v>
      </c>
      <c r="G2233" t="s">
        <v>4</v>
      </c>
      <c r="H2233" t="s">
        <v>5</v>
      </c>
      <c r="I2233" t="s">
        <v>2520</v>
      </c>
      <c r="J2233" s="2">
        <v>6.48</v>
      </c>
      <c r="K2233">
        <v>1</v>
      </c>
      <c r="L2233" s="4"/>
    </row>
    <row r="2234" spans="1:12" x14ac:dyDescent="0.3">
      <c r="A2234" s="1">
        <v>42445</v>
      </c>
      <c r="B2234" s="1">
        <v>42447</v>
      </c>
      <c r="C2234" t="s">
        <v>0</v>
      </c>
      <c r="D2234" t="s">
        <v>2191</v>
      </c>
      <c r="E2234" t="s">
        <v>2192</v>
      </c>
      <c r="F2234" t="s">
        <v>56</v>
      </c>
      <c r="G2234" t="s">
        <v>4</v>
      </c>
      <c r="H2234" t="s">
        <v>10</v>
      </c>
      <c r="I2234" t="s">
        <v>1895</v>
      </c>
      <c r="J2234" s="2">
        <v>46.51</v>
      </c>
      <c r="K2234">
        <v>1</v>
      </c>
      <c r="L2234" s="4"/>
    </row>
    <row r="2235" spans="1:12" x14ac:dyDescent="0.3">
      <c r="A2235" s="1">
        <v>42445</v>
      </c>
      <c r="B2235" s="1">
        <v>42447</v>
      </c>
      <c r="C2235" t="s">
        <v>0</v>
      </c>
      <c r="D2235" t="s">
        <v>2191</v>
      </c>
      <c r="E2235" t="s">
        <v>2192</v>
      </c>
      <c r="F2235" t="s">
        <v>56</v>
      </c>
      <c r="G2235" t="s">
        <v>74</v>
      </c>
      <c r="H2235" t="s">
        <v>147</v>
      </c>
      <c r="I2235" t="s">
        <v>2521</v>
      </c>
      <c r="J2235" s="2">
        <v>659.97600000000011</v>
      </c>
      <c r="K2235">
        <v>3</v>
      </c>
      <c r="L2235" s="4"/>
    </row>
    <row r="2236" spans="1:12" x14ac:dyDescent="0.3">
      <c r="A2236" s="1">
        <v>42445</v>
      </c>
      <c r="B2236" s="1">
        <v>42450</v>
      </c>
      <c r="C2236" t="s">
        <v>7</v>
      </c>
      <c r="D2236" t="s">
        <v>1533</v>
      </c>
      <c r="E2236" t="s">
        <v>1534</v>
      </c>
      <c r="F2236" t="s">
        <v>3</v>
      </c>
      <c r="G2236" t="s">
        <v>4</v>
      </c>
      <c r="H2236" t="s">
        <v>10</v>
      </c>
      <c r="I2236" t="s">
        <v>706</v>
      </c>
      <c r="J2236" s="2">
        <v>310.12</v>
      </c>
      <c r="K2236">
        <v>2</v>
      </c>
      <c r="L2236" s="4"/>
    </row>
    <row r="2237" spans="1:12" x14ac:dyDescent="0.3">
      <c r="A2237" s="1">
        <v>42445</v>
      </c>
      <c r="B2237" s="1">
        <v>42450</v>
      </c>
      <c r="C2237" t="s">
        <v>7</v>
      </c>
      <c r="D2237" t="s">
        <v>1533</v>
      </c>
      <c r="E2237" t="s">
        <v>1534</v>
      </c>
      <c r="F2237" t="s">
        <v>3</v>
      </c>
      <c r="G2237" t="s">
        <v>4</v>
      </c>
      <c r="H2237" t="s">
        <v>26</v>
      </c>
      <c r="I2237" t="s">
        <v>2306</v>
      </c>
      <c r="J2237" s="2">
        <v>70.463999999999999</v>
      </c>
      <c r="K2237">
        <v>6</v>
      </c>
      <c r="L2237" s="4"/>
    </row>
    <row r="2238" spans="1:12" x14ac:dyDescent="0.3">
      <c r="A2238" s="1">
        <v>42445</v>
      </c>
      <c r="B2238" s="1">
        <v>42450</v>
      </c>
      <c r="C2238" t="s">
        <v>7</v>
      </c>
      <c r="D2238" t="s">
        <v>1533</v>
      </c>
      <c r="E2238" t="s">
        <v>1534</v>
      </c>
      <c r="F2238" t="s">
        <v>3</v>
      </c>
      <c r="G2238" t="s">
        <v>4</v>
      </c>
      <c r="H2238" t="s">
        <v>26</v>
      </c>
      <c r="I2238" t="s">
        <v>1605</v>
      </c>
      <c r="J2238" s="2">
        <v>19.68</v>
      </c>
      <c r="K2238">
        <v>5</v>
      </c>
      <c r="L2238" s="4"/>
    </row>
    <row r="2239" spans="1:12" x14ac:dyDescent="0.3">
      <c r="A2239" s="1">
        <v>42445</v>
      </c>
      <c r="B2239" s="1">
        <v>42450</v>
      </c>
      <c r="C2239" t="s">
        <v>7</v>
      </c>
      <c r="D2239" t="s">
        <v>1533</v>
      </c>
      <c r="E2239" t="s">
        <v>1534</v>
      </c>
      <c r="F2239" t="s">
        <v>3</v>
      </c>
      <c r="G2239" t="s">
        <v>4</v>
      </c>
      <c r="H2239" t="s">
        <v>20</v>
      </c>
      <c r="I2239" t="s">
        <v>2522</v>
      </c>
      <c r="J2239" s="2">
        <v>140.67000000000002</v>
      </c>
      <c r="K2239">
        <v>3</v>
      </c>
      <c r="L2239" s="4"/>
    </row>
    <row r="2240" spans="1:12" x14ac:dyDescent="0.3">
      <c r="A2240" s="1">
        <v>42446</v>
      </c>
      <c r="B2240" s="1">
        <v>42450</v>
      </c>
      <c r="C2240" t="s">
        <v>0</v>
      </c>
      <c r="D2240" t="s">
        <v>431</v>
      </c>
      <c r="E2240" t="s">
        <v>432</v>
      </c>
      <c r="F2240" t="s">
        <v>3</v>
      </c>
      <c r="G2240" t="s">
        <v>4</v>
      </c>
      <c r="H2240" t="s">
        <v>26</v>
      </c>
      <c r="I2240" t="s">
        <v>1888</v>
      </c>
      <c r="J2240" s="2">
        <v>17.456</v>
      </c>
      <c r="K2240">
        <v>2</v>
      </c>
      <c r="L2240" s="4"/>
    </row>
    <row r="2241" spans="1:12" x14ac:dyDescent="0.3">
      <c r="A2241" s="1">
        <v>42447</v>
      </c>
      <c r="B2241" s="1">
        <v>42452</v>
      </c>
      <c r="C2241" t="s">
        <v>7</v>
      </c>
      <c r="D2241" t="s">
        <v>2523</v>
      </c>
      <c r="E2241" t="s">
        <v>2524</v>
      </c>
      <c r="F2241" t="s">
        <v>56</v>
      </c>
      <c r="G2241" t="s">
        <v>4</v>
      </c>
      <c r="H2241" t="s">
        <v>15</v>
      </c>
      <c r="I2241" t="s">
        <v>363</v>
      </c>
      <c r="J2241" s="2">
        <v>46.2</v>
      </c>
      <c r="K2241">
        <v>4</v>
      </c>
      <c r="L2241" s="4"/>
    </row>
    <row r="2242" spans="1:12" x14ac:dyDescent="0.3">
      <c r="A2242" s="1">
        <v>42447</v>
      </c>
      <c r="B2242" s="1">
        <v>42451</v>
      </c>
      <c r="C2242" t="s">
        <v>7</v>
      </c>
      <c r="D2242" t="s">
        <v>2525</v>
      </c>
      <c r="E2242" t="s">
        <v>2526</v>
      </c>
      <c r="F2242" t="s">
        <v>3</v>
      </c>
      <c r="G2242" t="s">
        <v>4</v>
      </c>
      <c r="H2242" t="s">
        <v>15</v>
      </c>
      <c r="I2242" t="s">
        <v>422</v>
      </c>
      <c r="J2242" s="2">
        <v>13.899999999999999</v>
      </c>
      <c r="K2242">
        <v>5</v>
      </c>
      <c r="L2242" s="4"/>
    </row>
    <row r="2243" spans="1:12" x14ac:dyDescent="0.3">
      <c r="A2243" s="1">
        <v>42447</v>
      </c>
      <c r="B2243" s="1">
        <v>42451</v>
      </c>
      <c r="C2243" t="s">
        <v>7</v>
      </c>
      <c r="D2243" t="s">
        <v>2525</v>
      </c>
      <c r="E2243" t="s">
        <v>2526</v>
      </c>
      <c r="F2243" t="s">
        <v>3</v>
      </c>
      <c r="G2243" t="s">
        <v>4</v>
      </c>
      <c r="H2243" t="s">
        <v>29</v>
      </c>
      <c r="I2243" t="s">
        <v>631</v>
      </c>
      <c r="J2243" s="2">
        <v>19.399999999999999</v>
      </c>
      <c r="K2243">
        <v>5</v>
      </c>
      <c r="L2243" s="4"/>
    </row>
    <row r="2244" spans="1:12" x14ac:dyDescent="0.3">
      <c r="A2244" s="1">
        <v>42447</v>
      </c>
      <c r="B2244" s="1">
        <v>42449</v>
      </c>
      <c r="C2244" t="s">
        <v>0</v>
      </c>
      <c r="D2244" t="s">
        <v>2527</v>
      </c>
      <c r="E2244" t="s">
        <v>2528</v>
      </c>
      <c r="F2244" t="s">
        <v>3</v>
      </c>
      <c r="G2244" t="s">
        <v>4</v>
      </c>
      <c r="H2244" t="s">
        <v>20</v>
      </c>
      <c r="I2244" t="s">
        <v>2529</v>
      </c>
      <c r="J2244" s="2">
        <v>90.86</v>
      </c>
      <c r="K2244">
        <v>7</v>
      </c>
      <c r="L2244" s="4"/>
    </row>
    <row r="2245" spans="1:12" x14ac:dyDescent="0.3">
      <c r="A2245" s="1">
        <v>42448</v>
      </c>
      <c r="B2245" s="1">
        <v>42451</v>
      </c>
      <c r="C2245" t="s">
        <v>22</v>
      </c>
      <c r="D2245" t="s">
        <v>832</v>
      </c>
      <c r="E2245" t="s">
        <v>833</v>
      </c>
      <c r="F2245" t="s">
        <v>3</v>
      </c>
      <c r="G2245" t="s">
        <v>4</v>
      </c>
      <c r="H2245" t="s">
        <v>26</v>
      </c>
      <c r="I2245" t="s">
        <v>1453</v>
      </c>
      <c r="J2245" s="2">
        <v>19.824000000000002</v>
      </c>
      <c r="K2245">
        <v>6</v>
      </c>
      <c r="L2245" s="4"/>
    </row>
    <row r="2246" spans="1:12" x14ac:dyDescent="0.3">
      <c r="A2246" s="1">
        <v>42448</v>
      </c>
      <c r="B2246" s="1">
        <v>42451</v>
      </c>
      <c r="C2246" t="s">
        <v>22</v>
      </c>
      <c r="D2246" t="s">
        <v>832</v>
      </c>
      <c r="E2246" t="s">
        <v>833</v>
      </c>
      <c r="F2246" t="s">
        <v>3</v>
      </c>
      <c r="G2246" t="s">
        <v>74</v>
      </c>
      <c r="H2246" t="s">
        <v>147</v>
      </c>
      <c r="I2246" t="s">
        <v>551</v>
      </c>
      <c r="J2246" s="2">
        <v>657.50400000000002</v>
      </c>
      <c r="K2246">
        <v>6</v>
      </c>
      <c r="L2246" s="4"/>
    </row>
    <row r="2247" spans="1:12" x14ac:dyDescent="0.3">
      <c r="A2247" s="1">
        <v>42448</v>
      </c>
      <c r="B2247" s="1">
        <v>42451</v>
      </c>
      <c r="C2247" t="s">
        <v>22</v>
      </c>
      <c r="D2247" t="s">
        <v>832</v>
      </c>
      <c r="E2247" t="s">
        <v>833</v>
      </c>
      <c r="F2247" t="s">
        <v>3</v>
      </c>
      <c r="G2247" t="s">
        <v>74</v>
      </c>
      <c r="H2247" t="s">
        <v>75</v>
      </c>
      <c r="I2247" t="s">
        <v>1670</v>
      </c>
      <c r="J2247" s="2">
        <v>99.54</v>
      </c>
      <c r="K2247">
        <v>2</v>
      </c>
      <c r="L2247" s="4"/>
    </row>
    <row r="2248" spans="1:12" x14ac:dyDescent="0.3">
      <c r="A2248" s="1">
        <v>42448</v>
      </c>
      <c r="B2248" s="1">
        <v>42451</v>
      </c>
      <c r="C2248" t="s">
        <v>22</v>
      </c>
      <c r="D2248" t="s">
        <v>832</v>
      </c>
      <c r="E2248" t="s">
        <v>833</v>
      </c>
      <c r="F2248" t="s">
        <v>3</v>
      </c>
      <c r="G2248" t="s">
        <v>74</v>
      </c>
      <c r="H2248" t="s">
        <v>75</v>
      </c>
      <c r="I2248" t="s">
        <v>1812</v>
      </c>
      <c r="J2248" s="2">
        <v>199.96</v>
      </c>
      <c r="K2248">
        <v>4</v>
      </c>
      <c r="L2248" s="4"/>
    </row>
    <row r="2249" spans="1:12" x14ac:dyDescent="0.3">
      <c r="A2249" s="1">
        <v>42448</v>
      </c>
      <c r="B2249" s="1">
        <v>42451</v>
      </c>
      <c r="C2249" t="s">
        <v>0</v>
      </c>
      <c r="D2249" t="s">
        <v>86</v>
      </c>
      <c r="E2249" t="s">
        <v>87</v>
      </c>
      <c r="F2249" t="s">
        <v>3</v>
      </c>
      <c r="G2249" t="s">
        <v>4</v>
      </c>
      <c r="H2249" t="s">
        <v>26</v>
      </c>
      <c r="I2249" t="s">
        <v>389</v>
      </c>
      <c r="J2249" s="2">
        <v>14.624000000000002</v>
      </c>
      <c r="K2249">
        <v>2</v>
      </c>
      <c r="L2249" s="4"/>
    </row>
    <row r="2250" spans="1:12" x14ac:dyDescent="0.3">
      <c r="A2250" s="1">
        <v>42448</v>
      </c>
      <c r="B2250" s="1">
        <v>42451</v>
      </c>
      <c r="C2250" t="s">
        <v>0</v>
      </c>
      <c r="D2250" t="s">
        <v>86</v>
      </c>
      <c r="E2250" t="s">
        <v>87</v>
      </c>
      <c r="F2250" t="s">
        <v>3</v>
      </c>
      <c r="G2250" t="s">
        <v>12</v>
      </c>
      <c r="H2250" t="s">
        <v>44</v>
      </c>
      <c r="I2250" t="s">
        <v>1897</v>
      </c>
      <c r="J2250" s="2">
        <v>697.16</v>
      </c>
      <c r="K2250">
        <v>5</v>
      </c>
      <c r="L2250" s="4"/>
    </row>
    <row r="2251" spans="1:12" x14ac:dyDescent="0.3">
      <c r="A2251" s="1">
        <v>42448</v>
      </c>
      <c r="B2251" s="1">
        <v>42451</v>
      </c>
      <c r="C2251" t="s">
        <v>0</v>
      </c>
      <c r="D2251" t="s">
        <v>86</v>
      </c>
      <c r="E2251" t="s">
        <v>87</v>
      </c>
      <c r="F2251" t="s">
        <v>3</v>
      </c>
      <c r="G2251" t="s">
        <v>12</v>
      </c>
      <c r="H2251" t="s">
        <v>35</v>
      </c>
      <c r="I2251" t="s">
        <v>2530</v>
      </c>
      <c r="J2251" s="2">
        <v>30.93</v>
      </c>
      <c r="K2251">
        <v>1</v>
      </c>
      <c r="L2251" s="4"/>
    </row>
    <row r="2252" spans="1:12" x14ac:dyDescent="0.3">
      <c r="A2252" s="1">
        <v>42448</v>
      </c>
      <c r="B2252" s="1">
        <v>42451</v>
      </c>
      <c r="C2252" t="s">
        <v>0</v>
      </c>
      <c r="D2252" t="s">
        <v>86</v>
      </c>
      <c r="E2252" t="s">
        <v>87</v>
      </c>
      <c r="F2252" t="s">
        <v>3</v>
      </c>
      <c r="G2252" t="s">
        <v>4</v>
      </c>
      <c r="H2252" t="s">
        <v>26</v>
      </c>
      <c r="I2252" t="s">
        <v>2144</v>
      </c>
      <c r="J2252" s="2">
        <v>27.496000000000002</v>
      </c>
      <c r="K2252">
        <v>7</v>
      </c>
      <c r="L2252" s="4"/>
    </row>
    <row r="2253" spans="1:12" x14ac:dyDescent="0.3">
      <c r="A2253" s="1">
        <v>42448</v>
      </c>
      <c r="B2253" s="1">
        <v>42453</v>
      </c>
      <c r="C2253" t="s">
        <v>7</v>
      </c>
      <c r="D2253" t="s">
        <v>2531</v>
      </c>
      <c r="E2253" t="s">
        <v>2532</v>
      </c>
      <c r="F2253" t="s">
        <v>3</v>
      </c>
      <c r="G2253" t="s">
        <v>4</v>
      </c>
      <c r="H2253" t="s">
        <v>20</v>
      </c>
      <c r="I2253" t="s">
        <v>2422</v>
      </c>
      <c r="J2253" s="2">
        <v>381.35999999999996</v>
      </c>
      <c r="K2253">
        <v>7</v>
      </c>
      <c r="L2253" s="4"/>
    </row>
    <row r="2254" spans="1:12" x14ac:dyDescent="0.3">
      <c r="A2254" s="1">
        <v>42449</v>
      </c>
      <c r="B2254" s="1">
        <v>42453</v>
      </c>
      <c r="C2254" t="s">
        <v>7</v>
      </c>
      <c r="D2254" t="s">
        <v>2495</v>
      </c>
      <c r="E2254" t="s">
        <v>2496</v>
      </c>
      <c r="F2254" t="s">
        <v>56</v>
      </c>
      <c r="G2254" t="s">
        <v>74</v>
      </c>
      <c r="H2254" t="s">
        <v>75</v>
      </c>
      <c r="I2254" t="s">
        <v>1700</v>
      </c>
      <c r="J2254" s="2">
        <v>265.93</v>
      </c>
      <c r="K2254">
        <v>7</v>
      </c>
      <c r="L2254" s="4"/>
    </row>
    <row r="2255" spans="1:12" x14ac:dyDescent="0.3">
      <c r="A2255" s="1">
        <v>42450</v>
      </c>
      <c r="B2255" s="1">
        <v>42452</v>
      </c>
      <c r="C2255" t="s">
        <v>0</v>
      </c>
      <c r="D2255" t="s">
        <v>345</v>
      </c>
      <c r="E2255" t="s">
        <v>346</v>
      </c>
      <c r="F2255" t="s">
        <v>3</v>
      </c>
      <c r="G2255" t="s">
        <v>4</v>
      </c>
      <c r="H2255" t="s">
        <v>10</v>
      </c>
      <c r="I2255" t="s">
        <v>843</v>
      </c>
      <c r="J2255" s="2">
        <v>725.84</v>
      </c>
      <c r="K2255">
        <v>4</v>
      </c>
      <c r="L2255" s="4"/>
    </row>
    <row r="2256" spans="1:12" x14ac:dyDescent="0.3">
      <c r="A2256" s="1">
        <v>42450</v>
      </c>
      <c r="B2256" s="1">
        <v>42452</v>
      </c>
      <c r="C2256" t="s">
        <v>0</v>
      </c>
      <c r="D2256" t="s">
        <v>345</v>
      </c>
      <c r="E2256" t="s">
        <v>346</v>
      </c>
      <c r="F2256" t="s">
        <v>3</v>
      </c>
      <c r="G2256" t="s">
        <v>4</v>
      </c>
      <c r="H2256" t="s">
        <v>26</v>
      </c>
      <c r="I2256" t="s">
        <v>2283</v>
      </c>
      <c r="J2256" s="2">
        <v>10.896000000000001</v>
      </c>
      <c r="K2256">
        <v>3</v>
      </c>
      <c r="L2256" s="4"/>
    </row>
    <row r="2257" spans="1:12" x14ac:dyDescent="0.3">
      <c r="A2257" s="1">
        <v>42450</v>
      </c>
      <c r="B2257" s="1">
        <v>42452</v>
      </c>
      <c r="C2257" t="s">
        <v>0</v>
      </c>
      <c r="D2257" t="s">
        <v>345</v>
      </c>
      <c r="E2257" t="s">
        <v>346</v>
      </c>
      <c r="F2257" t="s">
        <v>3</v>
      </c>
      <c r="G2257" t="s">
        <v>4</v>
      </c>
      <c r="H2257" t="s">
        <v>26</v>
      </c>
      <c r="I2257" t="s">
        <v>82</v>
      </c>
      <c r="J2257" s="2">
        <v>8.5440000000000005</v>
      </c>
      <c r="K2257">
        <v>2</v>
      </c>
      <c r="L2257" s="4"/>
    </row>
    <row r="2258" spans="1:12" x14ac:dyDescent="0.3">
      <c r="A2258" s="1">
        <v>42450</v>
      </c>
      <c r="B2258" s="1">
        <v>42454</v>
      </c>
      <c r="C2258" t="s">
        <v>7</v>
      </c>
      <c r="D2258" t="s">
        <v>241</v>
      </c>
      <c r="E2258" t="s">
        <v>242</v>
      </c>
      <c r="F2258" t="s">
        <v>56</v>
      </c>
      <c r="G2258" t="s">
        <v>4</v>
      </c>
      <c r="H2258" t="s">
        <v>26</v>
      </c>
      <c r="I2258" t="s">
        <v>2533</v>
      </c>
      <c r="J2258" s="2">
        <v>30.576000000000001</v>
      </c>
      <c r="K2258">
        <v>6</v>
      </c>
      <c r="L2258" s="4"/>
    </row>
    <row r="2259" spans="1:12" x14ac:dyDescent="0.3">
      <c r="A2259" s="1">
        <v>42450</v>
      </c>
      <c r="B2259" s="1">
        <v>42454</v>
      </c>
      <c r="C2259" t="s">
        <v>7</v>
      </c>
      <c r="D2259" t="s">
        <v>241</v>
      </c>
      <c r="E2259" t="s">
        <v>242</v>
      </c>
      <c r="F2259" t="s">
        <v>56</v>
      </c>
      <c r="G2259" t="s">
        <v>4</v>
      </c>
      <c r="H2259" t="s">
        <v>52</v>
      </c>
      <c r="I2259" t="s">
        <v>558</v>
      </c>
      <c r="J2259" s="2">
        <v>13.020000000000001</v>
      </c>
      <c r="K2259">
        <v>7</v>
      </c>
      <c r="L2259" s="4"/>
    </row>
    <row r="2260" spans="1:12" x14ac:dyDescent="0.3">
      <c r="A2260" s="1">
        <v>42450</v>
      </c>
      <c r="B2260" s="1">
        <v>42454</v>
      </c>
      <c r="C2260" t="s">
        <v>7</v>
      </c>
      <c r="D2260" t="s">
        <v>241</v>
      </c>
      <c r="E2260" t="s">
        <v>242</v>
      </c>
      <c r="F2260" t="s">
        <v>56</v>
      </c>
      <c r="G2260" t="s">
        <v>12</v>
      </c>
      <c r="H2260" t="s">
        <v>35</v>
      </c>
      <c r="I2260" t="s">
        <v>1719</v>
      </c>
      <c r="J2260" s="2">
        <v>22.14</v>
      </c>
      <c r="K2260">
        <v>3</v>
      </c>
      <c r="L2260" s="4"/>
    </row>
    <row r="2261" spans="1:12" x14ac:dyDescent="0.3">
      <c r="A2261" s="1">
        <v>42450</v>
      </c>
      <c r="B2261" s="1">
        <v>42454</v>
      </c>
      <c r="C2261" t="s">
        <v>7</v>
      </c>
      <c r="D2261" t="s">
        <v>241</v>
      </c>
      <c r="E2261" t="s">
        <v>242</v>
      </c>
      <c r="F2261" t="s">
        <v>56</v>
      </c>
      <c r="G2261" t="s">
        <v>4</v>
      </c>
      <c r="H2261" t="s">
        <v>10</v>
      </c>
      <c r="I2261" t="s">
        <v>330</v>
      </c>
      <c r="J2261" s="2">
        <v>359.32</v>
      </c>
      <c r="K2261">
        <v>4</v>
      </c>
      <c r="L2261" s="4"/>
    </row>
    <row r="2262" spans="1:12" x14ac:dyDescent="0.3">
      <c r="A2262" s="1">
        <v>42452</v>
      </c>
      <c r="B2262" s="1">
        <v>42454</v>
      </c>
      <c r="C2262" t="s">
        <v>22</v>
      </c>
      <c r="D2262" t="s">
        <v>2534</v>
      </c>
      <c r="E2262" t="s">
        <v>2535</v>
      </c>
      <c r="F2262" t="s">
        <v>3</v>
      </c>
      <c r="G2262" t="s">
        <v>12</v>
      </c>
      <c r="H2262" t="s">
        <v>35</v>
      </c>
      <c r="I2262" t="s">
        <v>1023</v>
      </c>
      <c r="J2262" s="2">
        <v>211.84</v>
      </c>
      <c r="K2262">
        <v>8</v>
      </c>
      <c r="L2262" s="4"/>
    </row>
    <row r="2263" spans="1:12" x14ac:dyDescent="0.3">
      <c r="A2263" s="1">
        <v>42452</v>
      </c>
      <c r="B2263" s="1">
        <v>42455</v>
      </c>
      <c r="C2263" t="s">
        <v>22</v>
      </c>
      <c r="D2263" t="s">
        <v>2229</v>
      </c>
      <c r="E2263" t="s">
        <v>2230</v>
      </c>
      <c r="F2263" t="s">
        <v>56</v>
      </c>
      <c r="G2263" t="s">
        <v>4</v>
      </c>
      <c r="H2263" t="s">
        <v>26</v>
      </c>
      <c r="I2263" t="s">
        <v>1050</v>
      </c>
      <c r="J2263" s="2">
        <v>34.76</v>
      </c>
      <c r="K2263">
        <v>5</v>
      </c>
      <c r="L2263" s="4"/>
    </row>
    <row r="2264" spans="1:12" x14ac:dyDescent="0.3">
      <c r="A2264" s="1">
        <v>42452</v>
      </c>
      <c r="B2264" s="1">
        <v>42454</v>
      </c>
      <c r="C2264" t="s">
        <v>22</v>
      </c>
      <c r="D2264" t="s">
        <v>2110</v>
      </c>
      <c r="E2264" t="s">
        <v>2111</v>
      </c>
      <c r="F2264" t="s">
        <v>56</v>
      </c>
      <c r="G2264" t="s">
        <v>4</v>
      </c>
      <c r="H2264" t="s">
        <v>10</v>
      </c>
      <c r="I2264" t="s">
        <v>2395</v>
      </c>
      <c r="J2264" s="2">
        <v>32.479999999999997</v>
      </c>
      <c r="K2264">
        <v>2</v>
      </c>
      <c r="L2264" s="4"/>
    </row>
    <row r="2265" spans="1:12" x14ac:dyDescent="0.3">
      <c r="A2265" s="1">
        <v>42452</v>
      </c>
      <c r="B2265" s="1">
        <v>42454</v>
      </c>
      <c r="C2265" t="s">
        <v>22</v>
      </c>
      <c r="D2265" t="s">
        <v>2110</v>
      </c>
      <c r="E2265" t="s">
        <v>2111</v>
      </c>
      <c r="F2265" t="s">
        <v>56</v>
      </c>
      <c r="G2265" t="s">
        <v>4</v>
      </c>
      <c r="H2265" t="s">
        <v>5</v>
      </c>
      <c r="I2265" t="s">
        <v>1653</v>
      </c>
      <c r="J2265" s="2">
        <v>20.04</v>
      </c>
      <c r="K2265">
        <v>3</v>
      </c>
      <c r="L2265" s="4"/>
    </row>
    <row r="2266" spans="1:12" x14ac:dyDescent="0.3">
      <c r="A2266" s="1">
        <v>42452</v>
      </c>
      <c r="B2266" s="1">
        <v>42454</v>
      </c>
      <c r="C2266" t="s">
        <v>22</v>
      </c>
      <c r="D2266" t="s">
        <v>2110</v>
      </c>
      <c r="E2266" t="s">
        <v>2111</v>
      </c>
      <c r="F2266" t="s">
        <v>56</v>
      </c>
      <c r="G2266" t="s">
        <v>74</v>
      </c>
      <c r="H2266" t="s">
        <v>534</v>
      </c>
      <c r="I2266" t="s">
        <v>2536</v>
      </c>
      <c r="J2266" s="2">
        <v>13999.96</v>
      </c>
      <c r="K2266">
        <v>4</v>
      </c>
      <c r="L2266" s="4"/>
    </row>
    <row r="2267" spans="1:12" x14ac:dyDescent="0.3">
      <c r="A2267" s="1">
        <v>42454</v>
      </c>
      <c r="B2267" s="1">
        <v>42455</v>
      </c>
      <c r="C2267" t="s">
        <v>22</v>
      </c>
      <c r="D2267" t="s">
        <v>2537</v>
      </c>
      <c r="E2267" t="s">
        <v>2538</v>
      </c>
      <c r="F2267" t="s">
        <v>3</v>
      </c>
      <c r="G2267" t="s">
        <v>4</v>
      </c>
      <c r="H2267" t="s">
        <v>20</v>
      </c>
      <c r="I2267" t="s">
        <v>1273</v>
      </c>
      <c r="J2267" s="2">
        <v>176.04</v>
      </c>
      <c r="K2267">
        <v>4</v>
      </c>
      <c r="L2267" s="4"/>
    </row>
    <row r="2268" spans="1:12" x14ac:dyDescent="0.3">
      <c r="A2268" s="1">
        <v>42454</v>
      </c>
      <c r="B2268" s="1">
        <v>42455</v>
      </c>
      <c r="C2268" t="s">
        <v>22</v>
      </c>
      <c r="D2268" t="s">
        <v>2537</v>
      </c>
      <c r="E2268" t="s">
        <v>2538</v>
      </c>
      <c r="F2268" t="s">
        <v>3</v>
      </c>
      <c r="G2268" t="s">
        <v>4</v>
      </c>
      <c r="H2268" t="s">
        <v>15</v>
      </c>
      <c r="I2268" t="s">
        <v>371</v>
      </c>
      <c r="J2268" s="2">
        <v>16.02</v>
      </c>
      <c r="K2268">
        <v>9</v>
      </c>
      <c r="L2268" s="4"/>
    </row>
    <row r="2269" spans="1:12" x14ac:dyDescent="0.3">
      <c r="A2269" s="1">
        <v>42454</v>
      </c>
      <c r="B2269" s="1">
        <v>42455</v>
      </c>
      <c r="C2269" t="s">
        <v>22</v>
      </c>
      <c r="D2269" t="s">
        <v>2537</v>
      </c>
      <c r="E2269" t="s">
        <v>2538</v>
      </c>
      <c r="F2269" t="s">
        <v>3</v>
      </c>
      <c r="G2269" t="s">
        <v>4</v>
      </c>
      <c r="H2269" t="s">
        <v>26</v>
      </c>
      <c r="I2269" t="s">
        <v>1834</v>
      </c>
      <c r="J2269" s="2">
        <v>185.92000000000002</v>
      </c>
      <c r="K2269">
        <v>4</v>
      </c>
      <c r="L2269" s="4"/>
    </row>
    <row r="2270" spans="1:12" x14ac:dyDescent="0.3">
      <c r="A2270" s="1">
        <v>42454</v>
      </c>
      <c r="B2270" s="1">
        <v>42455</v>
      </c>
      <c r="C2270" t="s">
        <v>22</v>
      </c>
      <c r="D2270" t="s">
        <v>2537</v>
      </c>
      <c r="E2270" t="s">
        <v>2538</v>
      </c>
      <c r="F2270" t="s">
        <v>3</v>
      </c>
      <c r="G2270" t="s">
        <v>74</v>
      </c>
      <c r="H2270" t="s">
        <v>147</v>
      </c>
      <c r="I2270" t="s">
        <v>2539</v>
      </c>
      <c r="J2270" s="2">
        <v>211.16800000000001</v>
      </c>
      <c r="K2270">
        <v>4</v>
      </c>
      <c r="L2270" s="4"/>
    </row>
    <row r="2271" spans="1:12" x14ac:dyDescent="0.3">
      <c r="A2271" s="1">
        <v>42454</v>
      </c>
      <c r="B2271" s="1">
        <v>42455</v>
      </c>
      <c r="C2271" t="s">
        <v>22</v>
      </c>
      <c r="D2271" t="s">
        <v>2537</v>
      </c>
      <c r="E2271" t="s">
        <v>2538</v>
      </c>
      <c r="F2271" t="s">
        <v>3</v>
      </c>
      <c r="G2271" t="s">
        <v>74</v>
      </c>
      <c r="H2271" t="s">
        <v>534</v>
      </c>
      <c r="I2271" t="s">
        <v>2091</v>
      </c>
      <c r="J2271" s="2">
        <v>479.98400000000004</v>
      </c>
      <c r="K2271">
        <v>2</v>
      </c>
      <c r="L2271" s="4"/>
    </row>
    <row r="2272" spans="1:12" x14ac:dyDescent="0.3">
      <c r="A2272" s="1">
        <v>42454</v>
      </c>
      <c r="B2272" s="1">
        <v>42459</v>
      </c>
      <c r="C2272" t="s">
        <v>7</v>
      </c>
      <c r="D2272" t="s">
        <v>369</v>
      </c>
      <c r="E2272" t="s">
        <v>370</v>
      </c>
      <c r="F2272" t="s">
        <v>56</v>
      </c>
      <c r="G2272" t="s">
        <v>4</v>
      </c>
      <c r="H2272" t="s">
        <v>15</v>
      </c>
      <c r="I2272" t="s">
        <v>2540</v>
      </c>
      <c r="J2272" s="2">
        <v>23.1</v>
      </c>
      <c r="K2272">
        <v>2</v>
      </c>
      <c r="L2272" s="4"/>
    </row>
    <row r="2273" spans="1:12" x14ac:dyDescent="0.3">
      <c r="A2273" s="1">
        <v>42455</v>
      </c>
      <c r="B2273" s="1">
        <v>42457</v>
      </c>
      <c r="C2273" t="s">
        <v>22</v>
      </c>
      <c r="D2273" t="s">
        <v>1685</v>
      </c>
      <c r="E2273" t="s">
        <v>1686</v>
      </c>
      <c r="F2273" t="s">
        <v>56</v>
      </c>
      <c r="G2273" t="s">
        <v>4</v>
      </c>
      <c r="H2273" t="s">
        <v>15</v>
      </c>
      <c r="I2273" t="s">
        <v>2541</v>
      </c>
      <c r="J2273" s="2">
        <v>19.829999999999998</v>
      </c>
      <c r="K2273">
        <v>1</v>
      </c>
      <c r="L2273" s="4"/>
    </row>
    <row r="2274" spans="1:12" x14ac:dyDescent="0.3">
      <c r="A2274" s="1">
        <v>42456</v>
      </c>
      <c r="B2274" s="1">
        <v>42460</v>
      </c>
      <c r="C2274" t="s">
        <v>7</v>
      </c>
      <c r="D2274" t="s">
        <v>2542</v>
      </c>
      <c r="E2274" t="s">
        <v>2543</v>
      </c>
      <c r="F2274" t="s">
        <v>3</v>
      </c>
      <c r="G2274" t="s">
        <v>4</v>
      </c>
      <c r="H2274" t="s">
        <v>5</v>
      </c>
      <c r="I2274" t="s">
        <v>2282</v>
      </c>
      <c r="J2274" s="2">
        <v>45.68</v>
      </c>
      <c r="K2274">
        <v>2</v>
      </c>
      <c r="L2274" s="4"/>
    </row>
    <row r="2275" spans="1:12" x14ac:dyDescent="0.3">
      <c r="A2275" s="1">
        <v>42456</v>
      </c>
      <c r="B2275" s="1">
        <v>42460</v>
      </c>
      <c r="C2275" t="s">
        <v>7</v>
      </c>
      <c r="D2275" t="s">
        <v>2542</v>
      </c>
      <c r="E2275" t="s">
        <v>2543</v>
      </c>
      <c r="F2275" t="s">
        <v>3</v>
      </c>
      <c r="G2275" t="s">
        <v>4</v>
      </c>
      <c r="H2275" t="s">
        <v>5</v>
      </c>
      <c r="I2275" t="s">
        <v>524</v>
      </c>
      <c r="J2275" s="2">
        <v>110.96</v>
      </c>
      <c r="K2275">
        <v>2</v>
      </c>
      <c r="L2275" s="4"/>
    </row>
    <row r="2276" spans="1:12" x14ac:dyDescent="0.3">
      <c r="A2276" s="1">
        <v>42456</v>
      </c>
      <c r="B2276" s="1">
        <v>42460</v>
      </c>
      <c r="C2276" t="s">
        <v>7</v>
      </c>
      <c r="D2276" t="s">
        <v>2542</v>
      </c>
      <c r="E2276" t="s">
        <v>2543</v>
      </c>
      <c r="F2276" t="s">
        <v>3</v>
      </c>
      <c r="G2276" t="s">
        <v>4</v>
      </c>
      <c r="H2276" t="s">
        <v>5</v>
      </c>
      <c r="I2276" t="s">
        <v>2544</v>
      </c>
      <c r="J2276" s="2">
        <v>11.94</v>
      </c>
      <c r="K2276">
        <v>3</v>
      </c>
      <c r="L2276" s="4"/>
    </row>
    <row r="2277" spans="1:12" x14ac:dyDescent="0.3">
      <c r="A2277" s="1">
        <v>42457</v>
      </c>
      <c r="B2277" s="1">
        <v>42460</v>
      </c>
      <c r="C2277" t="s">
        <v>22</v>
      </c>
      <c r="D2277" t="s">
        <v>1179</v>
      </c>
      <c r="E2277" t="s">
        <v>1180</v>
      </c>
      <c r="F2277" t="s">
        <v>3</v>
      </c>
      <c r="G2277" t="s">
        <v>4</v>
      </c>
      <c r="H2277" t="s">
        <v>5</v>
      </c>
      <c r="I2277" t="s">
        <v>2545</v>
      </c>
      <c r="J2277" s="2">
        <v>12.96</v>
      </c>
      <c r="K2277">
        <v>2</v>
      </c>
      <c r="L2277" s="4"/>
    </row>
    <row r="2278" spans="1:12" x14ac:dyDescent="0.3">
      <c r="A2278" s="1">
        <v>42457</v>
      </c>
      <c r="B2278" s="1">
        <v>42460</v>
      </c>
      <c r="C2278" t="s">
        <v>22</v>
      </c>
      <c r="D2278" t="s">
        <v>1179</v>
      </c>
      <c r="E2278" t="s">
        <v>1180</v>
      </c>
      <c r="F2278" t="s">
        <v>3</v>
      </c>
      <c r="G2278" t="s">
        <v>12</v>
      </c>
      <c r="H2278" t="s">
        <v>35</v>
      </c>
      <c r="I2278" t="s">
        <v>2546</v>
      </c>
      <c r="J2278" s="2">
        <v>26.48</v>
      </c>
      <c r="K2278">
        <v>1</v>
      </c>
      <c r="L2278" s="4"/>
    </row>
    <row r="2279" spans="1:12" x14ac:dyDescent="0.3">
      <c r="A2279" s="1">
        <v>42457</v>
      </c>
      <c r="B2279" s="1">
        <v>42460</v>
      </c>
      <c r="C2279" t="s">
        <v>22</v>
      </c>
      <c r="D2279" t="s">
        <v>1179</v>
      </c>
      <c r="E2279" t="s">
        <v>1180</v>
      </c>
      <c r="F2279" t="s">
        <v>3</v>
      </c>
      <c r="G2279" t="s">
        <v>74</v>
      </c>
      <c r="H2279" t="s">
        <v>138</v>
      </c>
      <c r="I2279" t="s">
        <v>2547</v>
      </c>
      <c r="J2279" s="2">
        <v>532.72</v>
      </c>
      <c r="K2279">
        <v>2</v>
      </c>
      <c r="L2279" s="4"/>
    </row>
    <row r="2280" spans="1:12" x14ac:dyDescent="0.3">
      <c r="A2280" s="1">
        <v>42457</v>
      </c>
      <c r="B2280" s="1">
        <v>42460</v>
      </c>
      <c r="C2280" t="s">
        <v>22</v>
      </c>
      <c r="D2280" t="s">
        <v>1179</v>
      </c>
      <c r="E2280" t="s">
        <v>1180</v>
      </c>
      <c r="F2280" t="s">
        <v>3</v>
      </c>
      <c r="G2280" t="s">
        <v>4</v>
      </c>
      <c r="H2280" t="s">
        <v>5</v>
      </c>
      <c r="I2280" t="s">
        <v>2548</v>
      </c>
      <c r="J2280" s="2">
        <v>26.72</v>
      </c>
      <c r="K2280">
        <v>4</v>
      </c>
      <c r="L2280" s="4"/>
    </row>
    <row r="2281" spans="1:12" x14ac:dyDescent="0.3">
      <c r="A2281" s="1">
        <v>42457</v>
      </c>
      <c r="B2281" s="1">
        <v>42460</v>
      </c>
      <c r="C2281" t="s">
        <v>22</v>
      </c>
      <c r="D2281" t="s">
        <v>1179</v>
      </c>
      <c r="E2281" t="s">
        <v>1180</v>
      </c>
      <c r="F2281" t="s">
        <v>3</v>
      </c>
      <c r="G2281" t="s">
        <v>4</v>
      </c>
      <c r="H2281" t="s">
        <v>5</v>
      </c>
      <c r="I2281" t="s">
        <v>1228</v>
      </c>
      <c r="J2281" s="2">
        <v>20.04</v>
      </c>
      <c r="K2281">
        <v>3</v>
      </c>
      <c r="L2281" s="4"/>
    </row>
    <row r="2282" spans="1:12" x14ac:dyDescent="0.3">
      <c r="A2282" s="1">
        <v>42457</v>
      </c>
      <c r="B2282" s="1">
        <v>42460</v>
      </c>
      <c r="C2282" t="s">
        <v>22</v>
      </c>
      <c r="D2282" t="s">
        <v>1179</v>
      </c>
      <c r="E2282" t="s">
        <v>1180</v>
      </c>
      <c r="F2282" t="s">
        <v>3</v>
      </c>
      <c r="G2282" t="s">
        <v>4</v>
      </c>
      <c r="H2282" t="s">
        <v>10</v>
      </c>
      <c r="I2282" t="s">
        <v>876</v>
      </c>
      <c r="J2282" s="2">
        <v>795.48</v>
      </c>
      <c r="K2282">
        <v>7</v>
      </c>
      <c r="L2282" s="4"/>
    </row>
    <row r="2283" spans="1:12" x14ac:dyDescent="0.3">
      <c r="A2283" s="1">
        <v>42457</v>
      </c>
      <c r="B2283" s="1">
        <v>42460</v>
      </c>
      <c r="C2283" t="s">
        <v>22</v>
      </c>
      <c r="D2283" t="s">
        <v>1179</v>
      </c>
      <c r="E2283" t="s">
        <v>1180</v>
      </c>
      <c r="F2283" t="s">
        <v>3</v>
      </c>
      <c r="G2283" t="s">
        <v>12</v>
      </c>
      <c r="H2283" t="s">
        <v>35</v>
      </c>
      <c r="I2283" t="s">
        <v>1053</v>
      </c>
      <c r="J2283" s="2">
        <v>21.560000000000002</v>
      </c>
      <c r="K2283">
        <v>7</v>
      </c>
      <c r="L2283" s="4"/>
    </row>
    <row r="2284" spans="1:12" x14ac:dyDescent="0.3">
      <c r="A2284" s="1">
        <v>42459</v>
      </c>
      <c r="B2284" s="1">
        <v>42459</v>
      </c>
      <c r="C2284" t="s">
        <v>240</v>
      </c>
      <c r="D2284" t="s">
        <v>54</v>
      </c>
      <c r="E2284" t="s">
        <v>55</v>
      </c>
      <c r="F2284" t="s">
        <v>3</v>
      </c>
      <c r="G2284" t="s">
        <v>4</v>
      </c>
      <c r="H2284" t="s">
        <v>15</v>
      </c>
      <c r="I2284" t="s">
        <v>2458</v>
      </c>
      <c r="J2284" s="2">
        <v>6.08</v>
      </c>
      <c r="K2284">
        <v>2</v>
      </c>
      <c r="L2284" s="4"/>
    </row>
    <row r="2285" spans="1:12" x14ac:dyDescent="0.3">
      <c r="A2285" s="1">
        <v>42459</v>
      </c>
      <c r="B2285" s="1">
        <v>42459</v>
      </c>
      <c r="C2285" t="s">
        <v>240</v>
      </c>
      <c r="D2285" t="s">
        <v>54</v>
      </c>
      <c r="E2285" t="s">
        <v>55</v>
      </c>
      <c r="F2285" t="s">
        <v>3</v>
      </c>
      <c r="G2285" t="s">
        <v>74</v>
      </c>
      <c r="H2285" t="s">
        <v>147</v>
      </c>
      <c r="I2285" t="s">
        <v>2549</v>
      </c>
      <c r="J2285" s="2">
        <v>164.79200000000003</v>
      </c>
      <c r="K2285">
        <v>1</v>
      </c>
      <c r="L2285" s="4"/>
    </row>
    <row r="2286" spans="1:12" x14ac:dyDescent="0.3">
      <c r="A2286" s="1">
        <v>42459</v>
      </c>
      <c r="B2286" s="1">
        <v>42461</v>
      </c>
      <c r="C2286" t="s">
        <v>0</v>
      </c>
      <c r="D2286" t="s">
        <v>1225</v>
      </c>
      <c r="E2286" t="s">
        <v>1226</v>
      </c>
      <c r="F2286" t="s">
        <v>3</v>
      </c>
      <c r="G2286" t="s">
        <v>12</v>
      </c>
      <c r="H2286" t="s">
        <v>35</v>
      </c>
      <c r="I2286" t="s">
        <v>1263</v>
      </c>
      <c r="J2286" s="2">
        <v>94.2</v>
      </c>
      <c r="K2286">
        <v>5</v>
      </c>
      <c r="L2286" s="4"/>
    </row>
    <row r="2287" spans="1:12" x14ac:dyDescent="0.3">
      <c r="A2287" s="1">
        <v>42460</v>
      </c>
      <c r="B2287" s="1">
        <v>42467</v>
      </c>
      <c r="C2287" t="s">
        <v>7</v>
      </c>
      <c r="D2287" t="s">
        <v>680</v>
      </c>
      <c r="E2287" t="s">
        <v>681</v>
      </c>
      <c r="F2287" t="s">
        <v>3</v>
      </c>
      <c r="G2287" t="s">
        <v>4</v>
      </c>
      <c r="H2287" t="s">
        <v>78</v>
      </c>
      <c r="I2287" t="s">
        <v>1664</v>
      </c>
      <c r="J2287" s="2">
        <v>29.700000000000003</v>
      </c>
      <c r="K2287">
        <v>3</v>
      </c>
      <c r="L2287" s="4"/>
    </row>
    <row r="2288" spans="1:12" x14ac:dyDescent="0.3">
      <c r="A2288" s="1">
        <v>42461</v>
      </c>
      <c r="B2288" s="1">
        <v>42465</v>
      </c>
      <c r="C2288" t="s">
        <v>7</v>
      </c>
      <c r="D2288" t="s">
        <v>1853</v>
      </c>
      <c r="E2288" t="s">
        <v>1854</v>
      </c>
      <c r="F2288" t="s">
        <v>3</v>
      </c>
      <c r="G2288" t="s">
        <v>4</v>
      </c>
      <c r="H2288" t="s">
        <v>168</v>
      </c>
      <c r="I2288" t="s">
        <v>2550</v>
      </c>
      <c r="J2288" s="2">
        <v>5.78</v>
      </c>
      <c r="K2288">
        <v>2</v>
      </c>
      <c r="L2288" s="4"/>
    </row>
    <row r="2289" spans="1:12" x14ac:dyDescent="0.3">
      <c r="A2289" s="1">
        <v>42461</v>
      </c>
      <c r="B2289" s="1">
        <v>42465</v>
      </c>
      <c r="C2289" t="s">
        <v>7</v>
      </c>
      <c r="D2289" t="s">
        <v>1853</v>
      </c>
      <c r="E2289" t="s">
        <v>1854</v>
      </c>
      <c r="F2289" t="s">
        <v>3</v>
      </c>
      <c r="G2289" t="s">
        <v>4</v>
      </c>
      <c r="H2289" t="s">
        <v>26</v>
      </c>
      <c r="I2289" t="s">
        <v>1131</v>
      </c>
      <c r="J2289" s="2">
        <v>121.67999999999999</v>
      </c>
      <c r="K2289">
        <v>13</v>
      </c>
      <c r="L2289" s="4"/>
    </row>
    <row r="2290" spans="1:12" x14ac:dyDescent="0.3">
      <c r="A2290" s="1">
        <v>42461</v>
      </c>
      <c r="B2290" s="1">
        <v>42463</v>
      </c>
      <c r="C2290" t="s">
        <v>22</v>
      </c>
      <c r="D2290" t="s">
        <v>475</v>
      </c>
      <c r="E2290" t="s">
        <v>476</v>
      </c>
      <c r="F2290" t="s">
        <v>3</v>
      </c>
      <c r="G2290" t="s">
        <v>12</v>
      </c>
      <c r="H2290" t="s">
        <v>13</v>
      </c>
      <c r="I2290" t="s">
        <v>2284</v>
      </c>
      <c r="J2290" s="2">
        <v>482.66399999999999</v>
      </c>
      <c r="K2290">
        <v>8</v>
      </c>
      <c r="L2290" s="4"/>
    </row>
    <row r="2291" spans="1:12" x14ac:dyDescent="0.3">
      <c r="A2291" s="1">
        <v>42461</v>
      </c>
      <c r="B2291" s="1">
        <v>42463</v>
      </c>
      <c r="C2291" t="s">
        <v>22</v>
      </c>
      <c r="D2291" t="s">
        <v>475</v>
      </c>
      <c r="E2291" t="s">
        <v>476</v>
      </c>
      <c r="F2291" t="s">
        <v>3</v>
      </c>
      <c r="G2291" t="s">
        <v>74</v>
      </c>
      <c r="H2291" t="s">
        <v>138</v>
      </c>
      <c r="I2291" t="s">
        <v>2551</v>
      </c>
      <c r="J2291" s="2">
        <v>4799.9839999999995</v>
      </c>
      <c r="K2291">
        <v>2</v>
      </c>
      <c r="L2291" s="4"/>
    </row>
    <row r="2292" spans="1:12" x14ac:dyDescent="0.3">
      <c r="A2292" s="1">
        <v>42462</v>
      </c>
      <c r="B2292" s="1">
        <v>42467</v>
      </c>
      <c r="C2292" t="s">
        <v>7</v>
      </c>
      <c r="D2292" t="s">
        <v>2459</v>
      </c>
      <c r="E2292" t="s">
        <v>2460</v>
      </c>
      <c r="F2292" t="s">
        <v>3</v>
      </c>
      <c r="G2292" t="s">
        <v>12</v>
      </c>
      <c r="H2292" t="s">
        <v>35</v>
      </c>
      <c r="I2292" t="s">
        <v>761</v>
      </c>
      <c r="J2292" s="2">
        <v>25.11</v>
      </c>
      <c r="K2292">
        <v>3</v>
      </c>
      <c r="L2292" s="4"/>
    </row>
    <row r="2293" spans="1:12" x14ac:dyDescent="0.3">
      <c r="A2293" s="1">
        <v>42468</v>
      </c>
      <c r="B2293" s="1">
        <v>42472</v>
      </c>
      <c r="C2293" t="s">
        <v>7</v>
      </c>
      <c r="D2293" t="s">
        <v>439</v>
      </c>
      <c r="E2293" t="s">
        <v>440</v>
      </c>
      <c r="F2293" t="s">
        <v>3</v>
      </c>
      <c r="G2293" t="s">
        <v>4</v>
      </c>
      <c r="H2293" t="s">
        <v>5</v>
      </c>
      <c r="I2293" t="s">
        <v>260</v>
      </c>
      <c r="J2293" s="2">
        <v>244.54999999999998</v>
      </c>
      <c r="K2293">
        <v>5</v>
      </c>
      <c r="L2293" s="4"/>
    </row>
    <row r="2294" spans="1:12" x14ac:dyDescent="0.3">
      <c r="A2294" s="1">
        <v>42468</v>
      </c>
      <c r="B2294" s="1">
        <v>42472</v>
      </c>
      <c r="C2294" t="s">
        <v>7</v>
      </c>
      <c r="D2294" t="s">
        <v>439</v>
      </c>
      <c r="E2294" t="s">
        <v>440</v>
      </c>
      <c r="F2294" t="s">
        <v>3</v>
      </c>
      <c r="G2294" t="s">
        <v>4</v>
      </c>
      <c r="H2294" t="s">
        <v>5</v>
      </c>
      <c r="I2294" t="s">
        <v>643</v>
      </c>
      <c r="J2294" s="2">
        <v>195.76</v>
      </c>
      <c r="K2294">
        <v>4</v>
      </c>
      <c r="L2294" s="4"/>
    </row>
    <row r="2295" spans="1:12" x14ac:dyDescent="0.3">
      <c r="A2295" s="1">
        <v>42471</v>
      </c>
      <c r="B2295" s="1">
        <v>42478</v>
      </c>
      <c r="C2295" t="s">
        <v>7</v>
      </c>
      <c r="D2295" t="s">
        <v>2552</v>
      </c>
      <c r="E2295" t="s">
        <v>2553</v>
      </c>
      <c r="F2295" t="s">
        <v>3</v>
      </c>
      <c r="G2295" t="s">
        <v>74</v>
      </c>
      <c r="H2295" t="s">
        <v>75</v>
      </c>
      <c r="I2295" t="s">
        <v>541</v>
      </c>
      <c r="J2295" s="2">
        <v>199.95000000000002</v>
      </c>
      <c r="K2295">
        <v>5</v>
      </c>
      <c r="L2295" s="4"/>
    </row>
    <row r="2296" spans="1:12" x14ac:dyDescent="0.3">
      <c r="A2296" s="1">
        <v>42471</v>
      </c>
      <c r="B2296" s="1">
        <v>42478</v>
      </c>
      <c r="C2296" t="s">
        <v>7</v>
      </c>
      <c r="D2296" t="s">
        <v>2552</v>
      </c>
      <c r="E2296" t="s">
        <v>2553</v>
      </c>
      <c r="F2296" t="s">
        <v>3</v>
      </c>
      <c r="G2296" t="s">
        <v>4</v>
      </c>
      <c r="H2296" t="s">
        <v>15</v>
      </c>
      <c r="I2296" t="s">
        <v>2554</v>
      </c>
      <c r="J2296" s="2">
        <v>41.86</v>
      </c>
      <c r="K2296">
        <v>7</v>
      </c>
      <c r="L2296" s="4"/>
    </row>
    <row r="2297" spans="1:12" x14ac:dyDescent="0.3">
      <c r="A2297" s="1">
        <v>42473</v>
      </c>
      <c r="B2297" s="1">
        <v>42475</v>
      </c>
      <c r="C2297" t="s">
        <v>22</v>
      </c>
      <c r="D2297" t="s">
        <v>2139</v>
      </c>
      <c r="E2297" t="s">
        <v>2140</v>
      </c>
      <c r="F2297" t="s">
        <v>56</v>
      </c>
      <c r="G2297" t="s">
        <v>4</v>
      </c>
      <c r="H2297" t="s">
        <v>5</v>
      </c>
      <c r="I2297" t="s">
        <v>2555</v>
      </c>
      <c r="J2297" s="2">
        <v>5.28</v>
      </c>
      <c r="K2297">
        <v>1</v>
      </c>
      <c r="L2297" s="4"/>
    </row>
    <row r="2298" spans="1:12" x14ac:dyDescent="0.3">
      <c r="A2298" s="1">
        <v>42473</v>
      </c>
      <c r="B2298" s="1">
        <v>42475</v>
      </c>
      <c r="C2298" t="s">
        <v>22</v>
      </c>
      <c r="D2298" t="s">
        <v>2139</v>
      </c>
      <c r="E2298" t="s">
        <v>2140</v>
      </c>
      <c r="F2298" t="s">
        <v>56</v>
      </c>
      <c r="G2298" t="s">
        <v>4</v>
      </c>
      <c r="H2298" t="s">
        <v>26</v>
      </c>
      <c r="I2298" t="s">
        <v>2556</v>
      </c>
      <c r="J2298" s="2">
        <v>895.92</v>
      </c>
      <c r="K2298">
        <v>5</v>
      </c>
      <c r="L2298" s="4"/>
    </row>
    <row r="2299" spans="1:12" x14ac:dyDescent="0.3">
      <c r="A2299" s="1">
        <v>42473</v>
      </c>
      <c r="B2299" s="1">
        <v>42477</v>
      </c>
      <c r="C2299" t="s">
        <v>7</v>
      </c>
      <c r="D2299" t="s">
        <v>1789</v>
      </c>
      <c r="E2299" t="s">
        <v>1790</v>
      </c>
      <c r="F2299" t="s">
        <v>3</v>
      </c>
      <c r="G2299" t="s">
        <v>12</v>
      </c>
      <c r="H2299" t="s">
        <v>70</v>
      </c>
      <c r="I2299" t="s">
        <v>2414</v>
      </c>
      <c r="J2299" s="2">
        <v>436.70400000000006</v>
      </c>
      <c r="K2299">
        <v>6</v>
      </c>
      <c r="L2299" s="4"/>
    </row>
    <row r="2300" spans="1:12" x14ac:dyDescent="0.3">
      <c r="A2300" s="1">
        <v>42475</v>
      </c>
      <c r="B2300" s="1">
        <v>42478</v>
      </c>
      <c r="C2300" t="s">
        <v>22</v>
      </c>
      <c r="D2300" t="s">
        <v>908</v>
      </c>
      <c r="E2300" t="s">
        <v>909</v>
      </c>
      <c r="F2300" t="s">
        <v>39</v>
      </c>
      <c r="G2300" t="s">
        <v>12</v>
      </c>
      <c r="H2300" t="s">
        <v>35</v>
      </c>
      <c r="I2300" t="s">
        <v>2557</v>
      </c>
      <c r="J2300" s="2">
        <v>196.45</v>
      </c>
      <c r="K2300">
        <v>5</v>
      </c>
      <c r="L2300" s="4"/>
    </row>
    <row r="2301" spans="1:12" x14ac:dyDescent="0.3">
      <c r="A2301" s="1">
        <v>42475</v>
      </c>
      <c r="B2301" s="1">
        <v>42477</v>
      </c>
      <c r="C2301" t="s">
        <v>0</v>
      </c>
      <c r="D2301" t="s">
        <v>393</v>
      </c>
      <c r="E2301" t="s">
        <v>394</v>
      </c>
      <c r="F2301" t="s">
        <v>3</v>
      </c>
      <c r="G2301" t="s">
        <v>4</v>
      </c>
      <c r="H2301" t="s">
        <v>5</v>
      </c>
      <c r="I2301" t="s">
        <v>1352</v>
      </c>
      <c r="J2301" s="2">
        <v>79.14</v>
      </c>
      <c r="K2301">
        <v>3</v>
      </c>
      <c r="L2301" s="4"/>
    </row>
    <row r="2302" spans="1:12" x14ac:dyDescent="0.3">
      <c r="A2302" s="1">
        <v>42476</v>
      </c>
      <c r="B2302" s="1">
        <v>42480</v>
      </c>
      <c r="C2302" t="s">
        <v>7</v>
      </c>
      <c r="D2302" t="s">
        <v>384</v>
      </c>
      <c r="E2302" t="s">
        <v>385</v>
      </c>
      <c r="F2302" t="s">
        <v>3</v>
      </c>
      <c r="G2302" t="s">
        <v>4</v>
      </c>
      <c r="H2302" t="s">
        <v>10</v>
      </c>
      <c r="I2302" t="s">
        <v>1378</v>
      </c>
      <c r="J2302" s="2">
        <v>205.92</v>
      </c>
      <c r="K2302">
        <v>4</v>
      </c>
      <c r="L2302" s="4"/>
    </row>
    <row r="2303" spans="1:12" x14ac:dyDescent="0.3">
      <c r="A2303" s="1">
        <v>42476</v>
      </c>
      <c r="B2303" s="1">
        <v>42480</v>
      </c>
      <c r="C2303" t="s">
        <v>7</v>
      </c>
      <c r="D2303" t="s">
        <v>384</v>
      </c>
      <c r="E2303" t="s">
        <v>385</v>
      </c>
      <c r="F2303" t="s">
        <v>3</v>
      </c>
      <c r="G2303" t="s">
        <v>12</v>
      </c>
      <c r="H2303" t="s">
        <v>13</v>
      </c>
      <c r="I2303" t="s">
        <v>180</v>
      </c>
      <c r="J2303" s="2">
        <v>102.833</v>
      </c>
      <c r="K2303">
        <v>1</v>
      </c>
      <c r="L2303" s="4"/>
    </row>
    <row r="2304" spans="1:12" x14ac:dyDescent="0.3">
      <c r="A2304" s="1">
        <v>42476</v>
      </c>
      <c r="B2304" s="1">
        <v>42480</v>
      </c>
      <c r="C2304" t="s">
        <v>7</v>
      </c>
      <c r="D2304" t="s">
        <v>1199</v>
      </c>
      <c r="E2304" t="s">
        <v>1200</v>
      </c>
      <c r="F2304" t="s">
        <v>3</v>
      </c>
      <c r="G2304" t="s">
        <v>4</v>
      </c>
      <c r="H2304" t="s">
        <v>20</v>
      </c>
      <c r="I2304" t="s">
        <v>2558</v>
      </c>
      <c r="J2304" s="2">
        <v>40.74</v>
      </c>
      <c r="K2304">
        <v>3</v>
      </c>
      <c r="L2304" s="4"/>
    </row>
    <row r="2305" spans="1:12" x14ac:dyDescent="0.3">
      <c r="A2305" s="1">
        <v>42477</v>
      </c>
      <c r="B2305" s="1">
        <v>42483</v>
      </c>
      <c r="C2305" t="s">
        <v>7</v>
      </c>
      <c r="D2305" t="s">
        <v>2559</v>
      </c>
      <c r="E2305" t="s">
        <v>2560</v>
      </c>
      <c r="F2305" t="s">
        <v>115</v>
      </c>
      <c r="G2305" t="s">
        <v>4</v>
      </c>
      <c r="H2305" t="s">
        <v>26</v>
      </c>
      <c r="I2305" t="s">
        <v>1246</v>
      </c>
      <c r="J2305" s="2">
        <v>12.030000000000001</v>
      </c>
      <c r="K2305">
        <v>5</v>
      </c>
      <c r="L2305" s="4"/>
    </row>
    <row r="2306" spans="1:12" x14ac:dyDescent="0.3">
      <c r="A2306" s="1">
        <v>42477</v>
      </c>
      <c r="B2306" s="1">
        <v>42483</v>
      </c>
      <c r="C2306" t="s">
        <v>7</v>
      </c>
      <c r="D2306" t="s">
        <v>2559</v>
      </c>
      <c r="E2306" t="s">
        <v>2560</v>
      </c>
      <c r="F2306" t="s">
        <v>115</v>
      </c>
      <c r="G2306" t="s">
        <v>74</v>
      </c>
      <c r="H2306" t="s">
        <v>138</v>
      </c>
      <c r="I2306" t="s">
        <v>2561</v>
      </c>
      <c r="J2306" s="2">
        <v>2549.9850000000006</v>
      </c>
      <c r="K2306">
        <v>5</v>
      </c>
      <c r="L2306" s="4"/>
    </row>
    <row r="2307" spans="1:12" x14ac:dyDescent="0.3">
      <c r="A2307" s="1">
        <v>42477</v>
      </c>
      <c r="B2307" s="1">
        <v>42483</v>
      </c>
      <c r="C2307" t="s">
        <v>7</v>
      </c>
      <c r="D2307" t="s">
        <v>2559</v>
      </c>
      <c r="E2307" t="s">
        <v>2560</v>
      </c>
      <c r="F2307" t="s">
        <v>115</v>
      </c>
      <c r="G2307" t="s">
        <v>4</v>
      </c>
      <c r="H2307" t="s">
        <v>26</v>
      </c>
      <c r="I2307" t="s">
        <v>2335</v>
      </c>
      <c r="J2307" s="2">
        <v>21.594000000000005</v>
      </c>
      <c r="K2307">
        <v>2</v>
      </c>
      <c r="L2307" s="4"/>
    </row>
    <row r="2308" spans="1:12" x14ac:dyDescent="0.3">
      <c r="A2308" s="1">
        <v>42477</v>
      </c>
      <c r="B2308" s="1">
        <v>42483</v>
      </c>
      <c r="C2308" t="s">
        <v>7</v>
      </c>
      <c r="D2308" t="s">
        <v>2559</v>
      </c>
      <c r="E2308" t="s">
        <v>2560</v>
      </c>
      <c r="F2308" t="s">
        <v>115</v>
      </c>
      <c r="G2308" t="s">
        <v>4</v>
      </c>
      <c r="H2308" t="s">
        <v>26</v>
      </c>
      <c r="I2308" t="s">
        <v>404</v>
      </c>
      <c r="J2308" s="2">
        <v>8.9640000000000022</v>
      </c>
      <c r="K2308">
        <v>6</v>
      </c>
      <c r="L2308" s="4"/>
    </row>
    <row r="2309" spans="1:12" x14ac:dyDescent="0.3">
      <c r="A2309" s="1">
        <v>42477</v>
      </c>
      <c r="B2309" s="1">
        <v>42483</v>
      </c>
      <c r="C2309" t="s">
        <v>7</v>
      </c>
      <c r="D2309" t="s">
        <v>2559</v>
      </c>
      <c r="E2309" t="s">
        <v>2560</v>
      </c>
      <c r="F2309" t="s">
        <v>115</v>
      </c>
      <c r="G2309" t="s">
        <v>4</v>
      </c>
      <c r="H2309" t="s">
        <v>5</v>
      </c>
      <c r="I2309" t="s">
        <v>6</v>
      </c>
      <c r="J2309" s="2">
        <v>20.736000000000004</v>
      </c>
      <c r="K2309">
        <v>4</v>
      </c>
      <c r="L2309" s="4"/>
    </row>
    <row r="2310" spans="1:12" x14ac:dyDescent="0.3">
      <c r="A2310" s="1">
        <v>42477</v>
      </c>
      <c r="B2310" s="1">
        <v>42482</v>
      </c>
      <c r="C2310" t="s">
        <v>7</v>
      </c>
      <c r="D2310" t="s">
        <v>2262</v>
      </c>
      <c r="E2310" t="s">
        <v>2263</v>
      </c>
      <c r="F2310" t="s">
        <v>3</v>
      </c>
      <c r="G2310" t="s">
        <v>4</v>
      </c>
      <c r="H2310" t="s">
        <v>5</v>
      </c>
      <c r="I2310" t="s">
        <v>2156</v>
      </c>
      <c r="J2310" s="2">
        <v>28.14</v>
      </c>
      <c r="K2310">
        <v>3</v>
      </c>
      <c r="L2310" s="4"/>
    </row>
    <row r="2311" spans="1:12" x14ac:dyDescent="0.3">
      <c r="A2311" s="1">
        <v>42477</v>
      </c>
      <c r="B2311" s="1">
        <v>42482</v>
      </c>
      <c r="C2311" t="s">
        <v>7</v>
      </c>
      <c r="D2311" t="s">
        <v>2262</v>
      </c>
      <c r="E2311" t="s">
        <v>2263</v>
      </c>
      <c r="F2311" t="s">
        <v>3</v>
      </c>
      <c r="G2311" t="s">
        <v>4</v>
      </c>
      <c r="H2311" t="s">
        <v>168</v>
      </c>
      <c r="I2311" t="s">
        <v>2562</v>
      </c>
      <c r="J2311" s="2">
        <v>7.38</v>
      </c>
      <c r="K2311">
        <v>2</v>
      </c>
      <c r="L2311" s="4"/>
    </row>
    <row r="2312" spans="1:12" x14ac:dyDescent="0.3">
      <c r="A2312" s="1">
        <v>42477</v>
      </c>
      <c r="B2312" s="1">
        <v>42482</v>
      </c>
      <c r="C2312" t="s">
        <v>7</v>
      </c>
      <c r="D2312" t="s">
        <v>2262</v>
      </c>
      <c r="E2312" t="s">
        <v>2263</v>
      </c>
      <c r="F2312" t="s">
        <v>3</v>
      </c>
      <c r="G2312" t="s">
        <v>4</v>
      </c>
      <c r="H2312" t="s">
        <v>52</v>
      </c>
      <c r="I2312" t="s">
        <v>715</v>
      </c>
      <c r="J2312" s="2">
        <v>10.9</v>
      </c>
      <c r="K2312">
        <v>5</v>
      </c>
      <c r="L2312" s="4"/>
    </row>
    <row r="2313" spans="1:12" x14ac:dyDescent="0.3">
      <c r="A2313" s="1">
        <v>42477</v>
      </c>
      <c r="B2313" s="1">
        <v>42482</v>
      </c>
      <c r="C2313" t="s">
        <v>7</v>
      </c>
      <c r="D2313" t="s">
        <v>2262</v>
      </c>
      <c r="E2313" t="s">
        <v>2263</v>
      </c>
      <c r="F2313" t="s">
        <v>3</v>
      </c>
      <c r="G2313" t="s">
        <v>74</v>
      </c>
      <c r="H2313" t="s">
        <v>75</v>
      </c>
      <c r="I2313" t="s">
        <v>621</v>
      </c>
      <c r="J2313" s="2">
        <v>274.89</v>
      </c>
      <c r="K2313">
        <v>11</v>
      </c>
      <c r="L2313" s="4"/>
    </row>
    <row r="2314" spans="1:12" x14ac:dyDescent="0.3">
      <c r="A2314" s="1">
        <v>42477</v>
      </c>
      <c r="B2314" s="1">
        <v>42482</v>
      </c>
      <c r="C2314" t="s">
        <v>7</v>
      </c>
      <c r="D2314" t="s">
        <v>2262</v>
      </c>
      <c r="E2314" t="s">
        <v>2263</v>
      </c>
      <c r="F2314" t="s">
        <v>3</v>
      </c>
      <c r="G2314" t="s">
        <v>4</v>
      </c>
      <c r="H2314" t="s">
        <v>168</v>
      </c>
      <c r="I2314" t="s">
        <v>1525</v>
      </c>
      <c r="J2314" s="2">
        <v>23.04</v>
      </c>
      <c r="K2314">
        <v>8</v>
      </c>
      <c r="L2314" s="4"/>
    </row>
    <row r="2315" spans="1:12" x14ac:dyDescent="0.3">
      <c r="A2315" s="1">
        <v>42477</v>
      </c>
      <c r="B2315" s="1">
        <v>42482</v>
      </c>
      <c r="C2315" t="s">
        <v>7</v>
      </c>
      <c r="D2315" t="s">
        <v>2262</v>
      </c>
      <c r="E2315" t="s">
        <v>2263</v>
      </c>
      <c r="F2315" t="s">
        <v>3</v>
      </c>
      <c r="G2315" t="s">
        <v>12</v>
      </c>
      <c r="H2315" t="s">
        <v>70</v>
      </c>
      <c r="I2315" t="s">
        <v>2414</v>
      </c>
      <c r="J2315" s="2">
        <v>218.35200000000003</v>
      </c>
      <c r="K2315">
        <v>3</v>
      </c>
      <c r="L2315" s="4"/>
    </row>
    <row r="2316" spans="1:12" x14ac:dyDescent="0.3">
      <c r="A2316" s="1">
        <v>42481</v>
      </c>
      <c r="B2316" s="1">
        <v>42484</v>
      </c>
      <c r="C2316" t="s">
        <v>22</v>
      </c>
      <c r="D2316" t="s">
        <v>2563</v>
      </c>
      <c r="E2316" t="s">
        <v>2564</v>
      </c>
      <c r="F2316" t="s">
        <v>56</v>
      </c>
      <c r="G2316" t="s">
        <v>74</v>
      </c>
      <c r="H2316" t="s">
        <v>75</v>
      </c>
      <c r="I2316" t="s">
        <v>2565</v>
      </c>
      <c r="J2316" s="2">
        <v>11.54</v>
      </c>
      <c r="K2316">
        <v>1</v>
      </c>
      <c r="L2316" s="4"/>
    </row>
    <row r="2317" spans="1:12" x14ac:dyDescent="0.3">
      <c r="A2317" s="1">
        <v>42481</v>
      </c>
      <c r="B2317" s="1">
        <v>42484</v>
      </c>
      <c r="C2317" t="s">
        <v>22</v>
      </c>
      <c r="D2317" t="s">
        <v>2563</v>
      </c>
      <c r="E2317" t="s">
        <v>2564</v>
      </c>
      <c r="F2317" t="s">
        <v>56</v>
      </c>
      <c r="G2317" t="s">
        <v>12</v>
      </c>
      <c r="H2317" t="s">
        <v>35</v>
      </c>
      <c r="I2317" t="s">
        <v>2566</v>
      </c>
      <c r="J2317" s="2">
        <v>162.60000000000002</v>
      </c>
      <c r="K2317">
        <v>3</v>
      </c>
      <c r="L2317" s="4"/>
    </row>
    <row r="2318" spans="1:12" x14ac:dyDescent="0.3">
      <c r="A2318" s="1">
        <v>42482</v>
      </c>
      <c r="B2318" s="1">
        <v>42484</v>
      </c>
      <c r="C2318" t="s">
        <v>22</v>
      </c>
      <c r="D2318" t="s">
        <v>1080</v>
      </c>
      <c r="E2318" t="s">
        <v>1081</v>
      </c>
      <c r="F2318" t="s">
        <v>3</v>
      </c>
      <c r="G2318" t="s">
        <v>12</v>
      </c>
      <c r="H2318" t="s">
        <v>35</v>
      </c>
      <c r="I2318" t="s">
        <v>1697</v>
      </c>
      <c r="J2318" s="2">
        <v>18.28</v>
      </c>
      <c r="K2318">
        <v>2</v>
      </c>
      <c r="L2318" s="4"/>
    </row>
    <row r="2319" spans="1:12" x14ac:dyDescent="0.3">
      <c r="A2319" s="1">
        <v>42483</v>
      </c>
      <c r="B2319" s="1">
        <v>42485</v>
      </c>
      <c r="C2319" t="s">
        <v>0</v>
      </c>
      <c r="D2319" t="s">
        <v>1628</v>
      </c>
      <c r="E2319" t="s">
        <v>1629</v>
      </c>
      <c r="F2319" t="s">
        <v>3</v>
      </c>
      <c r="G2319" t="s">
        <v>12</v>
      </c>
      <c r="H2319" t="s">
        <v>35</v>
      </c>
      <c r="I2319" t="s">
        <v>2567</v>
      </c>
      <c r="J2319" s="2">
        <v>66.36</v>
      </c>
      <c r="K2319">
        <v>7</v>
      </c>
      <c r="L2319" s="4"/>
    </row>
    <row r="2320" spans="1:12" x14ac:dyDescent="0.3">
      <c r="A2320" s="1">
        <v>42483</v>
      </c>
      <c r="B2320" s="1">
        <v>42485</v>
      </c>
      <c r="C2320" t="s">
        <v>0</v>
      </c>
      <c r="D2320" t="s">
        <v>1628</v>
      </c>
      <c r="E2320" t="s">
        <v>1629</v>
      </c>
      <c r="F2320" t="s">
        <v>3</v>
      </c>
      <c r="G2320" t="s">
        <v>4</v>
      </c>
      <c r="H2320" t="s">
        <v>26</v>
      </c>
      <c r="I2320" t="s">
        <v>570</v>
      </c>
      <c r="J2320" s="2">
        <v>92.88000000000001</v>
      </c>
      <c r="K2320">
        <v>6</v>
      </c>
      <c r="L2320" s="4"/>
    </row>
    <row r="2321" spans="1:12" x14ac:dyDescent="0.3">
      <c r="A2321" s="1">
        <v>42483</v>
      </c>
      <c r="B2321" s="1">
        <v>42485</v>
      </c>
      <c r="C2321" t="s">
        <v>0</v>
      </c>
      <c r="D2321" t="s">
        <v>1628</v>
      </c>
      <c r="E2321" t="s">
        <v>1629</v>
      </c>
      <c r="F2321" t="s">
        <v>3</v>
      </c>
      <c r="G2321" t="s">
        <v>12</v>
      </c>
      <c r="H2321" t="s">
        <v>35</v>
      </c>
      <c r="I2321" t="s">
        <v>2568</v>
      </c>
      <c r="J2321" s="2">
        <v>24.14</v>
      </c>
      <c r="K2321">
        <v>2</v>
      </c>
      <c r="L2321" s="4"/>
    </row>
    <row r="2322" spans="1:12" x14ac:dyDescent="0.3">
      <c r="A2322" s="1">
        <v>42483</v>
      </c>
      <c r="B2322" s="1">
        <v>42486</v>
      </c>
      <c r="C2322" t="s">
        <v>22</v>
      </c>
      <c r="D2322" t="s">
        <v>2462</v>
      </c>
      <c r="E2322" t="s">
        <v>2463</v>
      </c>
      <c r="F2322" t="s">
        <v>115</v>
      </c>
      <c r="G2322" t="s">
        <v>4</v>
      </c>
      <c r="H2322" t="s">
        <v>29</v>
      </c>
      <c r="I2322" t="s">
        <v>190</v>
      </c>
      <c r="J2322" s="2">
        <v>18.687999999999999</v>
      </c>
      <c r="K2322">
        <v>2</v>
      </c>
      <c r="L2322" s="4"/>
    </row>
    <row r="2323" spans="1:12" x14ac:dyDescent="0.3">
      <c r="A2323" s="1">
        <v>42483</v>
      </c>
      <c r="B2323" s="1">
        <v>42486</v>
      </c>
      <c r="C2323" t="s">
        <v>22</v>
      </c>
      <c r="D2323" t="s">
        <v>2462</v>
      </c>
      <c r="E2323" t="s">
        <v>2463</v>
      </c>
      <c r="F2323" t="s">
        <v>115</v>
      </c>
      <c r="G2323" t="s">
        <v>12</v>
      </c>
      <c r="H2323" t="s">
        <v>35</v>
      </c>
      <c r="I2323" t="s">
        <v>2569</v>
      </c>
      <c r="J2323" s="2">
        <v>11.664000000000001</v>
      </c>
      <c r="K2323">
        <v>3</v>
      </c>
      <c r="L2323" s="4"/>
    </row>
    <row r="2324" spans="1:12" x14ac:dyDescent="0.3">
      <c r="A2324" s="1">
        <v>42484</v>
      </c>
      <c r="B2324" s="1">
        <v>42488</v>
      </c>
      <c r="C2324" t="s">
        <v>7</v>
      </c>
      <c r="D2324" t="s">
        <v>1916</v>
      </c>
      <c r="E2324" t="s">
        <v>1917</v>
      </c>
      <c r="F2324" t="s">
        <v>3</v>
      </c>
      <c r="G2324" t="s">
        <v>4</v>
      </c>
      <c r="H2324" t="s">
        <v>52</v>
      </c>
      <c r="I2324" t="s">
        <v>2570</v>
      </c>
      <c r="J2324" s="2">
        <v>1.81</v>
      </c>
      <c r="K2324">
        <v>1</v>
      </c>
      <c r="L2324" s="4"/>
    </row>
    <row r="2325" spans="1:12" x14ac:dyDescent="0.3">
      <c r="A2325" s="1">
        <v>42484</v>
      </c>
      <c r="B2325" s="1">
        <v>42485</v>
      </c>
      <c r="C2325" t="s">
        <v>22</v>
      </c>
      <c r="D2325" t="s">
        <v>2571</v>
      </c>
      <c r="E2325" t="s">
        <v>2572</v>
      </c>
      <c r="F2325" t="s">
        <v>25</v>
      </c>
      <c r="G2325" t="s">
        <v>74</v>
      </c>
      <c r="H2325" t="s">
        <v>147</v>
      </c>
      <c r="I2325" t="s">
        <v>2155</v>
      </c>
      <c r="J2325" s="2">
        <v>552</v>
      </c>
      <c r="K2325">
        <v>10</v>
      </c>
      <c r="L2325" s="4"/>
    </row>
    <row r="2326" spans="1:12" x14ac:dyDescent="0.3">
      <c r="A2326" s="1">
        <v>42485</v>
      </c>
      <c r="B2326" s="1">
        <v>42489</v>
      </c>
      <c r="C2326" t="s">
        <v>0</v>
      </c>
      <c r="D2326" t="s">
        <v>2573</v>
      </c>
      <c r="E2326" t="s">
        <v>2574</v>
      </c>
      <c r="F2326" t="s">
        <v>3</v>
      </c>
      <c r="G2326" t="s">
        <v>4</v>
      </c>
      <c r="H2326" t="s">
        <v>26</v>
      </c>
      <c r="I2326" t="s">
        <v>1050</v>
      </c>
      <c r="J2326" s="2">
        <v>13.904</v>
      </c>
      <c r="K2326">
        <v>2</v>
      </c>
      <c r="L2326" s="4"/>
    </row>
    <row r="2327" spans="1:12" x14ac:dyDescent="0.3">
      <c r="A2327" s="1">
        <v>42485</v>
      </c>
      <c r="B2327" s="1">
        <v>42489</v>
      </c>
      <c r="C2327" t="s">
        <v>7</v>
      </c>
      <c r="D2327" t="s">
        <v>2575</v>
      </c>
      <c r="E2327" t="s">
        <v>2576</v>
      </c>
      <c r="F2327" t="s">
        <v>25</v>
      </c>
      <c r="G2327" t="s">
        <v>4</v>
      </c>
      <c r="H2327" t="s">
        <v>15</v>
      </c>
      <c r="I2327" t="s">
        <v>2577</v>
      </c>
      <c r="J2327" s="2">
        <v>8.895999999999999</v>
      </c>
      <c r="K2327">
        <v>4</v>
      </c>
      <c r="L2327" s="4"/>
    </row>
    <row r="2328" spans="1:12" x14ac:dyDescent="0.3">
      <c r="A2328" s="1">
        <v>42485</v>
      </c>
      <c r="B2328" s="1">
        <v>42492</v>
      </c>
      <c r="C2328" t="s">
        <v>7</v>
      </c>
      <c r="D2328" t="s">
        <v>1358</v>
      </c>
      <c r="E2328" t="s">
        <v>1359</v>
      </c>
      <c r="F2328" t="s">
        <v>3</v>
      </c>
      <c r="G2328" t="s">
        <v>4</v>
      </c>
      <c r="H2328" t="s">
        <v>5</v>
      </c>
      <c r="I2328" t="s">
        <v>2578</v>
      </c>
      <c r="J2328" s="2">
        <v>19.049999999999997</v>
      </c>
      <c r="K2328">
        <v>3</v>
      </c>
      <c r="L2328" s="4"/>
    </row>
    <row r="2329" spans="1:12" x14ac:dyDescent="0.3">
      <c r="A2329" s="1">
        <v>42485</v>
      </c>
      <c r="B2329" s="1">
        <v>42492</v>
      </c>
      <c r="C2329" t="s">
        <v>7</v>
      </c>
      <c r="D2329" t="s">
        <v>1358</v>
      </c>
      <c r="E2329" t="s">
        <v>1359</v>
      </c>
      <c r="F2329" t="s">
        <v>3</v>
      </c>
      <c r="G2329" t="s">
        <v>4</v>
      </c>
      <c r="H2329" t="s">
        <v>26</v>
      </c>
      <c r="I2329" t="s">
        <v>2579</v>
      </c>
      <c r="J2329" s="2">
        <v>73.343999999999994</v>
      </c>
      <c r="K2329">
        <v>3</v>
      </c>
      <c r="L2329" s="4"/>
    </row>
    <row r="2330" spans="1:12" x14ac:dyDescent="0.3">
      <c r="A2330" s="1">
        <v>42485</v>
      </c>
      <c r="B2330" s="1">
        <v>42487</v>
      </c>
      <c r="C2330" t="s">
        <v>0</v>
      </c>
      <c r="D2330" t="s">
        <v>2580</v>
      </c>
      <c r="E2330" t="s">
        <v>2581</v>
      </c>
      <c r="F2330" t="s">
        <v>3</v>
      </c>
      <c r="G2330" t="s">
        <v>74</v>
      </c>
      <c r="H2330" t="s">
        <v>75</v>
      </c>
      <c r="I2330" t="s">
        <v>1748</v>
      </c>
      <c r="J2330" s="2">
        <v>107.97</v>
      </c>
      <c r="K2330">
        <v>3</v>
      </c>
      <c r="L2330" s="4"/>
    </row>
    <row r="2331" spans="1:12" x14ac:dyDescent="0.3">
      <c r="A2331" s="1">
        <v>42485</v>
      </c>
      <c r="B2331" s="1">
        <v>42487</v>
      </c>
      <c r="C2331" t="s">
        <v>0</v>
      </c>
      <c r="D2331" t="s">
        <v>988</v>
      </c>
      <c r="E2331" t="s">
        <v>989</v>
      </c>
      <c r="F2331" t="s">
        <v>3</v>
      </c>
      <c r="G2331" t="s">
        <v>12</v>
      </c>
      <c r="H2331" t="s">
        <v>13</v>
      </c>
      <c r="I2331" t="s">
        <v>2582</v>
      </c>
      <c r="J2331" s="2">
        <v>344.98099999999994</v>
      </c>
      <c r="K2331">
        <v>7</v>
      </c>
      <c r="L2331" s="4"/>
    </row>
    <row r="2332" spans="1:12" x14ac:dyDescent="0.3">
      <c r="A2332" s="1">
        <v>42486</v>
      </c>
      <c r="B2332" s="1">
        <v>42491</v>
      </c>
      <c r="C2332" t="s">
        <v>7</v>
      </c>
      <c r="D2332" t="s">
        <v>2215</v>
      </c>
      <c r="E2332" t="s">
        <v>2216</v>
      </c>
      <c r="F2332" t="s">
        <v>56</v>
      </c>
      <c r="G2332" t="s">
        <v>4</v>
      </c>
      <c r="H2332" t="s">
        <v>5</v>
      </c>
      <c r="I2332" t="s">
        <v>2441</v>
      </c>
      <c r="J2332" s="2">
        <v>20.34</v>
      </c>
      <c r="K2332">
        <v>3</v>
      </c>
      <c r="L2332" s="4"/>
    </row>
    <row r="2333" spans="1:12" x14ac:dyDescent="0.3">
      <c r="A2333" s="1">
        <v>42486</v>
      </c>
      <c r="B2333" s="1">
        <v>42491</v>
      </c>
      <c r="C2333" t="s">
        <v>7</v>
      </c>
      <c r="D2333" t="s">
        <v>2215</v>
      </c>
      <c r="E2333" t="s">
        <v>2216</v>
      </c>
      <c r="F2333" t="s">
        <v>56</v>
      </c>
      <c r="G2333" t="s">
        <v>4</v>
      </c>
      <c r="H2333" t="s">
        <v>168</v>
      </c>
      <c r="I2333" t="s">
        <v>2583</v>
      </c>
      <c r="J2333" s="2">
        <v>39.28</v>
      </c>
      <c r="K2333">
        <v>8</v>
      </c>
      <c r="L2333" s="4"/>
    </row>
    <row r="2334" spans="1:12" x14ac:dyDescent="0.3">
      <c r="A2334" s="1">
        <v>42487</v>
      </c>
      <c r="B2334" s="1">
        <v>42489</v>
      </c>
      <c r="C2334" t="s">
        <v>22</v>
      </c>
      <c r="D2334" t="s">
        <v>577</v>
      </c>
      <c r="E2334" t="s">
        <v>578</v>
      </c>
      <c r="F2334" t="s">
        <v>3</v>
      </c>
      <c r="G2334" t="s">
        <v>4</v>
      </c>
      <c r="H2334" t="s">
        <v>15</v>
      </c>
      <c r="I2334" t="s">
        <v>2584</v>
      </c>
      <c r="J2334" s="2">
        <v>123.92</v>
      </c>
      <c r="K2334">
        <v>4</v>
      </c>
      <c r="L2334" s="4"/>
    </row>
    <row r="2335" spans="1:12" x14ac:dyDescent="0.3">
      <c r="A2335" s="1">
        <v>42487</v>
      </c>
      <c r="B2335" s="1">
        <v>42489</v>
      </c>
      <c r="C2335" t="s">
        <v>22</v>
      </c>
      <c r="D2335" t="s">
        <v>577</v>
      </c>
      <c r="E2335" t="s">
        <v>578</v>
      </c>
      <c r="F2335" t="s">
        <v>3</v>
      </c>
      <c r="G2335" t="s">
        <v>4</v>
      </c>
      <c r="H2335" t="s">
        <v>15</v>
      </c>
      <c r="I2335" t="s">
        <v>109</v>
      </c>
      <c r="J2335" s="2">
        <v>12.39</v>
      </c>
      <c r="K2335">
        <v>3</v>
      </c>
      <c r="L2335" s="4"/>
    </row>
    <row r="2336" spans="1:12" x14ac:dyDescent="0.3">
      <c r="A2336" s="1">
        <v>42487</v>
      </c>
      <c r="B2336" s="1">
        <v>42489</v>
      </c>
      <c r="C2336" t="s">
        <v>22</v>
      </c>
      <c r="D2336" t="s">
        <v>577</v>
      </c>
      <c r="E2336" t="s">
        <v>578</v>
      </c>
      <c r="F2336" t="s">
        <v>3</v>
      </c>
      <c r="G2336" t="s">
        <v>4</v>
      </c>
      <c r="H2336" t="s">
        <v>15</v>
      </c>
      <c r="I2336" t="s">
        <v>210</v>
      </c>
      <c r="J2336" s="2">
        <v>47.3</v>
      </c>
      <c r="K2336">
        <v>2</v>
      </c>
      <c r="L2336" s="4"/>
    </row>
    <row r="2337" spans="1:12" x14ac:dyDescent="0.3">
      <c r="A2337" s="1">
        <v>42487</v>
      </c>
      <c r="B2337" s="1">
        <v>42492</v>
      </c>
      <c r="C2337" t="s">
        <v>7</v>
      </c>
      <c r="D2337" t="s">
        <v>1603</v>
      </c>
      <c r="E2337" t="s">
        <v>1604</v>
      </c>
      <c r="F2337" t="s">
        <v>56</v>
      </c>
      <c r="G2337" t="s">
        <v>12</v>
      </c>
      <c r="H2337" t="s">
        <v>35</v>
      </c>
      <c r="I2337" t="s">
        <v>885</v>
      </c>
      <c r="J2337" s="2">
        <v>139.58000000000001</v>
      </c>
      <c r="K2337">
        <v>7</v>
      </c>
      <c r="L2337" s="4"/>
    </row>
    <row r="2338" spans="1:12" x14ac:dyDescent="0.3">
      <c r="A2338" s="1">
        <v>42490</v>
      </c>
      <c r="B2338" s="1">
        <v>42495</v>
      </c>
      <c r="C2338" t="s">
        <v>7</v>
      </c>
      <c r="D2338" t="s">
        <v>2470</v>
      </c>
      <c r="E2338" t="s">
        <v>2471</v>
      </c>
      <c r="F2338" t="s">
        <v>3</v>
      </c>
      <c r="G2338" t="s">
        <v>4</v>
      </c>
      <c r="H2338" t="s">
        <v>5</v>
      </c>
      <c r="I2338" t="s">
        <v>713</v>
      </c>
      <c r="J2338" s="2">
        <v>163.96</v>
      </c>
      <c r="K2338">
        <v>4</v>
      </c>
      <c r="L2338" s="4"/>
    </row>
    <row r="2339" spans="1:12" x14ac:dyDescent="0.3">
      <c r="A2339" s="1">
        <v>42490</v>
      </c>
      <c r="B2339" s="1">
        <v>42495</v>
      </c>
      <c r="C2339" t="s">
        <v>7</v>
      </c>
      <c r="D2339" t="s">
        <v>2174</v>
      </c>
      <c r="E2339" t="s">
        <v>2175</v>
      </c>
      <c r="F2339" t="s">
        <v>3</v>
      </c>
      <c r="G2339" t="s">
        <v>12</v>
      </c>
      <c r="H2339" t="s">
        <v>35</v>
      </c>
      <c r="I2339" t="s">
        <v>2585</v>
      </c>
      <c r="J2339" s="2">
        <v>64.959999999999994</v>
      </c>
      <c r="K2339">
        <v>2</v>
      </c>
      <c r="L2339" s="4"/>
    </row>
    <row r="2340" spans="1:12" x14ac:dyDescent="0.3">
      <c r="A2340" s="1">
        <v>42490</v>
      </c>
      <c r="B2340" s="1">
        <v>42495</v>
      </c>
      <c r="C2340" t="s">
        <v>7</v>
      </c>
      <c r="D2340" t="s">
        <v>2174</v>
      </c>
      <c r="E2340" t="s">
        <v>2175</v>
      </c>
      <c r="F2340" t="s">
        <v>3</v>
      </c>
      <c r="G2340" t="s">
        <v>4</v>
      </c>
      <c r="H2340" t="s">
        <v>29</v>
      </c>
      <c r="I2340" t="s">
        <v>758</v>
      </c>
      <c r="J2340" s="2">
        <v>30.56</v>
      </c>
      <c r="K2340">
        <v>4</v>
      </c>
      <c r="L2340" s="4"/>
    </row>
    <row r="2341" spans="1:12" x14ac:dyDescent="0.3">
      <c r="A2341" s="1">
        <v>42490</v>
      </c>
      <c r="B2341" s="1">
        <v>42495</v>
      </c>
      <c r="C2341" t="s">
        <v>7</v>
      </c>
      <c r="D2341" t="s">
        <v>2067</v>
      </c>
      <c r="E2341" t="s">
        <v>2068</v>
      </c>
      <c r="F2341" t="s">
        <v>3</v>
      </c>
      <c r="G2341" t="s">
        <v>4</v>
      </c>
      <c r="H2341" t="s">
        <v>15</v>
      </c>
      <c r="I2341" t="s">
        <v>2586</v>
      </c>
      <c r="J2341" s="2">
        <v>9.7799999999999994</v>
      </c>
      <c r="K2341">
        <v>2</v>
      </c>
      <c r="L2341" s="4"/>
    </row>
    <row r="2342" spans="1:12" x14ac:dyDescent="0.3">
      <c r="A2342" s="1">
        <v>42490</v>
      </c>
      <c r="B2342" s="1">
        <v>42494</v>
      </c>
      <c r="C2342" t="s">
        <v>7</v>
      </c>
      <c r="D2342" t="s">
        <v>1475</v>
      </c>
      <c r="E2342" t="s">
        <v>1476</v>
      </c>
      <c r="F2342" t="s">
        <v>3</v>
      </c>
      <c r="G2342" t="s">
        <v>4</v>
      </c>
      <c r="H2342" t="s">
        <v>26</v>
      </c>
      <c r="I2342" t="s">
        <v>1290</v>
      </c>
      <c r="J2342" s="2">
        <v>23.24</v>
      </c>
      <c r="K2342">
        <v>5</v>
      </c>
      <c r="L2342" s="4"/>
    </row>
    <row r="2343" spans="1:12" x14ac:dyDescent="0.3">
      <c r="A2343" s="1">
        <v>42492</v>
      </c>
      <c r="B2343" s="1">
        <v>42495</v>
      </c>
      <c r="C2343" t="s">
        <v>0</v>
      </c>
      <c r="D2343" t="s">
        <v>1140</v>
      </c>
      <c r="E2343" t="s">
        <v>1141</v>
      </c>
      <c r="F2343" t="s">
        <v>3</v>
      </c>
      <c r="G2343" t="s">
        <v>74</v>
      </c>
      <c r="H2343" t="s">
        <v>75</v>
      </c>
      <c r="I2343" t="s">
        <v>2587</v>
      </c>
      <c r="J2343" s="2">
        <v>159.56</v>
      </c>
      <c r="K2343">
        <v>4</v>
      </c>
      <c r="L2343" s="4"/>
    </row>
    <row r="2344" spans="1:12" x14ac:dyDescent="0.3">
      <c r="A2344" s="1">
        <v>42492</v>
      </c>
      <c r="B2344" s="1">
        <v>42496</v>
      </c>
      <c r="C2344" t="s">
        <v>7</v>
      </c>
      <c r="D2344" t="s">
        <v>2588</v>
      </c>
      <c r="E2344" t="s">
        <v>2589</v>
      </c>
      <c r="F2344" t="s">
        <v>3</v>
      </c>
      <c r="G2344" t="s">
        <v>4</v>
      </c>
      <c r="H2344" t="s">
        <v>5</v>
      </c>
      <c r="I2344" t="s">
        <v>925</v>
      </c>
      <c r="J2344" s="2">
        <v>15.700000000000001</v>
      </c>
      <c r="K2344">
        <v>5</v>
      </c>
      <c r="L2344" s="4"/>
    </row>
    <row r="2345" spans="1:12" x14ac:dyDescent="0.3">
      <c r="A2345" s="1">
        <v>42492</v>
      </c>
      <c r="B2345" s="1">
        <v>42496</v>
      </c>
      <c r="C2345" t="s">
        <v>7</v>
      </c>
      <c r="D2345" t="s">
        <v>2588</v>
      </c>
      <c r="E2345" t="s">
        <v>2589</v>
      </c>
      <c r="F2345" t="s">
        <v>3</v>
      </c>
      <c r="G2345" t="s">
        <v>4</v>
      </c>
      <c r="H2345" t="s">
        <v>15</v>
      </c>
      <c r="I2345" t="s">
        <v>688</v>
      </c>
      <c r="J2345" s="2">
        <v>59.519999999999996</v>
      </c>
      <c r="K2345">
        <v>3</v>
      </c>
      <c r="L2345" s="4"/>
    </row>
    <row r="2346" spans="1:12" x14ac:dyDescent="0.3">
      <c r="A2346" s="1">
        <v>42492</v>
      </c>
      <c r="B2346" s="1">
        <v>42496</v>
      </c>
      <c r="C2346" t="s">
        <v>7</v>
      </c>
      <c r="D2346" t="s">
        <v>2588</v>
      </c>
      <c r="E2346" t="s">
        <v>2589</v>
      </c>
      <c r="F2346" t="s">
        <v>3</v>
      </c>
      <c r="G2346" t="s">
        <v>4</v>
      </c>
      <c r="H2346" t="s">
        <v>5</v>
      </c>
      <c r="I2346" t="s">
        <v>2590</v>
      </c>
      <c r="J2346" s="2">
        <v>34.4</v>
      </c>
      <c r="K2346">
        <v>5</v>
      </c>
      <c r="L2346" s="4"/>
    </row>
    <row r="2347" spans="1:12" x14ac:dyDescent="0.3">
      <c r="A2347" s="1">
        <v>42493</v>
      </c>
      <c r="B2347" s="1">
        <v>42498</v>
      </c>
      <c r="C2347" t="s">
        <v>0</v>
      </c>
      <c r="D2347" t="s">
        <v>1822</v>
      </c>
      <c r="E2347" t="s">
        <v>1823</v>
      </c>
      <c r="F2347" t="s">
        <v>3</v>
      </c>
      <c r="G2347" t="s">
        <v>4</v>
      </c>
      <c r="H2347" t="s">
        <v>10</v>
      </c>
      <c r="I2347" t="s">
        <v>2483</v>
      </c>
      <c r="J2347" s="2">
        <v>69.52</v>
      </c>
      <c r="K2347">
        <v>2</v>
      </c>
      <c r="L2347" s="4"/>
    </row>
    <row r="2348" spans="1:12" x14ac:dyDescent="0.3">
      <c r="A2348" s="1">
        <v>42493</v>
      </c>
      <c r="B2348" s="1">
        <v>42498</v>
      </c>
      <c r="C2348" t="s">
        <v>0</v>
      </c>
      <c r="D2348" t="s">
        <v>1822</v>
      </c>
      <c r="E2348" t="s">
        <v>1823</v>
      </c>
      <c r="F2348" t="s">
        <v>3</v>
      </c>
      <c r="G2348" t="s">
        <v>4</v>
      </c>
      <c r="H2348" t="s">
        <v>10</v>
      </c>
      <c r="I2348" t="s">
        <v>2591</v>
      </c>
      <c r="J2348" s="2">
        <v>763.44</v>
      </c>
      <c r="K2348">
        <v>8</v>
      </c>
      <c r="L2348" s="4"/>
    </row>
    <row r="2349" spans="1:12" x14ac:dyDescent="0.3">
      <c r="A2349" s="1">
        <v>42493</v>
      </c>
      <c r="B2349" s="1">
        <v>42497</v>
      </c>
      <c r="C2349" t="s">
        <v>7</v>
      </c>
      <c r="D2349" t="s">
        <v>2385</v>
      </c>
      <c r="E2349" t="s">
        <v>2386</v>
      </c>
      <c r="F2349" t="s">
        <v>3</v>
      </c>
      <c r="G2349" t="s">
        <v>4</v>
      </c>
      <c r="H2349" t="s">
        <v>5</v>
      </c>
      <c r="I2349" t="s">
        <v>960</v>
      </c>
      <c r="J2349" s="2">
        <v>25.92</v>
      </c>
      <c r="K2349">
        <v>4</v>
      </c>
      <c r="L2349" s="4"/>
    </row>
    <row r="2350" spans="1:12" x14ac:dyDescent="0.3">
      <c r="A2350" s="1">
        <v>42493</v>
      </c>
      <c r="B2350" s="1">
        <v>42497</v>
      </c>
      <c r="C2350" t="s">
        <v>7</v>
      </c>
      <c r="D2350" t="s">
        <v>2385</v>
      </c>
      <c r="E2350" t="s">
        <v>2386</v>
      </c>
      <c r="F2350" t="s">
        <v>3</v>
      </c>
      <c r="G2350" t="s">
        <v>4</v>
      </c>
      <c r="H2350" t="s">
        <v>15</v>
      </c>
      <c r="I2350" t="s">
        <v>2592</v>
      </c>
      <c r="J2350" s="2">
        <v>22.959999999999997</v>
      </c>
      <c r="K2350">
        <v>7</v>
      </c>
      <c r="L2350" s="4"/>
    </row>
    <row r="2351" spans="1:12" x14ac:dyDescent="0.3">
      <c r="A2351" s="1">
        <v>42494</v>
      </c>
      <c r="B2351" s="1">
        <v>42499</v>
      </c>
      <c r="C2351" t="s">
        <v>7</v>
      </c>
      <c r="D2351" t="s">
        <v>1995</v>
      </c>
      <c r="E2351" t="s">
        <v>1996</v>
      </c>
      <c r="F2351" t="s">
        <v>3</v>
      </c>
      <c r="G2351" t="s">
        <v>74</v>
      </c>
      <c r="H2351" t="s">
        <v>147</v>
      </c>
      <c r="I2351" t="s">
        <v>828</v>
      </c>
      <c r="J2351" s="2">
        <v>183.96</v>
      </c>
      <c r="K2351">
        <v>5</v>
      </c>
      <c r="L2351" s="4"/>
    </row>
    <row r="2352" spans="1:12" x14ac:dyDescent="0.3">
      <c r="A2352" s="1">
        <v>42494</v>
      </c>
      <c r="B2352" s="1">
        <v>42499</v>
      </c>
      <c r="C2352" t="s">
        <v>7</v>
      </c>
      <c r="D2352" t="s">
        <v>1995</v>
      </c>
      <c r="E2352" t="s">
        <v>1996</v>
      </c>
      <c r="F2352" t="s">
        <v>3</v>
      </c>
      <c r="G2352" t="s">
        <v>4</v>
      </c>
      <c r="H2352" t="s">
        <v>5</v>
      </c>
      <c r="I2352" t="s">
        <v>2593</v>
      </c>
      <c r="J2352" s="2">
        <v>17.61</v>
      </c>
      <c r="K2352">
        <v>3</v>
      </c>
      <c r="L2352" s="4"/>
    </row>
    <row r="2353" spans="1:12" x14ac:dyDescent="0.3">
      <c r="A2353" s="1">
        <v>42494</v>
      </c>
      <c r="B2353" s="1">
        <v>42499</v>
      </c>
      <c r="C2353" t="s">
        <v>7</v>
      </c>
      <c r="D2353" t="s">
        <v>1995</v>
      </c>
      <c r="E2353" t="s">
        <v>1996</v>
      </c>
      <c r="F2353" t="s">
        <v>3</v>
      </c>
      <c r="G2353" t="s">
        <v>12</v>
      </c>
      <c r="H2353" t="s">
        <v>44</v>
      </c>
      <c r="I2353" t="s">
        <v>1037</v>
      </c>
      <c r="J2353" s="2">
        <v>300.904</v>
      </c>
      <c r="K2353">
        <v>1</v>
      </c>
      <c r="L2353" s="4"/>
    </row>
    <row r="2354" spans="1:12" x14ac:dyDescent="0.3">
      <c r="A2354" s="1">
        <v>42494</v>
      </c>
      <c r="B2354" s="1">
        <v>42499</v>
      </c>
      <c r="C2354" t="s">
        <v>0</v>
      </c>
      <c r="D2354" t="s">
        <v>1944</v>
      </c>
      <c r="E2354" t="s">
        <v>1945</v>
      </c>
      <c r="F2354" t="s">
        <v>3</v>
      </c>
      <c r="G2354" t="s">
        <v>4</v>
      </c>
      <c r="H2354" t="s">
        <v>20</v>
      </c>
      <c r="I2354" t="s">
        <v>2594</v>
      </c>
      <c r="J2354" s="2">
        <v>243.16</v>
      </c>
      <c r="K2354">
        <v>2</v>
      </c>
      <c r="L2354" s="4"/>
    </row>
    <row r="2355" spans="1:12" x14ac:dyDescent="0.3">
      <c r="A2355" s="1">
        <v>42495</v>
      </c>
      <c r="B2355" s="1">
        <v>42499</v>
      </c>
      <c r="C2355" t="s">
        <v>7</v>
      </c>
      <c r="D2355" t="s">
        <v>1451</v>
      </c>
      <c r="E2355" t="s">
        <v>1452</v>
      </c>
      <c r="F2355" t="s">
        <v>3</v>
      </c>
      <c r="G2355" t="s">
        <v>4</v>
      </c>
      <c r="H2355" t="s">
        <v>29</v>
      </c>
      <c r="I2355" t="s">
        <v>2444</v>
      </c>
      <c r="J2355" s="2">
        <v>23.16</v>
      </c>
      <c r="K2355">
        <v>2</v>
      </c>
      <c r="L2355" s="4"/>
    </row>
    <row r="2356" spans="1:12" x14ac:dyDescent="0.3">
      <c r="A2356" s="1">
        <v>42495</v>
      </c>
      <c r="B2356" s="1">
        <v>42496</v>
      </c>
      <c r="C2356" t="s">
        <v>22</v>
      </c>
      <c r="D2356" t="s">
        <v>2315</v>
      </c>
      <c r="E2356" t="s">
        <v>2316</v>
      </c>
      <c r="F2356" t="s">
        <v>115</v>
      </c>
      <c r="G2356" t="s">
        <v>4</v>
      </c>
      <c r="H2356" t="s">
        <v>29</v>
      </c>
      <c r="I2356" t="s">
        <v>1632</v>
      </c>
      <c r="J2356" s="2">
        <v>21.240000000000002</v>
      </c>
      <c r="K2356">
        <v>9</v>
      </c>
      <c r="L2356" s="4"/>
    </row>
    <row r="2357" spans="1:12" x14ac:dyDescent="0.3">
      <c r="A2357" s="1">
        <v>42495</v>
      </c>
      <c r="B2357" s="1">
        <v>42496</v>
      </c>
      <c r="C2357" t="s">
        <v>22</v>
      </c>
      <c r="D2357" t="s">
        <v>2315</v>
      </c>
      <c r="E2357" t="s">
        <v>2316</v>
      </c>
      <c r="F2357" t="s">
        <v>115</v>
      </c>
      <c r="G2357" t="s">
        <v>4</v>
      </c>
      <c r="H2357" t="s">
        <v>26</v>
      </c>
      <c r="I2357" t="s">
        <v>1506</v>
      </c>
      <c r="J2357" s="2">
        <v>9.5520000000000014</v>
      </c>
      <c r="K2357">
        <v>8</v>
      </c>
      <c r="L2357" s="4"/>
    </row>
    <row r="2358" spans="1:12" x14ac:dyDescent="0.3">
      <c r="A2358" s="1">
        <v>42495</v>
      </c>
      <c r="B2358" s="1">
        <v>42496</v>
      </c>
      <c r="C2358" t="s">
        <v>22</v>
      </c>
      <c r="D2358" t="s">
        <v>2315</v>
      </c>
      <c r="E2358" t="s">
        <v>2316</v>
      </c>
      <c r="F2358" t="s">
        <v>115</v>
      </c>
      <c r="G2358" t="s">
        <v>12</v>
      </c>
      <c r="H2358" t="s">
        <v>13</v>
      </c>
      <c r="I2358" t="s">
        <v>1038</v>
      </c>
      <c r="J2358" s="2">
        <v>89.991000000000014</v>
      </c>
      <c r="K2358">
        <v>3</v>
      </c>
      <c r="L2358" s="4"/>
    </row>
    <row r="2359" spans="1:12" x14ac:dyDescent="0.3">
      <c r="A2359" s="1">
        <v>42496</v>
      </c>
      <c r="B2359" s="1">
        <v>42499</v>
      </c>
      <c r="C2359" t="s">
        <v>0</v>
      </c>
      <c r="D2359" t="s">
        <v>2595</v>
      </c>
      <c r="E2359" t="s">
        <v>2596</v>
      </c>
      <c r="F2359" t="s">
        <v>3</v>
      </c>
      <c r="G2359" t="s">
        <v>4</v>
      </c>
      <c r="H2359" t="s">
        <v>20</v>
      </c>
      <c r="I2359" t="s">
        <v>2597</v>
      </c>
      <c r="J2359" s="2">
        <v>152.94</v>
      </c>
      <c r="K2359">
        <v>3</v>
      </c>
      <c r="L2359" s="4"/>
    </row>
    <row r="2360" spans="1:12" x14ac:dyDescent="0.3">
      <c r="A2360" s="1">
        <v>42496</v>
      </c>
      <c r="B2360" s="1">
        <v>42500</v>
      </c>
      <c r="C2360" t="s">
        <v>7</v>
      </c>
      <c r="D2360" t="s">
        <v>726</v>
      </c>
      <c r="E2360" t="s">
        <v>727</v>
      </c>
      <c r="F2360" t="s">
        <v>25</v>
      </c>
      <c r="G2360" t="s">
        <v>4</v>
      </c>
      <c r="H2360" t="s">
        <v>5</v>
      </c>
      <c r="I2360" t="s">
        <v>1352</v>
      </c>
      <c r="J2360" s="2">
        <v>84.415999999999997</v>
      </c>
      <c r="K2360">
        <v>4</v>
      </c>
      <c r="L2360" s="4"/>
    </row>
    <row r="2361" spans="1:12" x14ac:dyDescent="0.3">
      <c r="A2361" s="1">
        <v>42497</v>
      </c>
      <c r="B2361" s="1">
        <v>42502</v>
      </c>
      <c r="C2361" t="s">
        <v>7</v>
      </c>
      <c r="D2361" t="s">
        <v>1547</v>
      </c>
      <c r="E2361" t="s">
        <v>1548</v>
      </c>
      <c r="F2361" t="s">
        <v>3</v>
      </c>
      <c r="G2361" t="s">
        <v>74</v>
      </c>
      <c r="H2361" t="s">
        <v>75</v>
      </c>
      <c r="I2361" t="s">
        <v>76</v>
      </c>
      <c r="J2361" s="2">
        <v>79.989999999999995</v>
      </c>
      <c r="K2361">
        <v>1</v>
      </c>
      <c r="L2361" s="4"/>
    </row>
    <row r="2362" spans="1:12" x14ac:dyDescent="0.3">
      <c r="A2362" s="1">
        <v>42497</v>
      </c>
      <c r="B2362" s="1">
        <v>42501</v>
      </c>
      <c r="C2362" t="s">
        <v>7</v>
      </c>
      <c r="D2362" t="s">
        <v>348</v>
      </c>
      <c r="E2362" t="s">
        <v>349</v>
      </c>
      <c r="F2362" t="s">
        <v>3</v>
      </c>
      <c r="G2362" t="s">
        <v>74</v>
      </c>
      <c r="H2362" t="s">
        <v>147</v>
      </c>
      <c r="I2362" t="s">
        <v>2598</v>
      </c>
      <c r="J2362" s="2">
        <v>419.94399999999996</v>
      </c>
      <c r="K2362">
        <v>7</v>
      </c>
      <c r="L2362" s="4"/>
    </row>
    <row r="2363" spans="1:12" x14ac:dyDescent="0.3">
      <c r="A2363" s="1">
        <v>42498</v>
      </c>
      <c r="B2363" s="1">
        <v>42502</v>
      </c>
      <c r="C2363" t="s">
        <v>7</v>
      </c>
      <c r="D2363" t="s">
        <v>2332</v>
      </c>
      <c r="E2363" t="s">
        <v>2333</v>
      </c>
      <c r="F2363" t="s">
        <v>3</v>
      </c>
      <c r="G2363" t="s">
        <v>74</v>
      </c>
      <c r="H2363" t="s">
        <v>534</v>
      </c>
      <c r="I2363" t="s">
        <v>2599</v>
      </c>
      <c r="J2363" s="2">
        <v>3359.9520000000002</v>
      </c>
      <c r="K2363">
        <v>6</v>
      </c>
      <c r="L2363" s="4"/>
    </row>
    <row r="2364" spans="1:12" x14ac:dyDescent="0.3">
      <c r="A2364" s="1">
        <v>42498</v>
      </c>
      <c r="B2364" s="1">
        <v>42502</v>
      </c>
      <c r="C2364" t="s">
        <v>0</v>
      </c>
      <c r="D2364" t="s">
        <v>226</v>
      </c>
      <c r="E2364" t="s">
        <v>227</v>
      </c>
      <c r="F2364" t="s">
        <v>3</v>
      </c>
      <c r="G2364" t="s">
        <v>4</v>
      </c>
      <c r="H2364" t="s">
        <v>20</v>
      </c>
      <c r="I2364" t="s">
        <v>21</v>
      </c>
      <c r="J2364" s="2">
        <v>81.08</v>
      </c>
      <c r="K2364">
        <v>4</v>
      </c>
      <c r="L2364" s="4"/>
    </row>
    <row r="2365" spans="1:12" x14ac:dyDescent="0.3">
      <c r="A2365" s="1">
        <v>42499</v>
      </c>
      <c r="B2365" s="1">
        <v>42501</v>
      </c>
      <c r="C2365" t="s">
        <v>22</v>
      </c>
      <c r="D2365" t="s">
        <v>2180</v>
      </c>
      <c r="E2365" t="s">
        <v>2181</v>
      </c>
      <c r="F2365" t="s">
        <v>56</v>
      </c>
      <c r="G2365" t="s">
        <v>4</v>
      </c>
      <c r="H2365" t="s">
        <v>26</v>
      </c>
      <c r="I2365" t="s">
        <v>1404</v>
      </c>
      <c r="J2365" s="2">
        <v>147.91999999999999</v>
      </c>
      <c r="K2365">
        <v>5</v>
      </c>
      <c r="L2365" s="4"/>
    </row>
    <row r="2366" spans="1:12" x14ac:dyDescent="0.3">
      <c r="A2366" s="1">
        <v>42499</v>
      </c>
      <c r="B2366" s="1">
        <v>42501</v>
      </c>
      <c r="C2366" t="s">
        <v>22</v>
      </c>
      <c r="D2366" t="s">
        <v>2180</v>
      </c>
      <c r="E2366" t="s">
        <v>2181</v>
      </c>
      <c r="F2366" t="s">
        <v>56</v>
      </c>
      <c r="G2366" t="s">
        <v>4</v>
      </c>
      <c r="H2366" t="s">
        <v>10</v>
      </c>
      <c r="I2366" t="s">
        <v>2018</v>
      </c>
      <c r="J2366" s="2">
        <v>104.28</v>
      </c>
      <c r="K2366">
        <v>3</v>
      </c>
      <c r="L2366" s="4"/>
    </row>
    <row r="2367" spans="1:12" x14ac:dyDescent="0.3">
      <c r="A2367" s="1">
        <v>42499</v>
      </c>
      <c r="B2367" s="1">
        <v>42501</v>
      </c>
      <c r="C2367" t="s">
        <v>22</v>
      </c>
      <c r="D2367" t="s">
        <v>2180</v>
      </c>
      <c r="E2367" t="s">
        <v>2181</v>
      </c>
      <c r="F2367" t="s">
        <v>56</v>
      </c>
      <c r="G2367" t="s">
        <v>12</v>
      </c>
      <c r="H2367" t="s">
        <v>44</v>
      </c>
      <c r="I2367" t="s">
        <v>2600</v>
      </c>
      <c r="J2367" s="2">
        <v>286.85000000000002</v>
      </c>
      <c r="K2367">
        <v>1</v>
      </c>
      <c r="L2367" s="4"/>
    </row>
    <row r="2368" spans="1:12" x14ac:dyDescent="0.3">
      <c r="A2368" s="1">
        <v>42499</v>
      </c>
      <c r="B2368" s="1">
        <v>42501</v>
      </c>
      <c r="C2368" t="s">
        <v>22</v>
      </c>
      <c r="D2368" t="s">
        <v>2180</v>
      </c>
      <c r="E2368" t="s">
        <v>2181</v>
      </c>
      <c r="F2368" t="s">
        <v>56</v>
      </c>
      <c r="G2368" t="s">
        <v>4</v>
      </c>
      <c r="H2368" t="s">
        <v>10</v>
      </c>
      <c r="I2368" t="s">
        <v>1224</v>
      </c>
      <c r="J2368" s="2">
        <v>66.959999999999994</v>
      </c>
      <c r="K2368">
        <v>4</v>
      </c>
      <c r="L2368" s="4"/>
    </row>
    <row r="2369" spans="1:12" x14ac:dyDescent="0.3">
      <c r="A2369" s="1">
        <v>42499</v>
      </c>
      <c r="B2369" s="1">
        <v>42501</v>
      </c>
      <c r="C2369" t="s">
        <v>22</v>
      </c>
      <c r="D2369" t="s">
        <v>2180</v>
      </c>
      <c r="E2369" t="s">
        <v>2181</v>
      </c>
      <c r="F2369" t="s">
        <v>56</v>
      </c>
      <c r="G2369" t="s">
        <v>74</v>
      </c>
      <c r="H2369" t="s">
        <v>75</v>
      </c>
      <c r="I2369" t="s">
        <v>212</v>
      </c>
      <c r="J2369" s="2">
        <v>199.98</v>
      </c>
      <c r="K2369">
        <v>2</v>
      </c>
      <c r="L2369" s="4"/>
    </row>
    <row r="2370" spans="1:12" x14ac:dyDescent="0.3">
      <c r="A2370" s="1">
        <v>42501</v>
      </c>
      <c r="B2370" s="1">
        <v>42502</v>
      </c>
      <c r="C2370" t="s">
        <v>240</v>
      </c>
      <c r="D2370" t="s">
        <v>390</v>
      </c>
      <c r="E2370" t="s">
        <v>391</v>
      </c>
      <c r="F2370" t="s">
        <v>56</v>
      </c>
      <c r="G2370" t="s">
        <v>4</v>
      </c>
      <c r="H2370" t="s">
        <v>5</v>
      </c>
      <c r="I2370" t="s">
        <v>2090</v>
      </c>
      <c r="J2370" s="2">
        <v>37.44</v>
      </c>
      <c r="K2370">
        <v>6</v>
      </c>
      <c r="L2370" s="4"/>
    </row>
    <row r="2371" spans="1:12" x14ac:dyDescent="0.3">
      <c r="A2371" s="1">
        <v>42501</v>
      </c>
      <c r="B2371" s="1">
        <v>42502</v>
      </c>
      <c r="C2371" t="s">
        <v>240</v>
      </c>
      <c r="D2371" t="s">
        <v>390</v>
      </c>
      <c r="E2371" t="s">
        <v>391</v>
      </c>
      <c r="F2371" t="s">
        <v>56</v>
      </c>
      <c r="G2371" t="s">
        <v>4</v>
      </c>
      <c r="H2371" t="s">
        <v>168</v>
      </c>
      <c r="I2371" t="s">
        <v>2310</v>
      </c>
      <c r="J2371" s="2">
        <v>37.589999999999996</v>
      </c>
      <c r="K2371">
        <v>3</v>
      </c>
      <c r="L2371" s="4"/>
    </row>
    <row r="2372" spans="1:12" x14ac:dyDescent="0.3">
      <c r="A2372" s="1">
        <v>42501</v>
      </c>
      <c r="B2372" s="1">
        <v>42502</v>
      </c>
      <c r="C2372" t="s">
        <v>240</v>
      </c>
      <c r="D2372" t="s">
        <v>390</v>
      </c>
      <c r="E2372" t="s">
        <v>391</v>
      </c>
      <c r="F2372" t="s">
        <v>56</v>
      </c>
      <c r="G2372" t="s">
        <v>4</v>
      </c>
      <c r="H2372" t="s">
        <v>26</v>
      </c>
      <c r="I2372" t="s">
        <v>1508</v>
      </c>
      <c r="J2372" s="2">
        <v>26.032</v>
      </c>
      <c r="K2372">
        <v>2</v>
      </c>
      <c r="L2372" s="4"/>
    </row>
    <row r="2373" spans="1:12" x14ac:dyDescent="0.3">
      <c r="A2373" s="1">
        <v>42501</v>
      </c>
      <c r="B2373" s="1">
        <v>42503</v>
      </c>
      <c r="C2373" t="s">
        <v>22</v>
      </c>
      <c r="D2373" t="s">
        <v>810</v>
      </c>
      <c r="E2373" t="s">
        <v>811</v>
      </c>
      <c r="F2373" t="s">
        <v>25</v>
      </c>
      <c r="G2373" t="s">
        <v>12</v>
      </c>
      <c r="H2373" t="s">
        <v>13</v>
      </c>
      <c r="I2373" t="s">
        <v>1038</v>
      </c>
      <c r="J2373" s="2">
        <v>209.97900000000001</v>
      </c>
      <c r="K2373">
        <v>7</v>
      </c>
      <c r="L2373" s="4"/>
    </row>
    <row r="2374" spans="1:12" x14ac:dyDescent="0.3">
      <c r="A2374" s="1">
        <v>42502</v>
      </c>
      <c r="B2374" s="1">
        <v>42508</v>
      </c>
      <c r="C2374" t="s">
        <v>7</v>
      </c>
      <c r="D2374" t="s">
        <v>2601</v>
      </c>
      <c r="E2374" t="s">
        <v>2602</v>
      </c>
      <c r="F2374" t="s">
        <v>3</v>
      </c>
      <c r="G2374" t="s">
        <v>4</v>
      </c>
      <c r="H2374" t="s">
        <v>78</v>
      </c>
      <c r="I2374" t="s">
        <v>79</v>
      </c>
      <c r="J2374" s="2">
        <v>238.62</v>
      </c>
      <c r="K2374">
        <v>2</v>
      </c>
      <c r="L2374" s="4"/>
    </row>
    <row r="2375" spans="1:12" x14ac:dyDescent="0.3">
      <c r="A2375" s="1">
        <v>42502</v>
      </c>
      <c r="B2375" s="1">
        <v>42508</v>
      </c>
      <c r="C2375" t="s">
        <v>7</v>
      </c>
      <c r="D2375" t="s">
        <v>2601</v>
      </c>
      <c r="E2375" t="s">
        <v>2602</v>
      </c>
      <c r="F2375" t="s">
        <v>3</v>
      </c>
      <c r="G2375" t="s">
        <v>4</v>
      </c>
      <c r="H2375" t="s">
        <v>20</v>
      </c>
      <c r="I2375" t="s">
        <v>1711</v>
      </c>
      <c r="J2375" s="2">
        <v>7.77</v>
      </c>
      <c r="K2375">
        <v>1</v>
      </c>
      <c r="L2375" s="4"/>
    </row>
    <row r="2376" spans="1:12" x14ac:dyDescent="0.3">
      <c r="A2376" s="1">
        <v>42502</v>
      </c>
      <c r="B2376" s="1">
        <v>42508</v>
      </c>
      <c r="C2376" t="s">
        <v>7</v>
      </c>
      <c r="D2376" t="s">
        <v>2601</v>
      </c>
      <c r="E2376" t="s">
        <v>2602</v>
      </c>
      <c r="F2376" t="s">
        <v>3</v>
      </c>
      <c r="G2376" t="s">
        <v>12</v>
      </c>
      <c r="H2376" t="s">
        <v>44</v>
      </c>
      <c r="I2376" t="s">
        <v>2466</v>
      </c>
      <c r="J2376" s="2">
        <v>285.48</v>
      </c>
      <c r="K2376">
        <v>5</v>
      </c>
      <c r="L2376" s="4"/>
    </row>
    <row r="2377" spans="1:12" x14ac:dyDescent="0.3">
      <c r="A2377" s="1">
        <v>42502</v>
      </c>
      <c r="B2377" s="1">
        <v>42508</v>
      </c>
      <c r="C2377" t="s">
        <v>7</v>
      </c>
      <c r="D2377" t="s">
        <v>2601</v>
      </c>
      <c r="E2377" t="s">
        <v>2602</v>
      </c>
      <c r="F2377" t="s">
        <v>3</v>
      </c>
      <c r="G2377" t="s">
        <v>4</v>
      </c>
      <c r="H2377" t="s">
        <v>26</v>
      </c>
      <c r="I2377" t="s">
        <v>1509</v>
      </c>
      <c r="J2377" s="2">
        <v>19.168000000000003</v>
      </c>
      <c r="K2377">
        <v>4</v>
      </c>
      <c r="L2377" s="4"/>
    </row>
    <row r="2378" spans="1:12" x14ac:dyDescent="0.3">
      <c r="A2378" s="1">
        <v>42503</v>
      </c>
      <c r="B2378" s="1">
        <v>42510</v>
      </c>
      <c r="C2378" t="s">
        <v>7</v>
      </c>
      <c r="D2378" t="s">
        <v>2048</v>
      </c>
      <c r="E2378" t="s">
        <v>2049</v>
      </c>
      <c r="F2378" t="s">
        <v>3</v>
      </c>
      <c r="G2378" t="s">
        <v>4</v>
      </c>
      <c r="H2378" t="s">
        <v>168</v>
      </c>
      <c r="I2378" t="s">
        <v>1210</v>
      </c>
      <c r="J2378" s="2">
        <v>58.48</v>
      </c>
      <c r="K2378">
        <v>8</v>
      </c>
      <c r="L2378" s="4"/>
    </row>
    <row r="2379" spans="1:12" x14ac:dyDescent="0.3">
      <c r="A2379" s="1">
        <v>42504</v>
      </c>
      <c r="B2379" s="1">
        <v>42504</v>
      </c>
      <c r="C2379" t="s">
        <v>240</v>
      </c>
      <c r="D2379" t="s">
        <v>2193</v>
      </c>
      <c r="E2379" t="s">
        <v>2194</v>
      </c>
      <c r="F2379" t="s">
        <v>3</v>
      </c>
      <c r="G2379" t="s">
        <v>12</v>
      </c>
      <c r="H2379" t="s">
        <v>35</v>
      </c>
      <c r="I2379" t="s">
        <v>1697</v>
      </c>
      <c r="J2379" s="2">
        <v>18.28</v>
      </c>
      <c r="K2379">
        <v>2</v>
      </c>
      <c r="L2379" s="4"/>
    </row>
    <row r="2380" spans="1:12" x14ac:dyDescent="0.3">
      <c r="A2380" s="1">
        <v>42504</v>
      </c>
      <c r="B2380" s="1">
        <v>42504</v>
      </c>
      <c r="C2380" t="s">
        <v>240</v>
      </c>
      <c r="D2380" t="s">
        <v>2193</v>
      </c>
      <c r="E2380" t="s">
        <v>2194</v>
      </c>
      <c r="F2380" t="s">
        <v>3</v>
      </c>
      <c r="G2380" t="s">
        <v>74</v>
      </c>
      <c r="H2380" t="s">
        <v>75</v>
      </c>
      <c r="I2380" t="s">
        <v>2297</v>
      </c>
      <c r="J2380" s="2">
        <v>1399.93</v>
      </c>
      <c r="K2380">
        <v>7</v>
      </c>
      <c r="L2380" s="4"/>
    </row>
    <row r="2381" spans="1:12" x14ac:dyDescent="0.3">
      <c r="A2381" s="1">
        <v>42504</v>
      </c>
      <c r="B2381" s="1">
        <v>42509</v>
      </c>
      <c r="C2381" t="s">
        <v>7</v>
      </c>
      <c r="D2381" t="s">
        <v>1303</v>
      </c>
      <c r="E2381" t="s">
        <v>1304</v>
      </c>
      <c r="F2381" t="s">
        <v>56</v>
      </c>
      <c r="G2381" t="s">
        <v>4</v>
      </c>
      <c r="H2381" t="s">
        <v>5</v>
      </c>
      <c r="I2381" t="s">
        <v>795</v>
      </c>
      <c r="J2381" s="2">
        <v>440.18999999999994</v>
      </c>
      <c r="K2381">
        <v>9</v>
      </c>
      <c r="L2381" s="4"/>
    </row>
    <row r="2382" spans="1:12" x14ac:dyDescent="0.3">
      <c r="A2382" s="1">
        <v>42504</v>
      </c>
      <c r="B2382" s="1">
        <v>42509</v>
      </c>
      <c r="C2382" t="s">
        <v>7</v>
      </c>
      <c r="D2382" t="s">
        <v>1303</v>
      </c>
      <c r="E2382" t="s">
        <v>1304</v>
      </c>
      <c r="F2382" t="s">
        <v>56</v>
      </c>
      <c r="G2382" t="s">
        <v>4</v>
      </c>
      <c r="H2382" t="s">
        <v>78</v>
      </c>
      <c r="I2382" t="s">
        <v>1256</v>
      </c>
      <c r="J2382" s="2">
        <v>64.400000000000006</v>
      </c>
      <c r="K2382">
        <v>5</v>
      </c>
      <c r="L2382" s="4"/>
    </row>
    <row r="2383" spans="1:12" x14ac:dyDescent="0.3">
      <c r="A2383" s="1">
        <v>42505</v>
      </c>
      <c r="B2383" s="1">
        <v>42508</v>
      </c>
      <c r="C2383" t="s">
        <v>0</v>
      </c>
      <c r="D2383" t="s">
        <v>653</v>
      </c>
      <c r="E2383" t="s">
        <v>654</v>
      </c>
      <c r="F2383" t="s">
        <v>25</v>
      </c>
      <c r="G2383" t="s">
        <v>74</v>
      </c>
      <c r="H2383" t="s">
        <v>147</v>
      </c>
      <c r="I2383" t="s">
        <v>1286</v>
      </c>
      <c r="J2383" s="2">
        <v>29.592000000000002</v>
      </c>
      <c r="K2383">
        <v>1</v>
      </c>
      <c r="L2383" s="4"/>
    </row>
    <row r="2384" spans="1:12" x14ac:dyDescent="0.3">
      <c r="A2384" s="1">
        <v>42505</v>
      </c>
      <c r="B2384" s="1">
        <v>42508</v>
      </c>
      <c r="C2384" t="s">
        <v>0</v>
      </c>
      <c r="D2384" t="s">
        <v>653</v>
      </c>
      <c r="E2384" t="s">
        <v>654</v>
      </c>
      <c r="F2384" t="s">
        <v>25</v>
      </c>
      <c r="G2384" t="s">
        <v>4</v>
      </c>
      <c r="H2384" t="s">
        <v>26</v>
      </c>
      <c r="I2384" t="s">
        <v>2165</v>
      </c>
      <c r="J2384" s="2">
        <v>4.7520000000000007</v>
      </c>
      <c r="K2384">
        <v>2</v>
      </c>
      <c r="L2384" s="4"/>
    </row>
    <row r="2385" spans="1:12" x14ac:dyDescent="0.3">
      <c r="A2385" s="1">
        <v>42505</v>
      </c>
      <c r="B2385" s="1">
        <v>42508</v>
      </c>
      <c r="C2385" t="s">
        <v>0</v>
      </c>
      <c r="D2385" t="s">
        <v>653</v>
      </c>
      <c r="E2385" t="s">
        <v>654</v>
      </c>
      <c r="F2385" t="s">
        <v>25</v>
      </c>
      <c r="G2385" t="s">
        <v>4</v>
      </c>
      <c r="H2385" t="s">
        <v>5</v>
      </c>
      <c r="I2385" t="s">
        <v>2603</v>
      </c>
      <c r="J2385" s="2">
        <v>15.552000000000003</v>
      </c>
      <c r="K2385">
        <v>3</v>
      </c>
      <c r="L2385" s="4"/>
    </row>
    <row r="2386" spans="1:12" x14ac:dyDescent="0.3">
      <c r="A2386" s="1">
        <v>42505</v>
      </c>
      <c r="B2386" s="1">
        <v>42510</v>
      </c>
      <c r="C2386" t="s">
        <v>7</v>
      </c>
      <c r="D2386" t="s">
        <v>124</v>
      </c>
      <c r="E2386" t="s">
        <v>125</v>
      </c>
      <c r="F2386" t="s">
        <v>56</v>
      </c>
      <c r="G2386" t="s">
        <v>12</v>
      </c>
      <c r="H2386" t="s">
        <v>35</v>
      </c>
      <c r="I2386" t="s">
        <v>1876</v>
      </c>
      <c r="J2386" s="2">
        <v>39.96</v>
      </c>
      <c r="K2386">
        <v>2</v>
      </c>
      <c r="L2386" s="4"/>
    </row>
    <row r="2387" spans="1:12" x14ac:dyDescent="0.3">
      <c r="A2387" s="1">
        <v>42505</v>
      </c>
      <c r="B2387" s="1">
        <v>42510</v>
      </c>
      <c r="C2387" t="s">
        <v>7</v>
      </c>
      <c r="D2387" t="s">
        <v>124</v>
      </c>
      <c r="E2387" t="s">
        <v>125</v>
      </c>
      <c r="F2387" t="s">
        <v>56</v>
      </c>
      <c r="G2387" t="s">
        <v>12</v>
      </c>
      <c r="H2387" t="s">
        <v>70</v>
      </c>
      <c r="I2387" t="s">
        <v>1296</v>
      </c>
      <c r="J2387" s="2">
        <v>42.624000000000002</v>
      </c>
      <c r="K2387">
        <v>2</v>
      </c>
      <c r="L2387" s="4"/>
    </row>
    <row r="2388" spans="1:12" x14ac:dyDescent="0.3">
      <c r="A2388" s="1">
        <v>42505</v>
      </c>
      <c r="B2388" s="1">
        <v>42510</v>
      </c>
      <c r="C2388" t="s">
        <v>7</v>
      </c>
      <c r="D2388" t="s">
        <v>124</v>
      </c>
      <c r="E2388" t="s">
        <v>125</v>
      </c>
      <c r="F2388" t="s">
        <v>56</v>
      </c>
      <c r="G2388" t="s">
        <v>12</v>
      </c>
      <c r="H2388" t="s">
        <v>70</v>
      </c>
      <c r="I2388" t="s">
        <v>1082</v>
      </c>
      <c r="J2388" s="2">
        <v>220.96</v>
      </c>
      <c r="K2388">
        <v>1</v>
      </c>
      <c r="L2388" s="4"/>
    </row>
    <row r="2389" spans="1:12" x14ac:dyDescent="0.3">
      <c r="A2389" s="1">
        <v>42508</v>
      </c>
      <c r="B2389" s="1">
        <v>42510</v>
      </c>
      <c r="C2389" t="s">
        <v>22</v>
      </c>
      <c r="D2389" t="s">
        <v>2250</v>
      </c>
      <c r="E2389" t="s">
        <v>2251</v>
      </c>
      <c r="F2389" t="s">
        <v>19</v>
      </c>
      <c r="G2389" t="s">
        <v>74</v>
      </c>
      <c r="H2389" t="s">
        <v>147</v>
      </c>
      <c r="I2389" t="s">
        <v>2604</v>
      </c>
      <c r="J2389" s="2">
        <v>344.70400000000001</v>
      </c>
      <c r="K2389">
        <v>2</v>
      </c>
      <c r="L2389" s="4"/>
    </row>
    <row r="2390" spans="1:12" x14ac:dyDescent="0.3">
      <c r="A2390" s="1">
        <v>42509</v>
      </c>
      <c r="B2390" s="1">
        <v>42513</v>
      </c>
      <c r="C2390" t="s">
        <v>7</v>
      </c>
      <c r="D2390" t="s">
        <v>2198</v>
      </c>
      <c r="E2390" t="s">
        <v>2199</v>
      </c>
      <c r="F2390" t="s">
        <v>56</v>
      </c>
      <c r="G2390" t="s">
        <v>4</v>
      </c>
      <c r="H2390" t="s">
        <v>20</v>
      </c>
      <c r="I2390" t="s">
        <v>2605</v>
      </c>
      <c r="J2390" s="2">
        <v>97.16</v>
      </c>
      <c r="K2390">
        <v>2</v>
      </c>
      <c r="L2390" s="4"/>
    </row>
    <row r="2391" spans="1:12" x14ac:dyDescent="0.3">
      <c r="A2391" s="1">
        <v>42509</v>
      </c>
      <c r="B2391" s="1">
        <v>42511</v>
      </c>
      <c r="C2391" t="s">
        <v>0</v>
      </c>
      <c r="D2391" t="s">
        <v>408</v>
      </c>
      <c r="E2391" t="s">
        <v>409</v>
      </c>
      <c r="F2391" t="s">
        <v>3</v>
      </c>
      <c r="G2391" t="s">
        <v>12</v>
      </c>
      <c r="H2391" t="s">
        <v>70</v>
      </c>
      <c r="I2391" t="s">
        <v>1747</v>
      </c>
      <c r="J2391" s="2">
        <v>681.40800000000013</v>
      </c>
      <c r="K2391">
        <v>12</v>
      </c>
      <c r="L2391" s="4"/>
    </row>
    <row r="2392" spans="1:12" x14ac:dyDescent="0.3">
      <c r="A2392" s="1">
        <v>42509</v>
      </c>
      <c r="B2392" s="1">
        <v>42511</v>
      </c>
      <c r="C2392" t="s">
        <v>0</v>
      </c>
      <c r="D2392" t="s">
        <v>408</v>
      </c>
      <c r="E2392" t="s">
        <v>409</v>
      </c>
      <c r="F2392" t="s">
        <v>3</v>
      </c>
      <c r="G2392" t="s">
        <v>4</v>
      </c>
      <c r="H2392" t="s">
        <v>15</v>
      </c>
      <c r="I2392" t="s">
        <v>1155</v>
      </c>
      <c r="J2392" s="2">
        <v>3.52</v>
      </c>
      <c r="K2392">
        <v>2</v>
      </c>
      <c r="L2392" s="4"/>
    </row>
    <row r="2393" spans="1:12" x14ac:dyDescent="0.3">
      <c r="A2393" s="1">
        <v>42509</v>
      </c>
      <c r="B2393" s="1">
        <v>42511</v>
      </c>
      <c r="C2393" t="s">
        <v>0</v>
      </c>
      <c r="D2393" t="s">
        <v>408</v>
      </c>
      <c r="E2393" t="s">
        <v>409</v>
      </c>
      <c r="F2393" t="s">
        <v>3</v>
      </c>
      <c r="G2393" t="s">
        <v>4</v>
      </c>
      <c r="H2393" t="s">
        <v>15</v>
      </c>
      <c r="I2393" t="s">
        <v>2606</v>
      </c>
      <c r="J2393" s="2">
        <v>5.58</v>
      </c>
      <c r="K2393">
        <v>1</v>
      </c>
      <c r="L2393" s="4"/>
    </row>
    <row r="2394" spans="1:12" x14ac:dyDescent="0.3">
      <c r="A2394" s="1">
        <v>42509</v>
      </c>
      <c r="B2394" s="1">
        <v>42511</v>
      </c>
      <c r="C2394" t="s">
        <v>0</v>
      </c>
      <c r="D2394" t="s">
        <v>408</v>
      </c>
      <c r="E2394" t="s">
        <v>409</v>
      </c>
      <c r="F2394" t="s">
        <v>3</v>
      </c>
      <c r="G2394" t="s">
        <v>74</v>
      </c>
      <c r="H2394" t="s">
        <v>75</v>
      </c>
      <c r="I2394" t="s">
        <v>2427</v>
      </c>
      <c r="J2394" s="2">
        <v>36.32</v>
      </c>
      <c r="K2394">
        <v>1</v>
      </c>
      <c r="L2394" s="4"/>
    </row>
    <row r="2395" spans="1:12" x14ac:dyDescent="0.3">
      <c r="A2395" s="1">
        <v>42509</v>
      </c>
      <c r="B2395" s="1">
        <v>42514</v>
      </c>
      <c r="C2395" t="s">
        <v>7</v>
      </c>
      <c r="D2395" t="s">
        <v>86</v>
      </c>
      <c r="E2395" t="s">
        <v>87</v>
      </c>
      <c r="F2395" t="s">
        <v>3</v>
      </c>
      <c r="G2395" t="s">
        <v>4</v>
      </c>
      <c r="H2395" t="s">
        <v>26</v>
      </c>
      <c r="I2395" t="s">
        <v>2108</v>
      </c>
      <c r="J2395" s="2">
        <v>133.12</v>
      </c>
      <c r="K2395">
        <v>5</v>
      </c>
      <c r="L2395" s="4"/>
    </row>
    <row r="2396" spans="1:12" x14ac:dyDescent="0.3">
      <c r="A2396" s="1">
        <v>42510</v>
      </c>
      <c r="B2396" s="1">
        <v>42514</v>
      </c>
      <c r="C2396" t="s">
        <v>7</v>
      </c>
      <c r="D2396" t="s">
        <v>2232</v>
      </c>
      <c r="E2396" t="s">
        <v>2233</v>
      </c>
      <c r="F2396" t="s">
        <v>3</v>
      </c>
      <c r="G2396" t="s">
        <v>12</v>
      </c>
      <c r="H2396" t="s">
        <v>70</v>
      </c>
      <c r="I2396" t="s">
        <v>71</v>
      </c>
      <c r="J2396" s="2">
        <v>518.27200000000005</v>
      </c>
      <c r="K2396">
        <v>8</v>
      </c>
      <c r="L2396" s="4"/>
    </row>
    <row r="2397" spans="1:12" x14ac:dyDescent="0.3">
      <c r="A2397" s="1">
        <v>42510</v>
      </c>
      <c r="B2397" s="1">
        <v>42514</v>
      </c>
      <c r="C2397" t="s">
        <v>7</v>
      </c>
      <c r="D2397" t="s">
        <v>2232</v>
      </c>
      <c r="E2397" t="s">
        <v>2233</v>
      </c>
      <c r="F2397" t="s">
        <v>3</v>
      </c>
      <c r="G2397" t="s">
        <v>12</v>
      </c>
      <c r="H2397" t="s">
        <v>35</v>
      </c>
      <c r="I2397" t="s">
        <v>2607</v>
      </c>
      <c r="J2397" s="2">
        <v>6.98</v>
      </c>
      <c r="K2397">
        <v>1</v>
      </c>
      <c r="L2397" s="4"/>
    </row>
    <row r="2398" spans="1:12" x14ac:dyDescent="0.3">
      <c r="A2398" s="1">
        <v>42510</v>
      </c>
      <c r="B2398" s="1">
        <v>42514</v>
      </c>
      <c r="C2398" t="s">
        <v>7</v>
      </c>
      <c r="D2398" t="s">
        <v>2232</v>
      </c>
      <c r="E2398" t="s">
        <v>2233</v>
      </c>
      <c r="F2398" t="s">
        <v>3</v>
      </c>
      <c r="G2398" t="s">
        <v>74</v>
      </c>
      <c r="H2398" t="s">
        <v>138</v>
      </c>
      <c r="I2398" t="s">
        <v>2324</v>
      </c>
      <c r="J2398" s="2">
        <v>343.20000000000005</v>
      </c>
      <c r="K2398">
        <v>1</v>
      </c>
      <c r="L2398" s="4"/>
    </row>
    <row r="2399" spans="1:12" x14ac:dyDescent="0.3">
      <c r="A2399" s="1">
        <v>42510</v>
      </c>
      <c r="B2399" s="1">
        <v>42516</v>
      </c>
      <c r="C2399" t="s">
        <v>7</v>
      </c>
      <c r="D2399" t="s">
        <v>1394</v>
      </c>
      <c r="E2399" t="s">
        <v>1395</v>
      </c>
      <c r="F2399" t="s">
        <v>39</v>
      </c>
      <c r="G2399" t="s">
        <v>4</v>
      </c>
      <c r="H2399" t="s">
        <v>26</v>
      </c>
      <c r="I2399" t="s">
        <v>1559</v>
      </c>
      <c r="J2399" s="2">
        <v>8.2880000000000003</v>
      </c>
      <c r="K2399">
        <v>2</v>
      </c>
      <c r="L2399" s="4"/>
    </row>
    <row r="2400" spans="1:12" x14ac:dyDescent="0.3">
      <c r="A2400" s="1">
        <v>42510</v>
      </c>
      <c r="B2400" s="1">
        <v>42516</v>
      </c>
      <c r="C2400" t="s">
        <v>7</v>
      </c>
      <c r="D2400" t="s">
        <v>1394</v>
      </c>
      <c r="E2400" t="s">
        <v>1395</v>
      </c>
      <c r="F2400" t="s">
        <v>39</v>
      </c>
      <c r="G2400" t="s">
        <v>74</v>
      </c>
      <c r="H2400" t="s">
        <v>147</v>
      </c>
      <c r="I2400" t="s">
        <v>1440</v>
      </c>
      <c r="J2400" s="2">
        <v>1123.1280000000002</v>
      </c>
      <c r="K2400">
        <v>9</v>
      </c>
      <c r="L2400" s="4"/>
    </row>
    <row r="2401" spans="1:12" x14ac:dyDescent="0.3">
      <c r="A2401" s="1">
        <v>42510</v>
      </c>
      <c r="B2401" s="1">
        <v>42516</v>
      </c>
      <c r="C2401" t="s">
        <v>7</v>
      </c>
      <c r="D2401" t="s">
        <v>1394</v>
      </c>
      <c r="E2401" t="s">
        <v>1395</v>
      </c>
      <c r="F2401" t="s">
        <v>39</v>
      </c>
      <c r="G2401" t="s">
        <v>4</v>
      </c>
      <c r="H2401" t="s">
        <v>20</v>
      </c>
      <c r="I2401" t="s">
        <v>2529</v>
      </c>
      <c r="J2401" s="2">
        <v>64.900000000000006</v>
      </c>
      <c r="K2401">
        <v>5</v>
      </c>
      <c r="L2401" s="4"/>
    </row>
    <row r="2402" spans="1:12" x14ac:dyDescent="0.3">
      <c r="A2402" s="1">
        <v>42512</v>
      </c>
      <c r="B2402" s="1">
        <v>42515</v>
      </c>
      <c r="C2402" t="s">
        <v>0</v>
      </c>
      <c r="D2402" t="s">
        <v>1411</v>
      </c>
      <c r="E2402" t="s">
        <v>1412</v>
      </c>
      <c r="F2402" t="s">
        <v>3</v>
      </c>
      <c r="G2402" t="s">
        <v>74</v>
      </c>
      <c r="H2402" t="s">
        <v>75</v>
      </c>
      <c r="I2402" t="s">
        <v>2608</v>
      </c>
      <c r="J2402" s="2">
        <v>68.459999999999994</v>
      </c>
      <c r="K2402">
        <v>7</v>
      </c>
      <c r="L2402" s="4"/>
    </row>
    <row r="2403" spans="1:12" x14ac:dyDescent="0.3">
      <c r="A2403" s="1">
        <v>42512</v>
      </c>
      <c r="B2403" s="1">
        <v>42515</v>
      </c>
      <c r="C2403" t="s">
        <v>22</v>
      </c>
      <c r="D2403" t="s">
        <v>988</v>
      </c>
      <c r="E2403" t="s">
        <v>989</v>
      </c>
      <c r="F2403" t="s">
        <v>3</v>
      </c>
      <c r="G2403" t="s">
        <v>4</v>
      </c>
      <c r="H2403" t="s">
        <v>15</v>
      </c>
      <c r="I2403" t="s">
        <v>2221</v>
      </c>
      <c r="J2403" s="2">
        <v>49.56</v>
      </c>
      <c r="K2403">
        <v>7</v>
      </c>
      <c r="L2403" s="4"/>
    </row>
    <row r="2404" spans="1:12" x14ac:dyDescent="0.3">
      <c r="A2404" s="1">
        <v>42512</v>
      </c>
      <c r="B2404" s="1">
        <v>42516</v>
      </c>
      <c r="C2404" t="s">
        <v>7</v>
      </c>
      <c r="D2404" t="s">
        <v>485</v>
      </c>
      <c r="E2404" t="s">
        <v>486</v>
      </c>
      <c r="F2404" t="s">
        <v>3</v>
      </c>
      <c r="G2404" t="s">
        <v>4</v>
      </c>
      <c r="H2404" t="s">
        <v>15</v>
      </c>
      <c r="I2404" t="s">
        <v>2592</v>
      </c>
      <c r="J2404" s="2">
        <v>9.84</v>
      </c>
      <c r="K2404">
        <v>3</v>
      </c>
      <c r="L2404" s="4"/>
    </row>
    <row r="2405" spans="1:12" x14ac:dyDescent="0.3">
      <c r="A2405" s="1">
        <v>42512</v>
      </c>
      <c r="B2405" s="1">
        <v>42516</v>
      </c>
      <c r="C2405" t="s">
        <v>7</v>
      </c>
      <c r="D2405" t="s">
        <v>485</v>
      </c>
      <c r="E2405" t="s">
        <v>486</v>
      </c>
      <c r="F2405" t="s">
        <v>3</v>
      </c>
      <c r="G2405" t="s">
        <v>4</v>
      </c>
      <c r="H2405" t="s">
        <v>15</v>
      </c>
      <c r="I2405" t="s">
        <v>1712</v>
      </c>
      <c r="J2405" s="2">
        <v>2.78</v>
      </c>
      <c r="K2405">
        <v>1</v>
      </c>
      <c r="L2405" s="4"/>
    </row>
    <row r="2406" spans="1:12" x14ac:dyDescent="0.3">
      <c r="A2406" s="1">
        <v>42513</v>
      </c>
      <c r="B2406" s="1">
        <v>42519</v>
      </c>
      <c r="C2406" t="s">
        <v>7</v>
      </c>
      <c r="D2406" t="s">
        <v>2609</v>
      </c>
      <c r="E2406" t="s">
        <v>2610</v>
      </c>
      <c r="F2406" t="s">
        <v>3</v>
      </c>
      <c r="G2406" t="s">
        <v>12</v>
      </c>
      <c r="H2406" t="s">
        <v>44</v>
      </c>
      <c r="I2406" t="s">
        <v>2466</v>
      </c>
      <c r="J2406" s="2">
        <v>171.28800000000001</v>
      </c>
      <c r="K2406">
        <v>3</v>
      </c>
      <c r="L2406" s="4"/>
    </row>
    <row r="2407" spans="1:12" x14ac:dyDescent="0.3">
      <c r="A2407" s="1">
        <v>42516</v>
      </c>
      <c r="B2407" s="1">
        <v>42521</v>
      </c>
      <c r="C2407" t="s">
        <v>7</v>
      </c>
      <c r="D2407" t="s">
        <v>1745</v>
      </c>
      <c r="E2407" t="s">
        <v>1746</v>
      </c>
      <c r="F2407" t="s">
        <v>3</v>
      </c>
      <c r="G2407" t="s">
        <v>4</v>
      </c>
      <c r="H2407" t="s">
        <v>5</v>
      </c>
      <c r="I2407" t="s">
        <v>2611</v>
      </c>
      <c r="J2407" s="2">
        <v>12.96</v>
      </c>
      <c r="K2407">
        <v>2</v>
      </c>
      <c r="L2407" s="4"/>
    </row>
    <row r="2408" spans="1:12" x14ac:dyDescent="0.3">
      <c r="A2408" s="1">
        <v>42517</v>
      </c>
      <c r="B2408" s="1">
        <v>42521</v>
      </c>
      <c r="C2408" t="s">
        <v>7</v>
      </c>
      <c r="D2408" t="s">
        <v>1594</v>
      </c>
      <c r="E2408" t="s">
        <v>1595</v>
      </c>
      <c r="F2408" t="s">
        <v>56</v>
      </c>
      <c r="G2408" t="s">
        <v>74</v>
      </c>
      <c r="H2408" t="s">
        <v>75</v>
      </c>
      <c r="I2408" t="s">
        <v>528</v>
      </c>
      <c r="J2408" s="2">
        <v>98.16</v>
      </c>
      <c r="K2408">
        <v>6</v>
      </c>
      <c r="L2408" s="4"/>
    </row>
    <row r="2409" spans="1:12" x14ac:dyDescent="0.3">
      <c r="A2409" s="1">
        <v>42517</v>
      </c>
      <c r="B2409" s="1">
        <v>42521</v>
      </c>
      <c r="C2409" t="s">
        <v>7</v>
      </c>
      <c r="D2409" t="s">
        <v>1594</v>
      </c>
      <c r="E2409" t="s">
        <v>1595</v>
      </c>
      <c r="F2409" t="s">
        <v>56</v>
      </c>
      <c r="G2409" t="s">
        <v>4</v>
      </c>
      <c r="H2409" t="s">
        <v>15</v>
      </c>
      <c r="I2409" t="s">
        <v>371</v>
      </c>
      <c r="J2409" s="2">
        <v>31.44</v>
      </c>
      <c r="K2409">
        <v>3</v>
      </c>
      <c r="L2409" s="4"/>
    </row>
    <row r="2410" spans="1:12" x14ac:dyDescent="0.3">
      <c r="A2410" s="1">
        <v>42517</v>
      </c>
      <c r="B2410" s="1">
        <v>42519</v>
      </c>
      <c r="C2410" t="s">
        <v>22</v>
      </c>
      <c r="D2410" t="s">
        <v>1838</v>
      </c>
      <c r="E2410" t="s">
        <v>1839</v>
      </c>
      <c r="F2410" t="s">
        <v>224</v>
      </c>
      <c r="G2410" t="s">
        <v>12</v>
      </c>
      <c r="H2410" t="s">
        <v>35</v>
      </c>
      <c r="I2410" t="s">
        <v>2612</v>
      </c>
      <c r="J2410" s="2">
        <v>35</v>
      </c>
      <c r="K2410">
        <v>4</v>
      </c>
      <c r="L2410" s="4"/>
    </row>
    <row r="2411" spans="1:12" x14ac:dyDescent="0.3">
      <c r="A2411" s="1">
        <v>42517</v>
      </c>
      <c r="B2411" s="1">
        <v>42519</v>
      </c>
      <c r="C2411" t="s">
        <v>22</v>
      </c>
      <c r="D2411" t="s">
        <v>1838</v>
      </c>
      <c r="E2411" t="s">
        <v>1839</v>
      </c>
      <c r="F2411" t="s">
        <v>224</v>
      </c>
      <c r="G2411" t="s">
        <v>4</v>
      </c>
      <c r="H2411" t="s">
        <v>10</v>
      </c>
      <c r="I2411" t="s">
        <v>2591</v>
      </c>
      <c r="J2411" s="2">
        <v>477.15000000000003</v>
      </c>
      <c r="K2411">
        <v>5</v>
      </c>
      <c r="L2411" s="4"/>
    </row>
    <row r="2412" spans="1:12" x14ac:dyDescent="0.3">
      <c r="A2412" s="1">
        <v>42517</v>
      </c>
      <c r="B2412" s="1">
        <v>42519</v>
      </c>
      <c r="C2412" t="s">
        <v>22</v>
      </c>
      <c r="D2412" t="s">
        <v>1838</v>
      </c>
      <c r="E2412" t="s">
        <v>1839</v>
      </c>
      <c r="F2412" t="s">
        <v>224</v>
      </c>
      <c r="G2412" t="s">
        <v>74</v>
      </c>
      <c r="H2412" t="s">
        <v>147</v>
      </c>
      <c r="I2412" t="s">
        <v>2613</v>
      </c>
      <c r="J2412" s="2">
        <v>302.37599999999998</v>
      </c>
      <c r="K2412">
        <v>3</v>
      </c>
      <c r="L2412" s="4"/>
    </row>
    <row r="2413" spans="1:12" x14ac:dyDescent="0.3">
      <c r="A2413" s="1">
        <v>42518</v>
      </c>
      <c r="B2413" s="1">
        <v>42523</v>
      </c>
      <c r="C2413" t="s">
        <v>7</v>
      </c>
      <c r="D2413" t="s">
        <v>2244</v>
      </c>
      <c r="E2413" t="s">
        <v>2245</v>
      </c>
      <c r="F2413" t="s">
        <v>25</v>
      </c>
      <c r="G2413" t="s">
        <v>74</v>
      </c>
      <c r="H2413" t="s">
        <v>147</v>
      </c>
      <c r="I2413" t="s">
        <v>797</v>
      </c>
      <c r="J2413" s="2">
        <v>195.96000000000004</v>
      </c>
      <c r="K2413">
        <v>5</v>
      </c>
      <c r="L2413" s="4"/>
    </row>
    <row r="2414" spans="1:12" x14ac:dyDescent="0.3">
      <c r="A2414" s="1">
        <v>42518</v>
      </c>
      <c r="B2414" s="1">
        <v>42523</v>
      </c>
      <c r="C2414" t="s">
        <v>7</v>
      </c>
      <c r="D2414" t="s">
        <v>2244</v>
      </c>
      <c r="E2414" t="s">
        <v>2245</v>
      </c>
      <c r="F2414" t="s">
        <v>25</v>
      </c>
      <c r="G2414" t="s">
        <v>4</v>
      </c>
      <c r="H2414" t="s">
        <v>5</v>
      </c>
      <c r="I2414" t="s">
        <v>2517</v>
      </c>
      <c r="J2414" s="2">
        <v>15.552000000000003</v>
      </c>
      <c r="K2414">
        <v>3</v>
      </c>
      <c r="L2414" s="4"/>
    </row>
    <row r="2415" spans="1:12" x14ac:dyDescent="0.3">
      <c r="A2415" s="1">
        <v>42518</v>
      </c>
      <c r="B2415" s="1">
        <v>42523</v>
      </c>
      <c r="C2415" t="s">
        <v>7</v>
      </c>
      <c r="D2415" t="s">
        <v>2244</v>
      </c>
      <c r="E2415" t="s">
        <v>2245</v>
      </c>
      <c r="F2415" t="s">
        <v>25</v>
      </c>
      <c r="G2415" t="s">
        <v>74</v>
      </c>
      <c r="H2415" t="s">
        <v>75</v>
      </c>
      <c r="I2415" t="s">
        <v>1320</v>
      </c>
      <c r="J2415" s="2">
        <v>271.96800000000002</v>
      </c>
      <c r="K2415">
        <v>4</v>
      </c>
      <c r="L2415" s="4"/>
    </row>
    <row r="2416" spans="1:12" x14ac:dyDescent="0.3">
      <c r="A2416" s="1">
        <v>42520</v>
      </c>
      <c r="B2416" s="1">
        <v>42524</v>
      </c>
      <c r="C2416" t="s">
        <v>7</v>
      </c>
      <c r="D2416" t="s">
        <v>1916</v>
      </c>
      <c r="E2416" t="s">
        <v>1917</v>
      </c>
      <c r="F2416" t="s">
        <v>19</v>
      </c>
      <c r="G2416" t="s">
        <v>74</v>
      </c>
      <c r="H2416" t="s">
        <v>147</v>
      </c>
      <c r="I2416" t="s">
        <v>2614</v>
      </c>
      <c r="J2416" s="2">
        <v>156.79200000000003</v>
      </c>
      <c r="K2416">
        <v>1</v>
      </c>
      <c r="L2416" s="4"/>
    </row>
    <row r="2417" spans="1:12" x14ac:dyDescent="0.3">
      <c r="A2417" s="1">
        <v>42520</v>
      </c>
      <c r="B2417" s="1">
        <v>42524</v>
      </c>
      <c r="C2417" t="s">
        <v>7</v>
      </c>
      <c r="D2417" t="s">
        <v>1916</v>
      </c>
      <c r="E2417" t="s">
        <v>1917</v>
      </c>
      <c r="F2417" t="s">
        <v>19</v>
      </c>
      <c r="G2417" t="s">
        <v>74</v>
      </c>
      <c r="H2417" t="s">
        <v>75</v>
      </c>
      <c r="I2417" t="s">
        <v>160</v>
      </c>
      <c r="J2417" s="2">
        <v>35.360000000000007</v>
      </c>
      <c r="K2417">
        <v>2</v>
      </c>
      <c r="L2417" s="4"/>
    </row>
    <row r="2418" spans="1:12" x14ac:dyDescent="0.3">
      <c r="A2418" s="1">
        <v>42520</v>
      </c>
      <c r="B2418" s="1">
        <v>42524</v>
      </c>
      <c r="C2418" t="s">
        <v>7</v>
      </c>
      <c r="D2418" t="s">
        <v>1916</v>
      </c>
      <c r="E2418" t="s">
        <v>1917</v>
      </c>
      <c r="F2418" t="s">
        <v>19</v>
      </c>
      <c r="G2418" t="s">
        <v>12</v>
      </c>
      <c r="H2418" t="s">
        <v>35</v>
      </c>
      <c r="I2418" t="s">
        <v>2615</v>
      </c>
      <c r="J2418" s="2">
        <v>13.591999999999999</v>
      </c>
      <c r="K2418">
        <v>1</v>
      </c>
      <c r="L2418" s="4"/>
    </row>
    <row r="2419" spans="1:12" x14ac:dyDescent="0.3">
      <c r="A2419" s="1">
        <v>42520</v>
      </c>
      <c r="B2419" s="1">
        <v>42525</v>
      </c>
      <c r="C2419" t="s">
        <v>7</v>
      </c>
      <c r="D2419" t="s">
        <v>1893</v>
      </c>
      <c r="E2419" t="s">
        <v>1894</v>
      </c>
      <c r="F2419" t="s">
        <v>3</v>
      </c>
      <c r="G2419" t="s">
        <v>4</v>
      </c>
      <c r="H2419" t="s">
        <v>5</v>
      </c>
      <c r="I2419" t="s">
        <v>2156</v>
      </c>
      <c r="J2419" s="2">
        <v>37.520000000000003</v>
      </c>
      <c r="K2419">
        <v>4</v>
      </c>
      <c r="L2419" s="4"/>
    </row>
    <row r="2420" spans="1:12" x14ac:dyDescent="0.3">
      <c r="A2420" s="1">
        <v>42520</v>
      </c>
      <c r="B2420" s="1">
        <v>42524</v>
      </c>
      <c r="C2420" t="s">
        <v>7</v>
      </c>
      <c r="D2420" t="s">
        <v>1617</v>
      </c>
      <c r="E2420" t="s">
        <v>1618</v>
      </c>
      <c r="F2420" t="s">
        <v>3</v>
      </c>
      <c r="G2420" t="s">
        <v>4</v>
      </c>
      <c r="H2420" t="s">
        <v>15</v>
      </c>
      <c r="I2420" t="s">
        <v>1852</v>
      </c>
      <c r="J2420" s="2">
        <v>35.099999999999994</v>
      </c>
      <c r="K2420">
        <v>6</v>
      </c>
      <c r="L2420" s="4"/>
    </row>
    <row r="2421" spans="1:12" x14ac:dyDescent="0.3">
      <c r="A2421" s="1">
        <v>42523</v>
      </c>
      <c r="B2421" s="1">
        <v>42526</v>
      </c>
      <c r="C2421" t="s">
        <v>0</v>
      </c>
      <c r="D2421" t="s">
        <v>1229</v>
      </c>
      <c r="E2421" t="s">
        <v>1230</v>
      </c>
      <c r="F2421" t="s">
        <v>25</v>
      </c>
      <c r="G2421" t="s">
        <v>4</v>
      </c>
      <c r="H2421" t="s">
        <v>5</v>
      </c>
      <c r="I2421" t="s">
        <v>2555</v>
      </c>
      <c r="J2421" s="2">
        <v>25.344000000000001</v>
      </c>
      <c r="K2421">
        <v>6</v>
      </c>
      <c r="L2421" s="4"/>
    </row>
    <row r="2422" spans="1:12" x14ac:dyDescent="0.3">
      <c r="A2422" s="1">
        <v>42523</v>
      </c>
      <c r="B2422" s="1">
        <v>42526</v>
      </c>
      <c r="C2422" t="s">
        <v>0</v>
      </c>
      <c r="D2422" t="s">
        <v>1229</v>
      </c>
      <c r="E2422" t="s">
        <v>1230</v>
      </c>
      <c r="F2422" t="s">
        <v>25</v>
      </c>
      <c r="G2422" t="s">
        <v>4</v>
      </c>
      <c r="H2422" t="s">
        <v>29</v>
      </c>
      <c r="I2422" t="s">
        <v>2009</v>
      </c>
      <c r="J2422" s="2">
        <v>43.92</v>
      </c>
      <c r="K2422">
        <v>5</v>
      </c>
      <c r="L2422" s="4"/>
    </row>
    <row r="2423" spans="1:12" x14ac:dyDescent="0.3">
      <c r="A2423" s="1">
        <v>42524</v>
      </c>
      <c r="B2423" s="1">
        <v>42529</v>
      </c>
      <c r="C2423" t="s">
        <v>7</v>
      </c>
      <c r="D2423" t="s">
        <v>2616</v>
      </c>
      <c r="E2423" t="s">
        <v>2617</v>
      </c>
      <c r="F2423" t="s">
        <v>56</v>
      </c>
      <c r="G2423" t="s">
        <v>74</v>
      </c>
      <c r="H2423" t="s">
        <v>75</v>
      </c>
      <c r="I2423" t="s">
        <v>2618</v>
      </c>
      <c r="J2423" s="2">
        <v>1099.5</v>
      </c>
      <c r="K2423">
        <v>10</v>
      </c>
      <c r="L2423" s="4"/>
    </row>
    <row r="2424" spans="1:12" x14ac:dyDescent="0.3">
      <c r="A2424" s="1">
        <v>42524</v>
      </c>
      <c r="B2424" s="1">
        <v>42528</v>
      </c>
      <c r="C2424" t="s">
        <v>7</v>
      </c>
      <c r="D2424" t="s">
        <v>1591</v>
      </c>
      <c r="E2424" t="s">
        <v>1592</v>
      </c>
      <c r="F2424" t="s">
        <v>3</v>
      </c>
      <c r="G2424" t="s">
        <v>74</v>
      </c>
      <c r="H2424" t="s">
        <v>75</v>
      </c>
      <c r="I2424" t="s">
        <v>737</v>
      </c>
      <c r="J2424" s="2">
        <v>44.75</v>
      </c>
      <c r="K2424">
        <v>5</v>
      </c>
      <c r="L2424" s="4"/>
    </row>
    <row r="2425" spans="1:12" x14ac:dyDescent="0.3">
      <c r="A2425" s="1">
        <v>42524</v>
      </c>
      <c r="B2425" s="1">
        <v>42528</v>
      </c>
      <c r="C2425" t="s">
        <v>7</v>
      </c>
      <c r="D2425" t="s">
        <v>1591</v>
      </c>
      <c r="E2425" t="s">
        <v>1592</v>
      </c>
      <c r="F2425" t="s">
        <v>3</v>
      </c>
      <c r="G2425" t="s">
        <v>4</v>
      </c>
      <c r="H2425" t="s">
        <v>5</v>
      </c>
      <c r="I2425" t="s">
        <v>2486</v>
      </c>
      <c r="J2425" s="2">
        <v>11.96</v>
      </c>
      <c r="K2425">
        <v>2</v>
      </c>
      <c r="L2425" s="4"/>
    </row>
    <row r="2426" spans="1:12" x14ac:dyDescent="0.3">
      <c r="A2426" s="1">
        <v>42524</v>
      </c>
      <c r="B2426" s="1">
        <v>42528</v>
      </c>
      <c r="C2426" t="s">
        <v>7</v>
      </c>
      <c r="D2426" t="s">
        <v>1591</v>
      </c>
      <c r="E2426" t="s">
        <v>1592</v>
      </c>
      <c r="F2426" t="s">
        <v>3</v>
      </c>
      <c r="G2426" t="s">
        <v>4</v>
      </c>
      <c r="H2426" t="s">
        <v>26</v>
      </c>
      <c r="I2426" t="s">
        <v>1682</v>
      </c>
      <c r="J2426" s="2">
        <v>3.9119999999999999</v>
      </c>
      <c r="K2426">
        <v>1</v>
      </c>
      <c r="L2426" s="4"/>
    </row>
    <row r="2427" spans="1:12" x14ac:dyDescent="0.3">
      <c r="A2427" s="1">
        <v>42524</v>
      </c>
      <c r="B2427" s="1">
        <v>42528</v>
      </c>
      <c r="C2427" t="s">
        <v>7</v>
      </c>
      <c r="D2427" t="s">
        <v>1537</v>
      </c>
      <c r="E2427" t="s">
        <v>1538</v>
      </c>
      <c r="F2427" t="s">
        <v>56</v>
      </c>
      <c r="G2427" t="s">
        <v>4</v>
      </c>
      <c r="H2427" t="s">
        <v>10</v>
      </c>
      <c r="I2427" t="s">
        <v>646</v>
      </c>
      <c r="J2427" s="2">
        <v>136.26</v>
      </c>
      <c r="K2427">
        <v>9</v>
      </c>
      <c r="L2427" s="4"/>
    </row>
    <row r="2428" spans="1:12" x14ac:dyDescent="0.3">
      <c r="A2428" s="1">
        <v>42527</v>
      </c>
      <c r="B2428" s="1">
        <v>42531</v>
      </c>
      <c r="C2428" t="s">
        <v>7</v>
      </c>
      <c r="D2428" t="s">
        <v>415</v>
      </c>
      <c r="E2428" t="s">
        <v>416</v>
      </c>
      <c r="F2428" t="s">
        <v>3</v>
      </c>
      <c r="G2428" t="s">
        <v>12</v>
      </c>
      <c r="H2428" t="s">
        <v>35</v>
      </c>
      <c r="I2428" t="s">
        <v>2121</v>
      </c>
      <c r="J2428" s="2">
        <v>4.95</v>
      </c>
      <c r="K2428">
        <v>1</v>
      </c>
      <c r="L2428" s="4"/>
    </row>
    <row r="2429" spans="1:12" x14ac:dyDescent="0.3">
      <c r="A2429" s="1">
        <v>42527</v>
      </c>
      <c r="B2429" s="1">
        <v>42531</v>
      </c>
      <c r="C2429" t="s">
        <v>7</v>
      </c>
      <c r="D2429" t="s">
        <v>415</v>
      </c>
      <c r="E2429" t="s">
        <v>416</v>
      </c>
      <c r="F2429" t="s">
        <v>3</v>
      </c>
      <c r="G2429" t="s">
        <v>4</v>
      </c>
      <c r="H2429" t="s">
        <v>10</v>
      </c>
      <c r="I2429" t="s">
        <v>176</v>
      </c>
      <c r="J2429" s="2">
        <v>26.400000000000002</v>
      </c>
      <c r="K2429">
        <v>5</v>
      </c>
      <c r="L2429" s="4"/>
    </row>
    <row r="2430" spans="1:12" x14ac:dyDescent="0.3">
      <c r="A2430" s="1">
        <v>42529</v>
      </c>
      <c r="B2430" s="1">
        <v>42531</v>
      </c>
      <c r="C2430" t="s">
        <v>22</v>
      </c>
      <c r="D2430" t="s">
        <v>2619</v>
      </c>
      <c r="E2430" t="s">
        <v>2620</v>
      </c>
      <c r="F2430" t="s">
        <v>3</v>
      </c>
      <c r="G2430" t="s">
        <v>12</v>
      </c>
      <c r="H2430" t="s">
        <v>13</v>
      </c>
      <c r="I2430" t="s">
        <v>2621</v>
      </c>
      <c r="J2430" s="2">
        <v>1497.6659999999999</v>
      </c>
      <c r="K2430">
        <v>2</v>
      </c>
      <c r="L2430" s="4"/>
    </row>
    <row r="2431" spans="1:12" x14ac:dyDescent="0.3">
      <c r="A2431" s="1">
        <v>42529</v>
      </c>
      <c r="B2431" s="1">
        <v>42531</v>
      </c>
      <c r="C2431" t="s">
        <v>22</v>
      </c>
      <c r="D2431" t="s">
        <v>2619</v>
      </c>
      <c r="E2431" t="s">
        <v>2620</v>
      </c>
      <c r="F2431" t="s">
        <v>3</v>
      </c>
      <c r="G2431" t="s">
        <v>74</v>
      </c>
      <c r="H2431" t="s">
        <v>147</v>
      </c>
      <c r="I2431" t="s">
        <v>2622</v>
      </c>
      <c r="J2431" s="2">
        <v>17.52</v>
      </c>
      <c r="K2431">
        <v>2</v>
      </c>
      <c r="L2431" s="4"/>
    </row>
    <row r="2432" spans="1:12" x14ac:dyDescent="0.3">
      <c r="A2432" s="1">
        <v>42529</v>
      </c>
      <c r="B2432" s="1">
        <v>42534</v>
      </c>
      <c r="C2432" t="s">
        <v>7</v>
      </c>
      <c r="D2432" t="s">
        <v>2445</v>
      </c>
      <c r="E2432" t="s">
        <v>2446</v>
      </c>
      <c r="F2432" t="s">
        <v>25</v>
      </c>
      <c r="G2432" t="s">
        <v>74</v>
      </c>
      <c r="H2432" t="s">
        <v>75</v>
      </c>
      <c r="I2432" t="s">
        <v>495</v>
      </c>
      <c r="J2432" s="2">
        <v>89.544000000000011</v>
      </c>
      <c r="K2432">
        <v>7</v>
      </c>
      <c r="L2432" s="4"/>
    </row>
    <row r="2433" spans="1:12" x14ac:dyDescent="0.3">
      <c r="A2433" s="1">
        <v>42529</v>
      </c>
      <c r="B2433" s="1">
        <v>42534</v>
      </c>
      <c r="C2433" t="s">
        <v>7</v>
      </c>
      <c r="D2433" t="s">
        <v>2445</v>
      </c>
      <c r="E2433" t="s">
        <v>2446</v>
      </c>
      <c r="F2433" t="s">
        <v>25</v>
      </c>
      <c r="G2433" t="s">
        <v>4</v>
      </c>
      <c r="H2433" t="s">
        <v>10</v>
      </c>
      <c r="I2433" t="s">
        <v>1946</v>
      </c>
      <c r="J2433" s="2">
        <v>35.167999999999999</v>
      </c>
      <c r="K2433">
        <v>2</v>
      </c>
      <c r="L2433" s="4"/>
    </row>
    <row r="2434" spans="1:12" x14ac:dyDescent="0.3">
      <c r="A2434" s="1">
        <v>42529</v>
      </c>
      <c r="B2434" s="1">
        <v>42534</v>
      </c>
      <c r="C2434" t="s">
        <v>7</v>
      </c>
      <c r="D2434" t="s">
        <v>2445</v>
      </c>
      <c r="E2434" t="s">
        <v>2446</v>
      </c>
      <c r="F2434" t="s">
        <v>25</v>
      </c>
      <c r="G2434" t="s">
        <v>4</v>
      </c>
      <c r="H2434" t="s">
        <v>26</v>
      </c>
      <c r="I2434" t="s">
        <v>1584</v>
      </c>
      <c r="J2434" s="2">
        <v>72.588000000000008</v>
      </c>
      <c r="K2434">
        <v>2</v>
      </c>
      <c r="L2434" s="4"/>
    </row>
    <row r="2435" spans="1:12" x14ac:dyDescent="0.3">
      <c r="A2435" s="1">
        <v>42531</v>
      </c>
      <c r="B2435" s="1">
        <v>42534</v>
      </c>
      <c r="C2435" t="s">
        <v>22</v>
      </c>
      <c r="D2435" t="s">
        <v>2623</v>
      </c>
      <c r="E2435" t="s">
        <v>2624</v>
      </c>
      <c r="F2435" t="s">
        <v>3</v>
      </c>
      <c r="G2435" t="s">
        <v>4</v>
      </c>
      <c r="H2435" t="s">
        <v>168</v>
      </c>
      <c r="I2435" t="s">
        <v>1123</v>
      </c>
      <c r="J2435" s="2">
        <v>29.6</v>
      </c>
      <c r="K2435">
        <v>2</v>
      </c>
      <c r="L2435" s="4"/>
    </row>
    <row r="2436" spans="1:12" x14ac:dyDescent="0.3">
      <c r="A2436" s="1">
        <v>42531</v>
      </c>
      <c r="B2436" s="1">
        <v>42534</v>
      </c>
      <c r="C2436" t="s">
        <v>22</v>
      </c>
      <c r="D2436" t="s">
        <v>2623</v>
      </c>
      <c r="E2436" t="s">
        <v>2624</v>
      </c>
      <c r="F2436" t="s">
        <v>3</v>
      </c>
      <c r="G2436" t="s">
        <v>12</v>
      </c>
      <c r="H2436" t="s">
        <v>13</v>
      </c>
      <c r="I2436" t="s">
        <v>180</v>
      </c>
      <c r="J2436" s="2">
        <v>514.16499999999996</v>
      </c>
      <c r="K2436">
        <v>5</v>
      </c>
      <c r="L2436" s="4"/>
    </row>
    <row r="2437" spans="1:12" x14ac:dyDescent="0.3">
      <c r="A2437" s="1">
        <v>42531</v>
      </c>
      <c r="B2437" s="1">
        <v>42534</v>
      </c>
      <c r="C2437" t="s">
        <v>22</v>
      </c>
      <c r="D2437" t="s">
        <v>2623</v>
      </c>
      <c r="E2437" t="s">
        <v>2624</v>
      </c>
      <c r="F2437" t="s">
        <v>3</v>
      </c>
      <c r="G2437" t="s">
        <v>74</v>
      </c>
      <c r="H2437" t="s">
        <v>147</v>
      </c>
      <c r="I2437" t="s">
        <v>2129</v>
      </c>
      <c r="J2437" s="2">
        <v>279.95999999999998</v>
      </c>
      <c r="K2437">
        <v>5</v>
      </c>
      <c r="L2437" s="4"/>
    </row>
    <row r="2438" spans="1:12" x14ac:dyDescent="0.3">
      <c r="A2438" s="1">
        <v>42531</v>
      </c>
      <c r="B2438" s="1">
        <v>42534</v>
      </c>
      <c r="C2438" t="s">
        <v>22</v>
      </c>
      <c r="D2438" t="s">
        <v>563</v>
      </c>
      <c r="E2438" t="s">
        <v>564</v>
      </c>
      <c r="F2438" t="s">
        <v>3</v>
      </c>
      <c r="G2438" t="s">
        <v>4</v>
      </c>
      <c r="H2438" t="s">
        <v>15</v>
      </c>
      <c r="I2438" t="s">
        <v>248</v>
      </c>
      <c r="J2438" s="2">
        <v>16.399999999999999</v>
      </c>
      <c r="K2438">
        <v>5</v>
      </c>
      <c r="L2438" s="4"/>
    </row>
    <row r="2439" spans="1:12" x14ac:dyDescent="0.3">
      <c r="A2439" s="1">
        <v>42531</v>
      </c>
      <c r="B2439" s="1">
        <v>42536</v>
      </c>
      <c r="C2439" t="s">
        <v>7</v>
      </c>
      <c r="D2439" t="s">
        <v>1967</v>
      </c>
      <c r="E2439" t="s">
        <v>1968</v>
      </c>
      <c r="F2439" t="s">
        <v>56</v>
      </c>
      <c r="G2439" t="s">
        <v>74</v>
      </c>
      <c r="H2439" t="s">
        <v>147</v>
      </c>
      <c r="I2439" t="s">
        <v>1286</v>
      </c>
      <c r="J2439" s="2">
        <v>88.77600000000001</v>
      </c>
      <c r="K2439">
        <v>3</v>
      </c>
      <c r="L2439" s="4"/>
    </row>
    <row r="2440" spans="1:12" x14ac:dyDescent="0.3">
      <c r="A2440" s="1">
        <v>42531</v>
      </c>
      <c r="B2440" s="1">
        <v>42536</v>
      </c>
      <c r="C2440" t="s">
        <v>7</v>
      </c>
      <c r="D2440" t="s">
        <v>1967</v>
      </c>
      <c r="E2440" t="s">
        <v>1968</v>
      </c>
      <c r="F2440" t="s">
        <v>56</v>
      </c>
      <c r="G2440" t="s">
        <v>4</v>
      </c>
      <c r="H2440" t="s">
        <v>168</v>
      </c>
      <c r="I2440" t="s">
        <v>744</v>
      </c>
      <c r="J2440" s="2">
        <v>11.56</v>
      </c>
      <c r="K2440">
        <v>4</v>
      </c>
      <c r="L2440" s="4"/>
    </row>
    <row r="2441" spans="1:12" x14ac:dyDescent="0.3">
      <c r="A2441" s="1">
        <v>42531</v>
      </c>
      <c r="B2441" s="1">
        <v>42536</v>
      </c>
      <c r="C2441" t="s">
        <v>7</v>
      </c>
      <c r="D2441" t="s">
        <v>1967</v>
      </c>
      <c r="E2441" t="s">
        <v>1968</v>
      </c>
      <c r="F2441" t="s">
        <v>56</v>
      </c>
      <c r="G2441" t="s">
        <v>4</v>
      </c>
      <c r="H2441" t="s">
        <v>10</v>
      </c>
      <c r="I2441" t="s">
        <v>2625</v>
      </c>
      <c r="J2441" s="2">
        <v>15.58</v>
      </c>
      <c r="K2441">
        <v>1</v>
      </c>
      <c r="L2441" s="4"/>
    </row>
    <row r="2442" spans="1:12" x14ac:dyDescent="0.3">
      <c r="A2442" s="1">
        <v>42531</v>
      </c>
      <c r="B2442" s="1">
        <v>42534</v>
      </c>
      <c r="C2442" t="s">
        <v>0</v>
      </c>
      <c r="D2442" t="s">
        <v>2531</v>
      </c>
      <c r="E2442" t="s">
        <v>2532</v>
      </c>
      <c r="F2442" t="s">
        <v>3</v>
      </c>
      <c r="G2442" t="s">
        <v>4</v>
      </c>
      <c r="H2442" t="s">
        <v>15</v>
      </c>
      <c r="I2442" t="s">
        <v>2433</v>
      </c>
      <c r="J2442" s="2">
        <v>14.700000000000001</v>
      </c>
      <c r="K2442">
        <v>7</v>
      </c>
      <c r="L2442" s="4"/>
    </row>
    <row r="2443" spans="1:12" x14ac:dyDescent="0.3">
      <c r="A2443" s="1">
        <v>42532</v>
      </c>
      <c r="B2443" s="1">
        <v>42532</v>
      </c>
      <c r="C2443" t="s">
        <v>240</v>
      </c>
      <c r="D2443" t="s">
        <v>2205</v>
      </c>
      <c r="E2443" t="s">
        <v>2206</v>
      </c>
      <c r="F2443" t="s">
        <v>3</v>
      </c>
      <c r="G2443" t="s">
        <v>4</v>
      </c>
      <c r="H2443" t="s">
        <v>5</v>
      </c>
      <c r="I2443" t="s">
        <v>2039</v>
      </c>
      <c r="J2443" s="2">
        <v>122.97</v>
      </c>
      <c r="K2443">
        <v>3</v>
      </c>
      <c r="L2443" s="4"/>
    </row>
    <row r="2444" spans="1:12" x14ac:dyDescent="0.3">
      <c r="A2444" s="1">
        <v>42532</v>
      </c>
      <c r="B2444" s="1">
        <v>42533</v>
      </c>
      <c r="C2444" t="s">
        <v>22</v>
      </c>
      <c r="D2444" t="s">
        <v>408</v>
      </c>
      <c r="E2444" t="s">
        <v>409</v>
      </c>
      <c r="F2444" t="s">
        <v>25</v>
      </c>
      <c r="G2444" t="s">
        <v>12</v>
      </c>
      <c r="H2444" t="s">
        <v>70</v>
      </c>
      <c r="I2444" t="s">
        <v>2369</v>
      </c>
      <c r="J2444" s="2">
        <v>280.79200000000003</v>
      </c>
      <c r="K2444">
        <v>1</v>
      </c>
      <c r="L2444" s="4"/>
    </row>
    <row r="2445" spans="1:12" x14ac:dyDescent="0.3">
      <c r="A2445" s="1">
        <v>42532</v>
      </c>
      <c r="B2445" s="1">
        <v>42533</v>
      </c>
      <c r="C2445" t="s">
        <v>22</v>
      </c>
      <c r="D2445" t="s">
        <v>408</v>
      </c>
      <c r="E2445" t="s">
        <v>409</v>
      </c>
      <c r="F2445" t="s">
        <v>25</v>
      </c>
      <c r="G2445" t="s">
        <v>4</v>
      </c>
      <c r="H2445" t="s">
        <v>10</v>
      </c>
      <c r="I2445" t="s">
        <v>776</v>
      </c>
      <c r="J2445" s="2">
        <v>68.448000000000008</v>
      </c>
      <c r="K2445">
        <v>4</v>
      </c>
      <c r="L2445" s="4"/>
    </row>
    <row r="2446" spans="1:12" x14ac:dyDescent="0.3">
      <c r="A2446" s="1">
        <v>42532</v>
      </c>
      <c r="B2446" s="1">
        <v>42533</v>
      </c>
      <c r="C2446" t="s">
        <v>22</v>
      </c>
      <c r="D2446" t="s">
        <v>408</v>
      </c>
      <c r="E2446" t="s">
        <v>409</v>
      </c>
      <c r="F2446" t="s">
        <v>25</v>
      </c>
      <c r="G2446" t="s">
        <v>4</v>
      </c>
      <c r="H2446" t="s">
        <v>15</v>
      </c>
      <c r="I2446" t="s">
        <v>2346</v>
      </c>
      <c r="J2446" s="2">
        <v>88.04</v>
      </c>
      <c r="K2446">
        <v>5</v>
      </c>
      <c r="L2446" s="4"/>
    </row>
    <row r="2447" spans="1:12" x14ac:dyDescent="0.3">
      <c r="A2447" s="1">
        <v>42532</v>
      </c>
      <c r="B2447" s="1">
        <v>42533</v>
      </c>
      <c r="C2447" t="s">
        <v>22</v>
      </c>
      <c r="D2447" t="s">
        <v>408</v>
      </c>
      <c r="E2447" t="s">
        <v>409</v>
      </c>
      <c r="F2447" t="s">
        <v>25</v>
      </c>
      <c r="G2447" t="s">
        <v>4</v>
      </c>
      <c r="H2447" t="s">
        <v>15</v>
      </c>
      <c r="I2447" t="s">
        <v>1639</v>
      </c>
      <c r="J2447" s="2">
        <v>15.872</v>
      </c>
      <c r="K2447">
        <v>1</v>
      </c>
      <c r="L2447" s="4"/>
    </row>
    <row r="2448" spans="1:12" x14ac:dyDescent="0.3">
      <c r="A2448" s="1">
        <v>42532</v>
      </c>
      <c r="B2448" s="1">
        <v>42533</v>
      </c>
      <c r="C2448" t="s">
        <v>22</v>
      </c>
      <c r="D2448" t="s">
        <v>408</v>
      </c>
      <c r="E2448" t="s">
        <v>409</v>
      </c>
      <c r="F2448" t="s">
        <v>25</v>
      </c>
      <c r="G2448" t="s">
        <v>4</v>
      </c>
      <c r="H2448" t="s">
        <v>10</v>
      </c>
      <c r="I2448" t="s">
        <v>330</v>
      </c>
      <c r="J2448" s="2">
        <v>215.59200000000001</v>
      </c>
      <c r="K2448">
        <v>3</v>
      </c>
      <c r="L2448" s="4"/>
    </row>
    <row r="2449" spans="1:12" x14ac:dyDescent="0.3">
      <c r="A2449" s="1">
        <v>42532</v>
      </c>
      <c r="B2449" s="1">
        <v>42534</v>
      </c>
      <c r="C2449" t="s">
        <v>0</v>
      </c>
      <c r="D2449" t="s">
        <v>54</v>
      </c>
      <c r="E2449" t="s">
        <v>55</v>
      </c>
      <c r="F2449" t="s">
        <v>56</v>
      </c>
      <c r="G2449" t="s">
        <v>4</v>
      </c>
      <c r="H2449" t="s">
        <v>5</v>
      </c>
      <c r="I2449" t="s">
        <v>2626</v>
      </c>
      <c r="J2449" s="2">
        <v>37.94</v>
      </c>
      <c r="K2449">
        <v>2</v>
      </c>
      <c r="L2449" s="4"/>
    </row>
    <row r="2450" spans="1:12" x14ac:dyDescent="0.3">
      <c r="A2450" s="1">
        <v>42532</v>
      </c>
      <c r="B2450" s="1">
        <v>42534</v>
      </c>
      <c r="C2450" t="s">
        <v>0</v>
      </c>
      <c r="D2450" t="s">
        <v>54</v>
      </c>
      <c r="E2450" t="s">
        <v>55</v>
      </c>
      <c r="F2450" t="s">
        <v>56</v>
      </c>
      <c r="G2450" t="s">
        <v>4</v>
      </c>
      <c r="H2450" t="s">
        <v>26</v>
      </c>
      <c r="I2450" t="s">
        <v>444</v>
      </c>
      <c r="J2450" s="2">
        <v>18.288</v>
      </c>
      <c r="K2450">
        <v>6</v>
      </c>
      <c r="L2450" s="4"/>
    </row>
    <row r="2451" spans="1:12" x14ac:dyDescent="0.3">
      <c r="A2451" s="1">
        <v>42532</v>
      </c>
      <c r="B2451" s="1">
        <v>42534</v>
      </c>
      <c r="C2451" t="s">
        <v>0</v>
      </c>
      <c r="D2451" t="s">
        <v>54</v>
      </c>
      <c r="E2451" t="s">
        <v>55</v>
      </c>
      <c r="F2451" t="s">
        <v>56</v>
      </c>
      <c r="G2451" t="s">
        <v>74</v>
      </c>
      <c r="H2451" t="s">
        <v>138</v>
      </c>
      <c r="I2451" t="s">
        <v>2627</v>
      </c>
      <c r="J2451" s="2">
        <v>385.80000000000007</v>
      </c>
      <c r="K2451">
        <v>5</v>
      </c>
      <c r="L2451" s="4"/>
    </row>
    <row r="2452" spans="1:12" x14ac:dyDescent="0.3">
      <c r="A2452" s="1">
        <v>42532</v>
      </c>
      <c r="B2452" s="1">
        <v>42534</v>
      </c>
      <c r="C2452" t="s">
        <v>0</v>
      </c>
      <c r="D2452" t="s">
        <v>54</v>
      </c>
      <c r="E2452" t="s">
        <v>55</v>
      </c>
      <c r="F2452" t="s">
        <v>56</v>
      </c>
      <c r="G2452" t="s">
        <v>4</v>
      </c>
      <c r="H2452" t="s">
        <v>10</v>
      </c>
      <c r="I2452" t="s">
        <v>1378</v>
      </c>
      <c r="J2452" s="2">
        <v>102.96</v>
      </c>
      <c r="K2452">
        <v>2</v>
      </c>
      <c r="L2452" s="4"/>
    </row>
    <row r="2453" spans="1:12" x14ac:dyDescent="0.3">
      <c r="A2453" s="1">
        <v>42532</v>
      </c>
      <c r="B2453" s="1">
        <v>42534</v>
      </c>
      <c r="C2453" t="s">
        <v>0</v>
      </c>
      <c r="D2453" t="s">
        <v>54</v>
      </c>
      <c r="E2453" t="s">
        <v>55</v>
      </c>
      <c r="F2453" t="s">
        <v>56</v>
      </c>
      <c r="G2453" t="s">
        <v>12</v>
      </c>
      <c r="H2453" t="s">
        <v>13</v>
      </c>
      <c r="I2453" t="s">
        <v>2628</v>
      </c>
      <c r="J2453" s="2">
        <v>174.42000000000002</v>
      </c>
      <c r="K2453">
        <v>3</v>
      </c>
      <c r="L2453" s="4"/>
    </row>
    <row r="2454" spans="1:12" x14ac:dyDescent="0.3">
      <c r="A2454" s="1">
        <v>42532</v>
      </c>
      <c r="B2454" s="1">
        <v>42535</v>
      </c>
      <c r="C2454" t="s">
        <v>22</v>
      </c>
      <c r="D2454" t="s">
        <v>597</v>
      </c>
      <c r="E2454" t="s">
        <v>598</v>
      </c>
      <c r="F2454" t="s">
        <v>3</v>
      </c>
      <c r="G2454" t="s">
        <v>4</v>
      </c>
      <c r="H2454" t="s">
        <v>20</v>
      </c>
      <c r="I2454" t="s">
        <v>1566</v>
      </c>
      <c r="J2454" s="2">
        <v>61.44</v>
      </c>
      <c r="K2454">
        <v>3</v>
      </c>
      <c r="L2454" s="4"/>
    </row>
    <row r="2455" spans="1:12" x14ac:dyDescent="0.3">
      <c r="A2455" s="1">
        <v>42533</v>
      </c>
      <c r="B2455" s="1">
        <v>42535</v>
      </c>
      <c r="C2455" t="s">
        <v>0</v>
      </c>
      <c r="D2455" t="s">
        <v>1336</v>
      </c>
      <c r="E2455" t="s">
        <v>1337</v>
      </c>
      <c r="F2455" t="s">
        <v>56</v>
      </c>
      <c r="G2455" t="s">
        <v>74</v>
      </c>
      <c r="H2455" t="s">
        <v>147</v>
      </c>
      <c r="I2455" t="s">
        <v>2101</v>
      </c>
      <c r="J2455" s="2">
        <v>71.975999999999999</v>
      </c>
      <c r="K2455">
        <v>3</v>
      </c>
      <c r="L2455" s="4"/>
    </row>
    <row r="2456" spans="1:12" x14ac:dyDescent="0.3">
      <c r="A2456" s="1">
        <v>42533</v>
      </c>
      <c r="B2456" s="1">
        <v>42535</v>
      </c>
      <c r="C2456" t="s">
        <v>0</v>
      </c>
      <c r="D2456" t="s">
        <v>1336</v>
      </c>
      <c r="E2456" t="s">
        <v>1337</v>
      </c>
      <c r="F2456" t="s">
        <v>56</v>
      </c>
      <c r="G2456" t="s">
        <v>4</v>
      </c>
      <c r="H2456" t="s">
        <v>5</v>
      </c>
      <c r="I2456" t="s">
        <v>1709</v>
      </c>
      <c r="J2456" s="2">
        <v>19.440000000000001</v>
      </c>
      <c r="K2456">
        <v>3</v>
      </c>
      <c r="L2456" s="4"/>
    </row>
    <row r="2457" spans="1:12" x14ac:dyDescent="0.3">
      <c r="A2457" s="1">
        <v>42534</v>
      </c>
      <c r="B2457" s="1">
        <v>42540</v>
      </c>
      <c r="C2457" t="s">
        <v>7</v>
      </c>
      <c r="D2457" t="s">
        <v>1761</v>
      </c>
      <c r="E2457" t="s">
        <v>1762</v>
      </c>
      <c r="F2457" t="s">
        <v>56</v>
      </c>
      <c r="G2457" t="s">
        <v>12</v>
      </c>
      <c r="H2457" t="s">
        <v>70</v>
      </c>
      <c r="I2457" t="s">
        <v>2414</v>
      </c>
      <c r="J2457" s="2">
        <v>291.13600000000002</v>
      </c>
      <c r="K2457">
        <v>4</v>
      </c>
      <c r="L2457" s="4"/>
    </row>
    <row r="2458" spans="1:12" x14ac:dyDescent="0.3">
      <c r="A2458" s="1">
        <v>42536</v>
      </c>
      <c r="B2458" s="1">
        <v>42540</v>
      </c>
      <c r="C2458" t="s">
        <v>7</v>
      </c>
      <c r="D2458" t="s">
        <v>2629</v>
      </c>
      <c r="E2458" t="s">
        <v>2630</v>
      </c>
      <c r="F2458" t="s">
        <v>3</v>
      </c>
      <c r="G2458" t="s">
        <v>74</v>
      </c>
      <c r="H2458" t="s">
        <v>147</v>
      </c>
      <c r="I2458" t="s">
        <v>2631</v>
      </c>
      <c r="J2458" s="2">
        <v>47.975999999999999</v>
      </c>
      <c r="K2458">
        <v>3</v>
      </c>
      <c r="L2458" s="4"/>
    </row>
    <row r="2459" spans="1:12" x14ac:dyDescent="0.3">
      <c r="A2459" s="1">
        <v>42536</v>
      </c>
      <c r="B2459" s="1">
        <v>42541</v>
      </c>
      <c r="C2459" t="s">
        <v>7</v>
      </c>
      <c r="D2459" t="s">
        <v>2632</v>
      </c>
      <c r="E2459" t="s">
        <v>2633</v>
      </c>
      <c r="F2459" t="s">
        <v>3</v>
      </c>
      <c r="G2459" t="s">
        <v>4</v>
      </c>
      <c r="H2459" t="s">
        <v>15</v>
      </c>
      <c r="I2459" t="s">
        <v>1189</v>
      </c>
      <c r="J2459" s="2">
        <v>4.26</v>
      </c>
      <c r="K2459">
        <v>1</v>
      </c>
      <c r="L2459" s="4"/>
    </row>
    <row r="2460" spans="1:12" x14ac:dyDescent="0.3">
      <c r="A2460" s="1">
        <v>42536</v>
      </c>
      <c r="B2460" s="1">
        <v>42540</v>
      </c>
      <c r="C2460" t="s">
        <v>0</v>
      </c>
      <c r="D2460" t="s">
        <v>1647</v>
      </c>
      <c r="E2460" t="s">
        <v>1648</v>
      </c>
      <c r="F2460" t="s">
        <v>3</v>
      </c>
      <c r="G2460" t="s">
        <v>74</v>
      </c>
      <c r="H2460" t="s">
        <v>147</v>
      </c>
      <c r="I2460" t="s">
        <v>2634</v>
      </c>
      <c r="J2460" s="2">
        <v>119.96</v>
      </c>
      <c r="K2460">
        <v>1</v>
      </c>
      <c r="L2460" s="4"/>
    </row>
    <row r="2461" spans="1:12" x14ac:dyDescent="0.3">
      <c r="A2461" s="1">
        <v>42537</v>
      </c>
      <c r="B2461" s="1">
        <v>42540</v>
      </c>
      <c r="C2461" t="s">
        <v>22</v>
      </c>
      <c r="D2461" t="s">
        <v>2635</v>
      </c>
      <c r="E2461" t="s">
        <v>2636</v>
      </c>
      <c r="F2461" t="s">
        <v>3</v>
      </c>
      <c r="G2461" t="s">
        <v>12</v>
      </c>
      <c r="H2461" t="s">
        <v>70</v>
      </c>
      <c r="I2461" t="s">
        <v>2637</v>
      </c>
      <c r="J2461" s="2">
        <v>1212.96</v>
      </c>
      <c r="K2461">
        <v>7</v>
      </c>
      <c r="L2461" s="4"/>
    </row>
    <row r="2462" spans="1:12" x14ac:dyDescent="0.3">
      <c r="A2462" s="1">
        <v>42537</v>
      </c>
      <c r="B2462" s="1">
        <v>42540</v>
      </c>
      <c r="C2462" t="s">
        <v>22</v>
      </c>
      <c r="D2462" t="s">
        <v>2635</v>
      </c>
      <c r="E2462" t="s">
        <v>2636</v>
      </c>
      <c r="F2462" t="s">
        <v>3</v>
      </c>
      <c r="G2462" t="s">
        <v>4</v>
      </c>
      <c r="H2462" t="s">
        <v>5</v>
      </c>
      <c r="I2462" t="s">
        <v>1549</v>
      </c>
      <c r="J2462" s="2">
        <v>18.54</v>
      </c>
      <c r="K2462">
        <v>2</v>
      </c>
      <c r="L2462" s="4"/>
    </row>
    <row r="2463" spans="1:12" x14ac:dyDescent="0.3">
      <c r="A2463" s="1">
        <v>42537</v>
      </c>
      <c r="B2463" s="1">
        <v>42542</v>
      </c>
      <c r="C2463" t="s">
        <v>7</v>
      </c>
      <c r="D2463" t="s">
        <v>467</v>
      </c>
      <c r="E2463" t="s">
        <v>468</v>
      </c>
      <c r="F2463" t="s">
        <v>172</v>
      </c>
      <c r="G2463" t="s">
        <v>4</v>
      </c>
      <c r="H2463" t="s">
        <v>78</v>
      </c>
      <c r="I2463" t="s">
        <v>1211</v>
      </c>
      <c r="J2463" s="2">
        <v>16.68</v>
      </c>
      <c r="K2463">
        <v>2</v>
      </c>
      <c r="L2463" s="4"/>
    </row>
    <row r="2464" spans="1:12" x14ac:dyDescent="0.3">
      <c r="A2464" s="1">
        <v>42537</v>
      </c>
      <c r="B2464" s="1">
        <v>42542</v>
      </c>
      <c r="C2464" t="s">
        <v>7</v>
      </c>
      <c r="D2464" t="s">
        <v>467</v>
      </c>
      <c r="E2464" t="s">
        <v>468</v>
      </c>
      <c r="F2464" t="s">
        <v>172</v>
      </c>
      <c r="G2464" t="s">
        <v>4</v>
      </c>
      <c r="H2464" t="s">
        <v>5</v>
      </c>
      <c r="I2464" t="s">
        <v>2638</v>
      </c>
      <c r="J2464" s="2">
        <v>19.440000000000001</v>
      </c>
      <c r="K2464">
        <v>3</v>
      </c>
      <c r="L2464" s="4"/>
    </row>
    <row r="2465" spans="1:12" x14ac:dyDescent="0.3">
      <c r="A2465" s="1">
        <v>42537</v>
      </c>
      <c r="B2465" s="1">
        <v>42542</v>
      </c>
      <c r="C2465" t="s">
        <v>7</v>
      </c>
      <c r="D2465" t="s">
        <v>467</v>
      </c>
      <c r="E2465" t="s">
        <v>468</v>
      </c>
      <c r="F2465" t="s">
        <v>172</v>
      </c>
      <c r="G2465" t="s">
        <v>4</v>
      </c>
      <c r="H2465" t="s">
        <v>5</v>
      </c>
      <c r="I2465" t="s">
        <v>2518</v>
      </c>
      <c r="J2465" s="2">
        <v>192.16</v>
      </c>
      <c r="K2465">
        <v>4</v>
      </c>
      <c r="L2465" s="4"/>
    </row>
    <row r="2466" spans="1:12" x14ac:dyDescent="0.3">
      <c r="A2466" s="1">
        <v>42538</v>
      </c>
      <c r="B2466" s="1">
        <v>42541</v>
      </c>
      <c r="C2466" t="s">
        <v>22</v>
      </c>
      <c r="D2466" t="s">
        <v>1044</v>
      </c>
      <c r="E2466" t="s">
        <v>1045</v>
      </c>
      <c r="F2466" t="s">
        <v>3</v>
      </c>
      <c r="G2466" t="s">
        <v>4</v>
      </c>
      <c r="H2466" t="s">
        <v>26</v>
      </c>
      <c r="I2466" t="s">
        <v>2639</v>
      </c>
      <c r="J2466" s="2">
        <v>51.311999999999998</v>
      </c>
      <c r="K2466">
        <v>3</v>
      </c>
      <c r="L2466" s="4"/>
    </row>
    <row r="2467" spans="1:12" x14ac:dyDescent="0.3">
      <c r="A2467" s="1">
        <v>42538</v>
      </c>
      <c r="B2467" s="1">
        <v>42542</v>
      </c>
      <c r="C2467" t="s">
        <v>0</v>
      </c>
      <c r="D2467" t="s">
        <v>1483</v>
      </c>
      <c r="E2467" t="s">
        <v>1484</v>
      </c>
      <c r="F2467" t="s">
        <v>56</v>
      </c>
      <c r="G2467" t="s">
        <v>12</v>
      </c>
      <c r="H2467" t="s">
        <v>35</v>
      </c>
      <c r="I2467" t="s">
        <v>2640</v>
      </c>
      <c r="J2467" s="2">
        <v>155.25</v>
      </c>
      <c r="K2467">
        <v>3</v>
      </c>
      <c r="L2467" s="4"/>
    </row>
    <row r="2468" spans="1:12" x14ac:dyDescent="0.3">
      <c r="A2468" s="1">
        <v>42538</v>
      </c>
      <c r="B2468" s="1">
        <v>42542</v>
      </c>
      <c r="C2468" t="s">
        <v>0</v>
      </c>
      <c r="D2468" t="s">
        <v>1483</v>
      </c>
      <c r="E2468" t="s">
        <v>1484</v>
      </c>
      <c r="F2468" t="s">
        <v>56</v>
      </c>
      <c r="G2468" t="s">
        <v>4</v>
      </c>
      <c r="H2468" t="s">
        <v>10</v>
      </c>
      <c r="I2468" t="s">
        <v>2447</v>
      </c>
      <c r="J2468" s="2">
        <v>14.03</v>
      </c>
      <c r="K2468">
        <v>1</v>
      </c>
      <c r="L2468" s="4"/>
    </row>
    <row r="2469" spans="1:12" x14ac:dyDescent="0.3">
      <c r="A2469" s="1">
        <v>42538</v>
      </c>
      <c r="B2469" s="1">
        <v>42541</v>
      </c>
      <c r="C2469" t="s">
        <v>22</v>
      </c>
      <c r="D2469" t="s">
        <v>1481</v>
      </c>
      <c r="E2469" t="s">
        <v>1482</v>
      </c>
      <c r="F2469" t="s">
        <v>115</v>
      </c>
      <c r="G2469" t="s">
        <v>4</v>
      </c>
      <c r="H2469" t="s">
        <v>10</v>
      </c>
      <c r="I2469" t="s">
        <v>1707</v>
      </c>
      <c r="J2469" s="2">
        <v>146.352</v>
      </c>
      <c r="K2469">
        <v>3</v>
      </c>
      <c r="L2469" s="4"/>
    </row>
    <row r="2470" spans="1:12" x14ac:dyDescent="0.3">
      <c r="A2470" s="1">
        <v>42539</v>
      </c>
      <c r="B2470" s="1">
        <v>42544</v>
      </c>
      <c r="C2470" t="s">
        <v>7</v>
      </c>
      <c r="D2470" t="s">
        <v>1531</v>
      </c>
      <c r="E2470" t="s">
        <v>1532</v>
      </c>
      <c r="F2470" t="s">
        <v>3</v>
      </c>
      <c r="G2470" t="s">
        <v>12</v>
      </c>
      <c r="H2470" t="s">
        <v>13</v>
      </c>
      <c r="I2470" t="s">
        <v>914</v>
      </c>
      <c r="J2470" s="2">
        <v>917.92349999999988</v>
      </c>
      <c r="K2470">
        <v>9</v>
      </c>
      <c r="L2470" s="4"/>
    </row>
    <row r="2471" spans="1:12" x14ac:dyDescent="0.3">
      <c r="A2471" s="1">
        <v>42539</v>
      </c>
      <c r="B2471" s="1">
        <v>42544</v>
      </c>
      <c r="C2471" t="s">
        <v>7</v>
      </c>
      <c r="D2471" t="s">
        <v>1531</v>
      </c>
      <c r="E2471" t="s">
        <v>1532</v>
      </c>
      <c r="F2471" t="s">
        <v>3</v>
      </c>
      <c r="G2471" t="s">
        <v>4</v>
      </c>
      <c r="H2471" t="s">
        <v>5</v>
      </c>
      <c r="I2471" t="s">
        <v>1809</v>
      </c>
      <c r="J2471" s="2">
        <v>38.880000000000003</v>
      </c>
      <c r="K2471">
        <v>6</v>
      </c>
      <c r="L2471" s="4"/>
    </row>
    <row r="2472" spans="1:12" x14ac:dyDescent="0.3">
      <c r="A2472" s="1">
        <v>42540</v>
      </c>
      <c r="B2472" s="1">
        <v>42544</v>
      </c>
      <c r="C2472" t="s">
        <v>7</v>
      </c>
      <c r="D2472" t="s">
        <v>1274</v>
      </c>
      <c r="E2472" t="s">
        <v>1275</v>
      </c>
      <c r="F2472" t="s">
        <v>3</v>
      </c>
      <c r="G2472" t="s">
        <v>12</v>
      </c>
      <c r="H2472" t="s">
        <v>35</v>
      </c>
      <c r="I2472" t="s">
        <v>1380</v>
      </c>
      <c r="J2472" s="2">
        <v>50.32</v>
      </c>
      <c r="K2472">
        <v>4</v>
      </c>
      <c r="L2472" s="4"/>
    </row>
    <row r="2473" spans="1:12" x14ac:dyDescent="0.3">
      <c r="A2473" s="1">
        <v>42540</v>
      </c>
      <c r="B2473" s="1">
        <v>42544</v>
      </c>
      <c r="C2473" t="s">
        <v>7</v>
      </c>
      <c r="D2473" t="s">
        <v>1274</v>
      </c>
      <c r="E2473" t="s">
        <v>1275</v>
      </c>
      <c r="F2473" t="s">
        <v>3</v>
      </c>
      <c r="G2473" t="s">
        <v>4</v>
      </c>
      <c r="H2473" t="s">
        <v>5</v>
      </c>
      <c r="I2473" t="s">
        <v>2641</v>
      </c>
      <c r="J2473" s="2">
        <v>24.56</v>
      </c>
      <c r="K2473">
        <v>2</v>
      </c>
      <c r="L2473" s="4"/>
    </row>
    <row r="2474" spans="1:12" x14ac:dyDescent="0.3">
      <c r="A2474" s="1">
        <v>42545</v>
      </c>
      <c r="B2474" s="1">
        <v>42549</v>
      </c>
      <c r="C2474" t="s">
        <v>7</v>
      </c>
      <c r="D2474" t="s">
        <v>2475</v>
      </c>
      <c r="E2474" t="s">
        <v>2476</v>
      </c>
      <c r="F2474" t="s">
        <v>3</v>
      </c>
      <c r="G2474" t="s">
        <v>4</v>
      </c>
      <c r="H2474" t="s">
        <v>15</v>
      </c>
      <c r="I2474" t="s">
        <v>2642</v>
      </c>
      <c r="J2474" s="2">
        <v>95.92</v>
      </c>
      <c r="K2474">
        <v>8</v>
      </c>
      <c r="L2474" s="4"/>
    </row>
    <row r="2475" spans="1:12" x14ac:dyDescent="0.3">
      <c r="A2475" s="1">
        <v>42545</v>
      </c>
      <c r="B2475" s="1">
        <v>42552</v>
      </c>
      <c r="C2475" t="s">
        <v>7</v>
      </c>
      <c r="D2475" t="s">
        <v>2643</v>
      </c>
      <c r="E2475" t="s">
        <v>2644</v>
      </c>
      <c r="F2475" t="s">
        <v>3</v>
      </c>
      <c r="G2475" t="s">
        <v>4</v>
      </c>
      <c r="H2475" t="s">
        <v>15</v>
      </c>
      <c r="I2475" t="s">
        <v>754</v>
      </c>
      <c r="J2475" s="2">
        <v>385.6</v>
      </c>
      <c r="K2475">
        <v>8</v>
      </c>
      <c r="L2475" s="4"/>
    </row>
    <row r="2476" spans="1:12" x14ac:dyDescent="0.3">
      <c r="A2476" s="1">
        <v>42545</v>
      </c>
      <c r="B2476" s="1">
        <v>42552</v>
      </c>
      <c r="C2476" t="s">
        <v>7</v>
      </c>
      <c r="D2476" t="s">
        <v>2643</v>
      </c>
      <c r="E2476" t="s">
        <v>2644</v>
      </c>
      <c r="F2476" t="s">
        <v>3</v>
      </c>
      <c r="G2476" t="s">
        <v>4</v>
      </c>
      <c r="H2476" t="s">
        <v>15</v>
      </c>
      <c r="I2476" t="s">
        <v>16</v>
      </c>
      <c r="J2476" s="2">
        <v>35.82</v>
      </c>
      <c r="K2476">
        <v>9</v>
      </c>
      <c r="L2476" s="4"/>
    </row>
    <row r="2477" spans="1:12" x14ac:dyDescent="0.3">
      <c r="A2477" s="1">
        <v>42545</v>
      </c>
      <c r="B2477" s="1">
        <v>42547</v>
      </c>
      <c r="C2477" t="s">
        <v>0</v>
      </c>
      <c r="D2477" t="s">
        <v>113</v>
      </c>
      <c r="E2477" t="s">
        <v>114</v>
      </c>
      <c r="F2477" t="s">
        <v>3</v>
      </c>
      <c r="G2477" t="s">
        <v>4</v>
      </c>
      <c r="H2477" t="s">
        <v>52</v>
      </c>
      <c r="I2477" t="s">
        <v>2645</v>
      </c>
      <c r="J2477" s="2">
        <v>2.88</v>
      </c>
      <c r="K2477">
        <v>1</v>
      </c>
      <c r="L2477" s="4"/>
    </row>
    <row r="2478" spans="1:12" x14ac:dyDescent="0.3">
      <c r="A2478" s="1">
        <v>42546</v>
      </c>
      <c r="B2478" s="1">
        <v>42553</v>
      </c>
      <c r="C2478" t="s">
        <v>7</v>
      </c>
      <c r="D2478" t="s">
        <v>2646</v>
      </c>
      <c r="E2478" t="s">
        <v>2647</v>
      </c>
      <c r="F2478" t="s">
        <v>19</v>
      </c>
      <c r="G2478" t="s">
        <v>4</v>
      </c>
      <c r="H2478" t="s">
        <v>168</v>
      </c>
      <c r="I2478" t="s">
        <v>1123</v>
      </c>
      <c r="J2478" s="2">
        <v>71.040000000000006</v>
      </c>
      <c r="K2478">
        <v>6</v>
      </c>
      <c r="L2478" s="4"/>
    </row>
    <row r="2479" spans="1:12" x14ac:dyDescent="0.3">
      <c r="A2479" s="1">
        <v>42546</v>
      </c>
      <c r="B2479" s="1">
        <v>42553</v>
      </c>
      <c r="C2479" t="s">
        <v>7</v>
      </c>
      <c r="D2479" t="s">
        <v>2646</v>
      </c>
      <c r="E2479" t="s">
        <v>2647</v>
      </c>
      <c r="F2479" t="s">
        <v>19</v>
      </c>
      <c r="G2479" t="s">
        <v>4</v>
      </c>
      <c r="H2479" t="s">
        <v>15</v>
      </c>
      <c r="I2479" t="s">
        <v>2648</v>
      </c>
      <c r="J2479" s="2">
        <v>5.3440000000000003</v>
      </c>
      <c r="K2479">
        <v>2</v>
      </c>
      <c r="L2479" s="4"/>
    </row>
    <row r="2480" spans="1:12" x14ac:dyDescent="0.3">
      <c r="A2480" s="1">
        <v>42546</v>
      </c>
      <c r="B2480" s="1">
        <v>42553</v>
      </c>
      <c r="C2480" t="s">
        <v>7</v>
      </c>
      <c r="D2480" t="s">
        <v>2646</v>
      </c>
      <c r="E2480" t="s">
        <v>2647</v>
      </c>
      <c r="F2480" t="s">
        <v>19</v>
      </c>
      <c r="G2480" t="s">
        <v>4</v>
      </c>
      <c r="H2480" t="s">
        <v>52</v>
      </c>
      <c r="I2480" t="s">
        <v>1435</v>
      </c>
      <c r="J2480" s="2">
        <v>11.304</v>
      </c>
      <c r="K2480">
        <v>3</v>
      </c>
      <c r="L2480" s="4"/>
    </row>
    <row r="2481" spans="1:12" x14ac:dyDescent="0.3">
      <c r="A2481" s="1">
        <v>42546</v>
      </c>
      <c r="B2481" s="1">
        <v>42550</v>
      </c>
      <c r="C2481" t="s">
        <v>0</v>
      </c>
      <c r="D2481" t="s">
        <v>1557</v>
      </c>
      <c r="E2481" t="s">
        <v>1558</v>
      </c>
      <c r="F2481" t="s">
        <v>56</v>
      </c>
      <c r="G2481" t="s">
        <v>12</v>
      </c>
      <c r="H2481" t="s">
        <v>44</v>
      </c>
      <c r="I2481" t="s">
        <v>200</v>
      </c>
      <c r="J2481" s="2">
        <v>871.4</v>
      </c>
      <c r="K2481">
        <v>4</v>
      </c>
      <c r="L2481" s="4"/>
    </row>
    <row r="2482" spans="1:12" x14ac:dyDescent="0.3">
      <c r="A2482" s="1">
        <v>42547</v>
      </c>
      <c r="B2482" s="1">
        <v>42553</v>
      </c>
      <c r="C2482" t="s">
        <v>7</v>
      </c>
      <c r="D2482" t="s">
        <v>2058</v>
      </c>
      <c r="E2482" t="s">
        <v>2059</v>
      </c>
      <c r="F2482" t="s">
        <v>3</v>
      </c>
      <c r="G2482" t="s">
        <v>4</v>
      </c>
      <c r="H2482" t="s">
        <v>10</v>
      </c>
      <c r="I2482" t="s">
        <v>1519</v>
      </c>
      <c r="J2482" s="2">
        <v>83.76</v>
      </c>
      <c r="K2482">
        <v>12</v>
      </c>
      <c r="L2482" s="4"/>
    </row>
    <row r="2483" spans="1:12" x14ac:dyDescent="0.3">
      <c r="A2483" s="1">
        <v>42547</v>
      </c>
      <c r="B2483" s="1">
        <v>42551</v>
      </c>
      <c r="C2483" t="s">
        <v>7</v>
      </c>
      <c r="D2483" t="s">
        <v>1034</v>
      </c>
      <c r="E2483" t="s">
        <v>1035</v>
      </c>
      <c r="F2483" t="s">
        <v>115</v>
      </c>
      <c r="G2483" t="s">
        <v>74</v>
      </c>
      <c r="H2483" t="s">
        <v>75</v>
      </c>
      <c r="I2483" t="s">
        <v>2649</v>
      </c>
      <c r="J2483" s="2">
        <v>431.92800000000005</v>
      </c>
      <c r="K2483">
        <v>9</v>
      </c>
      <c r="L2483" s="4"/>
    </row>
    <row r="2484" spans="1:12" x14ac:dyDescent="0.3">
      <c r="A2484" s="1">
        <v>42548</v>
      </c>
      <c r="B2484" s="1">
        <v>42550</v>
      </c>
      <c r="C2484" t="s">
        <v>0</v>
      </c>
      <c r="D2484" t="s">
        <v>309</v>
      </c>
      <c r="E2484" t="s">
        <v>310</v>
      </c>
      <c r="F2484" t="s">
        <v>56</v>
      </c>
      <c r="G2484" t="s">
        <v>4</v>
      </c>
      <c r="H2484" t="s">
        <v>5</v>
      </c>
      <c r="I2484" t="s">
        <v>1757</v>
      </c>
      <c r="J2484" s="2">
        <v>19.440000000000001</v>
      </c>
      <c r="K2484">
        <v>3</v>
      </c>
      <c r="L2484" s="4"/>
    </row>
    <row r="2485" spans="1:12" x14ac:dyDescent="0.3">
      <c r="A2485" s="1">
        <v>42548</v>
      </c>
      <c r="B2485" s="1">
        <v>42550</v>
      </c>
      <c r="C2485" t="s">
        <v>0</v>
      </c>
      <c r="D2485" t="s">
        <v>309</v>
      </c>
      <c r="E2485" t="s">
        <v>310</v>
      </c>
      <c r="F2485" t="s">
        <v>56</v>
      </c>
      <c r="G2485" t="s">
        <v>12</v>
      </c>
      <c r="H2485" t="s">
        <v>35</v>
      </c>
      <c r="I2485" t="s">
        <v>2650</v>
      </c>
      <c r="J2485" s="2">
        <v>126.30000000000001</v>
      </c>
      <c r="K2485">
        <v>3</v>
      </c>
      <c r="L2485" s="4"/>
    </row>
    <row r="2486" spans="1:12" x14ac:dyDescent="0.3">
      <c r="A2486" s="1">
        <v>42548</v>
      </c>
      <c r="B2486" s="1">
        <v>42550</v>
      </c>
      <c r="C2486" t="s">
        <v>0</v>
      </c>
      <c r="D2486" t="s">
        <v>309</v>
      </c>
      <c r="E2486" t="s">
        <v>310</v>
      </c>
      <c r="F2486" t="s">
        <v>56</v>
      </c>
      <c r="G2486" t="s">
        <v>74</v>
      </c>
      <c r="H2486" t="s">
        <v>75</v>
      </c>
      <c r="I2486" t="s">
        <v>906</v>
      </c>
      <c r="J2486" s="2">
        <v>1287.45</v>
      </c>
      <c r="K2486">
        <v>5</v>
      </c>
      <c r="L2486" s="4"/>
    </row>
    <row r="2487" spans="1:12" x14ac:dyDescent="0.3">
      <c r="A2487" s="1">
        <v>42550</v>
      </c>
      <c r="B2487" s="1">
        <v>42554</v>
      </c>
      <c r="C2487" t="s">
        <v>0</v>
      </c>
      <c r="D2487" t="s">
        <v>120</v>
      </c>
      <c r="E2487" t="s">
        <v>121</v>
      </c>
      <c r="F2487" t="s">
        <v>3</v>
      </c>
      <c r="G2487" t="s">
        <v>4</v>
      </c>
      <c r="H2487" t="s">
        <v>10</v>
      </c>
      <c r="I2487" t="s">
        <v>2651</v>
      </c>
      <c r="J2487" s="2">
        <v>1295.78</v>
      </c>
      <c r="K2487">
        <v>2</v>
      </c>
      <c r="L2487" s="4"/>
    </row>
    <row r="2488" spans="1:12" x14ac:dyDescent="0.3">
      <c r="A2488" s="1">
        <v>42550</v>
      </c>
      <c r="B2488" s="1">
        <v>42557</v>
      </c>
      <c r="C2488" t="s">
        <v>7</v>
      </c>
      <c r="D2488" t="s">
        <v>1074</v>
      </c>
      <c r="E2488" t="s">
        <v>1075</v>
      </c>
      <c r="F2488" t="s">
        <v>3</v>
      </c>
      <c r="G2488" t="s">
        <v>4</v>
      </c>
      <c r="H2488" t="s">
        <v>26</v>
      </c>
      <c r="I2488" t="s">
        <v>573</v>
      </c>
      <c r="J2488" s="2">
        <v>312.55200000000002</v>
      </c>
      <c r="K2488">
        <v>9</v>
      </c>
      <c r="L2488" s="4"/>
    </row>
    <row r="2489" spans="1:12" x14ac:dyDescent="0.3">
      <c r="A2489" s="1">
        <v>42550</v>
      </c>
      <c r="B2489" s="1">
        <v>42551</v>
      </c>
      <c r="C2489" t="s">
        <v>22</v>
      </c>
      <c r="D2489" t="s">
        <v>852</v>
      </c>
      <c r="E2489" t="s">
        <v>853</v>
      </c>
      <c r="F2489" t="s">
        <v>3</v>
      </c>
      <c r="G2489" t="s">
        <v>4</v>
      </c>
      <c r="H2489" t="s">
        <v>26</v>
      </c>
      <c r="I2489" t="s">
        <v>2556</v>
      </c>
      <c r="J2489" s="2">
        <v>895.92</v>
      </c>
      <c r="K2489">
        <v>5</v>
      </c>
      <c r="L2489" s="4"/>
    </row>
    <row r="2490" spans="1:12" x14ac:dyDescent="0.3">
      <c r="A2490" s="1">
        <v>42550</v>
      </c>
      <c r="B2490" s="1">
        <v>42551</v>
      </c>
      <c r="C2490" t="s">
        <v>22</v>
      </c>
      <c r="D2490" t="s">
        <v>852</v>
      </c>
      <c r="E2490" t="s">
        <v>853</v>
      </c>
      <c r="F2490" t="s">
        <v>3</v>
      </c>
      <c r="G2490" t="s">
        <v>4</v>
      </c>
      <c r="H2490" t="s">
        <v>10</v>
      </c>
      <c r="I2490" t="s">
        <v>1600</v>
      </c>
      <c r="J2490" s="2">
        <v>130.71</v>
      </c>
      <c r="K2490">
        <v>3</v>
      </c>
      <c r="L2490" s="4"/>
    </row>
    <row r="2491" spans="1:12" x14ac:dyDescent="0.3">
      <c r="A2491" s="1">
        <v>42550</v>
      </c>
      <c r="B2491" s="1">
        <v>42551</v>
      </c>
      <c r="C2491" t="s">
        <v>22</v>
      </c>
      <c r="D2491" t="s">
        <v>852</v>
      </c>
      <c r="E2491" t="s">
        <v>853</v>
      </c>
      <c r="F2491" t="s">
        <v>3</v>
      </c>
      <c r="G2491" t="s">
        <v>4</v>
      </c>
      <c r="H2491" t="s">
        <v>15</v>
      </c>
      <c r="I2491" t="s">
        <v>2652</v>
      </c>
      <c r="J2491" s="2">
        <v>11.68</v>
      </c>
      <c r="K2491">
        <v>2</v>
      </c>
      <c r="L2491" s="4"/>
    </row>
    <row r="2492" spans="1:12" x14ac:dyDescent="0.3">
      <c r="A2492" s="1">
        <v>42550</v>
      </c>
      <c r="B2492" s="1">
        <v>42551</v>
      </c>
      <c r="C2492" t="s">
        <v>22</v>
      </c>
      <c r="D2492" t="s">
        <v>852</v>
      </c>
      <c r="E2492" t="s">
        <v>853</v>
      </c>
      <c r="F2492" t="s">
        <v>3</v>
      </c>
      <c r="G2492" t="s">
        <v>74</v>
      </c>
      <c r="H2492" t="s">
        <v>75</v>
      </c>
      <c r="I2492" t="s">
        <v>191</v>
      </c>
      <c r="J2492" s="2">
        <v>62.31</v>
      </c>
      <c r="K2492">
        <v>3</v>
      </c>
      <c r="L2492" s="4"/>
    </row>
    <row r="2493" spans="1:12" x14ac:dyDescent="0.3">
      <c r="A2493" s="1">
        <v>42551</v>
      </c>
      <c r="B2493" s="1">
        <v>42556</v>
      </c>
      <c r="C2493" t="s">
        <v>7</v>
      </c>
      <c r="D2493" t="s">
        <v>2653</v>
      </c>
      <c r="E2493" t="s">
        <v>2654</v>
      </c>
      <c r="F2493" t="s">
        <v>39</v>
      </c>
      <c r="G2493" t="s">
        <v>4</v>
      </c>
      <c r="H2493" t="s">
        <v>26</v>
      </c>
      <c r="I2493" t="s">
        <v>2655</v>
      </c>
      <c r="J2493" s="2">
        <v>75.792000000000002</v>
      </c>
      <c r="K2493">
        <v>3</v>
      </c>
      <c r="L2493" s="4"/>
    </row>
    <row r="2494" spans="1:12" x14ac:dyDescent="0.3">
      <c r="A2494" s="1">
        <v>42551</v>
      </c>
      <c r="B2494" s="1">
        <v>42553</v>
      </c>
      <c r="C2494" t="s">
        <v>0</v>
      </c>
      <c r="D2494" t="s">
        <v>1620</v>
      </c>
      <c r="E2494" t="s">
        <v>1621</v>
      </c>
      <c r="F2494" t="s">
        <v>3</v>
      </c>
      <c r="G2494" t="s">
        <v>12</v>
      </c>
      <c r="H2494" t="s">
        <v>13</v>
      </c>
      <c r="I2494" t="s">
        <v>49</v>
      </c>
      <c r="J2494" s="2">
        <v>435.99900000000002</v>
      </c>
      <c r="K2494">
        <v>3</v>
      </c>
      <c r="L2494" s="4"/>
    </row>
    <row r="2495" spans="1:12" x14ac:dyDescent="0.3">
      <c r="A2495" s="1">
        <v>42551</v>
      </c>
      <c r="B2495" s="1">
        <v>42556</v>
      </c>
      <c r="C2495" t="s">
        <v>7</v>
      </c>
      <c r="D2495" t="s">
        <v>1457</v>
      </c>
      <c r="E2495" t="s">
        <v>1458</v>
      </c>
      <c r="F2495" t="s">
        <v>3</v>
      </c>
      <c r="G2495" t="s">
        <v>4</v>
      </c>
      <c r="H2495" t="s">
        <v>5</v>
      </c>
      <c r="I2495" t="s">
        <v>713</v>
      </c>
      <c r="J2495" s="2">
        <v>204.95000000000002</v>
      </c>
      <c r="K2495">
        <v>5</v>
      </c>
      <c r="L2495" s="4"/>
    </row>
    <row r="2496" spans="1:12" x14ac:dyDescent="0.3">
      <c r="A2496" s="1">
        <v>42554</v>
      </c>
      <c r="B2496" s="1">
        <v>42561</v>
      </c>
      <c r="C2496" t="s">
        <v>7</v>
      </c>
      <c r="D2496" t="s">
        <v>152</v>
      </c>
      <c r="E2496" t="s">
        <v>153</v>
      </c>
      <c r="F2496" t="s">
        <v>172</v>
      </c>
      <c r="G2496" t="s">
        <v>12</v>
      </c>
      <c r="H2496" t="s">
        <v>35</v>
      </c>
      <c r="I2496" t="s">
        <v>263</v>
      </c>
      <c r="J2496" s="2">
        <v>545.85</v>
      </c>
      <c r="K2496">
        <v>9</v>
      </c>
      <c r="L2496" s="4"/>
    </row>
    <row r="2497" spans="1:12" x14ac:dyDescent="0.3">
      <c r="A2497" s="1">
        <v>42554</v>
      </c>
      <c r="B2497" s="1">
        <v>42554</v>
      </c>
      <c r="C2497" t="s">
        <v>240</v>
      </c>
      <c r="D2497" t="s">
        <v>666</v>
      </c>
      <c r="E2497" t="s">
        <v>667</v>
      </c>
      <c r="F2497" t="s">
        <v>56</v>
      </c>
      <c r="G2497" t="s">
        <v>74</v>
      </c>
      <c r="H2497" t="s">
        <v>75</v>
      </c>
      <c r="I2497" t="s">
        <v>1077</v>
      </c>
      <c r="J2497" s="2">
        <v>59.98</v>
      </c>
      <c r="K2497">
        <v>2</v>
      </c>
      <c r="L2497" s="4"/>
    </row>
    <row r="2498" spans="1:12" x14ac:dyDescent="0.3">
      <c r="A2498" s="1">
        <v>42554</v>
      </c>
      <c r="B2498" s="1">
        <v>42554</v>
      </c>
      <c r="C2498" t="s">
        <v>240</v>
      </c>
      <c r="D2498" t="s">
        <v>666</v>
      </c>
      <c r="E2498" t="s">
        <v>667</v>
      </c>
      <c r="F2498" t="s">
        <v>56</v>
      </c>
      <c r="G2498" t="s">
        <v>74</v>
      </c>
      <c r="H2498" t="s">
        <v>138</v>
      </c>
      <c r="I2498" t="s">
        <v>2656</v>
      </c>
      <c r="J2498" s="2">
        <v>2395.2000000000003</v>
      </c>
      <c r="K2498">
        <v>6</v>
      </c>
      <c r="L2498" s="4"/>
    </row>
    <row r="2499" spans="1:12" x14ac:dyDescent="0.3">
      <c r="A2499" s="1">
        <v>42554</v>
      </c>
      <c r="B2499" s="1">
        <v>42554</v>
      </c>
      <c r="C2499" t="s">
        <v>240</v>
      </c>
      <c r="D2499" t="s">
        <v>666</v>
      </c>
      <c r="E2499" t="s">
        <v>667</v>
      </c>
      <c r="F2499" t="s">
        <v>56</v>
      </c>
      <c r="G2499" t="s">
        <v>74</v>
      </c>
      <c r="H2499" t="s">
        <v>75</v>
      </c>
      <c r="I2499" t="s">
        <v>1841</v>
      </c>
      <c r="J2499" s="2">
        <v>1687.8</v>
      </c>
      <c r="K2499">
        <v>4</v>
      </c>
      <c r="L2499" s="4"/>
    </row>
    <row r="2500" spans="1:12" x14ac:dyDescent="0.3">
      <c r="A2500" s="1">
        <v>42554</v>
      </c>
      <c r="B2500" s="1">
        <v>42554</v>
      </c>
      <c r="C2500" t="s">
        <v>240</v>
      </c>
      <c r="D2500" t="s">
        <v>666</v>
      </c>
      <c r="E2500" t="s">
        <v>667</v>
      </c>
      <c r="F2500" t="s">
        <v>56</v>
      </c>
      <c r="G2500" t="s">
        <v>74</v>
      </c>
      <c r="H2500" t="s">
        <v>147</v>
      </c>
      <c r="I2500" t="s">
        <v>2657</v>
      </c>
      <c r="J2500" s="2">
        <v>7.9920000000000009</v>
      </c>
      <c r="K2500">
        <v>1</v>
      </c>
      <c r="L2500" s="4"/>
    </row>
    <row r="2501" spans="1:12" x14ac:dyDescent="0.3">
      <c r="A2501" s="1">
        <v>42554</v>
      </c>
      <c r="B2501" s="1">
        <v>42561</v>
      </c>
      <c r="C2501" t="s">
        <v>7</v>
      </c>
      <c r="D2501" t="s">
        <v>538</v>
      </c>
      <c r="E2501" t="s">
        <v>539</v>
      </c>
      <c r="F2501" t="s">
        <v>3</v>
      </c>
      <c r="G2501" t="s">
        <v>12</v>
      </c>
      <c r="H2501" t="s">
        <v>35</v>
      </c>
      <c r="I2501" t="s">
        <v>1198</v>
      </c>
      <c r="J2501" s="2">
        <v>129.39000000000001</v>
      </c>
      <c r="K2501">
        <v>3</v>
      </c>
      <c r="L2501" s="4"/>
    </row>
    <row r="2502" spans="1:12" x14ac:dyDescent="0.3">
      <c r="A2502" s="1">
        <v>42554</v>
      </c>
      <c r="B2502" s="1">
        <v>42559</v>
      </c>
      <c r="C2502" t="s">
        <v>7</v>
      </c>
      <c r="D2502" t="s">
        <v>1164</v>
      </c>
      <c r="E2502" t="s">
        <v>1165</v>
      </c>
      <c r="F2502" t="s">
        <v>3</v>
      </c>
      <c r="G2502" t="s">
        <v>4</v>
      </c>
      <c r="H2502" t="s">
        <v>10</v>
      </c>
      <c r="I2502" t="s">
        <v>1946</v>
      </c>
      <c r="J2502" s="2">
        <v>87.92</v>
      </c>
      <c r="K2502">
        <v>4</v>
      </c>
      <c r="L2502" s="4"/>
    </row>
    <row r="2503" spans="1:12" x14ac:dyDescent="0.3">
      <c r="A2503" s="1">
        <v>42557</v>
      </c>
      <c r="B2503" s="1">
        <v>42562</v>
      </c>
      <c r="C2503" t="s">
        <v>7</v>
      </c>
      <c r="D2503" t="s">
        <v>1309</v>
      </c>
      <c r="E2503" t="s">
        <v>1310</v>
      </c>
      <c r="F2503" t="s">
        <v>3</v>
      </c>
      <c r="G2503" t="s">
        <v>12</v>
      </c>
      <c r="H2503" t="s">
        <v>70</v>
      </c>
      <c r="I2503" t="s">
        <v>2328</v>
      </c>
      <c r="J2503" s="2">
        <v>122.13600000000001</v>
      </c>
      <c r="K2503">
        <v>3</v>
      </c>
      <c r="L2503" s="4"/>
    </row>
    <row r="2504" spans="1:12" x14ac:dyDescent="0.3">
      <c r="A2504" s="1">
        <v>42558</v>
      </c>
      <c r="B2504" s="1">
        <v>42562</v>
      </c>
      <c r="C2504" t="s">
        <v>7</v>
      </c>
      <c r="D2504" t="s">
        <v>2198</v>
      </c>
      <c r="E2504" t="s">
        <v>2199</v>
      </c>
      <c r="F2504" t="s">
        <v>3</v>
      </c>
      <c r="G2504" t="s">
        <v>4</v>
      </c>
      <c r="H2504" t="s">
        <v>52</v>
      </c>
      <c r="I2504" t="s">
        <v>2095</v>
      </c>
      <c r="J2504" s="2">
        <v>5.9399999999999995</v>
      </c>
      <c r="K2504">
        <v>3</v>
      </c>
      <c r="L2504" s="4"/>
    </row>
    <row r="2505" spans="1:12" x14ac:dyDescent="0.3">
      <c r="A2505" s="1">
        <v>42559</v>
      </c>
      <c r="B2505" s="1">
        <v>42562</v>
      </c>
      <c r="C2505" t="s">
        <v>22</v>
      </c>
      <c r="D2505" t="s">
        <v>2183</v>
      </c>
      <c r="E2505" t="s">
        <v>2184</v>
      </c>
      <c r="F2505" t="s">
        <v>3</v>
      </c>
      <c r="G2505" t="s">
        <v>12</v>
      </c>
      <c r="H2505" t="s">
        <v>35</v>
      </c>
      <c r="I2505" t="s">
        <v>1613</v>
      </c>
      <c r="J2505" s="2">
        <v>145.9</v>
      </c>
      <c r="K2505">
        <v>5</v>
      </c>
      <c r="L2505" s="4"/>
    </row>
    <row r="2506" spans="1:12" x14ac:dyDescent="0.3">
      <c r="A2506" s="1">
        <v>42559</v>
      </c>
      <c r="B2506" s="1">
        <v>42566</v>
      </c>
      <c r="C2506" t="s">
        <v>7</v>
      </c>
      <c r="D2506" t="s">
        <v>2658</v>
      </c>
      <c r="E2506" t="s">
        <v>2659</v>
      </c>
      <c r="F2506" t="s">
        <v>56</v>
      </c>
      <c r="G2506" t="s">
        <v>12</v>
      </c>
      <c r="H2506" t="s">
        <v>35</v>
      </c>
      <c r="I2506" t="s">
        <v>1507</v>
      </c>
      <c r="J2506" s="2">
        <v>198.46</v>
      </c>
      <c r="K2506">
        <v>2</v>
      </c>
      <c r="L2506" s="4"/>
    </row>
    <row r="2507" spans="1:12" x14ac:dyDescent="0.3">
      <c r="A2507" s="1">
        <v>42559</v>
      </c>
      <c r="B2507" s="1">
        <v>42566</v>
      </c>
      <c r="C2507" t="s">
        <v>7</v>
      </c>
      <c r="D2507" t="s">
        <v>2658</v>
      </c>
      <c r="E2507" t="s">
        <v>2659</v>
      </c>
      <c r="F2507" t="s">
        <v>56</v>
      </c>
      <c r="G2507" t="s">
        <v>4</v>
      </c>
      <c r="H2507" t="s">
        <v>168</v>
      </c>
      <c r="I2507" t="s">
        <v>2321</v>
      </c>
      <c r="J2507" s="2">
        <v>786.48</v>
      </c>
      <c r="K2507">
        <v>8</v>
      </c>
      <c r="L2507" s="4"/>
    </row>
    <row r="2508" spans="1:12" x14ac:dyDescent="0.3">
      <c r="A2508" s="1">
        <v>42559</v>
      </c>
      <c r="B2508" s="1">
        <v>42566</v>
      </c>
      <c r="C2508" t="s">
        <v>7</v>
      </c>
      <c r="D2508" t="s">
        <v>2658</v>
      </c>
      <c r="E2508" t="s">
        <v>2659</v>
      </c>
      <c r="F2508" t="s">
        <v>56</v>
      </c>
      <c r="G2508" t="s">
        <v>4</v>
      </c>
      <c r="H2508" t="s">
        <v>26</v>
      </c>
      <c r="I2508" t="s">
        <v>2660</v>
      </c>
      <c r="J2508" s="2">
        <v>23.168000000000003</v>
      </c>
      <c r="K2508">
        <v>2</v>
      </c>
      <c r="L2508" s="4"/>
    </row>
    <row r="2509" spans="1:12" x14ac:dyDescent="0.3">
      <c r="A2509" s="1">
        <v>42559</v>
      </c>
      <c r="B2509" s="1">
        <v>42566</v>
      </c>
      <c r="C2509" t="s">
        <v>7</v>
      </c>
      <c r="D2509" t="s">
        <v>2658</v>
      </c>
      <c r="E2509" t="s">
        <v>2659</v>
      </c>
      <c r="F2509" t="s">
        <v>56</v>
      </c>
      <c r="G2509" t="s">
        <v>74</v>
      </c>
      <c r="H2509" t="s">
        <v>75</v>
      </c>
      <c r="I2509" t="s">
        <v>1821</v>
      </c>
      <c r="J2509" s="2">
        <v>50</v>
      </c>
      <c r="K2509">
        <v>2</v>
      </c>
      <c r="L2509" s="4"/>
    </row>
    <row r="2510" spans="1:12" x14ac:dyDescent="0.3">
      <c r="A2510" s="1">
        <v>42559</v>
      </c>
      <c r="B2510" s="1">
        <v>42561</v>
      </c>
      <c r="C2510" t="s">
        <v>22</v>
      </c>
      <c r="D2510" t="s">
        <v>946</v>
      </c>
      <c r="E2510" t="s">
        <v>947</v>
      </c>
      <c r="F2510" t="s">
        <v>3</v>
      </c>
      <c r="G2510" t="s">
        <v>4</v>
      </c>
      <c r="H2510" t="s">
        <v>168</v>
      </c>
      <c r="I2510" t="s">
        <v>1167</v>
      </c>
      <c r="J2510" s="2">
        <v>75.179999999999993</v>
      </c>
      <c r="K2510">
        <v>6</v>
      </c>
      <c r="L2510" s="4"/>
    </row>
    <row r="2511" spans="1:12" x14ac:dyDescent="0.3">
      <c r="A2511" s="1">
        <v>42559</v>
      </c>
      <c r="B2511" s="1">
        <v>42563</v>
      </c>
      <c r="C2511" t="s">
        <v>7</v>
      </c>
      <c r="D2511" t="s">
        <v>485</v>
      </c>
      <c r="E2511" t="s">
        <v>486</v>
      </c>
      <c r="F2511" t="s">
        <v>56</v>
      </c>
      <c r="G2511" t="s">
        <v>12</v>
      </c>
      <c r="H2511" t="s">
        <v>35</v>
      </c>
      <c r="I2511" t="s">
        <v>2487</v>
      </c>
      <c r="J2511" s="2">
        <v>15.84</v>
      </c>
      <c r="K2511">
        <v>3</v>
      </c>
      <c r="L2511" s="4"/>
    </row>
    <row r="2512" spans="1:12" x14ac:dyDescent="0.3">
      <c r="A2512" s="1">
        <v>42559</v>
      </c>
      <c r="B2512" s="1">
        <v>42563</v>
      </c>
      <c r="C2512" t="s">
        <v>7</v>
      </c>
      <c r="D2512" t="s">
        <v>485</v>
      </c>
      <c r="E2512" t="s">
        <v>486</v>
      </c>
      <c r="F2512" t="s">
        <v>56</v>
      </c>
      <c r="G2512" t="s">
        <v>4</v>
      </c>
      <c r="H2512" t="s">
        <v>26</v>
      </c>
      <c r="I2512" t="s">
        <v>2335</v>
      </c>
      <c r="J2512" s="2">
        <v>86.376000000000005</v>
      </c>
      <c r="K2512">
        <v>3</v>
      </c>
      <c r="L2512" s="4"/>
    </row>
    <row r="2513" spans="1:12" x14ac:dyDescent="0.3">
      <c r="A2513" s="1">
        <v>42559</v>
      </c>
      <c r="B2513" s="1">
        <v>42563</v>
      </c>
      <c r="C2513" t="s">
        <v>7</v>
      </c>
      <c r="D2513" t="s">
        <v>485</v>
      </c>
      <c r="E2513" t="s">
        <v>486</v>
      </c>
      <c r="F2513" t="s">
        <v>56</v>
      </c>
      <c r="G2513" t="s">
        <v>4</v>
      </c>
      <c r="H2513" t="s">
        <v>15</v>
      </c>
      <c r="I2513" t="s">
        <v>2661</v>
      </c>
      <c r="J2513" s="2">
        <v>18.240000000000002</v>
      </c>
      <c r="K2513">
        <v>3</v>
      </c>
      <c r="L2513" s="4"/>
    </row>
    <row r="2514" spans="1:12" x14ac:dyDescent="0.3">
      <c r="A2514" s="1">
        <v>42559</v>
      </c>
      <c r="B2514" s="1">
        <v>42563</v>
      </c>
      <c r="C2514" t="s">
        <v>7</v>
      </c>
      <c r="D2514" t="s">
        <v>485</v>
      </c>
      <c r="E2514" t="s">
        <v>486</v>
      </c>
      <c r="F2514" t="s">
        <v>56</v>
      </c>
      <c r="G2514" t="s">
        <v>4</v>
      </c>
      <c r="H2514" t="s">
        <v>15</v>
      </c>
      <c r="I2514" t="s">
        <v>469</v>
      </c>
      <c r="J2514" s="2">
        <v>13.12</v>
      </c>
      <c r="K2514">
        <v>4</v>
      </c>
      <c r="L2514" s="4"/>
    </row>
    <row r="2515" spans="1:12" x14ac:dyDescent="0.3">
      <c r="A2515" s="1">
        <v>42559</v>
      </c>
      <c r="B2515" s="1">
        <v>42563</v>
      </c>
      <c r="C2515" t="s">
        <v>7</v>
      </c>
      <c r="D2515" t="s">
        <v>2662</v>
      </c>
      <c r="E2515" t="s">
        <v>2663</v>
      </c>
      <c r="F2515" t="s">
        <v>56</v>
      </c>
      <c r="G2515" t="s">
        <v>4</v>
      </c>
      <c r="H2515" t="s">
        <v>5</v>
      </c>
      <c r="I2515" t="s">
        <v>839</v>
      </c>
      <c r="J2515" s="2">
        <v>52.76</v>
      </c>
      <c r="K2515">
        <v>2</v>
      </c>
      <c r="L2515" s="4"/>
    </row>
    <row r="2516" spans="1:12" x14ac:dyDescent="0.3">
      <c r="A2516" s="1">
        <v>42560</v>
      </c>
      <c r="B2516" s="1">
        <v>42566</v>
      </c>
      <c r="C2516" t="s">
        <v>7</v>
      </c>
      <c r="D2516" t="s">
        <v>1882</v>
      </c>
      <c r="E2516" t="s">
        <v>1883</v>
      </c>
      <c r="F2516" t="s">
        <v>19</v>
      </c>
      <c r="G2516" t="s">
        <v>4</v>
      </c>
      <c r="H2516" t="s">
        <v>26</v>
      </c>
      <c r="I2516" t="s">
        <v>967</v>
      </c>
      <c r="J2516" s="2">
        <v>1.0800000000000003</v>
      </c>
      <c r="K2516">
        <v>2</v>
      </c>
      <c r="L2516" s="4"/>
    </row>
    <row r="2517" spans="1:12" x14ac:dyDescent="0.3">
      <c r="A2517" s="1">
        <v>42562</v>
      </c>
      <c r="B2517" s="1">
        <v>42566</v>
      </c>
      <c r="C2517" t="s">
        <v>7</v>
      </c>
      <c r="D2517" t="s">
        <v>1614</v>
      </c>
      <c r="E2517" t="s">
        <v>1615</v>
      </c>
      <c r="F2517" t="s">
        <v>3</v>
      </c>
      <c r="G2517" t="s">
        <v>4</v>
      </c>
      <c r="H2517" t="s">
        <v>168</v>
      </c>
      <c r="I2517" t="s">
        <v>2664</v>
      </c>
      <c r="J2517" s="2">
        <v>8.67</v>
      </c>
      <c r="K2517">
        <v>3</v>
      </c>
      <c r="L2517" s="4"/>
    </row>
    <row r="2518" spans="1:12" x14ac:dyDescent="0.3">
      <c r="A2518" s="1">
        <v>42562</v>
      </c>
      <c r="B2518" s="1">
        <v>42569</v>
      </c>
      <c r="C2518" t="s">
        <v>7</v>
      </c>
      <c r="D2518" t="s">
        <v>1683</v>
      </c>
      <c r="E2518" t="s">
        <v>1684</v>
      </c>
      <c r="F2518" t="s">
        <v>3</v>
      </c>
      <c r="G2518" t="s">
        <v>74</v>
      </c>
      <c r="H2518" t="s">
        <v>75</v>
      </c>
      <c r="I2518" t="s">
        <v>906</v>
      </c>
      <c r="J2518" s="2">
        <v>1287.45</v>
      </c>
      <c r="K2518">
        <v>5</v>
      </c>
      <c r="L2518" s="4"/>
    </row>
    <row r="2519" spans="1:12" x14ac:dyDescent="0.3">
      <c r="A2519" s="1">
        <v>42562</v>
      </c>
      <c r="B2519" s="1">
        <v>42569</v>
      </c>
      <c r="C2519" t="s">
        <v>7</v>
      </c>
      <c r="D2519" t="s">
        <v>1683</v>
      </c>
      <c r="E2519" t="s">
        <v>1684</v>
      </c>
      <c r="F2519" t="s">
        <v>3</v>
      </c>
      <c r="G2519" t="s">
        <v>4</v>
      </c>
      <c r="H2519" t="s">
        <v>20</v>
      </c>
      <c r="I2519" t="s">
        <v>1814</v>
      </c>
      <c r="J2519" s="2">
        <v>168.1</v>
      </c>
      <c r="K2519">
        <v>5</v>
      </c>
      <c r="L2519" s="4"/>
    </row>
    <row r="2520" spans="1:12" x14ac:dyDescent="0.3">
      <c r="A2520" s="1">
        <v>42562</v>
      </c>
      <c r="B2520" s="1">
        <v>42567</v>
      </c>
      <c r="C2520" t="s">
        <v>7</v>
      </c>
      <c r="D2520" t="s">
        <v>502</v>
      </c>
      <c r="E2520" t="s">
        <v>503</v>
      </c>
      <c r="F2520" t="s">
        <v>3</v>
      </c>
      <c r="G2520" t="s">
        <v>74</v>
      </c>
      <c r="H2520" t="s">
        <v>147</v>
      </c>
      <c r="I2520" t="s">
        <v>2665</v>
      </c>
      <c r="J2520" s="2">
        <v>71.951999999999998</v>
      </c>
      <c r="K2520">
        <v>6</v>
      </c>
      <c r="L2520" s="4"/>
    </row>
    <row r="2521" spans="1:12" x14ac:dyDescent="0.3">
      <c r="A2521" s="1">
        <v>42562</v>
      </c>
      <c r="B2521" s="1">
        <v>42567</v>
      </c>
      <c r="C2521" t="s">
        <v>7</v>
      </c>
      <c r="D2521" t="s">
        <v>502</v>
      </c>
      <c r="E2521" t="s">
        <v>503</v>
      </c>
      <c r="F2521" t="s">
        <v>3</v>
      </c>
      <c r="G2521" t="s">
        <v>4</v>
      </c>
      <c r="H2521" t="s">
        <v>26</v>
      </c>
      <c r="I2521" t="s">
        <v>1658</v>
      </c>
      <c r="J2521" s="2">
        <v>29.800000000000004</v>
      </c>
      <c r="K2521">
        <v>5</v>
      </c>
      <c r="L2521" s="4"/>
    </row>
    <row r="2522" spans="1:12" x14ac:dyDescent="0.3">
      <c r="A2522" s="1">
        <v>42565</v>
      </c>
      <c r="B2522" s="1">
        <v>42569</v>
      </c>
      <c r="C2522" t="s">
        <v>7</v>
      </c>
      <c r="D2522" t="s">
        <v>1071</v>
      </c>
      <c r="E2522" t="s">
        <v>1072</v>
      </c>
      <c r="F2522" t="s">
        <v>3</v>
      </c>
      <c r="G2522" t="s">
        <v>4</v>
      </c>
      <c r="H2522" t="s">
        <v>26</v>
      </c>
      <c r="I2522" t="s">
        <v>2666</v>
      </c>
      <c r="J2522" s="2">
        <v>4.4479999999999995</v>
      </c>
      <c r="K2522">
        <v>2</v>
      </c>
      <c r="L2522" s="4"/>
    </row>
    <row r="2523" spans="1:12" x14ac:dyDescent="0.3">
      <c r="A2523" s="1">
        <v>42565</v>
      </c>
      <c r="B2523" s="1">
        <v>42569</v>
      </c>
      <c r="C2523" t="s">
        <v>7</v>
      </c>
      <c r="D2523" t="s">
        <v>1071</v>
      </c>
      <c r="E2523" t="s">
        <v>1072</v>
      </c>
      <c r="F2523" t="s">
        <v>3</v>
      </c>
      <c r="G2523" t="s">
        <v>12</v>
      </c>
      <c r="H2523" t="s">
        <v>35</v>
      </c>
      <c r="I2523" t="s">
        <v>2667</v>
      </c>
      <c r="J2523" s="2">
        <v>276.69</v>
      </c>
      <c r="K2523">
        <v>3</v>
      </c>
      <c r="L2523" s="4"/>
    </row>
    <row r="2524" spans="1:12" x14ac:dyDescent="0.3">
      <c r="A2524" s="1">
        <v>42565</v>
      </c>
      <c r="B2524" s="1">
        <v>42569</v>
      </c>
      <c r="C2524" t="s">
        <v>7</v>
      </c>
      <c r="D2524" t="s">
        <v>1071</v>
      </c>
      <c r="E2524" t="s">
        <v>1072</v>
      </c>
      <c r="F2524" t="s">
        <v>3</v>
      </c>
      <c r="G2524" t="s">
        <v>4</v>
      </c>
      <c r="H2524" t="s">
        <v>52</v>
      </c>
      <c r="I2524" t="s">
        <v>1393</v>
      </c>
      <c r="J2524" s="2">
        <v>4.96</v>
      </c>
      <c r="K2524">
        <v>4</v>
      </c>
      <c r="L2524" s="4"/>
    </row>
    <row r="2525" spans="1:12" x14ac:dyDescent="0.3">
      <c r="A2525" s="1">
        <v>42565</v>
      </c>
      <c r="B2525" s="1">
        <v>42569</v>
      </c>
      <c r="C2525" t="s">
        <v>7</v>
      </c>
      <c r="D2525" t="s">
        <v>1071</v>
      </c>
      <c r="E2525" t="s">
        <v>1072</v>
      </c>
      <c r="F2525" t="s">
        <v>3</v>
      </c>
      <c r="G2525" t="s">
        <v>4</v>
      </c>
      <c r="H2525" t="s">
        <v>15</v>
      </c>
      <c r="I2525" t="s">
        <v>611</v>
      </c>
      <c r="J2525" s="2">
        <v>71.92</v>
      </c>
      <c r="K2525">
        <v>4</v>
      </c>
      <c r="L2525" s="4"/>
    </row>
    <row r="2526" spans="1:12" x14ac:dyDescent="0.3">
      <c r="A2526" s="1">
        <v>42565</v>
      </c>
      <c r="B2526" s="1">
        <v>42569</v>
      </c>
      <c r="C2526" t="s">
        <v>7</v>
      </c>
      <c r="D2526" t="s">
        <v>1071</v>
      </c>
      <c r="E2526" t="s">
        <v>1072</v>
      </c>
      <c r="F2526" t="s">
        <v>3</v>
      </c>
      <c r="G2526" t="s">
        <v>12</v>
      </c>
      <c r="H2526" t="s">
        <v>35</v>
      </c>
      <c r="I2526" t="s">
        <v>2668</v>
      </c>
      <c r="J2526" s="2">
        <v>18.84</v>
      </c>
      <c r="K2526">
        <v>3</v>
      </c>
      <c r="L2526" s="4"/>
    </row>
    <row r="2527" spans="1:12" x14ac:dyDescent="0.3">
      <c r="A2527" s="1">
        <v>42565</v>
      </c>
      <c r="B2527" s="1">
        <v>42569</v>
      </c>
      <c r="C2527" t="s">
        <v>7</v>
      </c>
      <c r="D2527" t="s">
        <v>1071</v>
      </c>
      <c r="E2527" t="s">
        <v>1072</v>
      </c>
      <c r="F2527" t="s">
        <v>3</v>
      </c>
      <c r="G2527" t="s">
        <v>74</v>
      </c>
      <c r="H2527" t="s">
        <v>75</v>
      </c>
      <c r="I2527" t="s">
        <v>2001</v>
      </c>
      <c r="J2527" s="2">
        <v>140.97</v>
      </c>
      <c r="K2527">
        <v>3</v>
      </c>
      <c r="L2527" s="4"/>
    </row>
    <row r="2528" spans="1:12" x14ac:dyDescent="0.3">
      <c r="A2528" s="1">
        <v>42565</v>
      </c>
      <c r="B2528" s="1">
        <v>42569</v>
      </c>
      <c r="C2528" t="s">
        <v>7</v>
      </c>
      <c r="D2528" t="s">
        <v>1071</v>
      </c>
      <c r="E2528" t="s">
        <v>1072</v>
      </c>
      <c r="F2528" t="s">
        <v>3</v>
      </c>
      <c r="G2528" t="s">
        <v>74</v>
      </c>
      <c r="H2528" t="s">
        <v>147</v>
      </c>
      <c r="I2528" t="s">
        <v>1058</v>
      </c>
      <c r="J2528" s="2">
        <v>470.37600000000009</v>
      </c>
      <c r="K2528">
        <v>3</v>
      </c>
      <c r="L2528" s="4"/>
    </row>
    <row r="2529" spans="1:12" x14ac:dyDescent="0.3">
      <c r="A2529" s="1">
        <v>42568</v>
      </c>
      <c r="B2529" s="1">
        <v>42572</v>
      </c>
      <c r="C2529" t="s">
        <v>7</v>
      </c>
      <c r="D2529" t="s">
        <v>467</v>
      </c>
      <c r="E2529" t="s">
        <v>468</v>
      </c>
      <c r="F2529" t="s">
        <v>3</v>
      </c>
      <c r="G2529" t="s">
        <v>74</v>
      </c>
      <c r="H2529" t="s">
        <v>534</v>
      </c>
      <c r="I2529" t="s">
        <v>1860</v>
      </c>
      <c r="J2529" s="2">
        <v>479.98400000000004</v>
      </c>
      <c r="K2529">
        <v>2</v>
      </c>
      <c r="L2529" s="4"/>
    </row>
    <row r="2530" spans="1:12" x14ac:dyDescent="0.3">
      <c r="A2530" s="1">
        <v>42568</v>
      </c>
      <c r="B2530" s="1">
        <v>42570</v>
      </c>
      <c r="C2530" t="s">
        <v>0</v>
      </c>
      <c r="D2530" t="s">
        <v>1111</v>
      </c>
      <c r="E2530" t="s">
        <v>1112</v>
      </c>
      <c r="F2530" t="s">
        <v>3</v>
      </c>
      <c r="G2530" t="s">
        <v>4</v>
      </c>
      <c r="H2530" t="s">
        <v>5</v>
      </c>
      <c r="I2530" t="s">
        <v>2669</v>
      </c>
      <c r="J2530" s="2">
        <v>32.400000000000006</v>
      </c>
      <c r="K2530">
        <v>5</v>
      </c>
      <c r="L2530" s="4"/>
    </row>
    <row r="2531" spans="1:12" x14ac:dyDescent="0.3">
      <c r="A2531" s="1">
        <v>42568</v>
      </c>
      <c r="B2531" s="1">
        <v>42570</v>
      </c>
      <c r="C2531" t="s">
        <v>0</v>
      </c>
      <c r="D2531" t="s">
        <v>1111</v>
      </c>
      <c r="E2531" t="s">
        <v>1112</v>
      </c>
      <c r="F2531" t="s">
        <v>3</v>
      </c>
      <c r="G2531" t="s">
        <v>4</v>
      </c>
      <c r="H2531" t="s">
        <v>29</v>
      </c>
      <c r="I2531" t="s">
        <v>2444</v>
      </c>
      <c r="J2531" s="2">
        <v>57.9</v>
      </c>
      <c r="K2531">
        <v>5</v>
      </c>
      <c r="L2531" s="4"/>
    </row>
    <row r="2532" spans="1:12" x14ac:dyDescent="0.3">
      <c r="A2532" s="1">
        <v>42568</v>
      </c>
      <c r="B2532" s="1">
        <v>42570</v>
      </c>
      <c r="C2532" t="s">
        <v>0</v>
      </c>
      <c r="D2532" t="s">
        <v>1111</v>
      </c>
      <c r="E2532" t="s">
        <v>1112</v>
      </c>
      <c r="F2532" t="s">
        <v>3</v>
      </c>
      <c r="G2532" t="s">
        <v>4</v>
      </c>
      <c r="H2532" t="s">
        <v>10</v>
      </c>
      <c r="I2532" t="s">
        <v>176</v>
      </c>
      <c r="J2532" s="2">
        <v>10.56</v>
      </c>
      <c r="K2532">
        <v>2</v>
      </c>
      <c r="L2532" s="4"/>
    </row>
    <row r="2533" spans="1:12" x14ac:dyDescent="0.3">
      <c r="A2533" s="1">
        <v>42568</v>
      </c>
      <c r="B2533" s="1">
        <v>42570</v>
      </c>
      <c r="C2533" t="s">
        <v>0</v>
      </c>
      <c r="D2533" t="s">
        <v>1111</v>
      </c>
      <c r="E2533" t="s">
        <v>1112</v>
      </c>
      <c r="F2533" t="s">
        <v>3</v>
      </c>
      <c r="G2533" t="s">
        <v>12</v>
      </c>
      <c r="H2533" t="s">
        <v>13</v>
      </c>
      <c r="I2533" t="s">
        <v>1851</v>
      </c>
      <c r="J2533" s="2">
        <v>1194.165</v>
      </c>
      <c r="K2533">
        <v>5</v>
      </c>
      <c r="L2533" s="4"/>
    </row>
    <row r="2534" spans="1:12" x14ac:dyDescent="0.3">
      <c r="A2534" s="1">
        <v>42569</v>
      </c>
      <c r="B2534" s="1">
        <v>42574</v>
      </c>
      <c r="C2534" t="s">
        <v>7</v>
      </c>
      <c r="D2534" t="s">
        <v>2264</v>
      </c>
      <c r="E2534" t="s">
        <v>2265</v>
      </c>
      <c r="F2534" t="s">
        <v>25</v>
      </c>
      <c r="G2534" t="s">
        <v>12</v>
      </c>
      <c r="H2534" t="s">
        <v>44</v>
      </c>
      <c r="I2534" t="s">
        <v>2149</v>
      </c>
      <c r="J2534" s="2">
        <v>801.59999999999991</v>
      </c>
      <c r="K2534">
        <v>5</v>
      </c>
      <c r="L2534" s="4"/>
    </row>
    <row r="2535" spans="1:12" x14ac:dyDescent="0.3">
      <c r="A2535" s="1">
        <v>42569</v>
      </c>
      <c r="B2535" s="1">
        <v>42574</v>
      </c>
      <c r="C2535" t="s">
        <v>7</v>
      </c>
      <c r="D2535" t="s">
        <v>2264</v>
      </c>
      <c r="E2535" t="s">
        <v>2265</v>
      </c>
      <c r="F2535" t="s">
        <v>25</v>
      </c>
      <c r="G2535" t="s">
        <v>12</v>
      </c>
      <c r="H2535" t="s">
        <v>70</v>
      </c>
      <c r="I2535" t="s">
        <v>1663</v>
      </c>
      <c r="J2535" s="2">
        <v>161.56800000000001</v>
      </c>
      <c r="K2535">
        <v>2</v>
      </c>
      <c r="L2535" s="4"/>
    </row>
    <row r="2536" spans="1:12" x14ac:dyDescent="0.3">
      <c r="A2536" s="1">
        <v>42569</v>
      </c>
      <c r="B2536" s="1">
        <v>42574</v>
      </c>
      <c r="C2536" t="s">
        <v>7</v>
      </c>
      <c r="D2536" t="s">
        <v>2264</v>
      </c>
      <c r="E2536" t="s">
        <v>2265</v>
      </c>
      <c r="F2536" t="s">
        <v>25</v>
      </c>
      <c r="G2536" t="s">
        <v>4</v>
      </c>
      <c r="H2536" t="s">
        <v>5</v>
      </c>
      <c r="I2536" t="s">
        <v>657</v>
      </c>
      <c r="J2536" s="2">
        <v>16.096</v>
      </c>
      <c r="K2536">
        <v>2</v>
      </c>
      <c r="L2536" s="4"/>
    </row>
    <row r="2537" spans="1:12" x14ac:dyDescent="0.3">
      <c r="A2537" s="1">
        <v>42569</v>
      </c>
      <c r="B2537" s="1">
        <v>42574</v>
      </c>
      <c r="C2537" t="s">
        <v>7</v>
      </c>
      <c r="D2537" t="s">
        <v>2264</v>
      </c>
      <c r="E2537" t="s">
        <v>2265</v>
      </c>
      <c r="F2537" t="s">
        <v>25</v>
      </c>
      <c r="G2537" t="s">
        <v>4</v>
      </c>
      <c r="H2537" t="s">
        <v>26</v>
      </c>
      <c r="I2537" t="s">
        <v>2670</v>
      </c>
      <c r="J2537" s="2">
        <v>7.6560000000000006</v>
      </c>
      <c r="K2537">
        <v>4</v>
      </c>
      <c r="L2537" s="4"/>
    </row>
    <row r="2538" spans="1:12" x14ac:dyDescent="0.3">
      <c r="A2538" s="1">
        <v>42569</v>
      </c>
      <c r="B2538" s="1">
        <v>42574</v>
      </c>
      <c r="C2538" t="s">
        <v>7</v>
      </c>
      <c r="D2538" t="s">
        <v>2264</v>
      </c>
      <c r="E2538" t="s">
        <v>2265</v>
      </c>
      <c r="F2538" t="s">
        <v>25</v>
      </c>
      <c r="G2538" t="s">
        <v>12</v>
      </c>
      <c r="H2538" t="s">
        <v>70</v>
      </c>
      <c r="I2538" t="s">
        <v>2671</v>
      </c>
      <c r="J2538" s="2">
        <v>311.97600000000006</v>
      </c>
      <c r="K2538">
        <v>3</v>
      </c>
      <c r="L2538" s="4"/>
    </row>
    <row r="2539" spans="1:12" x14ac:dyDescent="0.3">
      <c r="A2539" s="1">
        <v>42572</v>
      </c>
      <c r="B2539" s="1">
        <v>42572</v>
      </c>
      <c r="C2539" t="s">
        <v>240</v>
      </c>
      <c r="D2539" t="s">
        <v>2212</v>
      </c>
      <c r="E2539" t="s">
        <v>2213</v>
      </c>
      <c r="F2539" t="s">
        <v>126</v>
      </c>
      <c r="G2539" t="s">
        <v>74</v>
      </c>
      <c r="H2539" t="s">
        <v>147</v>
      </c>
      <c r="I2539" t="s">
        <v>2672</v>
      </c>
      <c r="J2539" s="2">
        <v>71.928000000000011</v>
      </c>
      <c r="K2539">
        <v>9</v>
      </c>
      <c r="L2539" s="4"/>
    </row>
    <row r="2540" spans="1:12" x14ac:dyDescent="0.3">
      <c r="A2540" s="1">
        <v>42572</v>
      </c>
      <c r="B2540" s="1">
        <v>42572</v>
      </c>
      <c r="C2540" t="s">
        <v>240</v>
      </c>
      <c r="D2540" t="s">
        <v>2212</v>
      </c>
      <c r="E2540" t="s">
        <v>2213</v>
      </c>
      <c r="F2540" t="s">
        <v>126</v>
      </c>
      <c r="G2540" t="s">
        <v>4</v>
      </c>
      <c r="H2540" t="s">
        <v>15</v>
      </c>
      <c r="I2540" t="s">
        <v>116</v>
      </c>
      <c r="J2540" s="2">
        <v>25.99</v>
      </c>
      <c r="K2540">
        <v>1</v>
      </c>
      <c r="L2540" s="4"/>
    </row>
    <row r="2541" spans="1:12" x14ac:dyDescent="0.3">
      <c r="A2541" s="1">
        <v>42572</v>
      </c>
      <c r="B2541" s="1">
        <v>42576</v>
      </c>
      <c r="C2541" t="s">
        <v>7</v>
      </c>
      <c r="D2541" t="s">
        <v>1690</v>
      </c>
      <c r="E2541" t="s">
        <v>1691</v>
      </c>
      <c r="F2541" t="s">
        <v>3</v>
      </c>
      <c r="G2541" t="s">
        <v>4</v>
      </c>
      <c r="H2541" t="s">
        <v>5</v>
      </c>
      <c r="I2541" t="s">
        <v>2673</v>
      </c>
      <c r="J2541" s="2">
        <v>16.34</v>
      </c>
      <c r="K2541">
        <v>2</v>
      </c>
      <c r="L2541" s="4"/>
    </row>
    <row r="2542" spans="1:12" x14ac:dyDescent="0.3">
      <c r="A2542" s="1">
        <v>42572</v>
      </c>
      <c r="B2542" s="1">
        <v>42576</v>
      </c>
      <c r="C2542" t="s">
        <v>7</v>
      </c>
      <c r="D2542" t="s">
        <v>1690</v>
      </c>
      <c r="E2542" t="s">
        <v>1691</v>
      </c>
      <c r="F2542" t="s">
        <v>3</v>
      </c>
      <c r="G2542" t="s">
        <v>12</v>
      </c>
      <c r="H2542" t="s">
        <v>70</v>
      </c>
      <c r="I2542" t="s">
        <v>324</v>
      </c>
      <c r="J2542" s="2">
        <v>225.29600000000002</v>
      </c>
      <c r="K2542">
        <v>2</v>
      </c>
      <c r="L2542" s="4"/>
    </row>
    <row r="2543" spans="1:12" x14ac:dyDescent="0.3">
      <c r="A2543" s="1">
        <v>42572</v>
      </c>
      <c r="B2543" s="1">
        <v>42576</v>
      </c>
      <c r="C2543" t="s">
        <v>7</v>
      </c>
      <c r="D2543" t="s">
        <v>1690</v>
      </c>
      <c r="E2543" t="s">
        <v>1691</v>
      </c>
      <c r="F2543" t="s">
        <v>3</v>
      </c>
      <c r="G2543" t="s">
        <v>4</v>
      </c>
      <c r="H2543" t="s">
        <v>26</v>
      </c>
      <c r="I2543" t="s">
        <v>1299</v>
      </c>
      <c r="J2543" s="2">
        <v>50.352000000000004</v>
      </c>
      <c r="K2543">
        <v>3</v>
      </c>
      <c r="L2543" s="4"/>
    </row>
    <row r="2544" spans="1:12" x14ac:dyDescent="0.3">
      <c r="A2544" s="1">
        <v>42572</v>
      </c>
      <c r="B2544" s="1">
        <v>42576</v>
      </c>
      <c r="C2544" t="s">
        <v>0</v>
      </c>
      <c r="D2544" t="s">
        <v>401</v>
      </c>
      <c r="E2544" t="s">
        <v>402</v>
      </c>
      <c r="F2544" t="s">
        <v>3</v>
      </c>
      <c r="G2544" t="s">
        <v>4</v>
      </c>
      <c r="H2544" t="s">
        <v>15</v>
      </c>
      <c r="I2544" t="s">
        <v>2674</v>
      </c>
      <c r="J2544" s="2">
        <v>3.52</v>
      </c>
      <c r="K2544">
        <v>2</v>
      </c>
      <c r="L2544" s="4"/>
    </row>
    <row r="2545" spans="1:12" x14ac:dyDescent="0.3">
      <c r="A2545" s="1">
        <v>42572</v>
      </c>
      <c r="B2545" s="1">
        <v>42576</v>
      </c>
      <c r="C2545" t="s">
        <v>0</v>
      </c>
      <c r="D2545" t="s">
        <v>401</v>
      </c>
      <c r="E2545" t="s">
        <v>402</v>
      </c>
      <c r="F2545" t="s">
        <v>3</v>
      </c>
      <c r="G2545" t="s">
        <v>74</v>
      </c>
      <c r="H2545" t="s">
        <v>147</v>
      </c>
      <c r="I2545" t="s">
        <v>2353</v>
      </c>
      <c r="J2545" s="2">
        <v>1626.1920000000002</v>
      </c>
      <c r="K2545">
        <v>9</v>
      </c>
      <c r="L2545" s="4"/>
    </row>
    <row r="2546" spans="1:12" x14ac:dyDescent="0.3">
      <c r="A2546" s="1">
        <v>42574</v>
      </c>
      <c r="B2546" s="1">
        <v>42577</v>
      </c>
      <c r="C2546" t="s">
        <v>22</v>
      </c>
      <c r="D2546" t="s">
        <v>1580</v>
      </c>
      <c r="E2546" t="s">
        <v>1581</v>
      </c>
      <c r="F2546" t="s">
        <v>3</v>
      </c>
      <c r="G2546" t="s">
        <v>4</v>
      </c>
      <c r="H2546" t="s">
        <v>26</v>
      </c>
      <c r="I2546" t="s">
        <v>2675</v>
      </c>
      <c r="J2546" s="2">
        <v>15.192</v>
      </c>
      <c r="K2546">
        <v>3</v>
      </c>
      <c r="L2546" s="4"/>
    </row>
    <row r="2547" spans="1:12" x14ac:dyDescent="0.3">
      <c r="A2547" s="1">
        <v>42574</v>
      </c>
      <c r="B2547" s="1">
        <v>42577</v>
      </c>
      <c r="C2547" t="s">
        <v>22</v>
      </c>
      <c r="D2547" t="s">
        <v>1580</v>
      </c>
      <c r="E2547" t="s">
        <v>1581</v>
      </c>
      <c r="F2547" t="s">
        <v>3</v>
      </c>
      <c r="G2547" t="s">
        <v>4</v>
      </c>
      <c r="H2547" t="s">
        <v>5</v>
      </c>
      <c r="I2547" t="s">
        <v>2676</v>
      </c>
      <c r="J2547" s="2">
        <v>58.320000000000007</v>
      </c>
      <c r="K2547">
        <v>9</v>
      </c>
      <c r="L2547" s="4"/>
    </row>
    <row r="2548" spans="1:12" x14ac:dyDescent="0.3">
      <c r="A2548" s="1">
        <v>42575</v>
      </c>
      <c r="B2548" s="1">
        <v>42575</v>
      </c>
      <c r="C2548" t="s">
        <v>240</v>
      </c>
      <c r="D2548" t="s">
        <v>948</v>
      </c>
      <c r="E2548" t="s">
        <v>949</v>
      </c>
      <c r="F2548" t="s">
        <v>3</v>
      </c>
      <c r="G2548" t="s">
        <v>74</v>
      </c>
      <c r="H2548" t="s">
        <v>534</v>
      </c>
      <c r="I2548" t="s">
        <v>1501</v>
      </c>
      <c r="J2548" s="2">
        <v>2399.96</v>
      </c>
      <c r="K2548">
        <v>5</v>
      </c>
      <c r="L2548" s="4"/>
    </row>
    <row r="2549" spans="1:12" x14ac:dyDescent="0.3">
      <c r="A2549" s="1">
        <v>42577</v>
      </c>
      <c r="B2549" s="1">
        <v>42583</v>
      </c>
      <c r="C2549" t="s">
        <v>7</v>
      </c>
      <c r="D2549" t="s">
        <v>2531</v>
      </c>
      <c r="E2549" t="s">
        <v>2532</v>
      </c>
      <c r="F2549" t="s">
        <v>3</v>
      </c>
      <c r="G2549" t="s">
        <v>74</v>
      </c>
      <c r="H2549" t="s">
        <v>75</v>
      </c>
      <c r="I2549" t="s">
        <v>1365</v>
      </c>
      <c r="J2549" s="2">
        <v>1649.95</v>
      </c>
      <c r="K2549">
        <v>5</v>
      </c>
      <c r="L2549" s="4"/>
    </row>
    <row r="2550" spans="1:12" x14ac:dyDescent="0.3">
      <c r="A2550" s="1">
        <v>42577</v>
      </c>
      <c r="B2550" s="1">
        <v>42583</v>
      </c>
      <c r="C2550" t="s">
        <v>7</v>
      </c>
      <c r="D2550" t="s">
        <v>2531</v>
      </c>
      <c r="E2550" t="s">
        <v>2532</v>
      </c>
      <c r="F2550" t="s">
        <v>3</v>
      </c>
      <c r="G2550" t="s">
        <v>12</v>
      </c>
      <c r="H2550" t="s">
        <v>70</v>
      </c>
      <c r="I2550" t="s">
        <v>892</v>
      </c>
      <c r="J2550" s="2">
        <v>362.35199999999998</v>
      </c>
      <c r="K2550">
        <v>3</v>
      </c>
      <c r="L2550" s="4"/>
    </row>
    <row r="2551" spans="1:12" x14ac:dyDescent="0.3">
      <c r="A2551" s="1">
        <v>42578</v>
      </c>
      <c r="B2551" s="1">
        <v>42583</v>
      </c>
      <c r="C2551" t="s">
        <v>0</v>
      </c>
      <c r="D2551" t="s">
        <v>1803</v>
      </c>
      <c r="E2551" t="s">
        <v>1804</v>
      </c>
      <c r="F2551" t="s">
        <v>56</v>
      </c>
      <c r="G2551" t="s">
        <v>12</v>
      </c>
      <c r="H2551" t="s">
        <v>35</v>
      </c>
      <c r="I2551" t="s">
        <v>484</v>
      </c>
      <c r="J2551" s="2">
        <v>23.88</v>
      </c>
      <c r="K2551">
        <v>3</v>
      </c>
      <c r="L2551" s="4"/>
    </row>
    <row r="2552" spans="1:12" x14ac:dyDescent="0.3">
      <c r="A2552" s="1">
        <v>42578</v>
      </c>
      <c r="B2552" s="1">
        <v>42583</v>
      </c>
      <c r="C2552" t="s">
        <v>0</v>
      </c>
      <c r="D2552" t="s">
        <v>1803</v>
      </c>
      <c r="E2552" t="s">
        <v>1804</v>
      </c>
      <c r="F2552" t="s">
        <v>56</v>
      </c>
      <c r="G2552" t="s">
        <v>4</v>
      </c>
      <c r="H2552" t="s">
        <v>5</v>
      </c>
      <c r="I2552" t="s">
        <v>1778</v>
      </c>
      <c r="J2552" s="2">
        <v>26.2</v>
      </c>
      <c r="K2552">
        <v>4</v>
      </c>
      <c r="L2552" s="4"/>
    </row>
    <row r="2553" spans="1:12" x14ac:dyDescent="0.3">
      <c r="A2553" s="1">
        <v>42578</v>
      </c>
      <c r="B2553" s="1">
        <v>42583</v>
      </c>
      <c r="C2553" t="s">
        <v>0</v>
      </c>
      <c r="D2553" t="s">
        <v>1803</v>
      </c>
      <c r="E2553" t="s">
        <v>1804</v>
      </c>
      <c r="F2553" t="s">
        <v>56</v>
      </c>
      <c r="G2553" t="s">
        <v>4</v>
      </c>
      <c r="H2553" t="s">
        <v>5</v>
      </c>
      <c r="I2553" t="s">
        <v>1957</v>
      </c>
      <c r="J2553" s="2">
        <v>12.96</v>
      </c>
      <c r="K2553">
        <v>2</v>
      </c>
      <c r="L2553" s="4"/>
    </row>
    <row r="2554" spans="1:12" x14ac:dyDescent="0.3">
      <c r="A2554" s="1">
        <v>42578</v>
      </c>
      <c r="B2554" s="1">
        <v>42583</v>
      </c>
      <c r="C2554" t="s">
        <v>0</v>
      </c>
      <c r="D2554" t="s">
        <v>1803</v>
      </c>
      <c r="E2554" t="s">
        <v>1804</v>
      </c>
      <c r="F2554" t="s">
        <v>56</v>
      </c>
      <c r="G2554" t="s">
        <v>74</v>
      </c>
      <c r="H2554" t="s">
        <v>75</v>
      </c>
      <c r="I2554" t="s">
        <v>2001</v>
      </c>
      <c r="J2554" s="2">
        <v>234.95000000000002</v>
      </c>
      <c r="K2554">
        <v>5</v>
      </c>
      <c r="L2554" s="4"/>
    </row>
    <row r="2555" spans="1:12" x14ac:dyDescent="0.3">
      <c r="A2555" s="1">
        <v>42579</v>
      </c>
      <c r="B2555" s="1">
        <v>42583</v>
      </c>
      <c r="C2555" t="s">
        <v>7</v>
      </c>
      <c r="D2555" t="s">
        <v>1772</v>
      </c>
      <c r="E2555" t="s">
        <v>1773</v>
      </c>
      <c r="F2555" t="s">
        <v>3</v>
      </c>
      <c r="G2555" t="s">
        <v>4</v>
      </c>
      <c r="H2555" t="s">
        <v>26</v>
      </c>
      <c r="I2555" t="s">
        <v>2092</v>
      </c>
      <c r="J2555" s="2">
        <v>9.9840000000000018</v>
      </c>
      <c r="K2555">
        <v>4</v>
      </c>
      <c r="L2555" s="4"/>
    </row>
    <row r="2556" spans="1:12" x14ac:dyDescent="0.3">
      <c r="A2556" s="1">
        <v>42579</v>
      </c>
      <c r="B2556" s="1">
        <v>42583</v>
      </c>
      <c r="C2556" t="s">
        <v>7</v>
      </c>
      <c r="D2556" t="s">
        <v>1772</v>
      </c>
      <c r="E2556" t="s">
        <v>1773</v>
      </c>
      <c r="F2556" t="s">
        <v>3</v>
      </c>
      <c r="G2556" t="s">
        <v>4</v>
      </c>
      <c r="H2556" t="s">
        <v>10</v>
      </c>
      <c r="I2556" t="s">
        <v>2677</v>
      </c>
      <c r="J2556" s="2">
        <v>14.98</v>
      </c>
      <c r="K2556">
        <v>1</v>
      </c>
      <c r="L2556" s="4"/>
    </row>
    <row r="2557" spans="1:12" x14ac:dyDescent="0.3">
      <c r="A2557" s="1">
        <v>42579</v>
      </c>
      <c r="B2557" s="1">
        <v>42583</v>
      </c>
      <c r="C2557" t="s">
        <v>7</v>
      </c>
      <c r="D2557" t="s">
        <v>1772</v>
      </c>
      <c r="E2557" t="s">
        <v>1773</v>
      </c>
      <c r="F2557" t="s">
        <v>3</v>
      </c>
      <c r="G2557" t="s">
        <v>74</v>
      </c>
      <c r="H2557" t="s">
        <v>147</v>
      </c>
      <c r="I2557" t="s">
        <v>296</v>
      </c>
      <c r="J2557" s="2">
        <v>1145.6000000000001</v>
      </c>
      <c r="K2557">
        <v>4</v>
      </c>
      <c r="L2557" s="4"/>
    </row>
    <row r="2558" spans="1:12" x14ac:dyDescent="0.3">
      <c r="A2558" s="1">
        <v>42580</v>
      </c>
      <c r="B2558" s="1">
        <v>42584</v>
      </c>
      <c r="C2558" t="s">
        <v>7</v>
      </c>
      <c r="D2558" t="s">
        <v>496</v>
      </c>
      <c r="E2558" t="s">
        <v>497</v>
      </c>
      <c r="F2558" t="s">
        <v>56</v>
      </c>
      <c r="G2558" t="s">
        <v>74</v>
      </c>
      <c r="H2558" t="s">
        <v>75</v>
      </c>
      <c r="I2558" t="s">
        <v>1881</v>
      </c>
      <c r="J2558" s="2">
        <v>90.570000000000007</v>
      </c>
      <c r="K2558">
        <v>3</v>
      </c>
      <c r="L2558" s="4"/>
    </row>
    <row r="2559" spans="1:12" x14ac:dyDescent="0.3">
      <c r="A2559" s="1">
        <v>42580</v>
      </c>
      <c r="B2559" s="1">
        <v>42584</v>
      </c>
      <c r="C2559" t="s">
        <v>7</v>
      </c>
      <c r="D2559" t="s">
        <v>946</v>
      </c>
      <c r="E2559" t="s">
        <v>947</v>
      </c>
      <c r="F2559" t="s">
        <v>56</v>
      </c>
      <c r="G2559" t="s">
        <v>12</v>
      </c>
      <c r="H2559" t="s">
        <v>13</v>
      </c>
      <c r="I2559" t="s">
        <v>2582</v>
      </c>
      <c r="J2559" s="2">
        <v>115.96</v>
      </c>
      <c r="K2559">
        <v>2</v>
      </c>
      <c r="L2559" s="4"/>
    </row>
    <row r="2560" spans="1:12" x14ac:dyDescent="0.3">
      <c r="A2560" s="1">
        <v>42581</v>
      </c>
      <c r="B2560" s="1">
        <v>42585</v>
      </c>
      <c r="C2560" t="s">
        <v>0</v>
      </c>
      <c r="D2560" t="s">
        <v>245</v>
      </c>
      <c r="E2560" t="s">
        <v>246</v>
      </c>
      <c r="F2560" t="s">
        <v>3</v>
      </c>
      <c r="G2560" t="s">
        <v>4</v>
      </c>
      <c r="H2560" t="s">
        <v>10</v>
      </c>
      <c r="I2560" t="s">
        <v>146</v>
      </c>
      <c r="J2560" s="2">
        <v>330.4</v>
      </c>
      <c r="K2560">
        <v>2</v>
      </c>
      <c r="L2560" s="4"/>
    </row>
    <row r="2561" spans="1:12" x14ac:dyDescent="0.3">
      <c r="A2561" s="1">
        <v>42581</v>
      </c>
      <c r="B2561" s="1">
        <v>42585</v>
      </c>
      <c r="C2561" t="s">
        <v>0</v>
      </c>
      <c r="D2561" t="s">
        <v>245</v>
      </c>
      <c r="E2561" t="s">
        <v>246</v>
      </c>
      <c r="F2561" t="s">
        <v>3</v>
      </c>
      <c r="G2561" t="s">
        <v>4</v>
      </c>
      <c r="H2561" t="s">
        <v>168</v>
      </c>
      <c r="I2561" t="s">
        <v>796</v>
      </c>
      <c r="J2561" s="2">
        <v>26.25</v>
      </c>
      <c r="K2561">
        <v>7</v>
      </c>
      <c r="L2561" s="4"/>
    </row>
    <row r="2562" spans="1:12" x14ac:dyDescent="0.3">
      <c r="A2562" s="1">
        <v>42582</v>
      </c>
      <c r="B2562" s="1">
        <v>42585</v>
      </c>
      <c r="C2562" t="s">
        <v>22</v>
      </c>
      <c r="D2562" t="s">
        <v>2678</v>
      </c>
      <c r="E2562" t="s">
        <v>2679</v>
      </c>
      <c r="F2562" t="s">
        <v>3</v>
      </c>
      <c r="G2562" t="s">
        <v>4</v>
      </c>
      <c r="H2562" t="s">
        <v>10</v>
      </c>
      <c r="I2562" t="s">
        <v>814</v>
      </c>
      <c r="J2562" s="2">
        <v>56.56</v>
      </c>
      <c r="K2562">
        <v>2</v>
      </c>
      <c r="L2562" s="4"/>
    </row>
    <row r="2563" spans="1:12" x14ac:dyDescent="0.3">
      <c r="A2563" s="1">
        <v>42582</v>
      </c>
      <c r="B2563" s="1">
        <v>42585</v>
      </c>
      <c r="C2563" t="s">
        <v>22</v>
      </c>
      <c r="D2563" t="s">
        <v>2678</v>
      </c>
      <c r="E2563" t="s">
        <v>2679</v>
      </c>
      <c r="F2563" t="s">
        <v>3</v>
      </c>
      <c r="G2563" t="s">
        <v>12</v>
      </c>
      <c r="H2563" t="s">
        <v>35</v>
      </c>
      <c r="I2563" t="s">
        <v>2487</v>
      </c>
      <c r="J2563" s="2">
        <v>36.96</v>
      </c>
      <c r="K2563">
        <v>7</v>
      </c>
      <c r="L2563" s="4"/>
    </row>
    <row r="2564" spans="1:12" x14ac:dyDescent="0.3">
      <c r="A2564" s="1">
        <v>42583</v>
      </c>
      <c r="B2564" s="1">
        <v>42586</v>
      </c>
      <c r="C2564" t="s">
        <v>0</v>
      </c>
      <c r="D2564" t="s">
        <v>1701</v>
      </c>
      <c r="E2564" t="s">
        <v>1702</v>
      </c>
      <c r="F2564" t="s">
        <v>3</v>
      </c>
      <c r="G2564" t="s">
        <v>4</v>
      </c>
      <c r="H2564" t="s">
        <v>26</v>
      </c>
      <c r="I2564" t="s">
        <v>649</v>
      </c>
      <c r="J2564" s="2">
        <v>54.896000000000008</v>
      </c>
      <c r="K2564">
        <v>2</v>
      </c>
      <c r="L2564" s="4"/>
    </row>
    <row r="2565" spans="1:12" x14ac:dyDescent="0.3">
      <c r="A2565" s="1">
        <v>42583</v>
      </c>
      <c r="B2565" s="1">
        <v>42587</v>
      </c>
      <c r="C2565" t="s">
        <v>0</v>
      </c>
      <c r="D2565" t="s">
        <v>1601</v>
      </c>
      <c r="E2565" t="s">
        <v>1602</v>
      </c>
      <c r="F2565" t="s">
        <v>3</v>
      </c>
      <c r="G2565" t="s">
        <v>4</v>
      </c>
      <c r="H2565" t="s">
        <v>10</v>
      </c>
      <c r="I2565" t="s">
        <v>718</v>
      </c>
      <c r="J2565" s="2">
        <v>186.54</v>
      </c>
      <c r="K2565">
        <v>3</v>
      </c>
      <c r="L2565" s="4"/>
    </row>
    <row r="2566" spans="1:12" x14ac:dyDescent="0.3">
      <c r="A2566" s="1">
        <v>42585</v>
      </c>
      <c r="B2566" s="1">
        <v>42590</v>
      </c>
      <c r="C2566" t="s">
        <v>0</v>
      </c>
      <c r="D2566" t="s">
        <v>2680</v>
      </c>
      <c r="E2566" t="s">
        <v>2681</v>
      </c>
      <c r="F2566" t="s">
        <v>3</v>
      </c>
      <c r="G2566" t="s">
        <v>4</v>
      </c>
      <c r="H2566" t="s">
        <v>168</v>
      </c>
      <c r="I2566" t="s">
        <v>2060</v>
      </c>
      <c r="J2566" s="2">
        <v>51.75</v>
      </c>
      <c r="K2566">
        <v>5</v>
      </c>
      <c r="L2566" s="4"/>
    </row>
    <row r="2567" spans="1:12" x14ac:dyDescent="0.3">
      <c r="A2567" s="1">
        <v>42585</v>
      </c>
      <c r="B2567" s="1">
        <v>42590</v>
      </c>
      <c r="C2567" t="s">
        <v>0</v>
      </c>
      <c r="D2567" t="s">
        <v>2680</v>
      </c>
      <c r="E2567" t="s">
        <v>2681</v>
      </c>
      <c r="F2567" t="s">
        <v>3</v>
      </c>
      <c r="G2567" t="s">
        <v>12</v>
      </c>
      <c r="H2567" t="s">
        <v>35</v>
      </c>
      <c r="I2567" t="s">
        <v>572</v>
      </c>
      <c r="J2567" s="2">
        <v>123.96000000000001</v>
      </c>
      <c r="K2567">
        <v>3</v>
      </c>
      <c r="L2567" s="4"/>
    </row>
    <row r="2568" spans="1:12" x14ac:dyDescent="0.3">
      <c r="A2568" s="1">
        <v>42585</v>
      </c>
      <c r="B2568" s="1">
        <v>42588</v>
      </c>
      <c r="C2568" t="s">
        <v>0</v>
      </c>
      <c r="D2568" t="s">
        <v>1274</v>
      </c>
      <c r="E2568" t="s">
        <v>1275</v>
      </c>
      <c r="F2568" t="s">
        <v>3</v>
      </c>
      <c r="G2568" t="s">
        <v>4</v>
      </c>
      <c r="H2568" t="s">
        <v>10</v>
      </c>
      <c r="I2568" t="s">
        <v>1122</v>
      </c>
      <c r="J2568" s="2">
        <v>99.87</v>
      </c>
      <c r="K2568">
        <v>3</v>
      </c>
      <c r="L2568" s="4"/>
    </row>
    <row r="2569" spans="1:12" x14ac:dyDescent="0.3">
      <c r="A2569" s="1">
        <v>42585</v>
      </c>
      <c r="B2569" s="1">
        <v>42590</v>
      </c>
      <c r="C2569" t="s">
        <v>0</v>
      </c>
      <c r="D2569" t="s">
        <v>2163</v>
      </c>
      <c r="E2569" t="s">
        <v>2164</v>
      </c>
      <c r="F2569" t="s">
        <v>56</v>
      </c>
      <c r="G2569" t="s">
        <v>4</v>
      </c>
      <c r="H2569" t="s">
        <v>10</v>
      </c>
      <c r="I2569" t="s">
        <v>817</v>
      </c>
      <c r="J2569" s="2">
        <v>16.059999999999999</v>
      </c>
      <c r="K2569">
        <v>1</v>
      </c>
      <c r="L2569" s="4"/>
    </row>
    <row r="2570" spans="1:12" x14ac:dyDescent="0.3">
      <c r="A2570" s="1">
        <v>42586</v>
      </c>
      <c r="B2570" s="1">
        <v>42589</v>
      </c>
      <c r="C2570" t="s">
        <v>22</v>
      </c>
      <c r="D2570" t="s">
        <v>1768</v>
      </c>
      <c r="E2570" t="s">
        <v>1769</v>
      </c>
      <c r="F2570" t="s">
        <v>115</v>
      </c>
      <c r="G2570" t="s">
        <v>4</v>
      </c>
      <c r="H2570" t="s">
        <v>5</v>
      </c>
      <c r="I2570" t="s">
        <v>2682</v>
      </c>
      <c r="J2570" s="2">
        <v>7.9680000000000009</v>
      </c>
      <c r="K2570">
        <v>2</v>
      </c>
      <c r="L2570" s="4"/>
    </row>
    <row r="2571" spans="1:12" x14ac:dyDescent="0.3">
      <c r="A2571" s="1">
        <v>42586</v>
      </c>
      <c r="B2571" s="1">
        <v>42589</v>
      </c>
      <c r="C2571" t="s">
        <v>22</v>
      </c>
      <c r="D2571" t="s">
        <v>1768</v>
      </c>
      <c r="E2571" t="s">
        <v>1769</v>
      </c>
      <c r="F2571" t="s">
        <v>115</v>
      </c>
      <c r="G2571" t="s">
        <v>4</v>
      </c>
      <c r="H2571" t="s">
        <v>29</v>
      </c>
      <c r="I2571" t="s">
        <v>2009</v>
      </c>
      <c r="J2571" s="2">
        <v>8.7840000000000007</v>
      </c>
      <c r="K2571">
        <v>1</v>
      </c>
      <c r="L2571" s="4"/>
    </row>
    <row r="2572" spans="1:12" x14ac:dyDescent="0.3">
      <c r="A2572" s="1">
        <v>42589</v>
      </c>
      <c r="B2572" s="1">
        <v>42595</v>
      </c>
      <c r="C2572" t="s">
        <v>7</v>
      </c>
      <c r="D2572" t="s">
        <v>1243</v>
      </c>
      <c r="E2572" t="s">
        <v>1244</v>
      </c>
      <c r="F2572" t="s">
        <v>3</v>
      </c>
      <c r="G2572" t="s">
        <v>74</v>
      </c>
      <c r="H2572" t="s">
        <v>147</v>
      </c>
      <c r="I2572" t="s">
        <v>430</v>
      </c>
      <c r="J2572" s="2">
        <v>159.96000000000004</v>
      </c>
      <c r="K2572">
        <v>5</v>
      </c>
      <c r="L2572" s="4"/>
    </row>
    <row r="2573" spans="1:12" x14ac:dyDescent="0.3">
      <c r="A2573" s="1">
        <v>42589</v>
      </c>
      <c r="B2573" s="1">
        <v>42595</v>
      </c>
      <c r="C2573" t="s">
        <v>7</v>
      </c>
      <c r="D2573" t="s">
        <v>1243</v>
      </c>
      <c r="E2573" t="s">
        <v>1244</v>
      </c>
      <c r="F2573" t="s">
        <v>3</v>
      </c>
      <c r="G2573" t="s">
        <v>4</v>
      </c>
      <c r="H2573" t="s">
        <v>26</v>
      </c>
      <c r="I2573" t="s">
        <v>2683</v>
      </c>
      <c r="J2573" s="2">
        <v>13.76</v>
      </c>
      <c r="K2573">
        <v>2</v>
      </c>
      <c r="L2573" s="4"/>
    </row>
    <row r="2574" spans="1:12" x14ac:dyDescent="0.3">
      <c r="A2574" s="1">
        <v>42589</v>
      </c>
      <c r="B2574" s="1">
        <v>42594</v>
      </c>
      <c r="C2574" t="s">
        <v>7</v>
      </c>
      <c r="D2574" t="s">
        <v>1520</v>
      </c>
      <c r="E2574" t="s">
        <v>1521</v>
      </c>
      <c r="F2574" t="s">
        <v>3</v>
      </c>
      <c r="G2574" t="s">
        <v>4</v>
      </c>
      <c r="H2574" t="s">
        <v>5</v>
      </c>
      <c r="I2574" t="s">
        <v>260</v>
      </c>
      <c r="J2574" s="2">
        <v>244.54999999999998</v>
      </c>
      <c r="K2574">
        <v>5</v>
      </c>
      <c r="L2574" s="4"/>
    </row>
    <row r="2575" spans="1:12" x14ac:dyDescent="0.3">
      <c r="A2575" s="1">
        <v>42589</v>
      </c>
      <c r="B2575" s="1">
        <v>42593</v>
      </c>
      <c r="C2575" t="s">
        <v>7</v>
      </c>
      <c r="D2575" t="s">
        <v>2684</v>
      </c>
      <c r="E2575" t="s">
        <v>2685</v>
      </c>
      <c r="F2575" t="s">
        <v>3</v>
      </c>
      <c r="G2575" t="s">
        <v>74</v>
      </c>
      <c r="H2575" t="s">
        <v>147</v>
      </c>
      <c r="I2575" t="s">
        <v>2686</v>
      </c>
      <c r="J2575" s="2">
        <v>707.88</v>
      </c>
      <c r="K2575">
        <v>3</v>
      </c>
      <c r="L2575" s="4"/>
    </row>
    <row r="2576" spans="1:12" x14ac:dyDescent="0.3">
      <c r="A2576" s="1">
        <v>42589</v>
      </c>
      <c r="B2576" s="1">
        <v>42593</v>
      </c>
      <c r="C2576" t="s">
        <v>7</v>
      </c>
      <c r="D2576" t="s">
        <v>2684</v>
      </c>
      <c r="E2576" t="s">
        <v>2685</v>
      </c>
      <c r="F2576" t="s">
        <v>3</v>
      </c>
      <c r="G2576" t="s">
        <v>4</v>
      </c>
      <c r="H2576" t="s">
        <v>26</v>
      </c>
      <c r="I2576" t="s">
        <v>404</v>
      </c>
      <c r="J2576" s="2">
        <v>11.952000000000002</v>
      </c>
      <c r="K2576">
        <v>3</v>
      </c>
      <c r="L2576" s="4"/>
    </row>
    <row r="2577" spans="1:12" x14ac:dyDescent="0.3">
      <c r="A2577" s="1">
        <v>42589</v>
      </c>
      <c r="B2577" s="1">
        <v>42593</v>
      </c>
      <c r="C2577" t="s">
        <v>7</v>
      </c>
      <c r="D2577" t="s">
        <v>2684</v>
      </c>
      <c r="E2577" t="s">
        <v>2685</v>
      </c>
      <c r="F2577" t="s">
        <v>3</v>
      </c>
      <c r="G2577" t="s">
        <v>4</v>
      </c>
      <c r="H2577" t="s">
        <v>26</v>
      </c>
      <c r="I2577" t="s">
        <v>2687</v>
      </c>
      <c r="J2577" s="2">
        <v>31.128000000000004</v>
      </c>
      <c r="K2577">
        <v>3</v>
      </c>
      <c r="L2577" s="4"/>
    </row>
    <row r="2578" spans="1:12" x14ac:dyDescent="0.3">
      <c r="A2578" s="1">
        <v>42589</v>
      </c>
      <c r="B2578" s="1">
        <v>42593</v>
      </c>
      <c r="C2578" t="s">
        <v>7</v>
      </c>
      <c r="D2578" t="s">
        <v>2684</v>
      </c>
      <c r="E2578" t="s">
        <v>2685</v>
      </c>
      <c r="F2578" t="s">
        <v>3</v>
      </c>
      <c r="G2578" t="s">
        <v>74</v>
      </c>
      <c r="H2578" t="s">
        <v>75</v>
      </c>
      <c r="I2578" t="s">
        <v>2361</v>
      </c>
      <c r="J2578" s="2">
        <v>55.76</v>
      </c>
      <c r="K2578">
        <v>4</v>
      </c>
      <c r="L2578" s="4"/>
    </row>
    <row r="2579" spans="1:12" x14ac:dyDescent="0.3">
      <c r="A2579" s="1">
        <v>42589</v>
      </c>
      <c r="B2579" s="1">
        <v>42593</v>
      </c>
      <c r="C2579" t="s">
        <v>7</v>
      </c>
      <c r="D2579" t="s">
        <v>2684</v>
      </c>
      <c r="E2579" t="s">
        <v>2685</v>
      </c>
      <c r="F2579" t="s">
        <v>3</v>
      </c>
      <c r="G2579" t="s">
        <v>4</v>
      </c>
      <c r="H2579" t="s">
        <v>5</v>
      </c>
      <c r="I2579" t="s">
        <v>1166</v>
      </c>
      <c r="J2579" s="2">
        <v>24.56</v>
      </c>
      <c r="K2579">
        <v>2</v>
      </c>
      <c r="L2579" s="4"/>
    </row>
    <row r="2580" spans="1:12" x14ac:dyDescent="0.3">
      <c r="A2580" s="1">
        <v>42589</v>
      </c>
      <c r="B2580" s="1">
        <v>42593</v>
      </c>
      <c r="C2580" t="s">
        <v>7</v>
      </c>
      <c r="D2580" t="s">
        <v>2684</v>
      </c>
      <c r="E2580" t="s">
        <v>2685</v>
      </c>
      <c r="F2580" t="s">
        <v>3</v>
      </c>
      <c r="G2580" t="s">
        <v>12</v>
      </c>
      <c r="H2580" t="s">
        <v>35</v>
      </c>
      <c r="I2580" t="s">
        <v>2640</v>
      </c>
      <c r="J2580" s="2">
        <v>51.75</v>
      </c>
      <c r="K2580">
        <v>1</v>
      </c>
      <c r="L2580" s="4"/>
    </row>
    <row r="2581" spans="1:12" x14ac:dyDescent="0.3">
      <c r="A2581" s="1">
        <v>42589</v>
      </c>
      <c r="B2581" s="1">
        <v>42593</v>
      </c>
      <c r="C2581" t="s">
        <v>7</v>
      </c>
      <c r="D2581" t="s">
        <v>2684</v>
      </c>
      <c r="E2581" t="s">
        <v>2685</v>
      </c>
      <c r="F2581" t="s">
        <v>3</v>
      </c>
      <c r="G2581" t="s">
        <v>12</v>
      </c>
      <c r="H2581" t="s">
        <v>70</v>
      </c>
      <c r="I2581" t="s">
        <v>2688</v>
      </c>
      <c r="J2581" s="2">
        <v>207.18400000000003</v>
      </c>
      <c r="K2581">
        <v>1</v>
      </c>
      <c r="L2581" s="4"/>
    </row>
    <row r="2582" spans="1:12" x14ac:dyDescent="0.3">
      <c r="A2582" s="1">
        <v>42589</v>
      </c>
      <c r="B2582" s="1">
        <v>42593</v>
      </c>
      <c r="C2582" t="s">
        <v>7</v>
      </c>
      <c r="D2582" t="s">
        <v>2684</v>
      </c>
      <c r="E2582" t="s">
        <v>2685</v>
      </c>
      <c r="F2582" t="s">
        <v>3</v>
      </c>
      <c r="G2582" t="s">
        <v>4</v>
      </c>
      <c r="H2582" t="s">
        <v>20</v>
      </c>
      <c r="I2582" t="s">
        <v>2689</v>
      </c>
      <c r="J2582" s="2">
        <v>1473.1</v>
      </c>
      <c r="K2582">
        <v>5</v>
      </c>
      <c r="L2582" s="4"/>
    </row>
    <row r="2583" spans="1:12" x14ac:dyDescent="0.3">
      <c r="A2583" s="1">
        <v>42594</v>
      </c>
      <c r="B2583" s="1">
        <v>42597</v>
      </c>
      <c r="C2583" t="s">
        <v>22</v>
      </c>
      <c r="D2583" t="s">
        <v>1158</v>
      </c>
      <c r="E2583" t="s">
        <v>1159</v>
      </c>
      <c r="F2583" t="s">
        <v>3</v>
      </c>
      <c r="G2583" t="s">
        <v>4</v>
      </c>
      <c r="H2583" t="s">
        <v>20</v>
      </c>
      <c r="I2583" t="s">
        <v>1091</v>
      </c>
      <c r="J2583" s="2">
        <v>542.93999999999994</v>
      </c>
      <c r="K2583">
        <v>3</v>
      </c>
      <c r="L2583" s="4"/>
    </row>
    <row r="2584" spans="1:12" x14ac:dyDescent="0.3">
      <c r="A2584" s="1">
        <v>42594</v>
      </c>
      <c r="B2584" s="1">
        <v>42597</v>
      </c>
      <c r="C2584" t="s">
        <v>22</v>
      </c>
      <c r="D2584" t="s">
        <v>1158</v>
      </c>
      <c r="E2584" t="s">
        <v>1159</v>
      </c>
      <c r="F2584" t="s">
        <v>3</v>
      </c>
      <c r="G2584" t="s">
        <v>12</v>
      </c>
      <c r="H2584" t="s">
        <v>35</v>
      </c>
      <c r="I2584" t="s">
        <v>1799</v>
      </c>
      <c r="J2584" s="2">
        <v>54.92</v>
      </c>
      <c r="K2584">
        <v>4</v>
      </c>
      <c r="L2584" s="4"/>
    </row>
    <row r="2585" spans="1:12" x14ac:dyDescent="0.3">
      <c r="A2585" s="1">
        <v>42594</v>
      </c>
      <c r="B2585" s="1">
        <v>42601</v>
      </c>
      <c r="C2585" t="s">
        <v>7</v>
      </c>
      <c r="D2585" t="s">
        <v>2690</v>
      </c>
      <c r="E2585" t="s">
        <v>2691</v>
      </c>
      <c r="F2585" t="s">
        <v>56</v>
      </c>
      <c r="G2585" t="s">
        <v>74</v>
      </c>
      <c r="H2585" t="s">
        <v>534</v>
      </c>
      <c r="I2585" t="s">
        <v>2091</v>
      </c>
      <c r="J2585" s="2">
        <v>299.99</v>
      </c>
      <c r="K2585">
        <v>1</v>
      </c>
      <c r="L2585" s="4"/>
    </row>
    <row r="2586" spans="1:12" x14ac:dyDescent="0.3">
      <c r="A2586" s="1">
        <v>42594</v>
      </c>
      <c r="B2586" s="1">
        <v>42601</v>
      </c>
      <c r="C2586" t="s">
        <v>7</v>
      </c>
      <c r="D2586" t="s">
        <v>2690</v>
      </c>
      <c r="E2586" t="s">
        <v>2691</v>
      </c>
      <c r="F2586" t="s">
        <v>56</v>
      </c>
      <c r="G2586" t="s">
        <v>4</v>
      </c>
      <c r="H2586" t="s">
        <v>5</v>
      </c>
      <c r="I2586" t="s">
        <v>2692</v>
      </c>
      <c r="J2586" s="2">
        <v>192.16</v>
      </c>
      <c r="K2586">
        <v>4</v>
      </c>
      <c r="L2586" s="4"/>
    </row>
    <row r="2587" spans="1:12" x14ac:dyDescent="0.3">
      <c r="A2587" s="1">
        <v>42594</v>
      </c>
      <c r="B2587" s="1">
        <v>42601</v>
      </c>
      <c r="C2587" t="s">
        <v>7</v>
      </c>
      <c r="D2587" t="s">
        <v>2690</v>
      </c>
      <c r="E2587" t="s">
        <v>2691</v>
      </c>
      <c r="F2587" t="s">
        <v>56</v>
      </c>
      <c r="G2587" t="s">
        <v>74</v>
      </c>
      <c r="H2587" t="s">
        <v>147</v>
      </c>
      <c r="I2587" t="s">
        <v>2693</v>
      </c>
      <c r="J2587" s="2">
        <v>242.624</v>
      </c>
      <c r="K2587">
        <v>8</v>
      </c>
      <c r="L2587" s="4"/>
    </row>
    <row r="2588" spans="1:12" x14ac:dyDescent="0.3">
      <c r="A2588" s="1">
        <v>42594</v>
      </c>
      <c r="B2588" s="1">
        <v>42601</v>
      </c>
      <c r="C2588" t="s">
        <v>7</v>
      </c>
      <c r="D2588" t="s">
        <v>2690</v>
      </c>
      <c r="E2588" t="s">
        <v>2691</v>
      </c>
      <c r="F2588" t="s">
        <v>56</v>
      </c>
      <c r="G2588" t="s">
        <v>4</v>
      </c>
      <c r="H2588" t="s">
        <v>10</v>
      </c>
      <c r="I2588" t="s">
        <v>2625</v>
      </c>
      <c r="J2588" s="2">
        <v>46.74</v>
      </c>
      <c r="K2588">
        <v>3</v>
      </c>
      <c r="L2588" s="4"/>
    </row>
    <row r="2589" spans="1:12" x14ac:dyDescent="0.3">
      <c r="A2589" s="1">
        <v>42594</v>
      </c>
      <c r="B2589" s="1">
        <v>42601</v>
      </c>
      <c r="C2589" t="s">
        <v>7</v>
      </c>
      <c r="D2589" t="s">
        <v>2690</v>
      </c>
      <c r="E2589" t="s">
        <v>2691</v>
      </c>
      <c r="F2589" t="s">
        <v>56</v>
      </c>
      <c r="G2589" t="s">
        <v>74</v>
      </c>
      <c r="H2589" t="s">
        <v>75</v>
      </c>
      <c r="I2589" t="s">
        <v>2694</v>
      </c>
      <c r="J2589" s="2">
        <v>174.95000000000002</v>
      </c>
      <c r="K2589">
        <v>5</v>
      </c>
      <c r="L2589" s="4"/>
    </row>
    <row r="2590" spans="1:12" x14ac:dyDescent="0.3">
      <c r="A2590" s="1">
        <v>42594</v>
      </c>
      <c r="B2590" s="1">
        <v>42601</v>
      </c>
      <c r="C2590" t="s">
        <v>7</v>
      </c>
      <c r="D2590" t="s">
        <v>2690</v>
      </c>
      <c r="E2590" t="s">
        <v>2691</v>
      </c>
      <c r="F2590" t="s">
        <v>56</v>
      </c>
      <c r="G2590" t="s">
        <v>4</v>
      </c>
      <c r="H2590" t="s">
        <v>26</v>
      </c>
      <c r="I2590" t="s">
        <v>618</v>
      </c>
      <c r="J2590" s="2">
        <v>100.70400000000001</v>
      </c>
      <c r="K2590">
        <v>6</v>
      </c>
      <c r="L2590" s="4"/>
    </row>
    <row r="2591" spans="1:12" x14ac:dyDescent="0.3">
      <c r="A2591" s="1">
        <v>42595</v>
      </c>
      <c r="B2591" s="1">
        <v>42595</v>
      </c>
      <c r="C2591" t="s">
        <v>240</v>
      </c>
      <c r="D2591" t="s">
        <v>1243</v>
      </c>
      <c r="E2591" t="s">
        <v>1244</v>
      </c>
      <c r="F2591" t="s">
        <v>3</v>
      </c>
      <c r="G2591" t="s">
        <v>4</v>
      </c>
      <c r="H2591" t="s">
        <v>10</v>
      </c>
      <c r="I2591" t="s">
        <v>1504</v>
      </c>
      <c r="J2591" s="2">
        <v>31.44</v>
      </c>
      <c r="K2591">
        <v>3</v>
      </c>
      <c r="L2591" s="4"/>
    </row>
    <row r="2592" spans="1:12" x14ac:dyDescent="0.3">
      <c r="A2592" s="1">
        <v>42595</v>
      </c>
      <c r="B2592" s="1">
        <v>42595</v>
      </c>
      <c r="C2592" t="s">
        <v>240</v>
      </c>
      <c r="D2592" t="s">
        <v>1243</v>
      </c>
      <c r="E2592" t="s">
        <v>1244</v>
      </c>
      <c r="F2592" t="s">
        <v>3</v>
      </c>
      <c r="G2592" t="s">
        <v>4</v>
      </c>
      <c r="H2592" t="s">
        <v>20</v>
      </c>
      <c r="I2592" t="s">
        <v>678</v>
      </c>
      <c r="J2592" s="2">
        <v>83.79</v>
      </c>
      <c r="K2592">
        <v>7</v>
      </c>
      <c r="L2592" s="4"/>
    </row>
    <row r="2593" spans="1:12" x14ac:dyDescent="0.3">
      <c r="A2593" s="1">
        <v>42595</v>
      </c>
      <c r="B2593" s="1">
        <v>42595</v>
      </c>
      <c r="C2593" t="s">
        <v>240</v>
      </c>
      <c r="D2593" t="s">
        <v>1243</v>
      </c>
      <c r="E2593" t="s">
        <v>1244</v>
      </c>
      <c r="F2593" t="s">
        <v>3</v>
      </c>
      <c r="G2593" t="s">
        <v>4</v>
      </c>
      <c r="H2593" t="s">
        <v>15</v>
      </c>
      <c r="I2593" t="s">
        <v>1297</v>
      </c>
      <c r="J2593" s="2">
        <v>59.519999999999996</v>
      </c>
      <c r="K2593">
        <v>3</v>
      </c>
      <c r="L2593" s="4"/>
    </row>
    <row r="2594" spans="1:12" x14ac:dyDescent="0.3">
      <c r="A2594" s="1">
        <v>42595</v>
      </c>
      <c r="B2594" s="1">
        <v>42595</v>
      </c>
      <c r="C2594" t="s">
        <v>240</v>
      </c>
      <c r="D2594" t="s">
        <v>1243</v>
      </c>
      <c r="E2594" t="s">
        <v>1244</v>
      </c>
      <c r="F2594" t="s">
        <v>3</v>
      </c>
      <c r="G2594" t="s">
        <v>4</v>
      </c>
      <c r="H2594" t="s">
        <v>78</v>
      </c>
      <c r="I2594" t="s">
        <v>362</v>
      </c>
      <c r="J2594" s="2">
        <v>31.92</v>
      </c>
      <c r="K2594">
        <v>4</v>
      </c>
      <c r="L2594" s="4"/>
    </row>
    <row r="2595" spans="1:12" x14ac:dyDescent="0.3">
      <c r="A2595" s="1">
        <v>42595</v>
      </c>
      <c r="B2595" s="1">
        <v>42602</v>
      </c>
      <c r="C2595" t="s">
        <v>7</v>
      </c>
      <c r="D2595" t="s">
        <v>1835</v>
      </c>
      <c r="E2595" t="s">
        <v>1836</v>
      </c>
      <c r="F2595" t="s">
        <v>3</v>
      </c>
      <c r="G2595" t="s">
        <v>4</v>
      </c>
      <c r="H2595" t="s">
        <v>26</v>
      </c>
      <c r="I2595" t="s">
        <v>1961</v>
      </c>
      <c r="J2595" s="2">
        <v>36.024000000000001</v>
      </c>
      <c r="K2595">
        <v>3</v>
      </c>
      <c r="L2595" s="4"/>
    </row>
    <row r="2596" spans="1:12" x14ac:dyDescent="0.3">
      <c r="A2596" s="1">
        <v>42596</v>
      </c>
      <c r="B2596" s="1">
        <v>42598</v>
      </c>
      <c r="C2596" t="s">
        <v>0</v>
      </c>
      <c r="D2596" t="s">
        <v>1034</v>
      </c>
      <c r="E2596" t="s">
        <v>1035</v>
      </c>
      <c r="F2596" t="s">
        <v>3</v>
      </c>
      <c r="G2596" t="s">
        <v>4</v>
      </c>
      <c r="H2596" t="s">
        <v>168</v>
      </c>
      <c r="I2596" t="s">
        <v>1792</v>
      </c>
      <c r="J2596" s="2">
        <v>5.76</v>
      </c>
      <c r="K2596">
        <v>2</v>
      </c>
      <c r="L2596" s="4"/>
    </row>
    <row r="2597" spans="1:12" x14ac:dyDescent="0.3">
      <c r="A2597" s="1">
        <v>42596</v>
      </c>
      <c r="B2597" s="1">
        <v>42598</v>
      </c>
      <c r="C2597" t="s">
        <v>0</v>
      </c>
      <c r="D2597" t="s">
        <v>1034</v>
      </c>
      <c r="E2597" t="s">
        <v>1035</v>
      </c>
      <c r="F2597" t="s">
        <v>3</v>
      </c>
      <c r="G2597" t="s">
        <v>4</v>
      </c>
      <c r="H2597" t="s">
        <v>15</v>
      </c>
      <c r="I2597" t="s">
        <v>2577</v>
      </c>
      <c r="J2597" s="2">
        <v>16.68</v>
      </c>
      <c r="K2597">
        <v>6</v>
      </c>
      <c r="L2597" s="4"/>
    </row>
    <row r="2598" spans="1:12" x14ac:dyDescent="0.3">
      <c r="A2598" s="1">
        <v>42596</v>
      </c>
      <c r="B2598" s="1">
        <v>42603</v>
      </c>
      <c r="C2598" t="s">
        <v>7</v>
      </c>
      <c r="D2598" t="s">
        <v>2695</v>
      </c>
      <c r="E2598" t="s">
        <v>2696</v>
      </c>
      <c r="F2598" t="s">
        <v>3</v>
      </c>
      <c r="G2598" t="s">
        <v>12</v>
      </c>
      <c r="H2598" t="s">
        <v>44</v>
      </c>
      <c r="I2598" t="s">
        <v>1897</v>
      </c>
      <c r="J2598" s="2">
        <v>418.29599999999994</v>
      </c>
      <c r="K2598">
        <v>3</v>
      </c>
      <c r="L2598" s="4"/>
    </row>
    <row r="2599" spans="1:12" x14ac:dyDescent="0.3">
      <c r="A2599" s="1">
        <v>42599</v>
      </c>
      <c r="B2599" s="1">
        <v>42606</v>
      </c>
      <c r="C2599" t="s">
        <v>7</v>
      </c>
      <c r="D2599" t="s">
        <v>1147</v>
      </c>
      <c r="E2599" t="s">
        <v>1148</v>
      </c>
      <c r="F2599" t="s">
        <v>3</v>
      </c>
      <c r="G2599" t="s">
        <v>4</v>
      </c>
      <c r="H2599" t="s">
        <v>29</v>
      </c>
      <c r="I2599" t="s">
        <v>190</v>
      </c>
      <c r="J2599" s="2">
        <v>23.36</v>
      </c>
      <c r="K2599">
        <v>2</v>
      </c>
      <c r="L2599" s="4"/>
    </row>
    <row r="2600" spans="1:12" x14ac:dyDescent="0.3">
      <c r="A2600" s="1">
        <v>42599</v>
      </c>
      <c r="B2600" s="1">
        <v>42606</v>
      </c>
      <c r="C2600" t="s">
        <v>7</v>
      </c>
      <c r="D2600" t="s">
        <v>1147</v>
      </c>
      <c r="E2600" t="s">
        <v>1148</v>
      </c>
      <c r="F2600" t="s">
        <v>3</v>
      </c>
      <c r="G2600" t="s">
        <v>74</v>
      </c>
      <c r="H2600" t="s">
        <v>147</v>
      </c>
      <c r="I2600" t="s">
        <v>2101</v>
      </c>
      <c r="J2600" s="2">
        <v>71.975999999999999</v>
      </c>
      <c r="K2600">
        <v>3</v>
      </c>
      <c r="L2600" s="4"/>
    </row>
    <row r="2601" spans="1:12" x14ac:dyDescent="0.3">
      <c r="A2601" s="1">
        <v>42599</v>
      </c>
      <c r="B2601" s="1">
        <v>42606</v>
      </c>
      <c r="C2601" t="s">
        <v>7</v>
      </c>
      <c r="D2601" t="s">
        <v>1147</v>
      </c>
      <c r="E2601" t="s">
        <v>1148</v>
      </c>
      <c r="F2601" t="s">
        <v>3</v>
      </c>
      <c r="G2601" t="s">
        <v>4</v>
      </c>
      <c r="H2601" t="s">
        <v>5</v>
      </c>
      <c r="I2601" t="s">
        <v>1324</v>
      </c>
      <c r="J2601" s="2">
        <v>8.56</v>
      </c>
      <c r="K2601">
        <v>2</v>
      </c>
      <c r="L2601" s="4"/>
    </row>
    <row r="2602" spans="1:12" x14ac:dyDescent="0.3">
      <c r="A2602" s="1">
        <v>42599</v>
      </c>
      <c r="B2602" s="1">
        <v>42606</v>
      </c>
      <c r="C2602" t="s">
        <v>7</v>
      </c>
      <c r="D2602" t="s">
        <v>1147</v>
      </c>
      <c r="E2602" t="s">
        <v>1148</v>
      </c>
      <c r="F2602" t="s">
        <v>3</v>
      </c>
      <c r="G2602" t="s">
        <v>4</v>
      </c>
      <c r="H2602" t="s">
        <v>26</v>
      </c>
      <c r="I2602" t="s">
        <v>1911</v>
      </c>
      <c r="J2602" s="2">
        <v>13.919999999999998</v>
      </c>
      <c r="K2602">
        <v>3</v>
      </c>
      <c r="L2602" s="4"/>
    </row>
    <row r="2603" spans="1:12" x14ac:dyDescent="0.3">
      <c r="A2603" s="1">
        <v>42599</v>
      </c>
      <c r="B2603" s="1">
        <v>42606</v>
      </c>
      <c r="C2603" t="s">
        <v>7</v>
      </c>
      <c r="D2603" t="s">
        <v>1147</v>
      </c>
      <c r="E2603" t="s">
        <v>1148</v>
      </c>
      <c r="F2603" t="s">
        <v>3</v>
      </c>
      <c r="G2603" t="s">
        <v>4</v>
      </c>
      <c r="H2603" t="s">
        <v>20</v>
      </c>
      <c r="I2603" t="s">
        <v>2697</v>
      </c>
      <c r="J2603" s="2">
        <v>2518.29</v>
      </c>
      <c r="K2603">
        <v>9</v>
      </c>
      <c r="L2603" s="4"/>
    </row>
    <row r="2604" spans="1:12" x14ac:dyDescent="0.3">
      <c r="A2604" s="1">
        <v>42599</v>
      </c>
      <c r="B2604" s="1">
        <v>42606</v>
      </c>
      <c r="C2604" t="s">
        <v>7</v>
      </c>
      <c r="D2604" t="s">
        <v>1147</v>
      </c>
      <c r="E2604" t="s">
        <v>1148</v>
      </c>
      <c r="F2604" t="s">
        <v>3</v>
      </c>
      <c r="G2604" t="s">
        <v>4</v>
      </c>
      <c r="H2604" t="s">
        <v>10</v>
      </c>
      <c r="I2604" t="s">
        <v>1001</v>
      </c>
      <c r="J2604" s="2">
        <v>540.56999999999994</v>
      </c>
      <c r="K2604">
        <v>3</v>
      </c>
      <c r="L2604" s="4"/>
    </row>
    <row r="2605" spans="1:12" x14ac:dyDescent="0.3">
      <c r="A2605" s="1">
        <v>42599</v>
      </c>
      <c r="B2605" s="1">
        <v>42606</v>
      </c>
      <c r="C2605" t="s">
        <v>7</v>
      </c>
      <c r="D2605" t="s">
        <v>1147</v>
      </c>
      <c r="E2605" t="s">
        <v>1148</v>
      </c>
      <c r="F2605" t="s">
        <v>3</v>
      </c>
      <c r="G2605" t="s">
        <v>4</v>
      </c>
      <c r="H2605" t="s">
        <v>26</v>
      </c>
      <c r="I2605" t="s">
        <v>61</v>
      </c>
      <c r="J2605" s="2">
        <v>221.05600000000001</v>
      </c>
      <c r="K2605">
        <v>8</v>
      </c>
      <c r="L2605" s="4"/>
    </row>
    <row r="2606" spans="1:12" x14ac:dyDescent="0.3">
      <c r="A2606" s="1">
        <v>42600</v>
      </c>
      <c r="B2606" s="1">
        <v>42604</v>
      </c>
      <c r="C2606" t="s">
        <v>7</v>
      </c>
      <c r="D2606" t="s">
        <v>251</v>
      </c>
      <c r="E2606" t="s">
        <v>252</v>
      </c>
      <c r="F2606" t="s">
        <v>56</v>
      </c>
      <c r="G2606" t="s">
        <v>4</v>
      </c>
      <c r="H2606" t="s">
        <v>10</v>
      </c>
      <c r="I2606" t="s">
        <v>725</v>
      </c>
      <c r="J2606" s="2">
        <v>323.10000000000002</v>
      </c>
      <c r="K2606">
        <v>2</v>
      </c>
      <c r="L2606" s="4"/>
    </row>
    <row r="2607" spans="1:12" x14ac:dyDescent="0.3">
      <c r="A2607" s="1">
        <v>42600</v>
      </c>
      <c r="B2607" s="1">
        <v>42604</v>
      </c>
      <c r="C2607" t="s">
        <v>7</v>
      </c>
      <c r="D2607" t="s">
        <v>2495</v>
      </c>
      <c r="E2607" t="s">
        <v>2496</v>
      </c>
      <c r="F2607" t="s">
        <v>56</v>
      </c>
      <c r="G2607" t="s">
        <v>74</v>
      </c>
      <c r="H2607" t="s">
        <v>75</v>
      </c>
      <c r="I2607" t="s">
        <v>1841</v>
      </c>
      <c r="J2607" s="2">
        <v>843.9</v>
      </c>
      <c r="K2607">
        <v>2</v>
      </c>
      <c r="L2607" s="4"/>
    </row>
    <row r="2608" spans="1:12" x14ac:dyDescent="0.3">
      <c r="A2608" s="1">
        <v>42600</v>
      </c>
      <c r="B2608" s="1">
        <v>42604</v>
      </c>
      <c r="C2608" t="s">
        <v>7</v>
      </c>
      <c r="D2608" t="s">
        <v>2495</v>
      </c>
      <c r="E2608" t="s">
        <v>2496</v>
      </c>
      <c r="F2608" t="s">
        <v>56</v>
      </c>
      <c r="G2608" t="s">
        <v>74</v>
      </c>
      <c r="H2608" t="s">
        <v>75</v>
      </c>
      <c r="I2608" t="s">
        <v>1227</v>
      </c>
      <c r="J2608" s="2">
        <v>1496.16</v>
      </c>
      <c r="K2608">
        <v>9</v>
      </c>
      <c r="L2608" s="4"/>
    </row>
    <row r="2609" spans="1:12" x14ac:dyDescent="0.3">
      <c r="A2609" s="1">
        <v>42600</v>
      </c>
      <c r="B2609" s="1">
        <v>42607</v>
      </c>
      <c r="C2609" t="s">
        <v>7</v>
      </c>
      <c r="D2609" t="s">
        <v>1789</v>
      </c>
      <c r="E2609" t="s">
        <v>1790</v>
      </c>
      <c r="F2609" t="s">
        <v>56</v>
      </c>
      <c r="G2609" t="s">
        <v>4</v>
      </c>
      <c r="H2609" t="s">
        <v>26</v>
      </c>
      <c r="I2609" t="s">
        <v>2698</v>
      </c>
      <c r="J2609" s="2">
        <v>2793.5280000000002</v>
      </c>
      <c r="K2609">
        <v>9</v>
      </c>
      <c r="L2609" s="4"/>
    </row>
    <row r="2610" spans="1:12" x14ac:dyDescent="0.3">
      <c r="A2610" s="1">
        <v>42600</v>
      </c>
      <c r="B2610" s="1">
        <v>42607</v>
      </c>
      <c r="C2610" t="s">
        <v>7</v>
      </c>
      <c r="D2610" t="s">
        <v>1789</v>
      </c>
      <c r="E2610" t="s">
        <v>1790</v>
      </c>
      <c r="F2610" t="s">
        <v>56</v>
      </c>
      <c r="G2610" t="s">
        <v>4</v>
      </c>
      <c r="H2610" t="s">
        <v>10</v>
      </c>
      <c r="I2610" t="s">
        <v>1088</v>
      </c>
      <c r="J2610" s="2">
        <v>1000.0200000000001</v>
      </c>
      <c r="K2610">
        <v>7</v>
      </c>
      <c r="L2610" s="4"/>
    </row>
    <row r="2611" spans="1:12" x14ac:dyDescent="0.3">
      <c r="A2611" s="1">
        <v>42600</v>
      </c>
      <c r="B2611" s="1">
        <v>42607</v>
      </c>
      <c r="C2611" t="s">
        <v>7</v>
      </c>
      <c r="D2611" t="s">
        <v>1789</v>
      </c>
      <c r="E2611" t="s">
        <v>1790</v>
      </c>
      <c r="F2611" t="s">
        <v>56</v>
      </c>
      <c r="G2611" t="s">
        <v>12</v>
      </c>
      <c r="H2611" t="s">
        <v>35</v>
      </c>
      <c r="I2611" t="s">
        <v>1884</v>
      </c>
      <c r="J2611" s="2">
        <v>65.94</v>
      </c>
      <c r="K2611">
        <v>3</v>
      </c>
      <c r="L2611" s="4"/>
    </row>
    <row r="2612" spans="1:12" x14ac:dyDescent="0.3">
      <c r="A2612" s="1">
        <v>42601</v>
      </c>
      <c r="B2612" s="1">
        <v>42605</v>
      </c>
      <c r="C2612" t="s">
        <v>7</v>
      </c>
      <c r="D2612" t="s">
        <v>1229</v>
      </c>
      <c r="E2612" t="s">
        <v>1230</v>
      </c>
      <c r="F2612" t="s">
        <v>126</v>
      </c>
      <c r="G2612" t="s">
        <v>4</v>
      </c>
      <c r="H2612" t="s">
        <v>26</v>
      </c>
      <c r="I2612" t="s">
        <v>2404</v>
      </c>
      <c r="J2612" s="2">
        <v>102.72</v>
      </c>
      <c r="K2612">
        <v>3</v>
      </c>
      <c r="L2612" s="4"/>
    </row>
    <row r="2613" spans="1:12" x14ac:dyDescent="0.3">
      <c r="A2613" s="1">
        <v>42602</v>
      </c>
      <c r="B2613" s="1">
        <v>42604</v>
      </c>
      <c r="C2613" t="s">
        <v>0</v>
      </c>
      <c r="D2613" t="s">
        <v>555</v>
      </c>
      <c r="E2613" t="s">
        <v>556</v>
      </c>
      <c r="F2613" t="s">
        <v>3</v>
      </c>
      <c r="G2613" t="s">
        <v>4</v>
      </c>
      <c r="H2613" t="s">
        <v>26</v>
      </c>
      <c r="I2613" t="s">
        <v>745</v>
      </c>
      <c r="J2613" s="2">
        <v>239.12000000000003</v>
      </c>
      <c r="K2613">
        <v>5</v>
      </c>
      <c r="L2613" s="4"/>
    </row>
    <row r="2614" spans="1:12" x14ac:dyDescent="0.3">
      <c r="A2614" s="1">
        <v>42602</v>
      </c>
      <c r="B2614" s="1">
        <v>42607</v>
      </c>
      <c r="C2614" t="s">
        <v>7</v>
      </c>
      <c r="D2614" t="s">
        <v>615</v>
      </c>
      <c r="E2614" t="s">
        <v>616</v>
      </c>
      <c r="F2614" t="s">
        <v>3</v>
      </c>
      <c r="G2614" t="s">
        <v>4</v>
      </c>
      <c r="H2614" t="s">
        <v>78</v>
      </c>
      <c r="I2614" t="s">
        <v>2699</v>
      </c>
      <c r="J2614" s="2">
        <v>17.22</v>
      </c>
      <c r="K2614">
        <v>3</v>
      </c>
      <c r="L2614" s="4"/>
    </row>
    <row r="2615" spans="1:12" x14ac:dyDescent="0.3">
      <c r="A2615" s="1">
        <v>42602</v>
      </c>
      <c r="B2615" s="1">
        <v>42607</v>
      </c>
      <c r="C2615" t="s">
        <v>7</v>
      </c>
      <c r="D2615" t="s">
        <v>615</v>
      </c>
      <c r="E2615" t="s">
        <v>616</v>
      </c>
      <c r="F2615" t="s">
        <v>3</v>
      </c>
      <c r="G2615" t="s">
        <v>4</v>
      </c>
      <c r="H2615" t="s">
        <v>10</v>
      </c>
      <c r="I2615" t="s">
        <v>2700</v>
      </c>
      <c r="J2615" s="2">
        <v>226.56</v>
      </c>
      <c r="K2615">
        <v>6</v>
      </c>
      <c r="L2615" s="4"/>
    </row>
    <row r="2616" spans="1:12" x14ac:dyDescent="0.3">
      <c r="A2616" s="1">
        <v>42602</v>
      </c>
      <c r="B2616" s="1">
        <v>42607</v>
      </c>
      <c r="C2616" t="s">
        <v>7</v>
      </c>
      <c r="D2616" t="s">
        <v>615</v>
      </c>
      <c r="E2616" t="s">
        <v>616</v>
      </c>
      <c r="F2616" t="s">
        <v>3</v>
      </c>
      <c r="G2616" t="s">
        <v>74</v>
      </c>
      <c r="H2616" t="s">
        <v>147</v>
      </c>
      <c r="I2616" t="s">
        <v>2701</v>
      </c>
      <c r="J2616" s="2">
        <v>107.88</v>
      </c>
      <c r="K2616">
        <v>3</v>
      </c>
      <c r="L2616" s="4"/>
    </row>
    <row r="2617" spans="1:12" x14ac:dyDescent="0.3">
      <c r="A2617" s="1">
        <v>42602</v>
      </c>
      <c r="B2617" s="1">
        <v>42609</v>
      </c>
      <c r="C2617" t="s">
        <v>7</v>
      </c>
      <c r="D2617" t="s">
        <v>113</v>
      </c>
      <c r="E2617" t="s">
        <v>114</v>
      </c>
      <c r="F2617" t="s">
        <v>3</v>
      </c>
      <c r="G2617" t="s">
        <v>4</v>
      </c>
      <c r="H2617" t="s">
        <v>5</v>
      </c>
      <c r="I2617" t="s">
        <v>1709</v>
      </c>
      <c r="J2617" s="2">
        <v>25.92</v>
      </c>
      <c r="K2617">
        <v>4</v>
      </c>
      <c r="L2617" s="4"/>
    </row>
    <row r="2618" spans="1:12" x14ac:dyDescent="0.3">
      <c r="A2618" s="1">
        <v>42603</v>
      </c>
      <c r="B2618" s="1">
        <v>42604</v>
      </c>
      <c r="C2618" t="s">
        <v>22</v>
      </c>
      <c r="D2618" t="s">
        <v>2702</v>
      </c>
      <c r="E2618" t="s">
        <v>2703</v>
      </c>
      <c r="F2618" t="s">
        <v>3</v>
      </c>
      <c r="G2618" t="s">
        <v>4</v>
      </c>
      <c r="H2618" t="s">
        <v>15</v>
      </c>
      <c r="I2618" t="s">
        <v>1474</v>
      </c>
      <c r="J2618" s="2">
        <v>17.12</v>
      </c>
      <c r="K2618">
        <v>4</v>
      </c>
      <c r="L2618" s="4"/>
    </row>
    <row r="2619" spans="1:12" x14ac:dyDescent="0.3">
      <c r="A2619" s="1">
        <v>42603</v>
      </c>
      <c r="B2619" s="1">
        <v>42604</v>
      </c>
      <c r="C2619" t="s">
        <v>22</v>
      </c>
      <c r="D2619" t="s">
        <v>2702</v>
      </c>
      <c r="E2619" t="s">
        <v>2703</v>
      </c>
      <c r="F2619" t="s">
        <v>3</v>
      </c>
      <c r="G2619" t="s">
        <v>74</v>
      </c>
      <c r="H2619" t="s">
        <v>147</v>
      </c>
      <c r="I2619" t="s">
        <v>2704</v>
      </c>
      <c r="J2619" s="2">
        <v>431.96800000000007</v>
      </c>
      <c r="K2619">
        <v>4</v>
      </c>
      <c r="L2619" s="4"/>
    </row>
    <row r="2620" spans="1:12" x14ac:dyDescent="0.3">
      <c r="A2620" s="1">
        <v>42603</v>
      </c>
      <c r="B2620" s="1">
        <v>42604</v>
      </c>
      <c r="C2620" t="s">
        <v>22</v>
      </c>
      <c r="D2620" t="s">
        <v>2702</v>
      </c>
      <c r="E2620" t="s">
        <v>2703</v>
      </c>
      <c r="F2620" t="s">
        <v>3</v>
      </c>
      <c r="G2620" t="s">
        <v>12</v>
      </c>
      <c r="H2620" t="s">
        <v>35</v>
      </c>
      <c r="I2620" t="s">
        <v>2705</v>
      </c>
      <c r="J2620" s="2">
        <v>129.91999999999999</v>
      </c>
      <c r="K2620">
        <v>4</v>
      </c>
      <c r="L2620" s="4"/>
    </row>
    <row r="2621" spans="1:12" x14ac:dyDescent="0.3">
      <c r="A2621" s="1">
        <v>42603</v>
      </c>
      <c r="B2621" s="1">
        <v>42604</v>
      </c>
      <c r="C2621" t="s">
        <v>22</v>
      </c>
      <c r="D2621" t="s">
        <v>2702</v>
      </c>
      <c r="E2621" t="s">
        <v>2703</v>
      </c>
      <c r="F2621" t="s">
        <v>3</v>
      </c>
      <c r="G2621" t="s">
        <v>12</v>
      </c>
      <c r="H2621" t="s">
        <v>44</v>
      </c>
      <c r="I2621" t="s">
        <v>358</v>
      </c>
      <c r="J2621" s="2">
        <v>568.72800000000007</v>
      </c>
      <c r="K2621">
        <v>3</v>
      </c>
      <c r="L2621" s="4"/>
    </row>
    <row r="2622" spans="1:12" x14ac:dyDescent="0.3">
      <c r="A2622" s="1">
        <v>42603</v>
      </c>
      <c r="B2622" s="1">
        <v>42604</v>
      </c>
      <c r="C2622" t="s">
        <v>22</v>
      </c>
      <c r="D2622" t="s">
        <v>2702</v>
      </c>
      <c r="E2622" t="s">
        <v>2703</v>
      </c>
      <c r="F2622" t="s">
        <v>3</v>
      </c>
      <c r="G2622" t="s">
        <v>4</v>
      </c>
      <c r="H2622" t="s">
        <v>26</v>
      </c>
      <c r="I2622" t="s">
        <v>1508</v>
      </c>
      <c r="J2622" s="2">
        <v>117.14400000000001</v>
      </c>
      <c r="K2622">
        <v>9</v>
      </c>
      <c r="L2622" s="4"/>
    </row>
    <row r="2623" spans="1:12" x14ac:dyDescent="0.3">
      <c r="A2623" s="1">
        <v>42603</v>
      </c>
      <c r="B2623" s="1">
        <v>42604</v>
      </c>
      <c r="C2623" t="s">
        <v>22</v>
      </c>
      <c r="D2623" t="s">
        <v>2702</v>
      </c>
      <c r="E2623" t="s">
        <v>2703</v>
      </c>
      <c r="F2623" t="s">
        <v>3</v>
      </c>
      <c r="G2623" t="s">
        <v>4</v>
      </c>
      <c r="H2623" t="s">
        <v>20</v>
      </c>
      <c r="I2623" t="s">
        <v>1733</v>
      </c>
      <c r="J2623" s="2">
        <v>203.52</v>
      </c>
      <c r="K2623">
        <v>3</v>
      </c>
      <c r="L2623" s="4"/>
    </row>
    <row r="2624" spans="1:12" x14ac:dyDescent="0.3">
      <c r="A2624" s="1">
        <v>42603</v>
      </c>
      <c r="B2624" s="1">
        <v>42604</v>
      </c>
      <c r="C2624" t="s">
        <v>22</v>
      </c>
      <c r="D2624" t="s">
        <v>2702</v>
      </c>
      <c r="E2624" t="s">
        <v>2703</v>
      </c>
      <c r="F2624" t="s">
        <v>3</v>
      </c>
      <c r="G2624" t="s">
        <v>4</v>
      </c>
      <c r="H2624" t="s">
        <v>168</v>
      </c>
      <c r="I2624" t="s">
        <v>2706</v>
      </c>
      <c r="J2624" s="2">
        <v>51.75</v>
      </c>
      <c r="K2624">
        <v>5</v>
      </c>
      <c r="L2624" s="4"/>
    </row>
    <row r="2625" spans="1:12" x14ac:dyDescent="0.3">
      <c r="A2625" s="1">
        <v>42603</v>
      </c>
      <c r="B2625" s="1">
        <v>42603</v>
      </c>
      <c r="C2625" t="s">
        <v>240</v>
      </c>
      <c r="D2625" t="s">
        <v>2131</v>
      </c>
      <c r="E2625" t="s">
        <v>2132</v>
      </c>
      <c r="F2625" t="s">
        <v>25</v>
      </c>
      <c r="G2625" t="s">
        <v>4</v>
      </c>
      <c r="H2625" t="s">
        <v>5</v>
      </c>
      <c r="I2625" t="s">
        <v>917</v>
      </c>
      <c r="J2625" s="2">
        <v>83.88</v>
      </c>
      <c r="K2625">
        <v>1</v>
      </c>
      <c r="L2625" s="4"/>
    </row>
    <row r="2626" spans="1:12" x14ac:dyDescent="0.3">
      <c r="A2626" s="1">
        <v>42603</v>
      </c>
      <c r="B2626" s="1">
        <v>42607</v>
      </c>
      <c r="C2626" t="s">
        <v>0</v>
      </c>
      <c r="D2626" t="s">
        <v>2244</v>
      </c>
      <c r="E2626" t="s">
        <v>2245</v>
      </c>
      <c r="F2626" t="s">
        <v>56</v>
      </c>
      <c r="G2626" t="s">
        <v>12</v>
      </c>
      <c r="H2626" t="s">
        <v>70</v>
      </c>
      <c r="I2626" t="s">
        <v>2375</v>
      </c>
      <c r="J2626" s="2">
        <v>388.70400000000006</v>
      </c>
      <c r="K2626">
        <v>6</v>
      </c>
      <c r="L2626" s="4"/>
    </row>
    <row r="2627" spans="1:12" x14ac:dyDescent="0.3">
      <c r="A2627" s="1">
        <v>42603</v>
      </c>
      <c r="B2627" s="1">
        <v>42607</v>
      </c>
      <c r="C2627" t="s">
        <v>0</v>
      </c>
      <c r="D2627" t="s">
        <v>2244</v>
      </c>
      <c r="E2627" t="s">
        <v>2245</v>
      </c>
      <c r="F2627" t="s">
        <v>56</v>
      </c>
      <c r="G2627" t="s">
        <v>4</v>
      </c>
      <c r="H2627" t="s">
        <v>10</v>
      </c>
      <c r="I2627" t="s">
        <v>2591</v>
      </c>
      <c r="J2627" s="2">
        <v>572.58000000000004</v>
      </c>
      <c r="K2627">
        <v>6</v>
      </c>
      <c r="L2627" s="4"/>
    </row>
    <row r="2628" spans="1:12" x14ac:dyDescent="0.3">
      <c r="A2628" s="1">
        <v>42603</v>
      </c>
      <c r="B2628" s="1">
        <v>42607</v>
      </c>
      <c r="C2628" t="s">
        <v>0</v>
      </c>
      <c r="D2628" t="s">
        <v>2244</v>
      </c>
      <c r="E2628" t="s">
        <v>2245</v>
      </c>
      <c r="F2628" t="s">
        <v>56</v>
      </c>
      <c r="G2628" t="s">
        <v>74</v>
      </c>
      <c r="H2628" t="s">
        <v>75</v>
      </c>
      <c r="I2628" t="s">
        <v>2309</v>
      </c>
      <c r="J2628" s="2">
        <v>33.18</v>
      </c>
      <c r="K2628">
        <v>2</v>
      </c>
      <c r="L2628" s="4"/>
    </row>
    <row r="2629" spans="1:12" x14ac:dyDescent="0.3">
      <c r="A2629" s="1">
        <v>42603</v>
      </c>
      <c r="B2629" s="1">
        <v>42607</v>
      </c>
      <c r="C2629" t="s">
        <v>7</v>
      </c>
      <c r="D2629" t="s">
        <v>2707</v>
      </c>
      <c r="E2629" t="s">
        <v>2708</v>
      </c>
      <c r="F2629" t="s">
        <v>115</v>
      </c>
      <c r="G2629" t="s">
        <v>4</v>
      </c>
      <c r="H2629" t="s">
        <v>10</v>
      </c>
      <c r="I2629" t="s">
        <v>951</v>
      </c>
      <c r="J2629" s="2">
        <v>237.09600000000003</v>
      </c>
      <c r="K2629">
        <v>3</v>
      </c>
      <c r="L2629" s="4"/>
    </row>
    <row r="2630" spans="1:12" x14ac:dyDescent="0.3">
      <c r="A2630" s="1">
        <v>42603</v>
      </c>
      <c r="B2630" s="1">
        <v>42607</v>
      </c>
      <c r="C2630" t="s">
        <v>7</v>
      </c>
      <c r="D2630" t="s">
        <v>2707</v>
      </c>
      <c r="E2630" t="s">
        <v>2708</v>
      </c>
      <c r="F2630" t="s">
        <v>115</v>
      </c>
      <c r="G2630" t="s">
        <v>12</v>
      </c>
      <c r="H2630" t="s">
        <v>35</v>
      </c>
      <c r="I2630" t="s">
        <v>2709</v>
      </c>
      <c r="J2630" s="2">
        <v>22.752000000000002</v>
      </c>
      <c r="K2630">
        <v>3</v>
      </c>
      <c r="L2630" s="4"/>
    </row>
    <row r="2631" spans="1:12" x14ac:dyDescent="0.3">
      <c r="A2631" s="1">
        <v>42603</v>
      </c>
      <c r="B2631" s="1">
        <v>42607</v>
      </c>
      <c r="C2631" t="s">
        <v>7</v>
      </c>
      <c r="D2631" t="s">
        <v>2707</v>
      </c>
      <c r="E2631" t="s">
        <v>2708</v>
      </c>
      <c r="F2631" t="s">
        <v>115</v>
      </c>
      <c r="G2631" t="s">
        <v>4</v>
      </c>
      <c r="H2631" t="s">
        <v>5</v>
      </c>
      <c r="I2631" t="s">
        <v>1351</v>
      </c>
      <c r="J2631" s="2">
        <v>6.6720000000000006</v>
      </c>
      <c r="K2631">
        <v>1</v>
      </c>
      <c r="L2631" s="4"/>
    </row>
    <row r="2632" spans="1:12" x14ac:dyDescent="0.3">
      <c r="A2632" s="1">
        <v>42604</v>
      </c>
      <c r="B2632" s="1">
        <v>42605</v>
      </c>
      <c r="C2632" t="s">
        <v>22</v>
      </c>
      <c r="D2632" t="s">
        <v>2710</v>
      </c>
      <c r="E2632" t="s">
        <v>2711</v>
      </c>
      <c r="F2632" t="s">
        <v>3</v>
      </c>
      <c r="G2632" t="s">
        <v>12</v>
      </c>
      <c r="H2632" t="s">
        <v>44</v>
      </c>
      <c r="I2632" t="s">
        <v>1184</v>
      </c>
      <c r="J2632" s="2">
        <v>210.00800000000001</v>
      </c>
      <c r="K2632">
        <v>1</v>
      </c>
      <c r="L2632" s="4"/>
    </row>
    <row r="2633" spans="1:12" x14ac:dyDescent="0.3">
      <c r="A2633" s="1">
        <v>42609</v>
      </c>
      <c r="B2633" s="1">
        <v>42611</v>
      </c>
      <c r="C2633" t="s">
        <v>0</v>
      </c>
      <c r="D2633" t="s">
        <v>1942</v>
      </c>
      <c r="E2633" t="s">
        <v>1943</v>
      </c>
      <c r="F2633" t="s">
        <v>3</v>
      </c>
      <c r="G2633" t="s">
        <v>12</v>
      </c>
      <c r="H2633" t="s">
        <v>35</v>
      </c>
      <c r="I2633" t="s">
        <v>1507</v>
      </c>
      <c r="J2633" s="2">
        <v>198.46</v>
      </c>
      <c r="K2633">
        <v>2</v>
      </c>
      <c r="L2633" s="4"/>
    </row>
    <row r="2634" spans="1:12" x14ac:dyDescent="0.3">
      <c r="A2634" s="1">
        <v>42609</v>
      </c>
      <c r="B2634" s="1">
        <v>42611</v>
      </c>
      <c r="C2634" t="s">
        <v>0</v>
      </c>
      <c r="D2634" t="s">
        <v>1942</v>
      </c>
      <c r="E2634" t="s">
        <v>1943</v>
      </c>
      <c r="F2634" t="s">
        <v>3</v>
      </c>
      <c r="G2634" t="s">
        <v>4</v>
      </c>
      <c r="H2634" t="s">
        <v>20</v>
      </c>
      <c r="I2634" t="s">
        <v>918</v>
      </c>
      <c r="J2634" s="2">
        <v>321.92</v>
      </c>
      <c r="K2634">
        <v>4</v>
      </c>
      <c r="L2634" s="4"/>
    </row>
    <row r="2635" spans="1:12" x14ac:dyDescent="0.3">
      <c r="A2635" s="1">
        <v>42609</v>
      </c>
      <c r="B2635" s="1">
        <v>42611</v>
      </c>
      <c r="C2635" t="s">
        <v>0</v>
      </c>
      <c r="D2635" t="s">
        <v>1942</v>
      </c>
      <c r="E2635" t="s">
        <v>1943</v>
      </c>
      <c r="F2635" t="s">
        <v>3</v>
      </c>
      <c r="G2635" t="s">
        <v>74</v>
      </c>
      <c r="H2635" t="s">
        <v>534</v>
      </c>
      <c r="I2635" t="s">
        <v>1654</v>
      </c>
      <c r="J2635" s="2">
        <v>879.98400000000004</v>
      </c>
      <c r="K2635">
        <v>2</v>
      </c>
      <c r="L2635" s="4"/>
    </row>
    <row r="2636" spans="1:12" x14ac:dyDescent="0.3">
      <c r="A2636" s="1">
        <v>42609</v>
      </c>
      <c r="B2636" s="1">
        <v>42611</v>
      </c>
      <c r="C2636" t="s">
        <v>0</v>
      </c>
      <c r="D2636" t="s">
        <v>1942</v>
      </c>
      <c r="E2636" t="s">
        <v>1943</v>
      </c>
      <c r="F2636" t="s">
        <v>3</v>
      </c>
      <c r="G2636" t="s">
        <v>4</v>
      </c>
      <c r="H2636" t="s">
        <v>78</v>
      </c>
      <c r="I2636" t="s">
        <v>2331</v>
      </c>
      <c r="J2636" s="2">
        <v>28.4</v>
      </c>
      <c r="K2636">
        <v>5</v>
      </c>
      <c r="L2636" s="4"/>
    </row>
    <row r="2637" spans="1:12" x14ac:dyDescent="0.3">
      <c r="A2637" s="1">
        <v>42609</v>
      </c>
      <c r="B2637" s="1">
        <v>42611</v>
      </c>
      <c r="C2637" t="s">
        <v>0</v>
      </c>
      <c r="D2637" t="s">
        <v>1942</v>
      </c>
      <c r="E2637" t="s">
        <v>1943</v>
      </c>
      <c r="F2637" t="s">
        <v>3</v>
      </c>
      <c r="G2637" t="s">
        <v>12</v>
      </c>
      <c r="H2637" t="s">
        <v>70</v>
      </c>
      <c r="I2637" t="s">
        <v>268</v>
      </c>
      <c r="J2637" s="2">
        <v>230.28000000000003</v>
      </c>
      <c r="K2637">
        <v>3</v>
      </c>
      <c r="L2637" s="4"/>
    </row>
    <row r="2638" spans="1:12" x14ac:dyDescent="0.3">
      <c r="A2638" s="1">
        <v>42609</v>
      </c>
      <c r="B2638" s="1">
        <v>42611</v>
      </c>
      <c r="C2638" t="s">
        <v>0</v>
      </c>
      <c r="D2638" t="s">
        <v>1942</v>
      </c>
      <c r="E2638" t="s">
        <v>1943</v>
      </c>
      <c r="F2638" t="s">
        <v>3</v>
      </c>
      <c r="G2638" t="s">
        <v>4</v>
      </c>
      <c r="H2638" t="s">
        <v>5</v>
      </c>
      <c r="I2638" t="s">
        <v>512</v>
      </c>
      <c r="J2638" s="2">
        <v>116.28</v>
      </c>
      <c r="K2638">
        <v>3</v>
      </c>
      <c r="L2638" s="4"/>
    </row>
    <row r="2639" spans="1:12" x14ac:dyDescent="0.3">
      <c r="A2639" s="1">
        <v>42609</v>
      </c>
      <c r="B2639" s="1">
        <v>42611</v>
      </c>
      <c r="C2639" t="s">
        <v>0</v>
      </c>
      <c r="D2639" t="s">
        <v>1942</v>
      </c>
      <c r="E2639" t="s">
        <v>1943</v>
      </c>
      <c r="F2639" t="s">
        <v>3</v>
      </c>
      <c r="G2639" t="s">
        <v>4</v>
      </c>
      <c r="H2639" t="s">
        <v>26</v>
      </c>
      <c r="I2639" t="s">
        <v>1108</v>
      </c>
      <c r="J2639" s="2">
        <v>841.5680000000001</v>
      </c>
      <c r="K2639">
        <v>2</v>
      </c>
      <c r="L2639" s="4"/>
    </row>
    <row r="2640" spans="1:12" x14ac:dyDescent="0.3">
      <c r="A2640" s="1">
        <v>42609</v>
      </c>
      <c r="B2640" s="1">
        <v>42611</v>
      </c>
      <c r="C2640" t="s">
        <v>0</v>
      </c>
      <c r="D2640" t="s">
        <v>1942</v>
      </c>
      <c r="E2640" t="s">
        <v>1943</v>
      </c>
      <c r="F2640" t="s">
        <v>3</v>
      </c>
      <c r="G2640" t="s">
        <v>4</v>
      </c>
      <c r="H2640" t="s">
        <v>10</v>
      </c>
      <c r="I2640" t="s">
        <v>2249</v>
      </c>
      <c r="J2640" s="2">
        <v>354.90000000000003</v>
      </c>
      <c r="K2640">
        <v>5</v>
      </c>
      <c r="L2640" s="4"/>
    </row>
    <row r="2641" spans="1:12" x14ac:dyDescent="0.3">
      <c r="A2641" s="1">
        <v>42609</v>
      </c>
      <c r="B2641" s="1">
        <v>42613</v>
      </c>
      <c r="C2641" t="s">
        <v>7</v>
      </c>
      <c r="D2641" t="s">
        <v>2212</v>
      </c>
      <c r="E2641" t="s">
        <v>2213</v>
      </c>
      <c r="F2641" t="s">
        <v>25</v>
      </c>
      <c r="G2641" t="s">
        <v>12</v>
      </c>
      <c r="H2641" t="s">
        <v>35</v>
      </c>
      <c r="I2641" t="s">
        <v>1263</v>
      </c>
      <c r="J2641" s="2">
        <v>120.57600000000001</v>
      </c>
      <c r="K2641">
        <v>8</v>
      </c>
      <c r="L2641" s="4"/>
    </row>
    <row r="2642" spans="1:12" x14ac:dyDescent="0.3">
      <c r="A2642" s="1">
        <v>42610</v>
      </c>
      <c r="B2642" s="1">
        <v>42616</v>
      </c>
      <c r="C2642" t="s">
        <v>7</v>
      </c>
      <c r="D2642" t="s">
        <v>2133</v>
      </c>
      <c r="E2642" t="s">
        <v>2134</v>
      </c>
      <c r="F2642" t="s">
        <v>56</v>
      </c>
      <c r="G2642" t="s">
        <v>74</v>
      </c>
      <c r="H2642" t="s">
        <v>147</v>
      </c>
      <c r="I2642" t="s">
        <v>2712</v>
      </c>
      <c r="J2642" s="2">
        <v>35.167999999999999</v>
      </c>
      <c r="K2642">
        <v>4</v>
      </c>
      <c r="L2642" s="4"/>
    </row>
    <row r="2643" spans="1:12" x14ac:dyDescent="0.3">
      <c r="A2643" s="1">
        <v>42610</v>
      </c>
      <c r="B2643" s="1">
        <v>42616</v>
      </c>
      <c r="C2643" t="s">
        <v>7</v>
      </c>
      <c r="D2643" t="s">
        <v>2133</v>
      </c>
      <c r="E2643" t="s">
        <v>2134</v>
      </c>
      <c r="F2643" t="s">
        <v>56</v>
      </c>
      <c r="G2643" t="s">
        <v>12</v>
      </c>
      <c r="H2643" t="s">
        <v>44</v>
      </c>
      <c r="I2643" t="s">
        <v>2713</v>
      </c>
      <c r="J2643" s="2">
        <v>1137.75</v>
      </c>
      <c r="K2643">
        <v>5</v>
      </c>
      <c r="L2643" s="4"/>
    </row>
    <row r="2644" spans="1:12" x14ac:dyDescent="0.3">
      <c r="A2644" s="1">
        <v>42610</v>
      </c>
      <c r="B2644" s="1">
        <v>42616</v>
      </c>
      <c r="C2644" t="s">
        <v>7</v>
      </c>
      <c r="D2644" t="s">
        <v>2133</v>
      </c>
      <c r="E2644" t="s">
        <v>2134</v>
      </c>
      <c r="F2644" t="s">
        <v>56</v>
      </c>
      <c r="G2644" t="s">
        <v>4</v>
      </c>
      <c r="H2644" t="s">
        <v>26</v>
      </c>
      <c r="I2644" t="s">
        <v>343</v>
      </c>
      <c r="J2644" s="2">
        <v>99.680000000000021</v>
      </c>
      <c r="K2644">
        <v>5</v>
      </c>
      <c r="L2644" s="4"/>
    </row>
    <row r="2645" spans="1:12" x14ac:dyDescent="0.3">
      <c r="A2645" s="1">
        <v>42610</v>
      </c>
      <c r="B2645" s="1">
        <v>42616</v>
      </c>
      <c r="C2645" t="s">
        <v>7</v>
      </c>
      <c r="D2645" t="s">
        <v>2133</v>
      </c>
      <c r="E2645" t="s">
        <v>2134</v>
      </c>
      <c r="F2645" t="s">
        <v>56</v>
      </c>
      <c r="G2645" t="s">
        <v>4</v>
      </c>
      <c r="H2645" t="s">
        <v>15</v>
      </c>
      <c r="I2645" t="s">
        <v>2714</v>
      </c>
      <c r="J2645" s="2">
        <v>5.56</v>
      </c>
      <c r="K2645">
        <v>2</v>
      </c>
      <c r="L2645" s="4"/>
    </row>
    <row r="2646" spans="1:12" x14ac:dyDescent="0.3">
      <c r="A2646" s="1">
        <v>42611</v>
      </c>
      <c r="B2646" s="1">
        <v>42617</v>
      </c>
      <c r="C2646" t="s">
        <v>7</v>
      </c>
      <c r="D2646" t="s">
        <v>1147</v>
      </c>
      <c r="E2646" t="s">
        <v>1148</v>
      </c>
      <c r="F2646" t="s">
        <v>3</v>
      </c>
      <c r="G2646" t="s">
        <v>12</v>
      </c>
      <c r="H2646" t="s">
        <v>35</v>
      </c>
      <c r="I2646" t="s">
        <v>2715</v>
      </c>
      <c r="J2646" s="2">
        <v>148.02000000000001</v>
      </c>
      <c r="K2646">
        <v>3</v>
      </c>
      <c r="L2646" s="4"/>
    </row>
    <row r="2647" spans="1:12" x14ac:dyDescent="0.3">
      <c r="A2647" s="1">
        <v>42613</v>
      </c>
      <c r="B2647" s="1">
        <v>42618</v>
      </c>
      <c r="C2647" t="s">
        <v>7</v>
      </c>
      <c r="D2647" t="s">
        <v>788</v>
      </c>
      <c r="E2647" t="s">
        <v>789</v>
      </c>
      <c r="F2647" t="s">
        <v>25</v>
      </c>
      <c r="G2647" t="s">
        <v>4</v>
      </c>
      <c r="H2647" t="s">
        <v>10</v>
      </c>
      <c r="I2647" t="s">
        <v>1270</v>
      </c>
      <c r="J2647" s="2">
        <v>10.744</v>
      </c>
      <c r="K2647">
        <v>1</v>
      </c>
      <c r="L2647" s="4"/>
    </row>
    <row r="2648" spans="1:12" x14ac:dyDescent="0.3">
      <c r="A2648" s="1">
        <v>42613</v>
      </c>
      <c r="B2648" s="1">
        <v>42618</v>
      </c>
      <c r="C2648" t="s">
        <v>7</v>
      </c>
      <c r="D2648" t="s">
        <v>788</v>
      </c>
      <c r="E2648" t="s">
        <v>789</v>
      </c>
      <c r="F2648" t="s">
        <v>25</v>
      </c>
      <c r="G2648" t="s">
        <v>4</v>
      </c>
      <c r="H2648" t="s">
        <v>52</v>
      </c>
      <c r="I2648" t="s">
        <v>1662</v>
      </c>
      <c r="J2648" s="2">
        <v>8.3760000000000012</v>
      </c>
      <c r="K2648">
        <v>3</v>
      </c>
      <c r="L2648" s="4"/>
    </row>
    <row r="2649" spans="1:12" x14ac:dyDescent="0.3">
      <c r="A2649" s="1">
        <v>42613</v>
      </c>
      <c r="B2649" s="1">
        <v>42617</v>
      </c>
      <c r="C2649" t="s">
        <v>7</v>
      </c>
      <c r="D2649" t="s">
        <v>1695</v>
      </c>
      <c r="E2649" t="s">
        <v>1696</v>
      </c>
      <c r="F2649" t="s">
        <v>3</v>
      </c>
      <c r="G2649" t="s">
        <v>4</v>
      </c>
      <c r="H2649" t="s">
        <v>26</v>
      </c>
      <c r="I2649" t="s">
        <v>2666</v>
      </c>
      <c r="J2649" s="2">
        <v>6.6719999999999988</v>
      </c>
      <c r="K2649">
        <v>3</v>
      </c>
      <c r="L2649" s="4"/>
    </row>
    <row r="2650" spans="1:12" x14ac:dyDescent="0.3">
      <c r="A2650" s="1">
        <v>42613</v>
      </c>
      <c r="B2650" s="1">
        <v>42617</v>
      </c>
      <c r="C2650" t="s">
        <v>7</v>
      </c>
      <c r="D2650" t="s">
        <v>1695</v>
      </c>
      <c r="E2650" t="s">
        <v>1696</v>
      </c>
      <c r="F2650" t="s">
        <v>3</v>
      </c>
      <c r="G2650" t="s">
        <v>74</v>
      </c>
      <c r="H2650" t="s">
        <v>147</v>
      </c>
      <c r="I2650" t="s">
        <v>2604</v>
      </c>
      <c r="J2650" s="2">
        <v>689.40800000000002</v>
      </c>
      <c r="K2650">
        <v>4</v>
      </c>
      <c r="L2650" s="4"/>
    </row>
    <row r="2651" spans="1:12" x14ac:dyDescent="0.3">
      <c r="A2651" s="1">
        <v>42613</v>
      </c>
      <c r="B2651" s="1">
        <v>42615</v>
      </c>
      <c r="C2651" t="s">
        <v>0</v>
      </c>
      <c r="D2651" t="s">
        <v>1294</v>
      </c>
      <c r="E2651" t="s">
        <v>1295</v>
      </c>
      <c r="F2651" t="s">
        <v>56</v>
      </c>
      <c r="G2651" t="s">
        <v>12</v>
      </c>
      <c r="H2651" t="s">
        <v>70</v>
      </c>
      <c r="I2651" t="s">
        <v>2124</v>
      </c>
      <c r="J2651" s="2">
        <v>569.5680000000001</v>
      </c>
      <c r="K2651">
        <v>2</v>
      </c>
      <c r="L2651" s="4"/>
    </row>
    <row r="2652" spans="1:12" x14ac:dyDescent="0.3">
      <c r="A2652" s="1">
        <v>42613</v>
      </c>
      <c r="B2652" s="1">
        <v>42615</v>
      </c>
      <c r="C2652" t="s">
        <v>0</v>
      </c>
      <c r="D2652" t="s">
        <v>1294</v>
      </c>
      <c r="E2652" t="s">
        <v>1295</v>
      </c>
      <c r="F2652" t="s">
        <v>56</v>
      </c>
      <c r="G2652" t="s">
        <v>4</v>
      </c>
      <c r="H2652" t="s">
        <v>10</v>
      </c>
      <c r="I2652" t="s">
        <v>776</v>
      </c>
      <c r="J2652" s="2">
        <v>149.73000000000002</v>
      </c>
      <c r="K2652">
        <v>7</v>
      </c>
      <c r="L2652" s="4"/>
    </row>
    <row r="2653" spans="1:12" x14ac:dyDescent="0.3">
      <c r="A2653" s="1">
        <v>42613</v>
      </c>
      <c r="B2653" s="1">
        <v>42618</v>
      </c>
      <c r="C2653" t="s">
        <v>7</v>
      </c>
      <c r="D2653" t="s">
        <v>1916</v>
      </c>
      <c r="E2653" t="s">
        <v>1917</v>
      </c>
      <c r="F2653" t="s">
        <v>19</v>
      </c>
      <c r="G2653" t="s">
        <v>4</v>
      </c>
      <c r="H2653" t="s">
        <v>78</v>
      </c>
      <c r="I2653" t="s">
        <v>488</v>
      </c>
      <c r="J2653" s="2">
        <v>6.2080000000000002</v>
      </c>
      <c r="K2653">
        <v>2</v>
      </c>
      <c r="L2653" s="4"/>
    </row>
    <row r="2654" spans="1:12" x14ac:dyDescent="0.3">
      <c r="A2654" s="1">
        <v>42613</v>
      </c>
      <c r="B2654" s="1">
        <v>42618</v>
      </c>
      <c r="C2654" t="s">
        <v>7</v>
      </c>
      <c r="D2654" t="s">
        <v>2168</v>
      </c>
      <c r="E2654" t="s">
        <v>2169</v>
      </c>
      <c r="F2654" t="s">
        <v>3</v>
      </c>
      <c r="G2654" t="s">
        <v>4</v>
      </c>
      <c r="H2654" t="s">
        <v>10</v>
      </c>
      <c r="I2654" t="s">
        <v>2482</v>
      </c>
      <c r="J2654" s="2">
        <v>193.95000000000002</v>
      </c>
      <c r="K2654">
        <v>3</v>
      </c>
      <c r="L2654" s="4"/>
    </row>
    <row r="2655" spans="1:12" x14ac:dyDescent="0.3">
      <c r="A2655" s="1">
        <v>42614</v>
      </c>
      <c r="B2655" s="1">
        <v>42619</v>
      </c>
      <c r="C2655" t="s">
        <v>7</v>
      </c>
      <c r="D2655" t="s">
        <v>2716</v>
      </c>
      <c r="E2655" t="s">
        <v>2717</v>
      </c>
      <c r="F2655" t="s">
        <v>56</v>
      </c>
      <c r="G2655" t="s">
        <v>74</v>
      </c>
      <c r="H2655" t="s">
        <v>75</v>
      </c>
      <c r="I2655" t="s">
        <v>2718</v>
      </c>
      <c r="J2655" s="2">
        <v>19.989999999999998</v>
      </c>
      <c r="K2655">
        <v>1</v>
      </c>
      <c r="L2655" s="4"/>
    </row>
    <row r="2656" spans="1:12" x14ac:dyDescent="0.3">
      <c r="A2656" s="1">
        <v>42614</v>
      </c>
      <c r="B2656" s="1">
        <v>42619</v>
      </c>
      <c r="C2656" t="s">
        <v>7</v>
      </c>
      <c r="D2656" t="s">
        <v>2716</v>
      </c>
      <c r="E2656" t="s">
        <v>2717</v>
      </c>
      <c r="F2656" t="s">
        <v>56</v>
      </c>
      <c r="G2656" t="s">
        <v>4</v>
      </c>
      <c r="H2656" t="s">
        <v>26</v>
      </c>
      <c r="I2656" t="s">
        <v>2719</v>
      </c>
      <c r="J2656" s="2">
        <v>22.92</v>
      </c>
      <c r="K2656">
        <v>5</v>
      </c>
      <c r="L2656" s="4"/>
    </row>
    <row r="2657" spans="1:12" x14ac:dyDescent="0.3">
      <c r="A2657" s="1">
        <v>42614</v>
      </c>
      <c r="B2657" s="1">
        <v>42620</v>
      </c>
      <c r="C2657" t="s">
        <v>7</v>
      </c>
      <c r="D2657" t="s">
        <v>341</v>
      </c>
      <c r="E2657" t="s">
        <v>342</v>
      </c>
      <c r="F2657" t="s">
        <v>56</v>
      </c>
      <c r="G2657" t="s">
        <v>4</v>
      </c>
      <c r="H2657" t="s">
        <v>15</v>
      </c>
      <c r="I2657" t="s">
        <v>371</v>
      </c>
      <c r="J2657" s="2">
        <v>7.58</v>
      </c>
      <c r="K2657">
        <v>1</v>
      </c>
      <c r="L2657" s="4"/>
    </row>
    <row r="2658" spans="1:12" x14ac:dyDescent="0.3">
      <c r="A2658" s="1">
        <v>42614</v>
      </c>
      <c r="B2658" s="1">
        <v>42614</v>
      </c>
      <c r="C2658" t="s">
        <v>240</v>
      </c>
      <c r="D2658" t="s">
        <v>1147</v>
      </c>
      <c r="E2658" t="s">
        <v>1148</v>
      </c>
      <c r="F2658" t="s">
        <v>56</v>
      </c>
      <c r="G2658" t="s">
        <v>4</v>
      </c>
      <c r="H2658" t="s">
        <v>20</v>
      </c>
      <c r="I2658" t="s">
        <v>2720</v>
      </c>
      <c r="J2658" s="2">
        <v>314.60000000000002</v>
      </c>
      <c r="K2658">
        <v>4</v>
      </c>
      <c r="L2658" s="4"/>
    </row>
    <row r="2659" spans="1:12" x14ac:dyDescent="0.3">
      <c r="A2659" s="1">
        <v>42614</v>
      </c>
      <c r="B2659" s="1">
        <v>42614</v>
      </c>
      <c r="C2659" t="s">
        <v>240</v>
      </c>
      <c r="D2659" t="s">
        <v>1147</v>
      </c>
      <c r="E2659" t="s">
        <v>1148</v>
      </c>
      <c r="F2659" t="s">
        <v>56</v>
      </c>
      <c r="G2659" t="s">
        <v>12</v>
      </c>
      <c r="H2659" t="s">
        <v>44</v>
      </c>
      <c r="I2659" t="s">
        <v>329</v>
      </c>
      <c r="J2659" s="2">
        <v>283.56</v>
      </c>
      <c r="K2659">
        <v>4</v>
      </c>
      <c r="L2659" s="4"/>
    </row>
    <row r="2660" spans="1:12" x14ac:dyDescent="0.3">
      <c r="A2660" s="1">
        <v>42615</v>
      </c>
      <c r="B2660" s="1">
        <v>42620</v>
      </c>
      <c r="C2660" t="s">
        <v>7</v>
      </c>
      <c r="D2660" t="s">
        <v>2307</v>
      </c>
      <c r="E2660" t="s">
        <v>2308</v>
      </c>
      <c r="F2660" t="s">
        <v>3</v>
      </c>
      <c r="G2660" t="s">
        <v>4</v>
      </c>
      <c r="H2660" t="s">
        <v>15</v>
      </c>
      <c r="I2660" t="s">
        <v>2721</v>
      </c>
      <c r="J2660" s="2">
        <v>6.57</v>
      </c>
      <c r="K2660">
        <v>3</v>
      </c>
      <c r="L2660" s="4"/>
    </row>
    <row r="2661" spans="1:12" x14ac:dyDescent="0.3">
      <c r="A2661" s="1">
        <v>42615</v>
      </c>
      <c r="B2661" s="1">
        <v>42621</v>
      </c>
      <c r="C2661" t="s">
        <v>7</v>
      </c>
      <c r="D2661" t="s">
        <v>1254</v>
      </c>
      <c r="E2661" t="s">
        <v>1255</v>
      </c>
      <c r="F2661" t="s">
        <v>3</v>
      </c>
      <c r="G2661" t="s">
        <v>4</v>
      </c>
      <c r="H2661" t="s">
        <v>15</v>
      </c>
      <c r="I2661" t="s">
        <v>2722</v>
      </c>
      <c r="J2661" s="2">
        <v>9.3999999999999986</v>
      </c>
      <c r="K2661">
        <v>5</v>
      </c>
      <c r="L2661" s="4"/>
    </row>
    <row r="2662" spans="1:12" x14ac:dyDescent="0.3">
      <c r="A2662" s="1">
        <v>42615</v>
      </c>
      <c r="B2662" s="1">
        <v>42621</v>
      </c>
      <c r="C2662" t="s">
        <v>7</v>
      </c>
      <c r="D2662" t="s">
        <v>1254</v>
      </c>
      <c r="E2662" t="s">
        <v>1255</v>
      </c>
      <c r="F2662" t="s">
        <v>3</v>
      </c>
      <c r="G2662" t="s">
        <v>4</v>
      </c>
      <c r="H2662" t="s">
        <v>168</v>
      </c>
      <c r="I2662" t="s">
        <v>2723</v>
      </c>
      <c r="J2662" s="2">
        <v>74</v>
      </c>
      <c r="K2662">
        <v>5</v>
      </c>
      <c r="L2662" s="4"/>
    </row>
    <row r="2663" spans="1:12" x14ac:dyDescent="0.3">
      <c r="A2663" s="1">
        <v>42615</v>
      </c>
      <c r="B2663" s="1">
        <v>42621</v>
      </c>
      <c r="C2663" t="s">
        <v>7</v>
      </c>
      <c r="D2663" t="s">
        <v>1254</v>
      </c>
      <c r="E2663" t="s">
        <v>1255</v>
      </c>
      <c r="F2663" t="s">
        <v>3</v>
      </c>
      <c r="G2663" t="s">
        <v>74</v>
      </c>
      <c r="H2663" t="s">
        <v>147</v>
      </c>
      <c r="I2663" t="s">
        <v>148</v>
      </c>
      <c r="J2663" s="2">
        <v>201.584</v>
      </c>
      <c r="K2663">
        <v>2</v>
      </c>
      <c r="L2663" s="4"/>
    </row>
    <row r="2664" spans="1:12" x14ac:dyDescent="0.3">
      <c r="A2664" s="1">
        <v>42615</v>
      </c>
      <c r="B2664" s="1">
        <v>42619</v>
      </c>
      <c r="C2664" t="s">
        <v>7</v>
      </c>
      <c r="D2664" t="s">
        <v>2724</v>
      </c>
      <c r="E2664" t="s">
        <v>2725</v>
      </c>
      <c r="F2664" t="s">
        <v>3</v>
      </c>
      <c r="G2664" t="s">
        <v>4</v>
      </c>
      <c r="H2664" t="s">
        <v>26</v>
      </c>
      <c r="I2664" t="s">
        <v>2043</v>
      </c>
      <c r="J2664" s="2">
        <v>18.72</v>
      </c>
      <c r="K2664">
        <v>5</v>
      </c>
      <c r="L2664" s="4"/>
    </row>
    <row r="2665" spans="1:12" x14ac:dyDescent="0.3">
      <c r="A2665" s="1">
        <v>42615</v>
      </c>
      <c r="B2665" s="1">
        <v>42619</v>
      </c>
      <c r="C2665" t="s">
        <v>7</v>
      </c>
      <c r="D2665" t="s">
        <v>2724</v>
      </c>
      <c r="E2665" t="s">
        <v>2725</v>
      </c>
      <c r="F2665" t="s">
        <v>3</v>
      </c>
      <c r="G2665" t="s">
        <v>12</v>
      </c>
      <c r="H2665" t="s">
        <v>44</v>
      </c>
      <c r="I2665" t="s">
        <v>671</v>
      </c>
      <c r="J2665" s="2">
        <v>236.52800000000002</v>
      </c>
      <c r="K2665">
        <v>2</v>
      </c>
      <c r="L2665" s="4"/>
    </row>
    <row r="2666" spans="1:12" x14ac:dyDescent="0.3">
      <c r="A2666" s="1">
        <v>42615</v>
      </c>
      <c r="B2666" s="1">
        <v>42615</v>
      </c>
      <c r="C2666" t="s">
        <v>240</v>
      </c>
      <c r="D2666" t="s">
        <v>2726</v>
      </c>
      <c r="E2666" t="s">
        <v>2727</v>
      </c>
      <c r="F2666" t="s">
        <v>56</v>
      </c>
      <c r="G2666" t="s">
        <v>12</v>
      </c>
      <c r="H2666" t="s">
        <v>70</v>
      </c>
      <c r="I2666" t="s">
        <v>2107</v>
      </c>
      <c r="J2666" s="2">
        <v>215.976</v>
      </c>
      <c r="K2666">
        <v>3</v>
      </c>
      <c r="L2666" s="4"/>
    </row>
    <row r="2667" spans="1:12" x14ac:dyDescent="0.3">
      <c r="A2667" s="1">
        <v>42615</v>
      </c>
      <c r="B2667" s="1">
        <v>42617</v>
      </c>
      <c r="C2667" t="s">
        <v>0</v>
      </c>
      <c r="D2667" t="s">
        <v>2552</v>
      </c>
      <c r="E2667" t="s">
        <v>2553</v>
      </c>
      <c r="F2667" t="s">
        <v>115</v>
      </c>
      <c r="G2667" t="s">
        <v>4</v>
      </c>
      <c r="H2667" t="s">
        <v>168</v>
      </c>
      <c r="I2667" t="s">
        <v>748</v>
      </c>
      <c r="J2667" s="2">
        <v>11.696</v>
      </c>
      <c r="K2667">
        <v>2</v>
      </c>
      <c r="L2667" s="4"/>
    </row>
    <row r="2668" spans="1:12" x14ac:dyDescent="0.3">
      <c r="A2668" s="1">
        <v>42615</v>
      </c>
      <c r="B2668" s="1">
        <v>42617</v>
      </c>
      <c r="C2668" t="s">
        <v>0</v>
      </c>
      <c r="D2668" t="s">
        <v>270</v>
      </c>
      <c r="E2668" t="s">
        <v>271</v>
      </c>
      <c r="F2668" t="s">
        <v>3</v>
      </c>
      <c r="G2668" t="s">
        <v>4</v>
      </c>
      <c r="H2668" t="s">
        <v>20</v>
      </c>
      <c r="I2668" t="s">
        <v>2172</v>
      </c>
      <c r="J2668" s="2">
        <v>43.099999999999994</v>
      </c>
      <c r="K2668">
        <v>5</v>
      </c>
      <c r="L2668" s="4"/>
    </row>
    <row r="2669" spans="1:12" x14ac:dyDescent="0.3">
      <c r="A2669" s="1">
        <v>42615</v>
      </c>
      <c r="B2669" s="1">
        <v>42617</v>
      </c>
      <c r="C2669" t="s">
        <v>0</v>
      </c>
      <c r="D2669" t="s">
        <v>270</v>
      </c>
      <c r="E2669" t="s">
        <v>271</v>
      </c>
      <c r="F2669" t="s">
        <v>3</v>
      </c>
      <c r="G2669" t="s">
        <v>12</v>
      </c>
      <c r="H2669" t="s">
        <v>35</v>
      </c>
      <c r="I2669" t="s">
        <v>714</v>
      </c>
      <c r="J2669" s="2">
        <v>511.5</v>
      </c>
      <c r="K2669">
        <v>5</v>
      </c>
      <c r="L2669" s="4"/>
    </row>
    <row r="2670" spans="1:12" x14ac:dyDescent="0.3">
      <c r="A2670" s="1">
        <v>42615</v>
      </c>
      <c r="B2670" s="1">
        <v>42617</v>
      </c>
      <c r="C2670" t="s">
        <v>0</v>
      </c>
      <c r="D2670" t="s">
        <v>270</v>
      </c>
      <c r="E2670" t="s">
        <v>271</v>
      </c>
      <c r="F2670" t="s">
        <v>3</v>
      </c>
      <c r="G2670" t="s">
        <v>4</v>
      </c>
      <c r="H2670" t="s">
        <v>26</v>
      </c>
      <c r="I2670" t="s">
        <v>1404</v>
      </c>
      <c r="J2670" s="2">
        <v>147.91999999999999</v>
      </c>
      <c r="K2670">
        <v>5</v>
      </c>
      <c r="L2670" s="4"/>
    </row>
    <row r="2671" spans="1:12" x14ac:dyDescent="0.3">
      <c r="A2671" s="1">
        <v>42616</v>
      </c>
      <c r="B2671" s="1">
        <v>42621</v>
      </c>
      <c r="C2671" t="s">
        <v>7</v>
      </c>
      <c r="D2671" t="s">
        <v>266</v>
      </c>
      <c r="E2671" t="s">
        <v>267</v>
      </c>
      <c r="F2671" t="s">
        <v>3</v>
      </c>
      <c r="G2671" t="s">
        <v>4</v>
      </c>
      <c r="H2671" t="s">
        <v>15</v>
      </c>
      <c r="I2671" t="s">
        <v>775</v>
      </c>
      <c r="J2671" s="2">
        <v>5.96</v>
      </c>
      <c r="K2671">
        <v>2</v>
      </c>
      <c r="L2671" s="4"/>
    </row>
    <row r="2672" spans="1:12" x14ac:dyDescent="0.3">
      <c r="A2672" s="1">
        <v>42616</v>
      </c>
      <c r="B2672" s="1">
        <v>42621</v>
      </c>
      <c r="C2672" t="s">
        <v>7</v>
      </c>
      <c r="D2672" t="s">
        <v>135</v>
      </c>
      <c r="E2672" t="s">
        <v>136</v>
      </c>
      <c r="F2672" t="s">
        <v>3</v>
      </c>
      <c r="G2672" t="s">
        <v>4</v>
      </c>
      <c r="H2672" t="s">
        <v>26</v>
      </c>
      <c r="I2672" t="s">
        <v>1730</v>
      </c>
      <c r="J2672" s="2">
        <v>82.56</v>
      </c>
      <c r="K2672">
        <v>5</v>
      </c>
      <c r="L2672" s="4"/>
    </row>
    <row r="2673" spans="1:12" x14ac:dyDescent="0.3">
      <c r="A2673" s="1">
        <v>42616</v>
      </c>
      <c r="B2673" s="1">
        <v>42621</v>
      </c>
      <c r="C2673" t="s">
        <v>7</v>
      </c>
      <c r="D2673" t="s">
        <v>135</v>
      </c>
      <c r="E2673" t="s">
        <v>136</v>
      </c>
      <c r="F2673" t="s">
        <v>3</v>
      </c>
      <c r="G2673" t="s">
        <v>74</v>
      </c>
      <c r="H2673" t="s">
        <v>75</v>
      </c>
      <c r="I2673" t="s">
        <v>936</v>
      </c>
      <c r="J2673" s="2">
        <v>284.96999999999997</v>
      </c>
      <c r="K2673">
        <v>3</v>
      </c>
      <c r="L2673" s="4"/>
    </row>
    <row r="2674" spans="1:12" x14ac:dyDescent="0.3">
      <c r="A2674" s="1">
        <v>42616</v>
      </c>
      <c r="B2674" s="1">
        <v>42620</v>
      </c>
      <c r="C2674" t="s">
        <v>0</v>
      </c>
      <c r="D2674" t="s">
        <v>2728</v>
      </c>
      <c r="E2674" t="s">
        <v>2729</v>
      </c>
      <c r="F2674" t="s">
        <v>3</v>
      </c>
      <c r="G2674" t="s">
        <v>12</v>
      </c>
      <c r="H2674" t="s">
        <v>13</v>
      </c>
      <c r="I2674" t="s">
        <v>134</v>
      </c>
      <c r="J2674" s="2">
        <v>239.66599999999997</v>
      </c>
      <c r="K2674">
        <v>2</v>
      </c>
      <c r="L2674" s="4"/>
    </row>
    <row r="2675" spans="1:12" x14ac:dyDescent="0.3">
      <c r="A2675" s="1">
        <v>42617</v>
      </c>
      <c r="B2675" s="1">
        <v>42621</v>
      </c>
      <c r="C2675" t="s">
        <v>0</v>
      </c>
      <c r="D2675" t="s">
        <v>2237</v>
      </c>
      <c r="E2675" t="s">
        <v>2238</v>
      </c>
      <c r="F2675" t="s">
        <v>3</v>
      </c>
      <c r="G2675" t="s">
        <v>12</v>
      </c>
      <c r="H2675" t="s">
        <v>44</v>
      </c>
      <c r="I2675" t="s">
        <v>2730</v>
      </c>
      <c r="J2675" s="2">
        <v>1322.3520000000001</v>
      </c>
      <c r="K2675">
        <v>3</v>
      </c>
      <c r="L2675" s="4"/>
    </row>
    <row r="2676" spans="1:12" x14ac:dyDescent="0.3">
      <c r="A2676" s="1">
        <v>42617</v>
      </c>
      <c r="B2676" s="1">
        <v>42618</v>
      </c>
      <c r="C2676" t="s">
        <v>22</v>
      </c>
      <c r="D2676" t="s">
        <v>1717</v>
      </c>
      <c r="E2676" t="s">
        <v>1718</v>
      </c>
      <c r="F2676" t="s">
        <v>3</v>
      </c>
      <c r="G2676" t="s">
        <v>4</v>
      </c>
      <c r="H2676" t="s">
        <v>5</v>
      </c>
      <c r="I2676" t="s">
        <v>88</v>
      </c>
      <c r="J2676" s="2">
        <v>12.96</v>
      </c>
      <c r="K2676">
        <v>2</v>
      </c>
      <c r="L2676" s="4"/>
    </row>
    <row r="2677" spans="1:12" x14ac:dyDescent="0.3">
      <c r="A2677" s="1">
        <v>42617</v>
      </c>
      <c r="B2677" s="1">
        <v>42618</v>
      </c>
      <c r="C2677" t="s">
        <v>22</v>
      </c>
      <c r="D2677" t="s">
        <v>1717</v>
      </c>
      <c r="E2677" t="s">
        <v>1718</v>
      </c>
      <c r="F2677" t="s">
        <v>3</v>
      </c>
      <c r="G2677" t="s">
        <v>74</v>
      </c>
      <c r="H2677" t="s">
        <v>147</v>
      </c>
      <c r="I2677" t="s">
        <v>1491</v>
      </c>
      <c r="J2677" s="2">
        <v>43.176000000000002</v>
      </c>
      <c r="K2677">
        <v>3</v>
      </c>
      <c r="L2677" s="4"/>
    </row>
    <row r="2678" spans="1:12" x14ac:dyDescent="0.3">
      <c r="A2678" s="1">
        <v>42617</v>
      </c>
      <c r="B2678" s="1">
        <v>42621</v>
      </c>
      <c r="C2678" t="s">
        <v>7</v>
      </c>
      <c r="D2678" t="s">
        <v>1858</v>
      </c>
      <c r="E2678" t="s">
        <v>1859</v>
      </c>
      <c r="F2678" t="s">
        <v>3</v>
      </c>
      <c r="G2678" t="s">
        <v>4</v>
      </c>
      <c r="H2678" t="s">
        <v>26</v>
      </c>
      <c r="I2678" t="s">
        <v>1069</v>
      </c>
      <c r="J2678" s="2">
        <v>487.98400000000004</v>
      </c>
      <c r="K2678">
        <v>2</v>
      </c>
      <c r="L2678" s="4"/>
    </row>
    <row r="2679" spans="1:12" x14ac:dyDescent="0.3">
      <c r="A2679" s="1">
        <v>42617</v>
      </c>
      <c r="B2679" s="1">
        <v>42621</v>
      </c>
      <c r="C2679" t="s">
        <v>7</v>
      </c>
      <c r="D2679" t="s">
        <v>1858</v>
      </c>
      <c r="E2679" t="s">
        <v>1859</v>
      </c>
      <c r="F2679" t="s">
        <v>3</v>
      </c>
      <c r="G2679" t="s">
        <v>74</v>
      </c>
      <c r="H2679" t="s">
        <v>147</v>
      </c>
      <c r="I2679" t="s">
        <v>2731</v>
      </c>
      <c r="J2679" s="2">
        <v>5.5600000000000005</v>
      </c>
      <c r="K2679">
        <v>1</v>
      </c>
      <c r="L2679" s="4"/>
    </row>
    <row r="2680" spans="1:12" x14ac:dyDescent="0.3">
      <c r="A2680" s="1">
        <v>42617</v>
      </c>
      <c r="B2680" s="1">
        <v>42621</v>
      </c>
      <c r="C2680" t="s">
        <v>7</v>
      </c>
      <c r="D2680" t="s">
        <v>1858</v>
      </c>
      <c r="E2680" t="s">
        <v>1859</v>
      </c>
      <c r="F2680" t="s">
        <v>3</v>
      </c>
      <c r="G2680" t="s">
        <v>4</v>
      </c>
      <c r="H2680" t="s">
        <v>10</v>
      </c>
      <c r="I2680" t="s">
        <v>1600</v>
      </c>
      <c r="J2680" s="2">
        <v>217.85</v>
      </c>
      <c r="K2680">
        <v>5</v>
      </c>
      <c r="L2680" s="4"/>
    </row>
    <row r="2681" spans="1:12" x14ac:dyDescent="0.3">
      <c r="A2681" s="1">
        <v>42617</v>
      </c>
      <c r="B2681" s="1">
        <v>42623</v>
      </c>
      <c r="C2681" t="s">
        <v>7</v>
      </c>
      <c r="D2681" t="s">
        <v>859</v>
      </c>
      <c r="E2681" t="s">
        <v>860</v>
      </c>
      <c r="F2681" t="s">
        <v>3</v>
      </c>
      <c r="G2681" t="s">
        <v>4</v>
      </c>
      <c r="H2681" t="s">
        <v>10</v>
      </c>
      <c r="I2681" t="s">
        <v>1252</v>
      </c>
      <c r="J2681" s="2">
        <v>54.32</v>
      </c>
      <c r="K2681">
        <v>4</v>
      </c>
      <c r="L2681" s="4"/>
    </row>
    <row r="2682" spans="1:12" x14ac:dyDescent="0.3">
      <c r="A2682" s="1">
        <v>42617</v>
      </c>
      <c r="B2682" s="1">
        <v>42619</v>
      </c>
      <c r="C2682" t="s">
        <v>0</v>
      </c>
      <c r="D2682" t="s">
        <v>2157</v>
      </c>
      <c r="E2682" t="s">
        <v>2158</v>
      </c>
      <c r="F2682" t="s">
        <v>3</v>
      </c>
      <c r="G2682" t="s">
        <v>4</v>
      </c>
      <c r="H2682" t="s">
        <v>26</v>
      </c>
      <c r="I2682" t="s">
        <v>2666</v>
      </c>
      <c r="J2682" s="2">
        <v>13.343999999999998</v>
      </c>
      <c r="K2682">
        <v>6</v>
      </c>
      <c r="L2682" s="4"/>
    </row>
    <row r="2683" spans="1:12" x14ac:dyDescent="0.3">
      <c r="A2683" s="1">
        <v>42617</v>
      </c>
      <c r="B2683" s="1">
        <v>42619</v>
      </c>
      <c r="C2683" t="s">
        <v>0</v>
      </c>
      <c r="D2683" t="s">
        <v>2157</v>
      </c>
      <c r="E2683" t="s">
        <v>2158</v>
      </c>
      <c r="F2683" t="s">
        <v>3</v>
      </c>
      <c r="G2683" t="s">
        <v>12</v>
      </c>
      <c r="H2683" t="s">
        <v>44</v>
      </c>
      <c r="I2683" t="s">
        <v>2073</v>
      </c>
      <c r="J2683" s="2">
        <v>1478.2719999999999</v>
      </c>
      <c r="K2683">
        <v>8</v>
      </c>
      <c r="L2683" s="4"/>
    </row>
    <row r="2684" spans="1:12" x14ac:dyDescent="0.3">
      <c r="A2684" s="1">
        <v>42617</v>
      </c>
      <c r="B2684" s="1">
        <v>42621</v>
      </c>
      <c r="C2684" t="s">
        <v>7</v>
      </c>
      <c r="D2684" t="s">
        <v>96</v>
      </c>
      <c r="E2684" t="s">
        <v>97</v>
      </c>
      <c r="F2684" t="s">
        <v>3</v>
      </c>
      <c r="G2684" t="s">
        <v>4</v>
      </c>
      <c r="H2684" t="s">
        <v>10</v>
      </c>
      <c r="I2684" t="s">
        <v>2732</v>
      </c>
      <c r="J2684" s="2">
        <v>421.1</v>
      </c>
      <c r="K2684">
        <v>2</v>
      </c>
      <c r="L2684" s="4"/>
    </row>
    <row r="2685" spans="1:12" x14ac:dyDescent="0.3">
      <c r="A2685" s="1">
        <v>42617</v>
      </c>
      <c r="B2685" s="1">
        <v>42621</v>
      </c>
      <c r="C2685" t="s">
        <v>7</v>
      </c>
      <c r="D2685" t="s">
        <v>2177</v>
      </c>
      <c r="E2685" t="s">
        <v>2178</v>
      </c>
      <c r="F2685" t="s">
        <v>3</v>
      </c>
      <c r="G2685" t="s">
        <v>4</v>
      </c>
      <c r="H2685" t="s">
        <v>26</v>
      </c>
      <c r="I2685" t="s">
        <v>1605</v>
      </c>
      <c r="J2685" s="2">
        <v>11.808</v>
      </c>
      <c r="K2685">
        <v>3</v>
      </c>
      <c r="L2685" s="4"/>
    </row>
    <row r="2686" spans="1:12" x14ac:dyDescent="0.3">
      <c r="A2686" s="1">
        <v>42617</v>
      </c>
      <c r="B2686" s="1">
        <v>42618</v>
      </c>
      <c r="C2686" t="s">
        <v>22</v>
      </c>
      <c r="D2686" t="s">
        <v>2254</v>
      </c>
      <c r="E2686" t="s">
        <v>2255</v>
      </c>
      <c r="F2686" t="s">
        <v>19</v>
      </c>
      <c r="G2686" t="s">
        <v>4</v>
      </c>
      <c r="H2686" t="s">
        <v>26</v>
      </c>
      <c r="I2686" t="s">
        <v>383</v>
      </c>
      <c r="J2686" s="2">
        <v>88.074000000000012</v>
      </c>
      <c r="K2686">
        <v>7</v>
      </c>
      <c r="L2686" s="4"/>
    </row>
    <row r="2687" spans="1:12" x14ac:dyDescent="0.3">
      <c r="A2687" s="1">
        <v>42618</v>
      </c>
      <c r="B2687" s="1">
        <v>42619</v>
      </c>
      <c r="C2687" t="s">
        <v>22</v>
      </c>
      <c r="D2687" t="s">
        <v>704</v>
      </c>
      <c r="E2687" t="s">
        <v>705</v>
      </c>
      <c r="F2687" t="s">
        <v>56</v>
      </c>
      <c r="G2687" t="s">
        <v>4</v>
      </c>
      <c r="H2687" t="s">
        <v>15</v>
      </c>
      <c r="I2687" t="s">
        <v>1712</v>
      </c>
      <c r="J2687" s="2">
        <v>2.78</v>
      </c>
      <c r="K2687">
        <v>1</v>
      </c>
      <c r="L2687" s="4"/>
    </row>
    <row r="2688" spans="1:12" x14ac:dyDescent="0.3">
      <c r="A2688" s="1">
        <v>42620</v>
      </c>
      <c r="B2688" s="1">
        <v>42624</v>
      </c>
      <c r="C2688" t="s">
        <v>7</v>
      </c>
      <c r="D2688" t="s">
        <v>2418</v>
      </c>
      <c r="E2688" t="s">
        <v>2419</v>
      </c>
      <c r="F2688" t="s">
        <v>3</v>
      </c>
      <c r="G2688" t="s">
        <v>12</v>
      </c>
      <c r="H2688" t="s">
        <v>35</v>
      </c>
      <c r="I2688" t="s">
        <v>808</v>
      </c>
      <c r="J2688" s="2">
        <v>47.94</v>
      </c>
      <c r="K2688">
        <v>3</v>
      </c>
      <c r="L2688" s="4"/>
    </row>
    <row r="2689" spans="1:12" x14ac:dyDescent="0.3">
      <c r="A2689" s="1">
        <v>42620</v>
      </c>
      <c r="B2689" s="1">
        <v>42625</v>
      </c>
      <c r="C2689" t="s">
        <v>7</v>
      </c>
      <c r="D2689" t="s">
        <v>881</v>
      </c>
      <c r="E2689" t="s">
        <v>882</v>
      </c>
      <c r="F2689" t="s">
        <v>19</v>
      </c>
      <c r="G2689" t="s">
        <v>4</v>
      </c>
      <c r="H2689" t="s">
        <v>10</v>
      </c>
      <c r="I2689" t="s">
        <v>1679</v>
      </c>
      <c r="J2689" s="2">
        <v>37.68</v>
      </c>
      <c r="K2689">
        <v>3</v>
      </c>
      <c r="L2689" s="4"/>
    </row>
    <row r="2690" spans="1:12" x14ac:dyDescent="0.3">
      <c r="A2690" s="1">
        <v>42620</v>
      </c>
      <c r="B2690" s="1">
        <v>42625</v>
      </c>
      <c r="C2690" t="s">
        <v>7</v>
      </c>
      <c r="D2690" t="s">
        <v>881</v>
      </c>
      <c r="E2690" t="s">
        <v>882</v>
      </c>
      <c r="F2690" t="s">
        <v>19</v>
      </c>
      <c r="G2690" t="s">
        <v>74</v>
      </c>
      <c r="H2690" t="s">
        <v>75</v>
      </c>
      <c r="I2690" t="s">
        <v>1812</v>
      </c>
      <c r="J2690" s="2">
        <v>279.94400000000002</v>
      </c>
      <c r="K2690">
        <v>7</v>
      </c>
      <c r="L2690" s="4"/>
    </row>
    <row r="2691" spans="1:12" x14ac:dyDescent="0.3">
      <c r="A2691" s="1">
        <v>42620</v>
      </c>
      <c r="B2691" s="1">
        <v>42622</v>
      </c>
      <c r="C2691" t="s">
        <v>22</v>
      </c>
      <c r="D2691" t="s">
        <v>325</v>
      </c>
      <c r="E2691" t="s">
        <v>326</v>
      </c>
      <c r="F2691" t="s">
        <v>25</v>
      </c>
      <c r="G2691" t="s">
        <v>4</v>
      </c>
      <c r="H2691" t="s">
        <v>26</v>
      </c>
      <c r="I2691" t="s">
        <v>164</v>
      </c>
      <c r="J2691" s="2">
        <v>7.857000000000002</v>
      </c>
      <c r="K2691">
        <v>3</v>
      </c>
      <c r="L2691" s="4"/>
    </row>
    <row r="2692" spans="1:12" x14ac:dyDescent="0.3">
      <c r="A2692" s="1">
        <v>42620</v>
      </c>
      <c r="B2692" s="1">
        <v>42621</v>
      </c>
      <c r="C2692" t="s">
        <v>22</v>
      </c>
      <c r="D2692" t="s">
        <v>1158</v>
      </c>
      <c r="E2692" t="s">
        <v>1159</v>
      </c>
      <c r="F2692" t="s">
        <v>126</v>
      </c>
      <c r="G2692" t="s">
        <v>12</v>
      </c>
      <c r="H2692" t="s">
        <v>35</v>
      </c>
      <c r="I2692" t="s">
        <v>1380</v>
      </c>
      <c r="J2692" s="2">
        <v>25.16</v>
      </c>
      <c r="K2692">
        <v>2</v>
      </c>
      <c r="L2692" s="4"/>
    </row>
    <row r="2693" spans="1:12" x14ac:dyDescent="0.3">
      <c r="A2693" s="1">
        <v>42620</v>
      </c>
      <c r="B2693" s="1">
        <v>42621</v>
      </c>
      <c r="C2693" t="s">
        <v>22</v>
      </c>
      <c r="D2693" t="s">
        <v>1158</v>
      </c>
      <c r="E2693" t="s">
        <v>1159</v>
      </c>
      <c r="F2693" t="s">
        <v>126</v>
      </c>
      <c r="G2693" t="s">
        <v>74</v>
      </c>
      <c r="H2693" t="s">
        <v>147</v>
      </c>
      <c r="I2693" t="s">
        <v>2733</v>
      </c>
      <c r="J2693" s="2">
        <v>126.56</v>
      </c>
      <c r="K2693">
        <v>4</v>
      </c>
      <c r="L2693" s="4"/>
    </row>
    <row r="2694" spans="1:12" x14ac:dyDescent="0.3">
      <c r="A2694" s="1">
        <v>42620</v>
      </c>
      <c r="B2694" s="1">
        <v>42624</v>
      </c>
      <c r="C2694" t="s">
        <v>7</v>
      </c>
      <c r="D2694" t="s">
        <v>2734</v>
      </c>
      <c r="E2694" t="s">
        <v>2735</v>
      </c>
      <c r="F2694" t="s">
        <v>3</v>
      </c>
      <c r="G2694" t="s">
        <v>12</v>
      </c>
      <c r="H2694" t="s">
        <v>35</v>
      </c>
      <c r="I2694" t="s">
        <v>1952</v>
      </c>
      <c r="J2694" s="2">
        <v>19.760000000000002</v>
      </c>
      <c r="K2694">
        <v>4</v>
      </c>
      <c r="L2694" s="4"/>
    </row>
    <row r="2695" spans="1:12" x14ac:dyDescent="0.3">
      <c r="A2695" s="1">
        <v>42620</v>
      </c>
      <c r="B2695" s="1">
        <v>42625</v>
      </c>
      <c r="C2695" t="s">
        <v>7</v>
      </c>
      <c r="D2695" t="s">
        <v>653</v>
      </c>
      <c r="E2695" t="s">
        <v>654</v>
      </c>
      <c r="F2695" t="s">
        <v>3</v>
      </c>
      <c r="G2695" t="s">
        <v>12</v>
      </c>
      <c r="H2695" t="s">
        <v>70</v>
      </c>
      <c r="I2695" t="s">
        <v>1078</v>
      </c>
      <c r="J2695" s="2">
        <v>161.56800000000001</v>
      </c>
      <c r="K2695">
        <v>2</v>
      </c>
      <c r="L2695" s="4"/>
    </row>
    <row r="2696" spans="1:12" x14ac:dyDescent="0.3">
      <c r="A2696" s="1">
        <v>42620</v>
      </c>
      <c r="B2696" s="1">
        <v>42623</v>
      </c>
      <c r="C2696" t="s">
        <v>22</v>
      </c>
      <c r="D2696" t="s">
        <v>2307</v>
      </c>
      <c r="E2696" t="s">
        <v>2308</v>
      </c>
      <c r="F2696" t="s">
        <v>56</v>
      </c>
      <c r="G2696" t="s">
        <v>12</v>
      </c>
      <c r="H2696" t="s">
        <v>35</v>
      </c>
      <c r="I2696" t="s">
        <v>2736</v>
      </c>
      <c r="J2696" s="2">
        <v>80.959999999999994</v>
      </c>
      <c r="K2696">
        <v>4</v>
      </c>
      <c r="L2696" s="4"/>
    </row>
    <row r="2697" spans="1:12" x14ac:dyDescent="0.3">
      <c r="A2697" s="1">
        <v>42620</v>
      </c>
      <c r="B2697" s="1">
        <v>42623</v>
      </c>
      <c r="C2697" t="s">
        <v>22</v>
      </c>
      <c r="D2697" t="s">
        <v>2307</v>
      </c>
      <c r="E2697" t="s">
        <v>2308</v>
      </c>
      <c r="F2697" t="s">
        <v>56</v>
      </c>
      <c r="G2697" t="s">
        <v>74</v>
      </c>
      <c r="H2697" t="s">
        <v>147</v>
      </c>
      <c r="I2697" t="s">
        <v>359</v>
      </c>
      <c r="J2697" s="2">
        <v>455.71199999999999</v>
      </c>
      <c r="K2697">
        <v>2</v>
      </c>
      <c r="L2697" s="4"/>
    </row>
    <row r="2698" spans="1:12" x14ac:dyDescent="0.3">
      <c r="A2698" s="1">
        <v>42620</v>
      </c>
      <c r="B2698" s="1">
        <v>42623</v>
      </c>
      <c r="C2698" t="s">
        <v>22</v>
      </c>
      <c r="D2698" t="s">
        <v>2307</v>
      </c>
      <c r="E2698" t="s">
        <v>2308</v>
      </c>
      <c r="F2698" t="s">
        <v>56</v>
      </c>
      <c r="G2698" t="s">
        <v>4</v>
      </c>
      <c r="H2698" t="s">
        <v>15</v>
      </c>
      <c r="I2698" t="s">
        <v>2737</v>
      </c>
      <c r="J2698" s="2">
        <v>25.98</v>
      </c>
      <c r="K2698">
        <v>1</v>
      </c>
      <c r="L2698" s="4"/>
    </row>
    <row r="2699" spans="1:12" x14ac:dyDescent="0.3">
      <c r="A2699" s="1">
        <v>42622</v>
      </c>
      <c r="B2699" s="1">
        <v>42626</v>
      </c>
      <c r="C2699" t="s">
        <v>7</v>
      </c>
      <c r="D2699" t="s">
        <v>274</v>
      </c>
      <c r="E2699" t="s">
        <v>275</v>
      </c>
      <c r="F2699" t="s">
        <v>25</v>
      </c>
      <c r="G2699" t="s">
        <v>4</v>
      </c>
      <c r="H2699" t="s">
        <v>5</v>
      </c>
      <c r="I2699" t="s">
        <v>2544</v>
      </c>
      <c r="J2699" s="2">
        <v>6.3680000000000003</v>
      </c>
      <c r="K2699">
        <v>2</v>
      </c>
      <c r="L2699" s="4"/>
    </row>
    <row r="2700" spans="1:12" x14ac:dyDescent="0.3">
      <c r="A2700" s="1">
        <v>42622</v>
      </c>
      <c r="B2700" s="1">
        <v>42627</v>
      </c>
      <c r="C2700" t="s">
        <v>0</v>
      </c>
      <c r="D2700" t="s">
        <v>47</v>
      </c>
      <c r="E2700" t="s">
        <v>48</v>
      </c>
      <c r="F2700" t="s">
        <v>3</v>
      </c>
      <c r="G2700" t="s">
        <v>4</v>
      </c>
      <c r="H2700" t="s">
        <v>15</v>
      </c>
      <c r="I2700" t="s">
        <v>154</v>
      </c>
      <c r="J2700" s="2">
        <v>6.56</v>
      </c>
      <c r="K2700">
        <v>2</v>
      </c>
      <c r="L2700" s="4"/>
    </row>
    <row r="2701" spans="1:12" x14ac:dyDescent="0.3">
      <c r="A2701" s="1">
        <v>42622</v>
      </c>
      <c r="B2701" s="1">
        <v>42627</v>
      </c>
      <c r="C2701" t="s">
        <v>0</v>
      </c>
      <c r="D2701" t="s">
        <v>47</v>
      </c>
      <c r="E2701" t="s">
        <v>48</v>
      </c>
      <c r="F2701" t="s">
        <v>3</v>
      </c>
      <c r="G2701" t="s">
        <v>12</v>
      </c>
      <c r="H2701" t="s">
        <v>70</v>
      </c>
      <c r="I2701" t="s">
        <v>571</v>
      </c>
      <c r="J2701" s="2">
        <v>243.92</v>
      </c>
      <c r="K2701">
        <v>5</v>
      </c>
      <c r="L2701" s="4"/>
    </row>
    <row r="2702" spans="1:12" x14ac:dyDescent="0.3">
      <c r="A2702" s="1">
        <v>42622</v>
      </c>
      <c r="B2702" s="1">
        <v>42627</v>
      </c>
      <c r="C2702" t="s">
        <v>0</v>
      </c>
      <c r="D2702" t="s">
        <v>47</v>
      </c>
      <c r="E2702" t="s">
        <v>48</v>
      </c>
      <c r="F2702" t="s">
        <v>3</v>
      </c>
      <c r="G2702" t="s">
        <v>4</v>
      </c>
      <c r="H2702" t="s">
        <v>5</v>
      </c>
      <c r="I2702" t="s">
        <v>2274</v>
      </c>
      <c r="J2702" s="2">
        <v>47.52</v>
      </c>
      <c r="K2702">
        <v>9</v>
      </c>
      <c r="L2702" s="4"/>
    </row>
    <row r="2703" spans="1:12" x14ac:dyDescent="0.3">
      <c r="A2703" s="1">
        <v>42622</v>
      </c>
      <c r="B2703" s="1">
        <v>42627</v>
      </c>
      <c r="C2703" t="s">
        <v>7</v>
      </c>
      <c r="D2703" t="s">
        <v>2222</v>
      </c>
      <c r="E2703" t="s">
        <v>2223</v>
      </c>
      <c r="F2703" t="s">
        <v>3</v>
      </c>
      <c r="G2703" t="s">
        <v>4</v>
      </c>
      <c r="H2703" t="s">
        <v>10</v>
      </c>
      <c r="I2703" t="s">
        <v>1122</v>
      </c>
      <c r="J2703" s="2">
        <v>99.87</v>
      </c>
      <c r="K2703">
        <v>3</v>
      </c>
      <c r="L2703" s="4"/>
    </row>
    <row r="2704" spans="1:12" x14ac:dyDescent="0.3">
      <c r="A2704" s="1">
        <v>42622</v>
      </c>
      <c r="B2704" s="1">
        <v>42627</v>
      </c>
      <c r="C2704" t="s">
        <v>7</v>
      </c>
      <c r="D2704" t="s">
        <v>2357</v>
      </c>
      <c r="E2704" t="s">
        <v>2358</v>
      </c>
      <c r="F2704" t="s">
        <v>3</v>
      </c>
      <c r="G2704" t="s">
        <v>74</v>
      </c>
      <c r="H2704" t="s">
        <v>75</v>
      </c>
      <c r="I2704" t="s">
        <v>2497</v>
      </c>
      <c r="J2704" s="2">
        <v>159.96</v>
      </c>
      <c r="K2704">
        <v>4</v>
      </c>
      <c r="L2704" s="4"/>
    </row>
    <row r="2705" spans="1:12" x14ac:dyDescent="0.3">
      <c r="A2705" s="1">
        <v>42622</v>
      </c>
      <c r="B2705" s="1">
        <v>42628</v>
      </c>
      <c r="C2705" t="s">
        <v>7</v>
      </c>
      <c r="D2705" t="s">
        <v>161</v>
      </c>
      <c r="E2705" t="s">
        <v>162</v>
      </c>
      <c r="F2705" t="s">
        <v>19</v>
      </c>
      <c r="G2705" t="s">
        <v>4</v>
      </c>
      <c r="H2705" t="s">
        <v>5</v>
      </c>
      <c r="I2705" t="s">
        <v>1809</v>
      </c>
      <c r="J2705" s="2">
        <v>31.104000000000006</v>
      </c>
      <c r="K2705">
        <v>6</v>
      </c>
      <c r="L2705" s="4"/>
    </row>
    <row r="2706" spans="1:12" x14ac:dyDescent="0.3">
      <c r="A2706" s="1">
        <v>42622</v>
      </c>
      <c r="B2706" s="1">
        <v>42628</v>
      </c>
      <c r="C2706" t="s">
        <v>7</v>
      </c>
      <c r="D2706" t="s">
        <v>161</v>
      </c>
      <c r="E2706" t="s">
        <v>162</v>
      </c>
      <c r="F2706" t="s">
        <v>19</v>
      </c>
      <c r="G2706" t="s">
        <v>4</v>
      </c>
      <c r="H2706" t="s">
        <v>20</v>
      </c>
      <c r="I2706" t="s">
        <v>1096</v>
      </c>
      <c r="J2706" s="2">
        <v>11.176000000000002</v>
      </c>
      <c r="K2706">
        <v>1</v>
      </c>
      <c r="L2706" s="4"/>
    </row>
    <row r="2707" spans="1:12" x14ac:dyDescent="0.3">
      <c r="A2707" s="1">
        <v>42623</v>
      </c>
      <c r="B2707" s="1">
        <v>42623</v>
      </c>
      <c r="C2707" t="s">
        <v>240</v>
      </c>
      <c r="D2707" t="s">
        <v>208</v>
      </c>
      <c r="E2707" t="s">
        <v>209</v>
      </c>
      <c r="F2707" t="s">
        <v>3</v>
      </c>
      <c r="G2707" t="s">
        <v>12</v>
      </c>
      <c r="H2707" t="s">
        <v>70</v>
      </c>
      <c r="I2707" t="s">
        <v>712</v>
      </c>
      <c r="J2707" s="2">
        <v>362.35199999999998</v>
      </c>
      <c r="K2707">
        <v>3</v>
      </c>
      <c r="L2707" s="4"/>
    </row>
    <row r="2708" spans="1:12" x14ac:dyDescent="0.3">
      <c r="A2708" s="1">
        <v>42623</v>
      </c>
      <c r="B2708" s="1">
        <v>42623</v>
      </c>
      <c r="C2708" t="s">
        <v>240</v>
      </c>
      <c r="D2708" t="s">
        <v>208</v>
      </c>
      <c r="E2708" t="s">
        <v>209</v>
      </c>
      <c r="F2708" t="s">
        <v>3</v>
      </c>
      <c r="G2708" t="s">
        <v>4</v>
      </c>
      <c r="H2708" t="s">
        <v>26</v>
      </c>
      <c r="I2708" t="s">
        <v>197</v>
      </c>
      <c r="J2708" s="2">
        <v>7.1840000000000011</v>
      </c>
      <c r="K2708">
        <v>2</v>
      </c>
      <c r="L2708" s="4"/>
    </row>
    <row r="2709" spans="1:12" x14ac:dyDescent="0.3">
      <c r="A2709" s="1">
        <v>42624</v>
      </c>
      <c r="B2709" s="1">
        <v>42625</v>
      </c>
      <c r="C2709" t="s">
        <v>240</v>
      </c>
      <c r="D2709" t="s">
        <v>707</v>
      </c>
      <c r="E2709" t="s">
        <v>708</v>
      </c>
      <c r="F2709" t="s">
        <v>3</v>
      </c>
      <c r="G2709" t="s">
        <v>4</v>
      </c>
      <c r="H2709" t="s">
        <v>5</v>
      </c>
      <c r="I2709" t="s">
        <v>2339</v>
      </c>
      <c r="J2709" s="2">
        <v>12.96</v>
      </c>
      <c r="K2709">
        <v>2</v>
      </c>
      <c r="L2709" s="4"/>
    </row>
    <row r="2710" spans="1:12" x14ac:dyDescent="0.3">
      <c r="A2710" s="1">
        <v>42624</v>
      </c>
      <c r="B2710" s="1">
        <v>42625</v>
      </c>
      <c r="C2710" t="s">
        <v>240</v>
      </c>
      <c r="D2710" t="s">
        <v>707</v>
      </c>
      <c r="E2710" t="s">
        <v>708</v>
      </c>
      <c r="F2710" t="s">
        <v>3</v>
      </c>
      <c r="G2710" t="s">
        <v>4</v>
      </c>
      <c r="H2710" t="s">
        <v>29</v>
      </c>
      <c r="I2710" t="s">
        <v>2738</v>
      </c>
      <c r="J2710" s="2">
        <v>22.18</v>
      </c>
      <c r="K2710">
        <v>2</v>
      </c>
      <c r="L2710" s="4"/>
    </row>
    <row r="2711" spans="1:12" x14ac:dyDescent="0.3">
      <c r="A2711" s="1">
        <v>42624</v>
      </c>
      <c r="B2711" s="1">
        <v>42625</v>
      </c>
      <c r="C2711" t="s">
        <v>240</v>
      </c>
      <c r="D2711" t="s">
        <v>707</v>
      </c>
      <c r="E2711" t="s">
        <v>708</v>
      </c>
      <c r="F2711" t="s">
        <v>3</v>
      </c>
      <c r="G2711" t="s">
        <v>12</v>
      </c>
      <c r="H2711" t="s">
        <v>70</v>
      </c>
      <c r="I2711" t="s">
        <v>298</v>
      </c>
      <c r="J2711" s="2">
        <v>2054.2720000000004</v>
      </c>
      <c r="K2711">
        <v>8</v>
      </c>
      <c r="L2711" s="4"/>
    </row>
    <row r="2712" spans="1:12" x14ac:dyDescent="0.3">
      <c r="A2712" s="1">
        <v>42624</v>
      </c>
      <c r="B2712" s="1">
        <v>42624</v>
      </c>
      <c r="C2712" t="s">
        <v>240</v>
      </c>
      <c r="D2712" t="s">
        <v>1488</v>
      </c>
      <c r="E2712" t="s">
        <v>1489</v>
      </c>
      <c r="F2712" t="s">
        <v>3</v>
      </c>
      <c r="G2712" t="s">
        <v>12</v>
      </c>
      <c r="H2712" t="s">
        <v>35</v>
      </c>
      <c r="I2712" t="s">
        <v>2189</v>
      </c>
      <c r="J2712" s="2">
        <v>32.36</v>
      </c>
      <c r="K2712">
        <v>4</v>
      </c>
      <c r="L2712" s="4"/>
    </row>
    <row r="2713" spans="1:12" x14ac:dyDescent="0.3">
      <c r="A2713" s="1">
        <v>42624</v>
      </c>
      <c r="B2713" s="1">
        <v>42624</v>
      </c>
      <c r="C2713" t="s">
        <v>240</v>
      </c>
      <c r="D2713" t="s">
        <v>1488</v>
      </c>
      <c r="E2713" t="s">
        <v>1489</v>
      </c>
      <c r="F2713" t="s">
        <v>3</v>
      </c>
      <c r="G2713" t="s">
        <v>4</v>
      </c>
      <c r="H2713" t="s">
        <v>20</v>
      </c>
      <c r="I2713" t="s">
        <v>1342</v>
      </c>
      <c r="J2713" s="2">
        <v>406.59999999999997</v>
      </c>
      <c r="K2713">
        <v>5</v>
      </c>
      <c r="L2713" s="4"/>
    </row>
    <row r="2714" spans="1:12" x14ac:dyDescent="0.3">
      <c r="A2714" s="1">
        <v>42624</v>
      </c>
      <c r="B2714" s="1">
        <v>42624</v>
      </c>
      <c r="C2714" t="s">
        <v>240</v>
      </c>
      <c r="D2714" t="s">
        <v>1240</v>
      </c>
      <c r="E2714" t="s">
        <v>1241</v>
      </c>
      <c r="F2714" t="s">
        <v>56</v>
      </c>
      <c r="G2714" t="s">
        <v>12</v>
      </c>
      <c r="H2714" t="s">
        <v>70</v>
      </c>
      <c r="I2714" t="s">
        <v>1445</v>
      </c>
      <c r="J2714" s="2">
        <v>177.56800000000001</v>
      </c>
      <c r="K2714">
        <v>2</v>
      </c>
      <c r="L2714" s="4"/>
    </row>
    <row r="2715" spans="1:12" x14ac:dyDescent="0.3">
      <c r="A2715" s="1">
        <v>42624</v>
      </c>
      <c r="B2715" s="1">
        <v>42624</v>
      </c>
      <c r="C2715" t="s">
        <v>240</v>
      </c>
      <c r="D2715" t="s">
        <v>1240</v>
      </c>
      <c r="E2715" t="s">
        <v>1241</v>
      </c>
      <c r="F2715" t="s">
        <v>56</v>
      </c>
      <c r="G2715" t="s">
        <v>4</v>
      </c>
      <c r="H2715" t="s">
        <v>5</v>
      </c>
      <c r="I2715" t="s">
        <v>6</v>
      </c>
      <c r="J2715" s="2">
        <v>19.440000000000001</v>
      </c>
      <c r="K2715">
        <v>3</v>
      </c>
      <c r="L2715" s="4"/>
    </row>
    <row r="2716" spans="1:12" x14ac:dyDescent="0.3">
      <c r="A2716" s="1">
        <v>42624</v>
      </c>
      <c r="B2716" s="1">
        <v>42624</v>
      </c>
      <c r="C2716" t="s">
        <v>240</v>
      </c>
      <c r="D2716" t="s">
        <v>1240</v>
      </c>
      <c r="E2716" t="s">
        <v>1241</v>
      </c>
      <c r="F2716" t="s">
        <v>56</v>
      </c>
      <c r="G2716" t="s">
        <v>4</v>
      </c>
      <c r="H2716" t="s">
        <v>5</v>
      </c>
      <c r="I2716" t="s">
        <v>1348</v>
      </c>
      <c r="J2716" s="2">
        <v>71.28</v>
      </c>
      <c r="K2716">
        <v>11</v>
      </c>
      <c r="L2716" s="4"/>
    </row>
    <row r="2717" spans="1:12" x14ac:dyDescent="0.3">
      <c r="A2717" s="1">
        <v>42624</v>
      </c>
      <c r="B2717" s="1">
        <v>42624</v>
      </c>
      <c r="C2717" t="s">
        <v>240</v>
      </c>
      <c r="D2717" t="s">
        <v>1240</v>
      </c>
      <c r="E2717" t="s">
        <v>1241</v>
      </c>
      <c r="F2717" t="s">
        <v>56</v>
      </c>
      <c r="G2717" t="s">
        <v>4</v>
      </c>
      <c r="H2717" t="s">
        <v>26</v>
      </c>
      <c r="I2717" t="s">
        <v>554</v>
      </c>
      <c r="J2717" s="2">
        <v>1471.96</v>
      </c>
      <c r="K2717">
        <v>5</v>
      </c>
      <c r="L2717" s="4"/>
    </row>
    <row r="2718" spans="1:12" x14ac:dyDescent="0.3">
      <c r="A2718" s="1">
        <v>42624</v>
      </c>
      <c r="B2718" s="1">
        <v>42624</v>
      </c>
      <c r="C2718" t="s">
        <v>240</v>
      </c>
      <c r="D2718" t="s">
        <v>1240</v>
      </c>
      <c r="E2718" t="s">
        <v>1241</v>
      </c>
      <c r="F2718" t="s">
        <v>56</v>
      </c>
      <c r="G2718" t="s">
        <v>74</v>
      </c>
      <c r="H2718" t="s">
        <v>147</v>
      </c>
      <c r="I2718" t="s">
        <v>2739</v>
      </c>
      <c r="J2718" s="2">
        <v>79.959999999999994</v>
      </c>
      <c r="K2718">
        <v>5</v>
      </c>
      <c r="L2718" s="4"/>
    </row>
    <row r="2719" spans="1:12" x14ac:dyDescent="0.3">
      <c r="A2719" s="1">
        <v>42624</v>
      </c>
      <c r="B2719" s="1">
        <v>42626</v>
      </c>
      <c r="C2719" t="s">
        <v>0</v>
      </c>
      <c r="D2719" t="s">
        <v>1150</v>
      </c>
      <c r="E2719" t="s">
        <v>1151</v>
      </c>
      <c r="F2719" t="s">
        <v>3</v>
      </c>
      <c r="G2719" t="s">
        <v>74</v>
      </c>
      <c r="H2719" t="s">
        <v>147</v>
      </c>
      <c r="I2719" t="s">
        <v>2101</v>
      </c>
      <c r="J2719" s="2">
        <v>143.952</v>
      </c>
      <c r="K2719">
        <v>6</v>
      </c>
      <c r="L2719" s="4"/>
    </row>
    <row r="2720" spans="1:12" x14ac:dyDescent="0.3">
      <c r="A2720" s="1">
        <v>42624</v>
      </c>
      <c r="B2720" s="1">
        <v>42626</v>
      </c>
      <c r="C2720" t="s">
        <v>0</v>
      </c>
      <c r="D2720" t="s">
        <v>1150</v>
      </c>
      <c r="E2720" t="s">
        <v>1151</v>
      </c>
      <c r="F2720" t="s">
        <v>3</v>
      </c>
      <c r="G2720" t="s">
        <v>4</v>
      </c>
      <c r="H2720" t="s">
        <v>5</v>
      </c>
      <c r="I2720" t="s">
        <v>2387</v>
      </c>
      <c r="J2720" s="2">
        <v>19.440000000000001</v>
      </c>
      <c r="K2720">
        <v>3</v>
      </c>
      <c r="L2720" s="4"/>
    </row>
    <row r="2721" spans="1:12" x14ac:dyDescent="0.3">
      <c r="A2721" s="1">
        <v>42625</v>
      </c>
      <c r="B2721" s="1">
        <v>42628</v>
      </c>
      <c r="C2721" t="s">
        <v>22</v>
      </c>
      <c r="D2721" t="s">
        <v>1424</v>
      </c>
      <c r="E2721" t="s">
        <v>1425</v>
      </c>
      <c r="F2721" t="s">
        <v>3</v>
      </c>
      <c r="G2721" t="s">
        <v>12</v>
      </c>
      <c r="H2721" t="s">
        <v>35</v>
      </c>
      <c r="I2721" t="s">
        <v>1042</v>
      </c>
      <c r="J2721" s="2">
        <v>8.36</v>
      </c>
      <c r="K2721">
        <v>2</v>
      </c>
      <c r="L2721" s="4"/>
    </row>
    <row r="2722" spans="1:12" x14ac:dyDescent="0.3">
      <c r="A2722" s="1">
        <v>42625</v>
      </c>
      <c r="B2722" s="1">
        <v>42630</v>
      </c>
      <c r="C2722" t="s">
        <v>0</v>
      </c>
      <c r="D2722" t="s">
        <v>1468</v>
      </c>
      <c r="E2722" t="s">
        <v>1469</v>
      </c>
      <c r="F2722" t="s">
        <v>3</v>
      </c>
      <c r="G2722" t="s">
        <v>4</v>
      </c>
      <c r="H2722" t="s">
        <v>5</v>
      </c>
      <c r="I2722" t="s">
        <v>2740</v>
      </c>
      <c r="J2722" s="2">
        <v>166.44</v>
      </c>
      <c r="K2722">
        <v>3</v>
      </c>
      <c r="L2722" s="4"/>
    </row>
    <row r="2723" spans="1:12" x14ac:dyDescent="0.3">
      <c r="A2723" s="1">
        <v>42627</v>
      </c>
      <c r="B2723" s="1">
        <v>42631</v>
      </c>
      <c r="C2723" t="s">
        <v>0</v>
      </c>
      <c r="D2723" t="s">
        <v>1878</v>
      </c>
      <c r="E2723" t="s">
        <v>1879</v>
      </c>
      <c r="F2723" t="s">
        <v>3</v>
      </c>
      <c r="G2723" t="s">
        <v>4</v>
      </c>
      <c r="H2723" t="s">
        <v>168</v>
      </c>
      <c r="I2723" t="s">
        <v>2741</v>
      </c>
      <c r="J2723" s="2">
        <v>56.699999999999996</v>
      </c>
      <c r="K2723">
        <v>9</v>
      </c>
      <c r="L2723" s="4"/>
    </row>
    <row r="2724" spans="1:12" x14ac:dyDescent="0.3">
      <c r="A2724" s="1">
        <v>42628</v>
      </c>
      <c r="B2724" s="1">
        <v>42634</v>
      </c>
      <c r="C2724" t="s">
        <v>7</v>
      </c>
      <c r="D2724" t="s">
        <v>672</v>
      </c>
      <c r="E2724" t="s">
        <v>673</v>
      </c>
      <c r="F2724" t="s">
        <v>3</v>
      </c>
      <c r="G2724" t="s">
        <v>4</v>
      </c>
      <c r="H2724" t="s">
        <v>26</v>
      </c>
      <c r="I2724" t="s">
        <v>183</v>
      </c>
      <c r="J2724" s="2">
        <v>2357.4880000000003</v>
      </c>
      <c r="K2724">
        <v>7</v>
      </c>
      <c r="L2724" s="4"/>
    </row>
    <row r="2725" spans="1:12" x14ac:dyDescent="0.3">
      <c r="A2725" s="1">
        <v>42628</v>
      </c>
      <c r="B2725" s="1">
        <v>42634</v>
      </c>
      <c r="C2725" t="s">
        <v>7</v>
      </c>
      <c r="D2725" t="s">
        <v>672</v>
      </c>
      <c r="E2725" t="s">
        <v>673</v>
      </c>
      <c r="F2725" t="s">
        <v>3</v>
      </c>
      <c r="G2725" t="s">
        <v>74</v>
      </c>
      <c r="H2725" t="s">
        <v>147</v>
      </c>
      <c r="I2725" t="s">
        <v>1645</v>
      </c>
      <c r="J2725" s="2">
        <v>369.54399999999998</v>
      </c>
      <c r="K2725">
        <v>7</v>
      </c>
      <c r="L2725" s="4"/>
    </row>
    <row r="2726" spans="1:12" x14ac:dyDescent="0.3">
      <c r="A2726" s="1">
        <v>42628</v>
      </c>
      <c r="B2726" s="1">
        <v>42634</v>
      </c>
      <c r="C2726" t="s">
        <v>7</v>
      </c>
      <c r="D2726" t="s">
        <v>672</v>
      </c>
      <c r="E2726" t="s">
        <v>673</v>
      </c>
      <c r="F2726" t="s">
        <v>3</v>
      </c>
      <c r="G2726" t="s">
        <v>12</v>
      </c>
      <c r="H2726" t="s">
        <v>70</v>
      </c>
      <c r="I2726" t="s">
        <v>1130</v>
      </c>
      <c r="J2726" s="2">
        <v>184.75200000000001</v>
      </c>
      <c r="K2726">
        <v>3</v>
      </c>
      <c r="L2726" s="4"/>
    </row>
    <row r="2727" spans="1:12" x14ac:dyDescent="0.3">
      <c r="A2727" s="1">
        <v>42628</v>
      </c>
      <c r="B2727" s="1">
        <v>42632</v>
      </c>
      <c r="C2727" t="s">
        <v>7</v>
      </c>
      <c r="D2727" t="s">
        <v>1394</v>
      </c>
      <c r="E2727" t="s">
        <v>1395</v>
      </c>
      <c r="F2727" t="s">
        <v>3</v>
      </c>
      <c r="G2727" t="s">
        <v>12</v>
      </c>
      <c r="H2727" t="s">
        <v>70</v>
      </c>
      <c r="I2727" t="s">
        <v>703</v>
      </c>
      <c r="J2727" s="2">
        <v>218.35200000000003</v>
      </c>
      <c r="K2727">
        <v>3</v>
      </c>
      <c r="L2727" s="4"/>
    </row>
    <row r="2728" spans="1:12" x14ac:dyDescent="0.3">
      <c r="A2728" s="1">
        <v>42628</v>
      </c>
      <c r="B2728" s="1">
        <v>42632</v>
      </c>
      <c r="C2728" t="s">
        <v>7</v>
      </c>
      <c r="D2728" t="s">
        <v>1394</v>
      </c>
      <c r="E2728" t="s">
        <v>1395</v>
      </c>
      <c r="F2728" t="s">
        <v>3</v>
      </c>
      <c r="G2728" t="s">
        <v>12</v>
      </c>
      <c r="H2728" t="s">
        <v>35</v>
      </c>
      <c r="I2728" t="s">
        <v>2275</v>
      </c>
      <c r="J2728" s="2">
        <v>529.9</v>
      </c>
      <c r="K2728">
        <v>5</v>
      </c>
      <c r="L2728" s="4"/>
    </row>
    <row r="2729" spans="1:12" x14ac:dyDescent="0.3">
      <c r="A2729" s="1">
        <v>42628</v>
      </c>
      <c r="B2729" s="1">
        <v>42632</v>
      </c>
      <c r="C2729" t="s">
        <v>7</v>
      </c>
      <c r="D2729" t="s">
        <v>1394</v>
      </c>
      <c r="E2729" t="s">
        <v>1395</v>
      </c>
      <c r="F2729" t="s">
        <v>3</v>
      </c>
      <c r="G2729" t="s">
        <v>4</v>
      </c>
      <c r="H2729" t="s">
        <v>15</v>
      </c>
      <c r="I2729" t="s">
        <v>2742</v>
      </c>
      <c r="J2729" s="2">
        <v>99.3</v>
      </c>
      <c r="K2729">
        <v>10</v>
      </c>
      <c r="L2729" s="4"/>
    </row>
    <row r="2730" spans="1:12" x14ac:dyDescent="0.3">
      <c r="A2730" s="1">
        <v>42628</v>
      </c>
      <c r="B2730" s="1">
        <v>42632</v>
      </c>
      <c r="C2730" t="s">
        <v>7</v>
      </c>
      <c r="D2730" t="s">
        <v>1394</v>
      </c>
      <c r="E2730" t="s">
        <v>1395</v>
      </c>
      <c r="F2730" t="s">
        <v>3</v>
      </c>
      <c r="G2730" t="s">
        <v>4</v>
      </c>
      <c r="H2730" t="s">
        <v>20</v>
      </c>
      <c r="I2730" t="s">
        <v>2422</v>
      </c>
      <c r="J2730" s="2">
        <v>108.96</v>
      </c>
      <c r="K2730">
        <v>2</v>
      </c>
      <c r="L2730" s="4"/>
    </row>
    <row r="2731" spans="1:12" x14ac:dyDescent="0.3">
      <c r="A2731" s="1">
        <v>42628</v>
      </c>
      <c r="B2731" s="1">
        <v>42632</v>
      </c>
      <c r="C2731" t="s">
        <v>7</v>
      </c>
      <c r="D2731" t="s">
        <v>1394</v>
      </c>
      <c r="E2731" t="s">
        <v>1395</v>
      </c>
      <c r="F2731" t="s">
        <v>3</v>
      </c>
      <c r="G2731" t="s">
        <v>4</v>
      </c>
      <c r="H2731" t="s">
        <v>26</v>
      </c>
      <c r="I2731" t="s">
        <v>1716</v>
      </c>
      <c r="J2731" s="2">
        <v>2.6880000000000002</v>
      </c>
      <c r="K2731">
        <v>1</v>
      </c>
      <c r="L2731" s="4"/>
    </row>
    <row r="2732" spans="1:12" x14ac:dyDescent="0.3">
      <c r="A2732" s="1">
        <v>42628</v>
      </c>
      <c r="B2732" s="1">
        <v>42633</v>
      </c>
      <c r="C2732" t="s">
        <v>7</v>
      </c>
      <c r="D2732" t="s">
        <v>555</v>
      </c>
      <c r="E2732" t="s">
        <v>556</v>
      </c>
      <c r="F2732" t="s">
        <v>56</v>
      </c>
      <c r="G2732" t="s">
        <v>4</v>
      </c>
      <c r="H2732" t="s">
        <v>15</v>
      </c>
      <c r="I2732" t="s">
        <v>1750</v>
      </c>
      <c r="J2732" s="2">
        <v>12.419999999999998</v>
      </c>
      <c r="K2732">
        <v>3</v>
      </c>
      <c r="L2732" s="4"/>
    </row>
    <row r="2733" spans="1:12" x14ac:dyDescent="0.3">
      <c r="A2733" s="1">
        <v>42628</v>
      </c>
      <c r="B2733" s="1">
        <v>42630</v>
      </c>
      <c r="C2733" t="s">
        <v>0</v>
      </c>
      <c r="D2733" t="s">
        <v>2743</v>
      </c>
      <c r="E2733" t="s">
        <v>2744</v>
      </c>
      <c r="F2733" t="s">
        <v>126</v>
      </c>
      <c r="G2733" t="s">
        <v>4</v>
      </c>
      <c r="H2733" t="s">
        <v>26</v>
      </c>
      <c r="I2733" t="s">
        <v>211</v>
      </c>
      <c r="J2733" s="2">
        <v>295.05599999999998</v>
      </c>
      <c r="K2733">
        <v>9</v>
      </c>
      <c r="L2733" s="4"/>
    </row>
    <row r="2734" spans="1:12" x14ac:dyDescent="0.3">
      <c r="A2734" s="1">
        <v>42628</v>
      </c>
      <c r="B2734" s="1">
        <v>42630</v>
      </c>
      <c r="C2734" t="s">
        <v>0</v>
      </c>
      <c r="D2734" t="s">
        <v>704</v>
      </c>
      <c r="E2734" t="s">
        <v>705</v>
      </c>
      <c r="F2734" t="s">
        <v>3</v>
      </c>
      <c r="G2734" t="s">
        <v>12</v>
      </c>
      <c r="H2734" t="s">
        <v>44</v>
      </c>
      <c r="I2734" t="s">
        <v>1037</v>
      </c>
      <c r="J2734" s="2">
        <v>300.904</v>
      </c>
      <c r="K2734">
        <v>1</v>
      </c>
      <c r="L2734" s="4"/>
    </row>
    <row r="2735" spans="1:12" x14ac:dyDescent="0.3">
      <c r="A2735" s="1">
        <v>42629</v>
      </c>
      <c r="B2735" s="1">
        <v>42630</v>
      </c>
      <c r="C2735" t="s">
        <v>22</v>
      </c>
      <c r="D2735" t="s">
        <v>499</v>
      </c>
      <c r="E2735" t="s">
        <v>500</v>
      </c>
      <c r="F2735" t="s">
        <v>3</v>
      </c>
      <c r="G2735" t="s">
        <v>4</v>
      </c>
      <c r="H2735" t="s">
        <v>5</v>
      </c>
      <c r="I2735" t="s">
        <v>2195</v>
      </c>
      <c r="J2735" s="2">
        <v>8.82</v>
      </c>
      <c r="K2735">
        <v>2</v>
      </c>
      <c r="L2735" s="4"/>
    </row>
    <row r="2736" spans="1:12" x14ac:dyDescent="0.3">
      <c r="A2736" s="1">
        <v>42629</v>
      </c>
      <c r="B2736" s="1">
        <v>42630</v>
      </c>
      <c r="C2736" t="s">
        <v>22</v>
      </c>
      <c r="D2736" t="s">
        <v>499</v>
      </c>
      <c r="E2736" t="s">
        <v>500</v>
      </c>
      <c r="F2736" t="s">
        <v>3</v>
      </c>
      <c r="G2736" t="s">
        <v>4</v>
      </c>
      <c r="H2736" t="s">
        <v>15</v>
      </c>
      <c r="I2736" t="s">
        <v>102</v>
      </c>
      <c r="J2736" s="2">
        <v>5.98</v>
      </c>
      <c r="K2736">
        <v>1</v>
      </c>
      <c r="L2736" s="4"/>
    </row>
    <row r="2737" spans="1:12" x14ac:dyDescent="0.3">
      <c r="A2737" s="1">
        <v>42629</v>
      </c>
      <c r="B2737" s="1">
        <v>42633</v>
      </c>
      <c r="C2737" t="s">
        <v>7</v>
      </c>
      <c r="D2737" t="s">
        <v>1405</v>
      </c>
      <c r="E2737" t="s">
        <v>1406</v>
      </c>
      <c r="F2737" t="s">
        <v>3</v>
      </c>
      <c r="G2737" t="s">
        <v>4</v>
      </c>
      <c r="H2737" t="s">
        <v>52</v>
      </c>
      <c r="I2737" t="s">
        <v>2745</v>
      </c>
      <c r="J2737" s="2">
        <v>17.899999999999999</v>
      </c>
      <c r="K2737">
        <v>5</v>
      </c>
      <c r="L2737" s="4"/>
    </row>
    <row r="2738" spans="1:12" x14ac:dyDescent="0.3">
      <c r="A2738" s="1">
        <v>42630</v>
      </c>
      <c r="B2738" s="1">
        <v>42630</v>
      </c>
      <c r="C2738" t="s">
        <v>240</v>
      </c>
      <c r="D2738" t="s">
        <v>2746</v>
      </c>
      <c r="E2738" t="s">
        <v>2747</v>
      </c>
      <c r="F2738" t="s">
        <v>56</v>
      </c>
      <c r="G2738" t="s">
        <v>4</v>
      </c>
      <c r="H2738" t="s">
        <v>5</v>
      </c>
      <c r="I2738" t="s">
        <v>2748</v>
      </c>
      <c r="J2738" s="2">
        <v>12.96</v>
      </c>
      <c r="K2738">
        <v>2</v>
      </c>
      <c r="L2738" s="4"/>
    </row>
    <row r="2739" spans="1:12" x14ac:dyDescent="0.3">
      <c r="A2739" s="1">
        <v>42630</v>
      </c>
      <c r="B2739" s="1">
        <v>42634</v>
      </c>
      <c r="C2739" t="s">
        <v>0</v>
      </c>
      <c r="D2739" t="s">
        <v>2391</v>
      </c>
      <c r="E2739" t="s">
        <v>2392</v>
      </c>
      <c r="F2739" t="s">
        <v>126</v>
      </c>
      <c r="G2739" t="s">
        <v>4</v>
      </c>
      <c r="H2739" t="s">
        <v>26</v>
      </c>
      <c r="I2739" t="s">
        <v>197</v>
      </c>
      <c r="J2739" s="2">
        <v>10.776000000000002</v>
      </c>
      <c r="K2739">
        <v>3</v>
      </c>
      <c r="L2739" s="4"/>
    </row>
    <row r="2740" spans="1:12" x14ac:dyDescent="0.3">
      <c r="A2740" s="1">
        <v>42630</v>
      </c>
      <c r="B2740" s="1">
        <v>42634</v>
      </c>
      <c r="C2740" t="s">
        <v>0</v>
      </c>
      <c r="D2740" t="s">
        <v>2391</v>
      </c>
      <c r="E2740" t="s">
        <v>2392</v>
      </c>
      <c r="F2740" t="s">
        <v>126</v>
      </c>
      <c r="G2740" t="s">
        <v>4</v>
      </c>
      <c r="H2740" t="s">
        <v>26</v>
      </c>
      <c r="I2740" t="s">
        <v>1955</v>
      </c>
      <c r="J2740" s="2">
        <v>11.784000000000001</v>
      </c>
      <c r="K2740">
        <v>3</v>
      </c>
      <c r="L2740" s="4"/>
    </row>
    <row r="2741" spans="1:12" x14ac:dyDescent="0.3">
      <c r="A2741" s="1">
        <v>42630</v>
      </c>
      <c r="B2741" s="1">
        <v>42634</v>
      </c>
      <c r="C2741" t="s">
        <v>0</v>
      </c>
      <c r="D2741" t="s">
        <v>2391</v>
      </c>
      <c r="E2741" t="s">
        <v>2392</v>
      </c>
      <c r="F2741" t="s">
        <v>126</v>
      </c>
      <c r="G2741" t="s">
        <v>4</v>
      </c>
      <c r="H2741" t="s">
        <v>5</v>
      </c>
      <c r="I2741" t="s">
        <v>1008</v>
      </c>
      <c r="J2741" s="2">
        <v>164.88</v>
      </c>
      <c r="K2741">
        <v>3</v>
      </c>
      <c r="L2741" s="4"/>
    </row>
    <row r="2742" spans="1:12" x14ac:dyDescent="0.3">
      <c r="A2742" s="1">
        <v>42630</v>
      </c>
      <c r="B2742" s="1">
        <v>42634</v>
      </c>
      <c r="C2742" t="s">
        <v>0</v>
      </c>
      <c r="D2742" t="s">
        <v>2391</v>
      </c>
      <c r="E2742" t="s">
        <v>2392</v>
      </c>
      <c r="F2742" t="s">
        <v>126</v>
      </c>
      <c r="G2742" t="s">
        <v>12</v>
      </c>
      <c r="H2742" t="s">
        <v>13</v>
      </c>
      <c r="I2742" t="s">
        <v>2749</v>
      </c>
      <c r="J2742" s="2">
        <v>1292.94</v>
      </c>
      <c r="K2742">
        <v>3</v>
      </c>
      <c r="L2742" s="4"/>
    </row>
    <row r="2743" spans="1:12" x14ac:dyDescent="0.3">
      <c r="A2743" s="1">
        <v>42630</v>
      </c>
      <c r="B2743" s="1">
        <v>42634</v>
      </c>
      <c r="C2743" t="s">
        <v>0</v>
      </c>
      <c r="D2743" t="s">
        <v>2391</v>
      </c>
      <c r="E2743" t="s">
        <v>2392</v>
      </c>
      <c r="F2743" t="s">
        <v>126</v>
      </c>
      <c r="G2743" t="s">
        <v>4</v>
      </c>
      <c r="H2743" t="s">
        <v>26</v>
      </c>
      <c r="I2743" t="s">
        <v>2450</v>
      </c>
      <c r="J2743" s="2">
        <v>25.584000000000003</v>
      </c>
      <c r="K2743">
        <v>2</v>
      </c>
      <c r="L2743" s="4"/>
    </row>
    <row r="2744" spans="1:12" x14ac:dyDescent="0.3">
      <c r="A2744" s="1">
        <v>42630</v>
      </c>
      <c r="B2744" s="1">
        <v>42634</v>
      </c>
      <c r="C2744" t="s">
        <v>0</v>
      </c>
      <c r="D2744" t="s">
        <v>2391</v>
      </c>
      <c r="E2744" t="s">
        <v>2392</v>
      </c>
      <c r="F2744" t="s">
        <v>126</v>
      </c>
      <c r="G2744" t="s">
        <v>4</v>
      </c>
      <c r="H2744" t="s">
        <v>10</v>
      </c>
      <c r="I2744" t="s">
        <v>1922</v>
      </c>
      <c r="J2744" s="2">
        <v>261.74</v>
      </c>
      <c r="K2744">
        <v>2</v>
      </c>
      <c r="L2744" s="4"/>
    </row>
    <row r="2745" spans="1:12" x14ac:dyDescent="0.3">
      <c r="A2745" s="1">
        <v>42630</v>
      </c>
      <c r="B2745" s="1">
        <v>42634</v>
      </c>
      <c r="C2745" t="s">
        <v>0</v>
      </c>
      <c r="D2745" t="s">
        <v>2391</v>
      </c>
      <c r="E2745" t="s">
        <v>2392</v>
      </c>
      <c r="F2745" t="s">
        <v>126</v>
      </c>
      <c r="G2745" t="s">
        <v>4</v>
      </c>
      <c r="H2745" t="s">
        <v>168</v>
      </c>
      <c r="I2745" t="s">
        <v>2750</v>
      </c>
      <c r="J2745" s="2">
        <v>14.399999999999999</v>
      </c>
      <c r="K2745">
        <v>5</v>
      </c>
      <c r="L2745" s="4"/>
    </row>
    <row r="2746" spans="1:12" x14ac:dyDescent="0.3">
      <c r="A2746" s="1">
        <v>42630</v>
      </c>
      <c r="B2746" s="1">
        <v>42633</v>
      </c>
      <c r="C2746" t="s">
        <v>22</v>
      </c>
      <c r="D2746" t="s">
        <v>1416</v>
      </c>
      <c r="E2746" t="s">
        <v>1417</v>
      </c>
      <c r="F2746" t="s">
        <v>224</v>
      </c>
      <c r="G2746" t="s">
        <v>74</v>
      </c>
      <c r="H2746" t="s">
        <v>75</v>
      </c>
      <c r="I2746" t="s">
        <v>1677</v>
      </c>
      <c r="J2746" s="2">
        <v>89.97</v>
      </c>
      <c r="K2746">
        <v>3</v>
      </c>
      <c r="L2746" s="4"/>
    </row>
    <row r="2747" spans="1:12" x14ac:dyDescent="0.3">
      <c r="A2747" s="1">
        <v>42631</v>
      </c>
      <c r="B2747" s="1">
        <v>42636</v>
      </c>
      <c r="C2747" t="s">
        <v>7</v>
      </c>
      <c r="D2747" t="s">
        <v>1030</v>
      </c>
      <c r="E2747" t="s">
        <v>1031</v>
      </c>
      <c r="F2747" t="s">
        <v>3</v>
      </c>
      <c r="G2747" t="s">
        <v>4</v>
      </c>
      <c r="H2747" t="s">
        <v>15</v>
      </c>
      <c r="I2747" t="s">
        <v>861</v>
      </c>
      <c r="J2747" s="2">
        <v>8.82</v>
      </c>
      <c r="K2747">
        <v>3</v>
      </c>
      <c r="L2747" s="4"/>
    </row>
    <row r="2748" spans="1:12" x14ac:dyDescent="0.3">
      <c r="A2748" s="1">
        <v>42631</v>
      </c>
      <c r="B2748" s="1">
        <v>42636</v>
      </c>
      <c r="C2748" t="s">
        <v>7</v>
      </c>
      <c r="D2748" t="s">
        <v>1030</v>
      </c>
      <c r="E2748" t="s">
        <v>1031</v>
      </c>
      <c r="F2748" t="s">
        <v>3</v>
      </c>
      <c r="G2748" t="s">
        <v>4</v>
      </c>
      <c r="H2748" t="s">
        <v>29</v>
      </c>
      <c r="I2748" t="s">
        <v>2159</v>
      </c>
      <c r="J2748" s="2">
        <v>10.86</v>
      </c>
      <c r="K2748">
        <v>3</v>
      </c>
      <c r="L2748" s="4"/>
    </row>
    <row r="2749" spans="1:12" x14ac:dyDescent="0.3">
      <c r="A2749" s="1">
        <v>42631</v>
      </c>
      <c r="B2749" s="1">
        <v>42636</v>
      </c>
      <c r="C2749" t="s">
        <v>7</v>
      </c>
      <c r="D2749" t="s">
        <v>1030</v>
      </c>
      <c r="E2749" t="s">
        <v>1031</v>
      </c>
      <c r="F2749" t="s">
        <v>3</v>
      </c>
      <c r="G2749" t="s">
        <v>4</v>
      </c>
      <c r="H2749" t="s">
        <v>5</v>
      </c>
      <c r="I2749" t="s">
        <v>1971</v>
      </c>
      <c r="J2749" s="2">
        <v>143.69999999999999</v>
      </c>
      <c r="K2749">
        <v>3</v>
      </c>
      <c r="L2749" s="4"/>
    </row>
    <row r="2750" spans="1:12" x14ac:dyDescent="0.3">
      <c r="A2750" s="1">
        <v>42631</v>
      </c>
      <c r="B2750" s="1">
        <v>42635</v>
      </c>
      <c r="C2750" t="s">
        <v>7</v>
      </c>
      <c r="D2750" t="s">
        <v>2751</v>
      </c>
      <c r="E2750" t="s">
        <v>2752</v>
      </c>
      <c r="F2750" t="s">
        <v>172</v>
      </c>
      <c r="G2750" t="s">
        <v>4</v>
      </c>
      <c r="H2750" t="s">
        <v>26</v>
      </c>
      <c r="I2750" t="s">
        <v>967</v>
      </c>
      <c r="J2750" s="2">
        <v>10.080000000000002</v>
      </c>
      <c r="K2750">
        <v>7</v>
      </c>
      <c r="L2750" s="4"/>
    </row>
    <row r="2751" spans="1:12" x14ac:dyDescent="0.3">
      <c r="A2751" s="1">
        <v>42631</v>
      </c>
      <c r="B2751" s="1">
        <v>42635</v>
      </c>
      <c r="C2751" t="s">
        <v>7</v>
      </c>
      <c r="D2751" t="s">
        <v>2751</v>
      </c>
      <c r="E2751" t="s">
        <v>2752</v>
      </c>
      <c r="F2751" t="s">
        <v>172</v>
      </c>
      <c r="G2751" t="s">
        <v>74</v>
      </c>
      <c r="H2751" t="s">
        <v>75</v>
      </c>
      <c r="I2751" t="s">
        <v>2753</v>
      </c>
      <c r="J2751" s="2">
        <v>101.34</v>
      </c>
      <c r="K2751">
        <v>3</v>
      </c>
      <c r="L2751" s="4"/>
    </row>
    <row r="2752" spans="1:12" x14ac:dyDescent="0.3">
      <c r="A2752" s="1">
        <v>42632</v>
      </c>
      <c r="B2752" s="1">
        <v>42638</v>
      </c>
      <c r="C2752" t="s">
        <v>7</v>
      </c>
      <c r="D2752" t="s">
        <v>1901</v>
      </c>
      <c r="E2752" t="s">
        <v>1902</v>
      </c>
      <c r="F2752" t="s">
        <v>19</v>
      </c>
      <c r="G2752" t="s">
        <v>74</v>
      </c>
      <c r="H2752" t="s">
        <v>147</v>
      </c>
      <c r="I2752" t="s">
        <v>896</v>
      </c>
      <c r="J2752" s="2">
        <v>191.976</v>
      </c>
      <c r="K2752">
        <v>3</v>
      </c>
      <c r="L2752" s="4"/>
    </row>
    <row r="2753" spans="1:12" x14ac:dyDescent="0.3">
      <c r="A2753" s="1">
        <v>42632</v>
      </c>
      <c r="B2753" s="1">
        <v>42638</v>
      </c>
      <c r="C2753" t="s">
        <v>7</v>
      </c>
      <c r="D2753" t="s">
        <v>1901</v>
      </c>
      <c r="E2753" t="s">
        <v>1902</v>
      </c>
      <c r="F2753" t="s">
        <v>19</v>
      </c>
      <c r="G2753" t="s">
        <v>4</v>
      </c>
      <c r="H2753" t="s">
        <v>15</v>
      </c>
      <c r="I2753" t="s">
        <v>2742</v>
      </c>
      <c r="J2753" s="2">
        <v>23.832000000000001</v>
      </c>
      <c r="K2753">
        <v>3</v>
      </c>
      <c r="L2753" s="4"/>
    </row>
    <row r="2754" spans="1:12" x14ac:dyDescent="0.3">
      <c r="A2754" s="1">
        <v>42632</v>
      </c>
      <c r="B2754" s="1">
        <v>42638</v>
      </c>
      <c r="C2754" t="s">
        <v>7</v>
      </c>
      <c r="D2754" t="s">
        <v>1901</v>
      </c>
      <c r="E2754" t="s">
        <v>1902</v>
      </c>
      <c r="F2754" t="s">
        <v>19</v>
      </c>
      <c r="G2754" t="s">
        <v>12</v>
      </c>
      <c r="H2754" t="s">
        <v>35</v>
      </c>
      <c r="I2754" t="s">
        <v>2136</v>
      </c>
      <c r="J2754" s="2">
        <v>409.21600000000001</v>
      </c>
      <c r="K2754">
        <v>8</v>
      </c>
      <c r="L2754" s="4"/>
    </row>
    <row r="2755" spans="1:12" x14ac:dyDescent="0.3">
      <c r="A2755" s="1">
        <v>42632</v>
      </c>
      <c r="B2755" s="1">
        <v>42638</v>
      </c>
      <c r="C2755" t="s">
        <v>7</v>
      </c>
      <c r="D2755" t="s">
        <v>1901</v>
      </c>
      <c r="E2755" t="s">
        <v>1902</v>
      </c>
      <c r="F2755" t="s">
        <v>19</v>
      </c>
      <c r="G2755" t="s">
        <v>12</v>
      </c>
      <c r="H2755" t="s">
        <v>13</v>
      </c>
      <c r="I2755" t="s">
        <v>31</v>
      </c>
      <c r="J2755" s="2">
        <v>72.588000000000008</v>
      </c>
      <c r="K2755">
        <v>2</v>
      </c>
      <c r="L2755" s="4"/>
    </row>
    <row r="2756" spans="1:12" x14ac:dyDescent="0.3">
      <c r="A2756" s="1">
        <v>42632</v>
      </c>
      <c r="B2756" s="1">
        <v>42637</v>
      </c>
      <c r="C2756" t="s">
        <v>7</v>
      </c>
      <c r="D2756" t="s">
        <v>2078</v>
      </c>
      <c r="E2756" t="s">
        <v>2079</v>
      </c>
      <c r="F2756" t="s">
        <v>3</v>
      </c>
      <c r="G2756" t="s">
        <v>74</v>
      </c>
      <c r="H2756" t="s">
        <v>75</v>
      </c>
      <c r="I2756" t="s">
        <v>2413</v>
      </c>
      <c r="J2756" s="2">
        <v>149.94999999999999</v>
      </c>
      <c r="K2756">
        <v>5</v>
      </c>
      <c r="L2756" s="4"/>
    </row>
    <row r="2757" spans="1:12" x14ac:dyDescent="0.3">
      <c r="A2757" s="1">
        <v>42632</v>
      </c>
      <c r="B2757" s="1">
        <v>42637</v>
      </c>
      <c r="C2757" t="s">
        <v>7</v>
      </c>
      <c r="D2757" t="s">
        <v>2078</v>
      </c>
      <c r="E2757" t="s">
        <v>2079</v>
      </c>
      <c r="F2757" t="s">
        <v>3</v>
      </c>
      <c r="G2757" t="s">
        <v>4</v>
      </c>
      <c r="H2757" t="s">
        <v>15</v>
      </c>
      <c r="I2757" t="s">
        <v>2412</v>
      </c>
      <c r="J2757" s="2">
        <v>23.32</v>
      </c>
      <c r="K2757">
        <v>2</v>
      </c>
      <c r="L2757" s="4"/>
    </row>
    <row r="2758" spans="1:12" x14ac:dyDescent="0.3">
      <c r="A2758" s="1">
        <v>42632</v>
      </c>
      <c r="B2758" s="1">
        <v>42637</v>
      </c>
      <c r="C2758" t="s">
        <v>7</v>
      </c>
      <c r="D2758" t="s">
        <v>2078</v>
      </c>
      <c r="E2758" t="s">
        <v>2079</v>
      </c>
      <c r="F2758" t="s">
        <v>3</v>
      </c>
      <c r="G2758" t="s">
        <v>4</v>
      </c>
      <c r="H2758" t="s">
        <v>15</v>
      </c>
      <c r="I2758" t="s">
        <v>2754</v>
      </c>
      <c r="J2758" s="2">
        <v>16.740000000000002</v>
      </c>
      <c r="K2758">
        <v>3</v>
      </c>
      <c r="L2758" s="4"/>
    </row>
    <row r="2759" spans="1:12" x14ac:dyDescent="0.3">
      <c r="A2759" s="1">
        <v>42632</v>
      </c>
      <c r="B2759" s="1">
        <v>42638</v>
      </c>
      <c r="C2759" t="s">
        <v>7</v>
      </c>
      <c r="D2759" t="s">
        <v>2250</v>
      </c>
      <c r="E2759" t="s">
        <v>2251</v>
      </c>
      <c r="F2759" t="s">
        <v>25</v>
      </c>
      <c r="G2759" t="s">
        <v>4</v>
      </c>
      <c r="H2759" t="s">
        <v>10</v>
      </c>
      <c r="I2759" t="s">
        <v>529</v>
      </c>
      <c r="J2759" s="2">
        <v>12.624000000000001</v>
      </c>
      <c r="K2759">
        <v>2</v>
      </c>
      <c r="L2759" s="4"/>
    </row>
    <row r="2760" spans="1:12" x14ac:dyDescent="0.3">
      <c r="A2760" s="1">
        <v>42632</v>
      </c>
      <c r="B2760" s="1">
        <v>42638</v>
      </c>
      <c r="C2760" t="s">
        <v>7</v>
      </c>
      <c r="D2760" t="s">
        <v>2250</v>
      </c>
      <c r="E2760" t="s">
        <v>2251</v>
      </c>
      <c r="F2760" t="s">
        <v>25</v>
      </c>
      <c r="G2760" t="s">
        <v>74</v>
      </c>
      <c r="H2760" t="s">
        <v>75</v>
      </c>
      <c r="I2760" t="s">
        <v>290</v>
      </c>
      <c r="J2760" s="2">
        <v>89.584000000000003</v>
      </c>
      <c r="K2760">
        <v>2</v>
      </c>
      <c r="L2760" s="4"/>
    </row>
    <row r="2761" spans="1:12" x14ac:dyDescent="0.3">
      <c r="A2761" s="1">
        <v>42632</v>
      </c>
      <c r="B2761" s="1">
        <v>42638</v>
      </c>
      <c r="C2761" t="s">
        <v>7</v>
      </c>
      <c r="D2761" t="s">
        <v>2250</v>
      </c>
      <c r="E2761" t="s">
        <v>2251</v>
      </c>
      <c r="F2761" t="s">
        <v>25</v>
      </c>
      <c r="G2761" t="s">
        <v>74</v>
      </c>
      <c r="H2761" t="s">
        <v>147</v>
      </c>
      <c r="I2761" t="s">
        <v>2686</v>
      </c>
      <c r="J2761" s="2">
        <v>471.92</v>
      </c>
      <c r="K2761">
        <v>2</v>
      </c>
      <c r="L2761" s="4"/>
    </row>
    <row r="2762" spans="1:12" x14ac:dyDescent="0.3">
      <c r="A2762" s="1">
        <v>42632</v>
      </c>
      <c r="B2762" s="1">
        <v>42638</v>
      </c>
      <c r="C2762" t="s">
        <v>7</v>
      </c>
      <c r="D2762" t="s">
        <v>2250</v>
      </c>
      <c r="E2762" t="s">
        <v>2251</v>
      </c>
      <c r="F2762" t="s">
        <v>25</v>
      </c>
      <c r="G2762" t="s">
        <v>4</v>
      </c>
      <c r="H2762" t="s">
        <v>26</v>
      </c>
      <c r="I2762" t="s">
        <v>803</v>
      </c>
      <c r="J2762" s="2">
        <v>18.180000000000003</v>
      </c>
      <c r="K2762">
        <v>4</v>
      </c>
      <c r="L2762" s="4"/>
    </row>
    <row r="2763" spans="1:12" x14ac:dyDescent="0.3">
      <c r="A2763" s="1">
        <v>42634</v>
      </c>
      <c r="B2763" s="1">
        <v>42636</v>
      </c>
      <c r="C2763" t="s">
        <v>22</v>
      </c>
      <c r="D2763" t="s">
        <v>2755</v>
      </c>
      <c r="E2763" t="s">
        <v>2756</v>
      </c>
      <c r="F2763" t="s">
        <v>56</v>
      </c>
      <c r="G2763" t="s">
        <v>74</v>
      </c>
      <c r="H2763" t="s">
        <v>75</v>
      </c>
      <c r="I2763" t="s">
        <v>1748</v>
      </c>
      <c r="J2763" s="2">
        <v>71.98</v>
      </c>
      <c r="K2763">
        <v>2</v>
      </c>
      <c r="L2763" s="4"/>
    </row>
    <row r="2764" spans="1:12" x14ac:dyDescent="0.3">
      <c r="A2764" s="1">
        <v>42634</v>
      </c>
      <c r="B2764" s="1">
        <v>42636</v>
      </c>
      <c r="C2764" t="s">
        <v>22</v>
      </c>
      <c r="D2764" t="s">
        <v>2755</v>
      </c>
      <c r="E2764" t="s">
        <v>2756</v>
      </c>
      <c r="F2764" t="s">
        <v>56</v>
      </c>
      <c r="G2764" t="s">
        <v>74</v>
      </c>
      <c r="H2764" t="s">
        <v>75</v>
      </c>
      <c r="I2764" t="s">
        <v>2757</v>
      </c>
      <c r="J2764" s="2">
        <v>79.98</v>
      </c>
      <c r="K2764">
        <v>2</v>
      </c>
      <c r="L2764" s="4"/>
    </row>
    <row r="2765" spans="1:12" x14ac:dyDescent="0.3">
      <c r="A2765" s="1">
        <v>42634</v>
      </c>
      <c r="B2765" s="1">
        <v>42636</v>
      </c>
      <c r="C2765" t="s">
        <v>22</v>
      </c>
      <c r="D2765" t="s">
        <v>2359</v>
      </c>
      <c r="E2765" t="s">
        <v>2360</v>
      </c>
      <c r="F2765" t="s">
        <v>3</v>
      </c>
      <c r="G2765" t="s">
        <v>4</v>
      </c>
      <c r="H2765" t="s">
        <v>10</v>
      </c>
      <c r="I2765" t="s">
        <v>2758</v>
      </c>
      <c r="J2765" s="2">
        <v>15.51</v>
      </c>
      <c r="K2765">
        <v>1</v>
      </c>
      <c r="L2765" s="4"/>
    </row>
    <row r="2766" spans="1:12" x14ac:dyDescent="0.3">
      <c r="A2766" s="1">
        <v>42634</v>
      </c>
      <c r="B2766" s="1">
        <v>42638</v>
      </c>
      <c r="C2766" t="s">
        <v>7</v>
      </c>
      <c r="D2766" t="s">
        <v>726</v>
      </c>
      <c r="E2766" t="s">
        <v>727</v>
      </c>
      <c r="F2766" t="s">
        <v>3</v>
      </c>
      <c r="G2766" t="s">
        <v>4</v>
      </c>
      <c r="H2766" t="s">
        <v>5</v>
      </c>
      <c r="I2766" t="s">
        <v>2759</v>
      </c>
      <c r="J2766" s="2">
        <v>55.86</v>
      </c>
      <c r="K2766">
        <v>7</v>
      </c>
      <c r="L2766" s="4"/>
    </row>
    <row r="2767" spans="1:12" x14ac:dyDescent="0.3">
      <c r="A2767" s="1">
        <v>42635</v>
      </c>
      <c r="B2767" s="1">
        <v>42641</v>
      </c>
      <c r="C2767" t="s">
        <v>7</v>
      </c>
      <c r="D2767" t="s">
        <v>17</v>
      </c>
      <c r="E2767" t="s">
        <v>18</v>
      </c>
      <c r="F2767" t="s">
        <v>172</v>
      </c>
      <c r="G2767" t="s">
        <v>4</v>
      </c>
      <c r="H2767" t="s">
        <v>5</v>
      </c>
      <c r="I2767" t="s">
        <v>2760</v>
      </c>
      <c r="J2767" s="2">
        <v>27.18</v>
      </c>
      <c r="K2767">
        <v>3</v>
      </c>
      <c r="L2767" s="4"/>
    </row>
    <row r="2768" spans="1:12" x14ac:dyDescent="0.3">
      <c r="A2768" s="1">
        <v>42635</v>
      </c>
      <c r="B2768" s="1">
        <v>42641</v>
      </c>
      <c r="C2768" t="s">
        <v>7</v>
      </c>
      <c r="D2768" t="s">
        <v>1207</v>
      </c>
      <c r="E2768" t="s">
        <v>1208</v>
      </c>
      <c r="F2768" t="s">
        <v>3</v>
      </c>
      <c r="G2768" t="s">
        <v>4</v>
      </c>
      <c r="H2768" t="s">
        <v>78</v>
      </c>
      <c r="I2768" t="s">
        <v>1485</v>
      </c>
      <c r="J2768" s="2">
        <v>21.96</v>
      </c>
      <c r="K2768">
        <v>2</v>
      </c>
      <c r="L2768" s="4"/>
    </row>
    <row r="2769" spans="1:12" x14ac:dyDescent="0.3">
      <c r="A2769" s="1">
        <v>42636</v>
      </c>
      <c r="B2769" s="1">
        <v>42638</v>
      </c>
      <c r="C2769" t="s">
        <v>0</v>
      </c>
      <c r="D2769" t="s">
        <v>2761</v>
      </c>
      <c r="E2769" t="s">
        <v>2762</v>
      </c>
      <c r="F2769" t="s">
        <v>56</v>
      </c>
      <c r="G2769" t="s">
        <v>4</v>
      </c>
      <c r="H2769" t="s">
        <v>20</v>
      </c>
      <c r="I2769" t="s">
        <v>2763</v>
      </c>
      <c r="J2769" s="2">
        <v>119.96</v>
      </c>
      <c r="K2769">
        <v>2</v>
      </c>
      <c r="L2769" s="4"/>
    </row>
    <row r="2770" spans="1:12" x14ac:dyDescent="0.3">
      <c r="A2770" s="1">
        <v>42636</v>
      </c>
      <c r="B2770" s="1">
        <v>42638</v>
      </c>
      <c r="C2770" t="s">
        <v>0</v>
      </c>
      <c r="D2770" t="s">
        <v>2761</v>
      </c>
      <c r="E2770" t="s">
        <v>2762</v>
      </c>
      <c r="F2770" t="s">
        <v>56</v>
      </c>
      <c r="G2770" t="s">
        <v>4</v>
      </c>
      <c r="H2770" t="s">
        <v>10</v>
      </c>
      <c r="I2770" t="s">
        <v>1504</v>
      </c>
      <c r="J2770" s="2">
        <v>31.44</v>
      </c>
      <c r="K2770">
        <v>3</v>
      </c>
      <c r="L2770" s="4"/>
    </row>
    <row r="2771" spans="1:12" x14ac:dyDescent="0.3">
      <c r="A2771" s="1">
        <v>42636</v>
      </c>
      <c r="B2771" s="1">
        <v>42638</v>
      </c>
      <c r="C2771" t="s">
        <v>0</v>
      </c>
      <c r="D2771" t="s">
        <v>2761</v>
      </c>
      <c r="E2771" t="s">
        <v>2762</v>
      </c>
      <c r="F2771" t="s">
        <v>56</v>
      </c>
      <c r="G2771" t="s">
        <v>4</v>
      </c>
      <c r="H2771" t="s">
        <v>26</v>
      </c>
      <c r="I2771" t="s">
        <v>2683</v>
      </c>
      <c r="J2771" s="2">
        <v>6.88</v>
      </c>
      <c r="K2771">
        <v>1</v>
      </c>
      <c r="L2771" s="4"/>
    </row>
    <row r="2772" spans="1:12" x14ac:dyDescent="0.3">
      <c r="A2772" s="1">
        <v>42636</v>
      </c>
      <c r="B2772" s="1">
        <v>42640</v>
      </c>
      <c r="C2772" t="s">
        <v>7</v>
      </c>
      <c r="D2772" t="s">
        <v>2764</v>
      </c>
      <c r="E2772" t="s">
        <v>2765</v>
      </c>
      <c r="F2772" t="s">
        <v>115</v>
      </c>
      <c r="G2772" t="s">
        <v>12</v>
      </c>
      <c r="H2772" t="s">
        <v>35</v>
      </c>
      <c r="I2772" t="s">
        <v>344</v>
      </c>
      <c r="J2772" s="2">
        <v>29.328000000000003</v>
      </c>
      <c r="K2772">
        <v>3</v>
      </c>
      <c r="L2772" s="4"/>
    </row>
    <row r="2773" spans="1:12" x14ac:dyDescent="0.3">
      <c r="A2773" s="1">
        <v>42636</v>
      </c>
      <c r="B2773" s="1">
        <v>42639</v>
      </c>
      <c r="C2773" t="s">
        <v>22</v>
      </c>
      <c r="D2773" t="s">
        <v>2133</v>
      </c>
      <c r="E2773" t="s">
        <v>2134</v>
      </c>
      <c r="F2773" t="s">
        <v>115</v>
      </c>
      <c r="G2773" t="s">
        <v>4</v>
      </c>
      <c r="H2773" t="s">
        <v>29</v>
      </c>
      <c r="I2773" t="s">
        <v>2766</v>
      </c>
      <c r="J2773" s="2">
        <v>14.352000000000002</v>
      </c>
      <c r="K2773">
        <v>3</v>
      </c>
      <c r="L2773" s="4"/>
    </row>
    <row r="2774" spans="1:12" x14ac:dyDescent="0.3">
      <c r="A2774" s="1">
        <v>42636</v>
      </c>
      <c r="B2774" s="1">
        <v>42642</v>
      </c>
      <c r="C2774" t="s">
        <v>7</v>
      </c>
      <c r="D2774" t="s">
        <v>577</v>
      </c>
      <c r="E2774" t="s">
        <v>578</v>
      </c>
      <c r="F2774" t="s">
        <v>115</v>
      </c>
      <c r="G2774" t="s">
        <v>12</v>
      </c>
      <c r="H2774" t="s">
        <v>13</v>
      </c>
      <c r="I2774" t="s">
        <v>2100</v>
      </c>
      <c r="J2774" s="2">
        <v>180.58800000000005</v>
      </c>
      <c r="K2774">
        <v>2</v>
      </c>
      <c r="L2774" s="4"/>
    </row>
    <row r="2775" spans="1:12" x14ac:dyDescent="0.3">
      <c r="A2775" s="1">
        <v>42636</v>
      </c>
      <c r="B2775" s="1">
        <v>42642</v>
      </c>
      <c r="C2775" t="s">
        <v>7</v>
      </c>
      <c r="D2775" t="s">
        <v>577</v>
      </c>
      <c r="E2775" t="s">
        <v>578</v>
      </c>
      <c r="F2775" t="s">
        <v>115</v>
      </c>
      <c r="G2775" t="s">
        <v>74</v>
      </c>
      <c r="H2775" t="s">
        <v>75</v>
      </c>
      <c r="I2775" t="s">
        <v>942</v>
      </c>
      <c r="J2775" s="2">
        <v>47.984000000000002</v>
      </c>
      <c r="K2775">
        <v>2</v>
      </c>
      <c r="L2775" s="4"/>
    </row>
    <row r="2776" spans="1:12" x14ac:dyDescent="0.3">
      <c r="A2776" s="1">
        <v>42636</v>
      </c>
      <c r="B2776" s="1">
        <v>42643</v>
      </c>
      <c r="C2776" t="s">
        <v>7</v>
      </c>
      <c r="D2776" t="s">
        <v>508</v>
      </c>
      <c r="E2776" t="s">
        <v>509</v>
      </c>
      <c r="F2776" t="s">
        <v>3</v>
      </c>
      <c r="G2776" t="s">
        <v>4</v>
      </c>
      <c r="H2776" t="s">
        <v>26</v>
      </c>
      <c r="I2776" t="s">
        <v>630</v>
      </c>
      <c r="J2776" s="2">
        <v>25.824000000000002</v>
      </c>
      <c r="K2776">
        <v>6</v>
      </c>
      <c r="L2776" s="4"/>
    </row>
    <row r="2777" spans="1:12" x14ac:dyDescent="0.3">
      <c r="A2777" s="1">
        <v>42636</v>
      </c>
      <c r="B2777" s="1">
        <v>42643</v>
      </c>
      <c r="C2777" t="s">
        <v>7</v>
      </c>
      <c r="D2777" t="s">
        <v>508</v>
      </c>
      <c r="E2777" t="s">
        <v>509</v>
      </c>
      <c r="F2777" t="s">
        <v>3</v>
      </c>
      <c r="G2777" t="s">
        <v>4</v>
      </c>
      <c r="H2777" t="s">
        <v>20</v>
      </c>
      <c r="I2777" t="s">
        <v>918</v>
      </c>
      <c r="J2777" s="2">
        <v>160.96</v>
      </c>
      <c r="K2777">
        <v>2</v>
      </c>
      <c r="L2777" s="4"/>
    </row>
    <row r="2778" spans="1:12" x14ac:dyDescent="0.3">
      <c r="A2778" s="1">
        <v>42636</v>
      </c>
      <c r="B2778" s="1">
        <v>42642</v>
      </c>
      <c r="C2778" t="s">
        <v>7</v>
      </c>
      <c r="D2778" t="s">
        <v>2767</v>
      </c>
      <c r="E2778" t="s">
        <v>2768</v>
      </c>
      <c r="F2778" t="s">
        <v>3</v>
      </c>
      <c r="G2778" t="s">
        <v>4</v>
      </c>
      <c r="H2778" t="s">
        <v>5</v>
      </c>
      <c r="I2778" t="s">
        <v>367</v>
      </c>
      <c r="J2778" s="2">
        <v>211.04</v>
      </c>
      <c r="K2778">
        <v>8</v>
      </c>
      <c r="L2778" s="4"/>
    </row>
    <row r="2779" spans="1:12" x14ac:dyDescent="0.3">
      <c r="A2779" s="1">
        <v>42636</v>
      </c>
      <c r="B2779" s="1">
        <v>42642</v>
      </c>
      <c r="C2779" t="s">
        <v>7</v>
      </c>
      <c r="D2779" t="s">
        <v>2767</v>
      </c>
      <c r="E2779" t="s">
        <v>2768</v>
      </c>
      <c r="F2779" t="s">
        <v>3</v>
      </c>
      <c r="G2779" t="s">
        <v>12</v>
      </c>
      <c r="H2779" t="s">
        <v>70</v>
      </c>
      <c r="I2779" t="s">
        <v>265</v>
      </c>
      <c r="J2779" s="2">
        <v>594.81600000000003</v>
      </c>
      <c r="K2779">
        <v>2</v>
      </c>
      <c r="L2779" s="4"/>
    </row>
    <row r="2780" spans="1:12" x14ac:dyDescent="0.3">
      <c r="A2780" s="1">
        <v>42636</v>
      </c>
      <c r="B2780" s="1">
        <v>42642</v>
      </c>
      <c r="C2780" t="s">
        <v>7</v>
      </c>
      <c r="D2780" t="s">
        <v>2767</v>
      </c>
      <c r="E2780" t="s">
        <v>2768</v>
      </c>
      <c r="F2780" t="s">
        <v>3</v>
      </c>
      <c r="G2780" t="s">
        <v>4</v>
      </c>
      <c r="H2780" t="s">
        <v>26</v>
      </c>
      <c r="I2780" t="s">
        <v>2242</v>
      </c>
      <c r="J2780" s="2">
        <v>72.960000000000008</v>
      </c>
      <c r="K2780">
        <v>3</v>
      </c>
      <c r="L2780" s="4"/>
    </row>
    <row r="2781" spans="1:12" x14ac:dyDescent="0.3">
      <c r="A2781" s="1">
        <v>42637</v>
      </c>
      <c r="B2781" s="1">
        <v>42642</v>
      </c>
      <c r="C2781" t="s">
        <v>7</v>
      </c>
      <c r="D2781" t="s">
        <v>661</v>
      </c>
      <c r="E2781" t="s">
        <v>662</v>
      </c>
      <c r="F2781" t="s">
        <v>3</v>
      </c>
      <c r="G2781" t="s">
        <v>74</v>
      </c>
      <c r="H2781" t="s">
        <v>147</v>
      </c>
      <c r="I2781" t="s">
        <v>296</v>
      </c>
      <c r="J2781" s="2">
        <v>859.2</v>
      </c>
      <c r="K2781">
        <v>3</v>
      </c>
      <c r="L2781" s="4"/>
    </row>
    <row r="2782" spans="1:12" x14ac:dyDescent="0.3">
      <c r="A2782" s="1">
        <v>42637</v>
      </c>
      <c r="B2782" s="1">
        <v>42642</v>
      </c>
      <c r="C2782" t="s">
        <v>7</v>
      </c>
      <c r="D2782" t="s">
        <v>661</v>
      </c>
      <c r="E2782" t="s">
        <v>662</v>
      </c>
      <c r="F2782" t="s">
        <v>3</v>
      </c>
      <c r="G2782" t="s">
        <v>74</v>
      </c>
      <c r="H2782" t="s">
        <v>138</v>
      </c>
      <c r="I2782" t="s">
        <v>2769</v>
      </c>
      <c r="J2782" s="2">
        <v>506.28</v>
      </c>
      <c r="K2782">
        <v>3</v>
      </c>
      <c r="L2782" s="4"/>
    </row>
    <row r="2783" spans="1:12" x14ac:dyDescent="0.3">
      <c r="A2783" s="1">
        <v>42637</v>
      </c>
      <c r="B2783" s="1">
        <v>42637</v>
      </c>
      <c r="C2783" t="s">
        <v>240</v>
      </c>
      <c r="D2783" t="s">
        <v>436</v>
      </c>
      <c r="E2783" t="s">
        <v>437</v>
      </c>
      <c r="F2783" t="s">
        <v>56</v>
      </c>
      <c r="G2783" t="s">
        <v>12</v>
      </c>
      <c r="H2783" t="s">
        <v>35</v>
      </c>
      <c r="I2783" t="s">
        <v>1787</v>
      </c>
      <c r="J2783" s="2">
        <v>199.8</v>
      </c>
      <c r="K2783">
        <v>10</v>
      </c>
      <c r="L2783" s="4"/>
    </row>
    <row r="2784" spans="1:12" x14ac:dyDescent="0.3">
      <c r="A2784" s="1">
        <v>42637</v>
      </c>
      <c r="B2784" s="1">
        <v>42641</v>
      </c>
      <c r="C2784" t="s">
        <v>0</v>
      </c>
      <c r="D2784" t="s">
        <v>1345</v>
      </c>
      <c r="E2784" t="s">
        <v>1346</v>
      </c>
      <c r="F2784" t="s">
        <v>3</v>
      </c>
      <c r="G2784" t="s">
        <v>4</v>
      </c>
      <c r="H2784" t="s">
        <v>5</v>
      </c>
      <c r="I2784" t="s">
        <v>2150</v>
      </c>
      <c r="J2784" s="2">
        <v>31.08</v>
      </c>
      <c r="K2784">
        <v>6</v>
      </c>
      <c r="L2784" s="4"/>
    </row>
    <row r="2785" spans="1:12" x14ac:dyDescent="0.3">
      <c r="A2785" s="1">
        <v>42637</v>
      </c>
      <c r="B2785" s="1">
        <v>42641</v>
      </c>
      <c r="C2785" t="s">
        <v>0</v>
      </c>
      <c r="D2785" t="s">
        <v>1345</v>
      </c>
      <c r="E2785" t="s">
        <v>1346</v>
      </c>
      <c r="F2785" t="s">
        <v>3</v>
      </c>
      <c r="G2785" t="s">
        <v>4</v>
      </c>
      <c r="H2785" t="s">
        <v>78</v>
      </c>
      <c r="I2785" t="s">
        <v>641</v>
      </c>
      <c r="J2785" s="2">
        <v>7.3</v>
      </c>
      <c r="K2785">
        <v>2</v>
      </c>
      <c r="L2785" s="4"/>
    </row>
    <row r="2786" spans="1:12" x14ac:dyDescent="0.3">
      <c r="A2786" s="1">
        <v>42638</v>
      </c>
      <c r="B2786" s="1">
        <v>42641</v>
      </c>
      <c r="C2786" t="s">
        <v>22</v>
      </c>
      <c r="D2786" t="s">
        <v>965</v>
      </c>
      <c r="E2786" t="s">
        <v>966</v>
      </c>
      <c r="F2786" t="s">
        <v>228</v>
      </c>
      <c r="G2786" t="s">
        <v>4</v>
      </c>
      <c r="H2786" t="s">
        <v>10</v>
      </c>
      <c r="I2786" t="s">
        <v>769</v>
      </c>
      <c r="J2786" s="2">
        <v>39.900000000000006</v>
      </c>
      <c r="K2786">
        <v>5</v>
      </c>
      <c r="L2786" s="4"/>
    </row>
    <row r="2787" spans="1:12" x14ac:dyDescent="0.3">
      <c r="A2787" s="1">
        <v>42639</v>
      </c>
      <c r="B2787" s="1">
        <v>42639</v>
      </c>
      <c r="C2787" t="s">
        <v>240</v>
      </c>
      <c r="D2787" t="s">
        <v>2117</v>
      </c>
      <c r="E2787" t="s">
        <v>2118</v>
      </c>
      <c r="F2787" t="s">
        <v>3</v>
      </c>
      <c r="G2787" t="s">
        <v>4</v>
      </c>
      <c r="H2787" t="s">
        <v>29</v>
      </c>
      <c r="I2787" t="s">
        <v>190</v>
      </c>
      <c r="J2787" s="2">
        <v>71.88</v>
      </c>
      <c r="K2787">
        <v>6</v>
      </c>
      <c r="L2787" s="4"/>
    </row>
    <row r="2788" spans="1:12" x14ac:dyDescent="0.3">
      <c r="A2788" s="1">
        <v>42639</v>
      </c>
      <c r="B2788" s="1">
        <v>42639</v>
      </c>
      <c r="C2788" t="s">
        <v>240</v>
      </c>
      <c r="D2788" t="s">
        <v>2117</v>
      </c>
      <c r="E2788" t="s">
        <v>2118</v>
      </c>
      <c r="F2788" t="s">
        <v>3</v>
      </c>
      <c r="G2788" t="s">
        <v>12</v>
      </c>
      <c r="H2788" t="s">
        <v>35</v>
      </c>
      <c r="I2788" t="s">
        <v>1053</v>
      </c>
      <c r="J2788" s="2">
        <v>9.24</v>
      </c>
      <c r="K2788">
        <v>3</v>
      </c>
      <c r="L2788" s="4"/>
    </row>
    <row r="2789" spans="1:12" x14ac:dyDescent="0.3">
      <c r="A2789" s="1">
        <v>42639</v>
      </c>
      <c r="B2789" s="1">
        <v>42639</v>
      </c>
      <c r="C2789" t="s">
        <v>240</v>
      </c>
      <c r="D2789" t="s">
        <v>2117</v>
      </c>
      <c r="E2789" t="s">
        <v>2118</v>
      </c>
      <c r="F2789" t="s">
        <v>3</v>
      </c>
      <c r="G2789" t="s">
        <v>4</v>
      </c>
      <c r="H2789" t="s">
        <v>5</v>
      </c>
      <c r="I2789" t="s">
        <v>939</v>
      </c>
      <c r="J2789" s="2">
        <v>35.880000000000003</v>
      </c>
      <c r="K2789">
        <v>6</v>
      </c>
      <c r="L2789" s="4"/>
    </row>
    <row r="2790" spans="1:12" x14ac:dyDescent="0.3">
      <c r="A2790" s="1">
        <v>42639</v>
      </c>
      <c r="B2790" s="1">
        <v>42639</v>
      </c>
      <c r="C2790" t="s">
        <v>240</v>
      </c>
      <c r="D2790" t="s">
        <v>2117</v>
      </c>
      <c r="E2790" t="s">
        <v>2118</v>
      </c>
      <c r="F2790" t="s">
        <v>3</v>
      </c>
      <c r="G2790" t="s">
        <v>4</v>
      </c>
      <c r="H2790" t="s">
        <v>26</v>
      </c>
      <c r="I2790" t="s">
        <v>601</v>
      </c>
      <c r="J2790" s="2">
        <v>17.04</v>
      </c>
      <c r="K2790">
        <v>3</v>
      </c>
      <c r="L2790" s="4"/>
    </row>
    <row r="2791" spans="1:12" x14ac:dyDescent="0.3">
      <c r="A2791" s="1">
        <v>42639</v>
      </c>
      <c r="B2791" s="1">
        <v>42639</v>
      </c>
      <c r="C2791" t="s">
        <v>240</v>
      </c>
      <c r="D2791" t="s">
        <v>2117</v>
      </c>
      <c r="E2791" t="s">
        <v>2118</v>
      </c>
      <c r="F2791" t="s">
        <v>3</v>
      </c>
      <c r="G2791" t="s">
        <v>4</v>
      </c>
      <c r="H2791" t="s">
        <v>26</v>
      </c>
      <c r="I2791" t="s">
        <v>2698</v>
      </c>
      <c r="J2791" s="2">
        <v>931.17600000000016</v>
      </c>
      <c r="K2791">
        <v>3</v>
      </c>
      <c r="L2791" s="4"/>
    </row>
    <row r="2792" spans="1:12" x14ac:dyDescent="0.3">
      <c r="A2792" s="1">
        <v>42639</v>
      </c>
      <c r="B2792" s="1">
        <v>42641</v>
      </c>
      <c r="C2792" t="s">
        <v>22</v>
      </c>
      <c r="D2792" t="s">
        <v>2770</v>
      </c>
      <c r="E2792" t="s">
        <v>2771</v>
      </c>
      <c r="F2792" t="s">
        <v>19</v>
      </c>
      <c r="G2792" t="s">
        <v>4</v>
      </c>
      <c r="H2792" t="s">
        <v>15</v>
      </c>
      <c r="I2792" t="s">
        <v>422</v>
      </c>
      <c r="J2792" s="2">
        <v>2.2239999999999998</v>
      </c>
      <c r="K2792">
        <v>1</v>
      </c>
      <c r="L2792" s="4"/>
    </row>
    <row r="2793" spans="1:12" x14ac:dyDescent="0.3">
      <c r="A2793" s="1">
        <v>42641</v>
      </c>
      <c r="B2793" s="1">
        <v>42644</v>
      </c>
      <c r="C2793" t="s">
        <v>22</v>
      </c>
      <c r="D2793" t="s">
        <v>419</v>
      </c>
      <c r="E2793" t="s">
        <v>420</v>
      </c>
      <c r="F2793" t="s">
        <v>115</v>
      </c>
      <c r="G2793" t="s">
        <v>12</v>
      </c>
      <c r="H2793" t="s">
        <v>35</v>
      </c>
      <c r="I2793" t="s">
        <v>537</v>
      </c>
      <c r="J2793" s="2">
        <v>32.776000000000003</v>
      </c>
      <c r="K2793">
        <v>1</v>
      </c>
      <c r="L2793" s="4"/>
    </row>
    <row r="2794" spans="1:12" x14ac:dyDescent="0.3">
      <c r="A2794" s="1">
        <v>42641</v>
      </c>
      <c r="B2794" s="1">
        <v>42644</v>
      </c>
      <c r="C2794" t="s">
        <v>22</v>
      </c>
      <c r="D2794" t="s">
        <v>419</v>
      </c>
      <c r="E2794" t="s">
        <v>420</v>
      </c>
      <c r="F2794" t="s">
        <v>115</v>
      </c>
      <c r="G2794" t="s">
        <v>4</v>
      </c>
      <c r="H2794" t="s">
        <v>10</v>
      </c>
      <c r="I2794" t="s">
        <v>2772</v>
      </c>
      <c r="J2794" s="2">
        <v>147.184</v>
      </c>
      <c r="K2794">
        <v>2</v>
      </c>
      <c r="L2794" s="4"/>
    </row>
    <row r="2795" spans="1:12" x14ac:dyDescent="0.3">
      <c r="A2795" s="1">
        <v>42641</v>
      </c>
      <c r="B2795" s="1">
        <v>42644</v>
      </c>
      <c r="C2795" t="s">
        <v>22</v>
      </c>
      <c r="D2795" t="s">
        <v>419</v>
      </c>
      <c r="E2795" t="s">
        <v>420</v>
      </c>
      <c r="F2795" t="s">
        <v>115</v>
      </c>
      <c r="G2795" t="s">
        <v>74</v>
      </c>
      <c r="H2795" t="s">
        <v>75</v>
      </c>
      <c r="I2795" t="s">
        <v>2773</v>
      </c>
      <c r="J2795" s="2">
        <v>54.384000000000007</v>
      </c>
      <c r="K2795">
        <v>2</v>
      </c>
      <c r="L2795" s="4"/>
    </row>
    <row r="2796" spans="1:12" x14ac:dyDescent="0.3">
      <c r="A2796" s="1">
        <v>42641</v>
      </c>
      <c r="B2796" s="1">
        <v>42644</v>
      </c>
      <c r="C2796" t="s">
        <v>22</v>
      </c>
      <c r="D2796" t="s">
        <v>419</v>
      </c>
      <c r="E2796" t="s">
        <v>420</v>
      </c>
      <c r="F2796" t="s">
        <v>115</v>
      </c>
      <c r="G2796" t="s">
        <v>4</v>
      </c>
      <c r="H2796" t="s">
        <v>26</v>
      </c>
      <c r="I2796" t="s">
        <v>2406</v>
      </c>
      <c r="J2796" s="2">
        <v>76.77600000000001</v>
      </c>
      <c r="K2796">
        <v>4</v>
      </c>
      <c r="L2796" s="4"/>
    </row>
    <row r="2797" spans="1:12" x14ac:dyDescent="0.3">
      <c r="A2797" s="1">
        <v>42641</v>
      </c>
      <c r="B2797" s="1">
        <v>42644</v>
      </c>
      <c r="C2797" t="s">
        <v>22</v>
      </c>
      <c r="D2797" t="s">
        <v>419</v>
      </c>
      <c r="E2797" t="s">
        <v>420</v>
      </c>
      <c r="F2797" t="s">
        <v>115</v>
      </c>
      <c r="G2797" t="s">
        <v>4</v>
      </c>
      <c r="H2797" t="s">
        <v>5</v>
      </c>
      <c r="I2797" t="s">
        <v>2774</v>
      </c>
      <c r="J2797" s="2">
        <v>14.352000000000002</v>
      </c>
      <c r="K2797">
        <v>3</v>
      </c>
      <c r="L2797" s="4"/>
    </row>
    <row r="2798" spans="1:12" x14ac:dyDescent="0.3">
      <c r="A2798" s="1">
        <v>42641</v>
      </c>
      <c r="B2798" s="1">
        <v>42644</v>
      </c>
      <c r="C2798" t="s">
        <v>22</v>
      </c>
      <c r="D2798" t="s">
        <v>419</v>
      </c>
      <c r="E2798" t="s">
        <v>420</v>
      </c>
      <c r="F2798" t="s">
        <v>115</v>
      </c>
      <c r="G2798" t="s">
        <v>4</v>
      </c>
      <c r="H2798" t="s">
        <v>20</v>
      </c>
      <c r="I2798" t="s">
        <v>2037</v>
      </c>
      <c r="J2798" s="2">
        <v>209.79200000000003</v>
      </c>
      <c r="K2798">
        <v>2</v>
      </c>
      <c r="L2798" s="4"/>
    </row>
    <row r="2799" spans="1:12" x14ac:dyDescent="0.3">
      <c r="A2799" s="1">
        <v>42641</v>
      </c>
      <c r="B2799" s="1">
        <v>42647</v>
      </c>
      <c r="C2799" t="s">
        <v>7</v>
      </c>
      <c r="D2799" t="s">
        <v>2680</v>
      </c>
      <c r="E2799" t="s">
        <v>2681</v>
      </c>
      <c r="F2799" t="s">
        <v>3</v>
      </c>
      <c r="G2799" t="s">
        <v>12</v>
      </c>
      <c r="H2799" t="s">
        <v>35</v>
      </c>
      <c r="I2799" t="s">
        <v>721</v>
      </c>
      <c r="J2799" s="2">
        <v>9.24</v>
      </c>
      <c r="K2799">
        <v>3</v>
      </c>
      <c r="L2799" s="4"/>
    </row>
    <row r="2800" spans="1:12" x14ac:dyDescent="0.3">
      <c r="A2800" s="1">
        <v>42642</v>
      </c>
      <c r="B2800" s="1">
        <v>42645</v>
      </c>
      <c r="C2800" t="s">
        <v>22</v>
      </c>
      <c r="D2800" t="s">
        <v>288</v>
      </c>
      <c r="E2800" t="s">
        <v>289</v>
      </c>
      <c r="F2800" t="s">
        <v>3</v>
      </c>
      <c r="G2800" t="s">
        <v>4</v>
      </c>
      <c r="H2800" t="s">
        <v>52</v>
      </c>
      <c r="I2800" t="s">
        <v>991</v>
      </c>
      <c r="J2800" s="2">
        <v>35</v>
      </c>
      <c r="K2800">
        <v>7</v>
      </c>
      <c r="L2800" s="4"/>
    </row>
    <row r="2801" spans="1:12" x14ac:dyDescent="0.3">
      <c r="A2801" s="1">
        <v>42642</v>
      </c>
      <c r="B2801" s="1">
        <v>42645</v>
      </c>
      <c r="C2801" t="s">
        <v>22</v>
      </c>
      <c r="D2801" t="s">
        <v>288</v>
      </c>
      <c r="E2801" t="s">
        <v>289</v>
      </c>
      <c r="F2801" t="s">
        <v>3</v>
      </c>
      <c r="G2801" t="s">
        <v>12</v>
      </c>
      <c r="H2801" t="s">
        <v>70</v>
      </c>
      <c r="I2801" t="s">
        <v>703</v>
      </c>
      <c r="J2801" s="2">
        <v>72.784000000000006</v>
      </c>
      <c r="K2801">
        <v>1</v>
      </c>
      <c r="L2801" s="4"/>
    </row>
    <row r="2802" spans="1:12" x14ac:dyDescent="0.3">
      <c r="A2802" s="1">
        <v>42642</v>
      </c>
      <c r="B2802" s="1">
        <v>42645</v>
      </c>
      <c r="C2802" t="s">
        <v>22</v>
      </c>
      <c r="D2802" t="s">
        <v>288</v>
      </c>
      <c r="E2802" t="s">
        <v>289</v>
      </c>
      <c r="F2802" t="s">
        <v>3</v>
      </c>
      <c r="G2802" t="s">
        <v>4</v>
      </c>
      <c r="H2802" t="s">
        <v>20</v>
      </c>
      <c r="I2802" t="s">
        <v>1981</v>
      </c>
      <c r="J2802" s="2">
        <v>97.84</v>
      </c>
      <c r="K2802">
        <v>2</v>
      </c>
      <c r="L2802" s="4"/>
    </row>
    <row r="2803" spans="1:12" x14ac:dyDescent="0.3">
      <c r="A2803" s="1">
        <v>42642</v>
      </c>
      <c r="B2803" s="1">
        <v>42645</v>
      </c>
      <c r="C2803" t="s">
        <v>22</v>
      </c>
      <c r="D2803" t="s">
        <v>288</v>
      </c>
      <c r="E2803" t="s">
        <v>289</v>
      </c>
      <c r="F2803" t="s">
        <v>3</v>
      </c>
      <c r="G2803" t="s">
        <v>12</v>
      </c>
      <c r="H2803" t="s">
        <v>35</v>
      </c>
      <c r="I2803" t="s">
        <v>2640</v>
      </c>
      <c r="J2803" s="2">
        <v>51.75</v>
      </c>
      <c r="K2803">
        <v>1</v>
      </c>
      <c r="L2803" s="4"/>
    </row>
    <row r="2804" spans="1:12" x14ac:dyDescent="0.3">
      <c r="A2804" s="1">
        <v>42642</v>
      </c>
      <c r="B2804" s="1">
        <v>42645</v>
      </c>
      <c r="C2804" t="s">
        <v>22</v>
      </c>
      <c r="D2804" t="s">
        <v>288</v>
      </c>
      <c r="E2804" t="s">
        <v>289</v>
      </c>
      <c r="F2804" t="s">
        <v>3</v>
      </c>
      <c r="G2804" t="s">
        <v>4</v>
      </c>
      <c r="H2804" t="s">
        <v>26</v>
      </c>
      <c r="I2804" t="s">
        <v>1135</v>
      </c>
      <c r="J2804" s="2">
        <v>46.672000000000004</v>
      </c>
      <c r="K2804">
        <v>2</v>
      </c>
      <c r="L2804" s="4"/>
    </row>
    <row r="2805" spans="1:12" x14ac:dyDescent="0.3">
      <c r="A2805" s="1">
        <v>42642</v>
      </c>
      <c r="B2805" s="1">
        <v>42644</v>
      </c>
      <c r="C2805" t="s">
        <v>22</v>
      </c>
      <c r="D2805" t="s">
        <v>2775</v>
      </c>
      <c r="E2805" t="s">
        <v>2776</v>
      </c>
      <c r="F2805" t="s">
        <v>3</v>
      </c>
      <c r="G2805" t="s">
        <v>4</v>
      </c>
      <c r="H2805" t="s">
        <v>15</v>
      </c>
      <c r="I2805" t="s">
        <v>461</v>
      </c>
      <c r="J2805" s="2">
        <v>99.2</v>
      </c>
      <c r="K2805">
        <v>5</v>
      </c>
      <c r="L2805" s="4"/>
    </row>
    <row r="2806" spans="1:12" x14ac:dyDescent="0.3">
      <c r="A2806" s="1">
        <v>42642</v>
      </c>
      <c r="B2806" s="1">
        <v>42649</v>
      </c>
      <c r="C2806" t="s">
        <v>7</v>
      </c>
      <c r="D2806" t="s">
        <v>2728</v>
      </c>
      <c r="E2806" t="s">
        <v>2729</v>
      </c>
      <c r="F2806" t="s">
        <v>3</v>
      </c>
      <c r="G2806" t="s">
        <v>4</v>
      </c>
      <c r="H2806" t="s">
        <v>78</v>
      </c>
      <c r="I2806" t="s">
        <v>2777</v>
      </c>
      <c r="J2806" s="2">
        <v>97.3</v>
      </c>
      <c r="K2806">
        <v>7</v>
      </c>
      <c r="L2806" s="4"/>
    </row>
    <row r="2807" spans="1:12" x14ac:dyDescent="0.3">
      <c r="A2807" s="1">
        <v>42643</v>
      </c>
      <c r="B2807" s="1">
        <v>42646</v>
      </c>
      <c r="C2807" t="s">
        <v>22</v>
      </c>
      <c r="D2807" t="s">
        <v>1540</v>
      </c>
      <c r="E2807" t="s">
        <v>1541</v>
      </c>
      <c r="F2807" t="s">
        <v>56</v>
      </c>
      <c r="G2807" t="s">
        <v>4</v>
      </c>
      <c r="H2807" t="s">
        <v>5</v>
      </c>
      <c r="I2807" t="s">
        <v>733</v>
      </c>
      <c r="J2807" s="2">
        <v>11.76</v>
      </c>
      <c r="K2807">
        <v>2</v>
      </c>
      <c r="L2807" s="4"/>
    </row>
    <row r="2808" spans="1:12" x14ac:dyDescent="0.3">
      <c r="A2808" s="1">
        <v>42643</v>
      </c>
      <c r="B2808" s="1">
        <v>42646</v>
      </c>
      <c r="C2808" t="s">
        <v>22</v>
      </c>
      <c r="D2808" t="s">
        <v>1540</v>
      </c>
      <c r="E2808" t="s">
        <v>1541</v>
      </c>
      <c r="F2808" t="s">
        <v>56</v>
      </c>
      <c r="G2808" t="s">
        <v>4</v>
      </c>
      <c r="H2808" t="s">
        <v>5</v>
      </c>
      <c r="I2808" t="s">
        <v>2778</v>
      </c>
      <c r="J2808" s="2">
        <v>167.94</v>
      </c>
      <c r="K2808">
        <v>3</v>
      </c>
      <c r="L2808" s="4"/>
    </row>
    <row r="2809" spans="1:12" x14ac:dyDescent="0.3">
      <c r="A2809" s="1">
        <v>42643</v>
      </c>
      <c r="B2809" s="1">
        <v>42646</v>
      </c>
      <c r="C2809" t="s">
        <v>22</v>
      </c>
      <c r="D2809" t="s">
        <v>1540</v>
      </c>
      <c r="E2809" t="s">
        <v>1541</v>
      </c>
      <c r="F2809" t="s">
        <v>56</v>
      </c>
      <c r="G2809" t="s">
        <v>4</v>
      </c>
      <c r="H2809" t="s">
        <v>20</v>
      </c>
      <c r="I2809" t="s">
        <v>897</v>
      </c>
      <c r="J2809" s="2">
        <v>3.89</v>
      </c>
      <c r="K2809">
        <v>1</v>
      </c>
      <c r="L2809" s="4"/>
    </row>
    <row r="2810" spans="1:12" x14ac:dyDescent="0.3">
      <c r="A2810" s="1">
        <v>42643</v>
      </c>
      <c r="B2810" s="1">
        <v>42645</v>
      </c>
      <c r="C2810" t="s">
        <v>0</v>
      </c>
      <c r="D2810" t="s">
        <v>314</v>
      </c>
      <c r="E2810" t="s">
        <v>315</v>
      </c>
      <c r="F2810" t="s">
        <v>3</v>
      </c>
      <c r="G2810" t="s">
        <v>74</v>
      </c>
      <c r="H2810" t="s">
        <v>75</v>
      </c>
      <c r="I2810" t="s">
        <v>2779</v>
      </c>
      <c r="J2810" s="2">
        <v>159.97999999999999</v>
      </c>
      <c r="K2810">
        <v>2</v>
      </c>
      <c r="L2810" s="4"/>
    </row>
    <row r="2811" spans="1:12" x14ac:dyDescent="0.3">
      <c r="A2811" s="1">
        <v>42644</v>
      </c>
      <c r="B2811" s="1">
        <v>42651</v>
      </c>
      <c r="C2811" t="s">
        <v>7</v>
      </c>
      <c r="D2811" t="s">
        <v>1221</v>
      </c>
      <c r="E2811" t="s">
        <v>1222</v>
      </c>
      <c r="F2811" t="s">
        <v>56</v>
      </c>
      <c r="G2811" t="s">
        <v>4</v>
      </c>
      <c r="H2811" t="s">
        <v>5</v>
      </c>
      <c r="I2811" t="s">
        <v>1542</v>
      </c>
      <c r="J2811" s="2">
        <v>91.84</v>
      </c>
      <c r="K2811">
        <v>8</v>
      </c>
      <c r="L2811" s="4"/>
    </row>
    <row r="2812" spans="1:12" x14ac:dyDescent="0.3">
      <c r="A2812" s="1">
        <v>42644</v>
      </c>
      <c r="B2812" s="1">
        <v>42651</v>
      </c>
      <c r="C2812" t="s">
        <v>7</v>
      </c>
      <c r="D2812" t="s">
        <v>1221</v>
      </c>
      <c r="E2812" t="s">
        <v>1222</v>
      </c>
      <c r="F2812" t="s">
        <v>56</v>
      </c>
      <c r="G2812" t="s">
        <v>4</v>
      </c>
      <c r="H2812" t="s">
        <v>26</v>
      </c>
      <c r="I2812" t="s">
        <v>2660</v>
      </c>
      <c r="J2812" s="2">
        <v>81.088000000000008</v>
      </c>
      <c r="K2812">
        <v>7</v>
      </c>
      <c r="L2812" s="4"/>
    </row>
    <row r="2813" spans="1:12" x14ac:dyDescent="0.3">
      <c r="A2813" s="1">
        <v>42644</v>
      </c>
      <c r="B2813" s="1">
        <v>42651</v>
      </c>
      <c r="C2813" t="s">
        <v>7</v>
      </c>
      <c r="D2813" t="s">
        <v>1221</v>
      </c>
      <c r="E2813" t="s">
        <v>1222</v>
      </c>
      <c r="F2813" t="s">
        <v>56</v>
      </c>
      <c r="G2813" t="s">
        <v>4</v>
      </c>
      <c r="H2813" t="s">
        <v>5</v>
      </c>
      <c r="I2813" t="s">
        <v>2362</v>
      </c>
      <c r="J2813" s="2">
        <v>19.440000000000001</v>
      </c>
      <c r="K2813">
        <v>3</v>
      </c>
      <c r="L2813" s="4"/>
    </row>
    <row r="2814" spans="1:12" x14ac:dyDescent="0.3">
      <c r="A2814" s="1">
        <v>42644</v>
      </c>
      <c r="B2814" s="1">
        <v>42651</v>
      </c>
      <c r="C2814" t="s">
        <v>7</v>
      </c>
      <c r="D2814" t="s">
        <v>1221</v>
      </c>
      <c r="E2814" t="s">
        <v>1222</v>
      </c>
      <c r="F2814" t="s">
        <v>56</v>
      </c>
      <c r="G2814" t="s">
        <v>12</v>
      </c>
      <c r="H2814" t="s">
        <v>70</v>
      </c>
      <c r="I2814" t="s">
        <v>1560</v>
      </c>
      <c r="J2814" s="2">
        <v>451.15199999999993</v>
      </c>
      <c r="K2814">
        <v>3</v>
      </c>
      <c r="L2814" s="4"/>
    </row>
    <row r="2815" spans="1:12" x14ac:dyDescent="0.3">
      <c r="A2815" s="1">
        <v>42644</v>
      </c>
      <c r="B2815" s="1">
        <v>42645</v>
      </c>
      <c r="C2815" t="s">
        <v>22</v>
      </c>
      <c r="D2815" t="s">
        <v>2780</v>
      </c>
      <c r="E2815" t="s">
        <v>2781</v>
      </c>
      <c r="F2815" t="s">
        <v>3</v>
      </c>
      <c r="G2815" t="s">
        <v>4</v>
      </c>
      <c r="H2815" t="s">
        <v>26</v>
      </c>
      <c r="I2815" t="s">
        <v>967</v>
      </c>
      <c r="J2815" s="2">
        <v>1.4400000000000002</v>
      </c>
      <c r="K2815">
        <v>1</v>
      </c>
      <c r="L2815" s="4"/>
    </row>
    <row r="2816" spans="1:12" x14ac:dyDescent="0.3">
      <c r="A2816" s="1">
        <v>42644</v>
      </c>
      <c r="B2816" s="1">
        <v>42645</v>
      </c>
      <c r="C2816" t="s">
        <v>22</v>
      </c>
      <c r="D2816" t="s">
        <v>2780</v>
      </c>
      <c r="E2816" t="s">
        <v>2781</v>
      </c>
      <c r="F2816" t="s">
        <v>3</v>
      </c>
      <c r="G2816" t="s">
        <v>4</v>
      </c>
      <c r="H2816" t="s">
        <v>26</v>
      </c>
      <c r="I2816" t="s">
        <v>1500</v>
      </c>
      <c r="J2816" s="2">
        <v>61.77600000000001</v>
      </c>
      <c r="K2816">
        <v>13</v>
      </c>
      <c r="L2816" s="4"/>
    </row>
    <row r="2817" spans="1:12" x14ac:dyDescent="0.3">
      <c r="A2817" s="1">
        <v>42644</v>
      </c>
      <c r="B2817" s="1">
        <v>42645</v>
      </c>
      <c r="C2817" t="s">
        <v>22</v>
      </c>
      <c r="D2817" t="s">
        <v>2780</v>
      </c>
      <c r="E2817" t="s">
        <v>2781</v>
      </c>
      <c r="F2817" t="s">
        <v>3</v>
      </c>
      <c r="G2817" t="s">
        <v>4</v>
      </c>
      <c r="H2817" t="s">
        <v>20</v>
      </c>
      <c r="I2817" t="s">
        <v>2782</v>
      </c>
      <c r="J2817" s="2">
        <v>241.96</v>
      </c>
      <c r="K2817">
        <v>2</v>
      </c>
      <c r="L2817" s="4"/>
    </row>
    <row r="2818" spans="1:12" x14ac:dyDescent="0.3">
      <c r="A2818" s="1">
        <v>42644</v>
      </c>
      <c r="B2818" s="1">
        <v>42645</v>
      </c>
      <c r="C2818" t="s">
        <v>22</v>
      </c>
      <c r="D2818" t="s">
        <v>2780</v>
      </c>
      <c r="E2818" t="s">
        <v>2781</v>
      </c>
      <c r="F2818" t="s">
        <v>3</v>
      </c>
      <c r="G2818" t="s">
        <v>12</v>
      </c>
      <c r="H2818" t="s">
        <v>70</v>
      </c>
      <c r="I2818" t="s">
        <v>2783</v>
      </c>
      <c r="J2818" s="2">
        <v>108.608</v>
      </c>
      <c r="K2818">
        <v>4</v>
      </c>
      <c r="L2818" s="4"/>
    </row>
    <row r="2819" spans="1:12" x14ac:dyDescent="0.3">
      <c r="A2819" s="1">
        <v>42644</v>
      </c>
      <c r="B2819" s="1">
        <v>42649</v>
      </c>
      <c r="C2819" t="s">
        <v>7</v>
      </c>
      <c r="D2819" t="s">
        <v>756</v>
      </c>
      <c r="E2819" t="s">
        <v>757</v>
      </c>
      <c r="F2819" t="s">
        <v>3</v>
      </c>
      <c r="G2819" t="s">
        <v>74</v>
      </c>
      <c r="H2819" t="s">
        <v>75</v>
      </c>
      <c r="I2819" t="s">
        <v>1092</v>
      </c>
      <c r="J2819" s="2">
        <v>104.75</v>
      </c>
      <c r="K2819">
        <v>5</v>
      </c>
      <c r="L2819" s="4"/>
    </row>
    <row r="2820" spans="1:12" x14ac:dyDescent="0.3">
      <c r="A2820" s="1">
        <v>42645</v>
      </c>
      <c r="B2820" s="1">
        <v>42650</v>
      </c>
      <c r="C2820" t="s">
        <v>7</v>
      </c>
      <c r="D2820" t="s">
        <v>2784</v>
      </c>
      <c r="E2820" t="s">
        <v>2785</v>
      </c>
      <c r="F2820" t="s">
        <v>56</v>
      </c>
      <c r="G2820" t="s">
        <v>4</v>
      </c>
      <c r="H2820" t="s">
        <v>52</v>
      </c>
      <c r="I2820" t="s">
        <v>53</v>
      </c>
      <c r="J2820" s="2">
        <v>8.94</v>
      </c>
      <c r="K2820">
        <v>3</v>
      </c>
      <c r="L2820" s="4"/>
    </row>
    <row r="2821" spans="1:12" x14ac:dyDescent="0.3">
      <c r="A2821" s="1">
        <v>42645</v>
      </c>
      <c r="B2821" s="1">
        <v>42650</v>
      </c>
      <c r="C2821" t="s">
        <v>7</v>
      </c>
      <c r="D2821" t="s">
        <v>2784</v>
      </c>
      <c r="E2821" t="s">
        <v>2785</v>
      </c>
      <c r="F2821" t="s">
        <v>56</v>
      </c>
      <c r="G2821" t="s">
        <v>74</v>
      </c>
      <c r="H2821" t="s">
        <v>147</v>
      </c>
      <c r="I2821" t="s">
        <v>1936</v>
      </c>
      <c r="J2821" s="2">
        <v>84.784000000000006</v>
      </c>
      <c r="K2821">
        <v>2</v>
      </c>
      <c r="L2821" s="4"/>
    </row>
    <row r="2822" spans="1:12" x14ac:dyDescent="0.3">
      <c r="A2822" s="1">
        <v>42645</v>
      </c>
      <c r="B2822" s="1">
        <v>42651</v>
      </c>
      <c r="C2822" t="s">
        <v>7</v>
      </c>
      <c r="D2822" t="s">
        <v>2070</v>
      </c>
      <c r="E2822" t="s">
        <v>2071</v>
      </c>
      <c r="F2822" t="s">
        <v>3</v>
      </c>
      <c r="G2822" t="s">
        <v>4</v>
      </c>
      <c r="H2822" t="s">
        <v>26</v>
      </c>
      <c r="I2822" t="s">
        <v>1725</v>
      </c>
      <c r="J2822" s="2">
        <v>112.12000000000002</v>
      </c>
      <c r="K2822">
        <v>5</v>
      </c>
      <c r="L2822" s="4"/>
    </row>
    <row r="2823" spans="1:12" x14ac:dyDescent="0.3">
      <c r="A2823" s="1">
        <v>42645</v>
      </c>
      <c r="B2823" s="1">
        <v>42651</v>
      </c>
      <c r="C2823" t="s">
        <v>7</v>
      </c>
      <c r="D2823" t="s">
        <v>2070</v>
      </c>
      <c r="E2823" t="s">
        <v>2071</v>
      </c>
      <c r="F2823" t="s">
        <v>3</v>
      </c>
      <c r="G2823" t="s">
        <v>4</v>
      </c>
      <c r="H2823" t="s">
        <v>10</v>
      </c>
      <c r="I2823" t="s">
        <v>2786</v>
      </c>
      <c r="J2823" s="2">
        <v>1575.14</v>
      </c>
      <c r="K2823">
        <v>7</v>
      </c>
      <c r="L2823" s="4"/>
    </row>
    <row r="2824" spans="1:12" x14ac:dyDescent="0.3">
      <c r="A2824" s="1">
        <v>42645</v>
      </c>
      <c r="B2824" s="1">
        <v>42651</v>
      </c>
      <c r="C2824" t="s">
        <v>7</v>
      </c>
      <c r="D2824" t="s">
        <v>2787</v>
      </c>
      <c r="E2824" t="s">
        <v>2788</v>
      </c>
      <c r="F2824" t="s">
        <v>19</v>
      </c>
      <c r="G2824" t="s">
        <v>12</v>
      </c>
      <c r="H2824" t="s">
        <v>13</v>
      </c>
      <c r="I2824" t="s">
        <v>31</v>
      </c>
      <c r="J2824" s="2">
        <v>217.76400000000001</v>
      </c>
      <c r="K2824">
        <v>6</v>
      </c>
      <c r="L2824" s="4"/>
    </row>
    <row r="2825" spans="1:12" x14ac:dyDescent="0.3">
      <c r="A2825" s="1">
        <v>42645</v>
      </c>
      <c r="B2825" s="1">
        <v>42651</v>
      </c>
      <c r="C2825" t="s">
        <v>7</v>
      </c>
      <c r="D2825" t="s">
        <v>2787</v>
      </c>
      <c r="E2825" t="s">
        <v>2788</v>
      </c>
      <c r="F2825" t="s">
        <v>19</v>
      </c>
      <c r="G2825" t="s">
        <v>4</v>
      </c>
      <c r="H2825" t="s">
        <v>78</v>
      </c>
      <c r="I2825" t="s">
        <v>477</v>
      </c>
      <c r="J2825" s="2">
        <v>39.072000000000003</v>
      </c>
      <c r="K2825">
        <v>6</v>
      </c>
      <c r="L2825" s="4"/>
    </row>
    <row r="2826" spans="1:12" x14ac:dyDescent="0.3">
      <c r="A2826" s="1">
        <v>42645</v>
      </c>
      <c r="B2826" s="1">
        <v>42651</v>
      </c>
      <c r="C2826" t="s">
        <v>7</v>
      </c>
      <c r="D2826" t="s">
        <v>2787</v>
      </c>
      <c r="E2826" t="s">
        <v>2788</v>
      </c>
      <c r="F2826" t="s">
        <v>19</v>
      </c>
      <c r="G2826" t="s">
        <v>4</v>
      </c>
      <c r="H2826" t="s">
        <v>26</v>
      </c>
      <c r="I2826" t="s">
        <v>27</v>
      </c>
      <c r="J2826" s="2">
        <v>22.638000000000002</v>
      </c>
      <c r="K2826">
        <v>7</v>
      </c>
      <c r="L2826" s="4"/>
    </row>
    <row r="2827" spans="1:12" x14ac:dyDescent="0.3">
      <c r="A2827" s="1">
        <v>42645</v>
      </c>
      <c r="B2827" s="1">
        <v>42651</v>
      </c>
      <c r="C2827" t="s">
        <v>7</v>
      </c>
      <c r="D2827" t="s">
        <v>2787</v>
      </c>
      <c r="E2827" t="s">
        <v>2788</v>
      </c>
      <c r="F2827" t="s">
        <v>19</v>
      </c>
      <c r="G2827" t="s">
        <v>4</v>
      </c>
      <c r="H2827" t="s">
        <v>15</v>
      </c>
      <c r="I2827" t="s">
        <v>1918</v>
      </c>
      <c r="J2827" s="2">
        <v>95.143999999999991</v>
      </c>
      <c r="K2827">
        <v>7</v>
      </c>
      <c r="L2827" s="4"/>
    </row>
    <row r="2828" spans="1:12" x14ac:dyDescent="0.3">
      <c r="A2828" s="1">
        <v>42645</v>
      </c>
      <c r="B2828" s="1">
        <v>42649</v>
      </c>
      <c r="C2828" t="s">
        <v>7</v>
      </c>
      <c r="D2828" t="s">
        <v>2789</v>
      </c>
      <c r="E2828" t="s">
        <v>2790</v>
      </c>
      <c r="F2828" t="s">
        <v>3</v>
      </c>
      <c r="G2828" t="s">
        <v>12</v>
      </c>
      <c r="H2828" t="s">
        <v>35</v>
      </c>
      <c r="I2828" t="s">
        <v>2791</v>
      </c>
      <c r="J2828" s="2">
        <v>17.46</v>
      </c>
      <c r="K2828">
        <v>2</v>
      </c>
      <c r="L2828" s="4"/>
    </row>
    <row r="2829" spans="1:12" x14ac:dyDescent="0.3">
      <c r="A2829" s="1">
        <v>42645</v>
      </c>
      <c r="B2829" s="1">
        <v>42649</v>
      </c>
      <c r="C2829" t="s">
        <v>7</v>
      </c>
      <c r="D2829" t="s">
        <v>2789</v>
      </c>
      <c r="E2829" t="s">
        <v>2790</v>
      </c>
      <c r="F2829" t="s">
        <v>3</v>
      </c>
      <c r="G2829" t="s">
        <v>74</v>
      </c>
      <c r="H2829" t="s">
        <v>138</v>
      </c>
      <c r="I2829" t="s">
        <v>2792</v>
      </c>
      <c r="J2829" s="2">
        <v>369.16</v>
      </c>
      <c r="K2829">
        <v>11</v>
      </c>
      <c r="L2829" s="4"/>
    </row>
    <row r="2830" spans="1:12" x14ac:dyDescent="0.3">
      <c r="A2830" s="1">
        <v>42646</v>
      </c>
      <c r="B2830" s="1">
        <v>42651</v>
      </c>
      <c r="C2830" t="s">
        <v>7</v>
      </c>
      <c r="D2830" t="s">
        <v>2254</v>
      </c>
      <c r="E2830" t="s">
        <v>2255</v>
      </c>
      <c r="F2830" t="s">
        <v>3</v>
      </c>
      <c r="G2830" t="s">
        <v>12</v>
      </c>
      <c r="H2830" t="s">
        <v>44</v>
      </c>
      <c r="I2830" t="s">
        <v>2466</v>
      </c>
      <c r="J2830" s="2">
        <v>171.28800000000001</v>
      </c>
      <c r="K2830">
        <v>3</v>
      </c>
      <c r="L2830" s="4"/>
    </row>
    <row r="2831" spans="1:12" x14ac:dyDescent="0.3">
      <c r="A2831" s="1">
        <v>42648</v>
      </c>
      <c r="B2831" s="1">
        <v>42653</v>
      </c>
      <c r="C2831" t="s">
        <v>7</v>
      </c>
      <c r="D2831" t="s">
        <v>2420</v>
      </c>
      <c r="E2831" t="s">
        <v>2421</v>
      </c>
      <c r="F2831" t="s">
        <v>3</v>
      </c>
      <c r="G2831" t="s">
        <v>4</v>
      </c>
      <c r="H2831" t="s">
        <v>26</v>
      </c>
      <c r="I2831" t="s">
        <v>818</v>
      </c>
      <c r="J2831" s="2">
        <v>39.92</v>
      </c>
      <c r="K2831">
        <v>5</v>
      </c>
      <c r="L2831" s="4"/>
    </row>
    <row r="2832" spans="1:12" x14ac:dyDescent="0.3">
      <c r="A2832" s="1">
        <v>42648</v>
      </c>
      <c r="B2832" s="1">
        <v>42653</v>
      </c>
      <c r="C2832" t="s">
        <v>7</v>
      </c>
      <c r="D2832" t="s">
        <v>2420</v>
      </c>
      <c r="E2832" t="s">
        <v>2421</v>
      </c>
      <c r="F2832" t="s">
        <v>3</v>
      </c>
      <c r="G2832" t="s">
        <v>4</v>
      </c>
      <c r="H2832" t="s">
        <v>5</v>
      </c>
      <c r="I2832" t="s">
        <v>142</v>
      </c>
      <c r="J2832" s="2">
        <v>61.96</v>
      </c>
      <c r="K2832">
        <v>2</v>
      </c>
      <c r="L2832" s="4"/>
    </row>
    <row r="2833" spans="1:12" x14ac:dyDescent="0.3">
      <c r="A2833" s="1">
        <v>42648</v>
      </c>
      <c r="B2833" s="1">
        <v>42653</v>
      </c>
      <c r="C2833" t="s">
        <v>7</v>
      </c>
      <c r="D2833" t="s">
        <v>2420</v>
      </c>
      <c r="E2833" t="s">
        <v>2421</v>
      </c>
      <c r="F2833" t="s">
        <v>3</v>
      </c>
      <c r="G2833" t="s">
        <v>4</v>
      </c>
      <c r="H2833" t="s">
        <v>26</v>
      </c>
      <c r="I2833" t="s">
        <v>559</v>
      </c>
      <c r="J2833" s="2">
        <v>19.936000000000003</v>
      </c>
      <c r="K2833">
        <v>4</v>
      </c>
      <c r="L2833" s="4"/>
    </row>
    <row r="2834" spans="1:12" x14ac:dyDescent="0.3">
      <c r="A2834" s="1">
        <v>42648</v>
      </c>
      <c r="B2834" s="1">
        <v>42650</v>
      </c>
      <c r="C2834" t="s">
        <v>22</v>
      </c>
      <c r="D2834" t="s">
        <v>2048</v>
      </c>
      <c r="E2834" t="s">
        <v>2049</v>
      </c>
      <c r="F2834" t="s">
        <v>115</v>
      </c>
      <c r="G2834" t="s">
        <v>74</v>
      </c>
      <c r="H2834" t="s">
        <v>75</v>
      </c>
      <c r="I2834" t="s">
        <v>2587</v>
      </c>
      <c r="J2834" s="2">
        <v>63.824000000000005</v>
      </c>
      <c r="K2834">
        <v>2</v>
      </c>
      <c r="L2834" s="4"/>
    </row>
    <row r="2835" spans="1:12" x14ac:dyDescent="0.3">
      <c r="A2835" s="1">
        <v>42648</v>
      </c>
      <c r="B2835" s="1">
        <v>42653</v>
      </c>
      <c r="C2835" t="s">
        <v>7</v>
      </c>
      <c r="D2835" t="s">
        <v>815</v>
      </c>
      <c r="E2835" t="s">
        <v>816</v>
      </c>
      <c r="F2835" t="s">
        <v>3</v>
      </c>
      <c r="G2835" t="s">
        <v>12</v>
      </c>
      <c r="H2835" t="s">
        <v>70</v>
      </c>
      <c r="I2835" t="s">
        <v>1890</v>
      </c>
      <c r="J2835" s="2">
        <v>435.16800000000006</v>
      </c>
      <c r="K2835">
        <v>4</v>
      </c>
      <c r="L2835" s="4"/>
    </row>
    <row r="2836" spans="1:12" x14ac:dyDescent="0.3">
      <c r="A2836" s="1">
        <v>42648</v>
      </c>
      <c r="B2836" s="1">
        <v>42653</v>
      </c>
      <c r="C2836" t="s">
        <v>7</v>
      </c>
      <c r="D2836" t="s">
        <v>815</v>
      </c>
      <c r="E2836" t="s">
        <v>816</v>
      </c>
      <c r="F2836" t="s">
        <v>3</v>
      </c>
      <c r="G2836" t="s">
        <v>4</v>
      </c>
      <c r="H2836" t="s">
        <v>52</v>
      </c>
      <c r="I2836" t="s">
        <v>53</v>
      </c>
      <c r="J2836" s="2">
        <v>14.9</v>
      </c>
      <c r="K2836">
        <v>5</v>
      </c>
      <c r="L2836" s="4"/>
    </row>
    <row r="2837" spans="1:12" x14ac:dyDescent="0.3">
      <c r="A2837" s="1">
        <v>42648</v>
      </c>
      <c r="B2837" s="1">
        <v>42653</v>
      </c>
      <c r="C2837" t="s">
        <v>7</v>
      </c>
      <c r="D2837" t="s">
        <v>815</v>
      </c>
      <c r="E2837" t="s">
        <v>816</v>
      </c>
      <c r="F2837" t="s">
        <v>3</v>
      </c>
      <c r="G2837" t="s">
        <v>4</v>
      </c>
      <c r="H2837" t="s">
        <v>20</v>
      </c>
      <c r="I2837" t="s">
        <v>2443</v>
      </c>
      <c r="J2837" s="2">
        <v>15.8</v>
      </c>
      <c r="K2837">
        <v>4</v>
      </c>
      <c r="L2837" s="4"/>
    </row>
    <row r="2838" spans="1:12" x14ac:dyDescent="0.3">
      <c r="A2838" s="1">
        <v>42648</v>
      </c>
      <c r="B2838" s="1">
        <v>42653</v>
      </c>
      <c r="C2838" t="s">
        <v>7</v>
      </c>
      <c r="D2838" t="s">
        <v>815</v>
      </c>
      <c r="E2838" t="s">
        <v>816</v>
      </c>
      <c r="F2838" t="s">
        <v>3</v>
      </c>
      <c r="G2838" t="s">
        <v>12</v>
      </c>
      <c r="H2838" t="s">
        <v>35</v>
      </c>
      <c r="I2838" t="s">
        <v>2793</v>
      </c>
      <c r="J2838" s="2">
        <v>72.900000000000006</v>
      </c>
      <c r="K2838">
        <v>5</v>
      </c>
      <c r="L2838" s="4"/>
    </row>
    <row r="2839" spans="1:12" x14ac:dyDescent="0.3">
      <c r="A2839" s="1">
        <v>42648</v>
      </c>
      <c r="B2839" s="1">
        <v>42653</v>
      </c>
      <c r="C2839" t="s">
        <v>7</v>
      </c>
      <c r="D2839" t="s">
        <v>815</v>
      </c>
      <c r="E2839" t="s">
        <v>816</v>
      </c>
      <c r="F2839" t="s">
        <v>3</v>
      </c>
      <c r="G2839" t="s">
        <v>12</v>
      </c>
      <c r="H2839" t="s">
        <v>44</v>
      </c>
      <c r="I2839" t="s">
        <v>347</v>
      </c>
      <c r="J2839" s="2">
        <v>206.35200000000003</v>
      </c>
      <c r="K2839">
        <v>3</v>
      </c>
      <c r="L2839" s="4"/>
    </row>
    <row r="2840" spans="1:12" x14ac:dyDescent="0.3">
      <c r="A2840" s="1">
        <v>42648</v>
      </c>
      <c r="B2840" s="1">
        <v>42653</v>
      </c>
      <c r="C2840" t="s">
        <v>7</v>
      </c>
      <c r="D2840" t="s">
        <v>815</v>
      </c>
      <c r="E2840" t="s">
        <v>816</v>
      </c>
      <c r="F2840" t="s">
        <v>3</v>
      </c>
      <c r="G2840" t="s">
        <v>74</v>
      </c>
      <c r="H2840" t="s">
        <v>147</v>
      </c>
      <c r="I2840" t="s">
        <v>2657</v>
      </c>
      <c r="J2840" s="2">
        <v>7.9920000000000009</v>
      </c>
      <c r="K2840">
        <v>1</v>
      </c>
      <c r="L2840" s="4"/>
    </row>
    <row r="2841" spans="1:12" x14ac:dyDescent="0.3">
      <c r="A2841" s="1">
        <v>42649</v>
      </c>
      <c r="B2841" s="1">
        <v>42654</v>
      </c>
      <c r="C2841" t="s">
        <v>7</v>
      </c>
      <c r="D2841" t="s">
        <v>1475</v>
      </c>
      <c r="E2841" t="s">
        <v>1476</v>
      </c>
      <c r="F2841" t="s">
        <v>224</v>
      </c>
      <c r="G2841" t="s">
        <v>12</v>
      </c>
      <c r="H2841" t="s">
        <v>35</v>
      </c>
      <c r="I2841" t="s">
        <v>2042</v>
      </c>
      <c r="J2841" s="2">
        <v>41.96</v>
      </c>
      <c r="K2841">
        <v>2</v>
      </c>
      <c r="L2841" s="4"/>
    </row>
    <row r="2842" spans="1:12" x14ac:dyDescent="0.3">
      <c r="A2842" s="1">
        <v>42649</v>
      </c>
      <c r="B2842" s="1">
        <v>42654</v>
      </c>
      <c r="C2842" t="s">
        <v>7</v>
      </c>
      <c r="D2842" t="s">
        <v>1475</v>
      </c>
      <c r="E2842" t="s">
        <v>1476</v>
      </c>
      <c r="F2842" t="s">
        <v>224</v>
      </c>
      <c r="G2842" t="s">
        <v>4</v>
      </c>
      <c r="H2842" t="s">
        <v>20</v>
      </c>
      <c r="I2842" t="s">
        <v>2794</v>
      </c>
      <c r="J2842" s="2">
        <v>227.84</v>
      </c>
      <c r="K2842">
        <v>4</v>
      </c>
      <c r="L2842" s="4"/>
    </row>
    <row r="2843" spans="1:12" x14ac:dyDescent="0.3">
      <c r="A2843" s="1">
        <v>42649</v>
      </c>
      <c r="B2843" s="1">
        <v>42654</v>
      </c>
      <c r="C2843" t="s">
        <v>7</v>
      </c>
      <c r="D2843" t="s">
        <v>1475</v>
      </c>
      <c r="E2843" t="s">
        <v>1476</v>
      </c>
      <c r="F2843" t="s">
        <v>224</v>
      </c>
      <c r="G2843" t="s">
        <v>4</v>
      </c>
      <c r="H2843" t="s">
        <v>5</v>
      </c>
      <c r="I2843" t="s">
        <v>1855</v>
      </c>
      <c r="J2843" s="2">
        <v>37.94</v>
      </c>
      <c r="K2843">
        <v>2</v>
      </c>
      <c r="L2843" s="4"/>
    </row>
    <row r="2844" spans="1:12" x14ac:dyDescent="0.3">
      <c r="A2844" s="1">
        <v>42649</v>
      </c>
      <c r="B2844" s="1">
        <v>42654</v>
      </c>
      <c r="C2844" t="s">
        <v>7</v>
      </c>
      <c r="D2844" t="s">
        <v>1751</v>
      </c>
      <c r="E2844" t="s">
        <v>1752</v>
      </c>
      <c r="F2844" t="s">
        <v>25</v>
      </c>
      <c r="G2844" t="s">
        <v>4</v>
      </c>
      <c r="H2844" t="s">
        <v>15</v>
      </c>
      <c r="I2844" t="s">
        <v>2795</v>
      </c>
      <c r="J2844" s="2">
        <v>9.3439999999999994</v>
      </c>
      <c r="K2844">
        <v>2</v>
      </c>
      <c r="L2844" s="4"/>
    </row>
    <row r="2845" spans="1:12" x14ac:dyDescent="0.3">
      <c r="A2845" s="1">
        <v>42650</v>
      </c>
      <c r="B2845" s="1">
        <v>42656</v>
      </c>
      <c r="C2845" t="s">
        <v>7</v>
      </c>
      <c r="D2845" t="s">
        <v>2796</v>
      </c>
      <c r="E2845" t="s">
        <v>2797</v>
      </c>
      <c r="F2845" t="s">
        <v>3</v>
      </c>
      <c r="G2845" t="s">
        <v>12</v>
      </c>
      <c r="H2845" t="s">
        <v>13</v>
      </c>
      <c r="I2845" t="s">
        <v>2798</v>
      </c>
      <c r="J2845" s="2">
        <v>307.666</v>
      </c>
      <c r="K2845">
        <v>2</v>
      </c>
      <c r="L2845" s="4"/>
    </row>
    <row r="2846" spans="1:12" x14ac:dyDescent="0.3">
      <c r="A2846" s="1">
        <v>42650</v>
      </c>
      <c r="B2846" s="1">
        <v>42654</v>
      </c>
      <c r="C2846" t="s">
        <v>7</v>
      </c>
      <c r="D2846" t="s">
        <v>2799</v>
      </c>
      <c r="E2846" t="s">
        <v>2800</v>
      </c>
      <c r="F2846" t="s">
        <v>3</v>
      </c>
      <c r="G2846" t="s">
        <v>74</v>
      </c>
      <c r="H2846" t="s">
        <v>75</v>
      </c>
      <c r="I2846" t="s">
        <v>1687</v>
      </c>
      <c r="J2846" s="2">
        <v>1115.9099999999999</v>
      </c>
      <c r="K2846">
        <v>9</v>
      </c>
      <c r="L2846" s="4"/>
    </row>
    <row r="2847" spans="1:12" x14ac:dyDescent="0.3">
      <c r="A2847" s="1">
        <v>42650</v>
      </c>
      <c r="B2847" s="1">
        <v>42654</v>
      </c>
      <c r="C2847" t="s">
        <v>7</v>
      </c>
      <c r="D2847" t="s">
        <v>2799</v>
      </c>
      <c r="E2847" t="s">
        <v>2800</v>
      </c>
      <c r="F2847" t="s">
        <v>3</v>
      </c>
      <c r="G2847" t="s">
        <v>74</v>
      </c>
      <c r="H2847" t="s">
        <v>147</v>
      </c>
      <c r="I2847" t="s">
        <v>1599</v>
      </c>
      <c r="J2847" s="2">
        <v>128.744</v>
      </c>
      <c r="K2847">
        <v>7</v>
      </c>
      <c r="L2847" s="4"/>
    </row>
    <row r="2848" spans="1:12" x14ac:dyDescent="0.3">
      <c r="A2848" s="1">
        <v>42650</v>
      </c>
      <c r="B2848" s="1">
        <v>42654</v>
      </c>
      <c r="C2848" t="s">
        <v>7</v>
      </c>
      <c r="D2848" t="s">
        <v>2799</v>
      </c>
      <c r="E2848" t="s">
        <v>2800</v>
      </c>
      <c r="F2848" t="s">
        <v>3</v>
      </c>
      <c r="G2848" t="s">
        <v>74</v>
      </c>
      <c r="H2848" t="s">
        <v>147</v>
      </c>
      <c r="I2848" t="s">
        <v>2657</v>
      </c>
      <c r="J2848" s="2">
        <v>79.920000000000016</v>
      </c>
      <c r="K2848">
        <v>10</v>
      </c>
      <c r="L2848" s="4"/>
    </row>
    <row r="2849" spans="1:12" x14ac:dyDescent="0.3">
      <c r="A2849" s="1">
        <v>42651</v>
      </c>
      <c r="B2849" s="1">
        <v>42657</v>
      </c>
      <c r="C2849" t="s">
        <v>7</v>
      </c>
      <c r="D2849" t="s">
        <v>1723</v>
      </c>
      <c r="E2849" t="s">
        <v>1724</v>
      </c>
      <c r="F2849" t="s">
        <v>3</v>
      </c>
      <c r="G2849" t="s">
        <v>74</v>
      </c>
      <c r="H2849" t="s">
        <v>147</v>
      </c>
      <c r="I2849" t="s">
        <v>2509</v>
      </c>
      <c r="J2849" s="2">
        <v>103.19200000000001</v>
      </c>
      <c r="K2849">
        <v>1</v>
      </c>
      <c r="L2849" s="4"/>
    </row>
    <row r="2850" spans="1:12" x14ac:dyDescent="0.3">
      <c r="A2850" s="1">
        <v>42651</v>
      </c>
      <c r="B2850" s="1">
        <v>42657</v>
      </c>
      <c r="C2850" t="s">
        <v>7</v>
      </c>
      <c r="D2850" t="s">
        <v>1723</v>
      </c>
      <c r="E2850" t="s">
        <v>1724</v>
      </c>
      <c r="F2850" t="s">
        <v>3</v>
      </c>
      <c r="G2850" t="s">
        <v>74</v>
      </c>
      <c r="H2850" t="s">
        <v>75</v>
      </c>
      <c r="I2850" t="s">
        <v>2327</v>
      </c>
      <c r="J2850" s="2">
        <v>36</v>
      </c>
      <c r="K2850">
        <v>2</v>
      </c>
      <c r="L2850" s="4"/>
    </row>
    <row r="2851" spans="1:12" x14ac:dyDescent="0.3">
      <c r="A2851" s="1">
        <v>42651</v>
      </c>
      <c r="B2851" s="1">
        <v>42657</v>
      </c>
      <c r="C2851" t="s">
        <v>7</v>
      </c>
      <c r="D2851" t="s">
        <v>1723</v>
      </c>
      <c r="E2851" t="s">
        <v>1724</v>
      </c>
      <c r="F2851" t="s">
        <v>3</v>
      </c>
      <c r="G2851" t="s">
        <v>74</v>
      </c>
      <c r="H2851" t="s">
        <v>75</v>
      </c>
      <c r="I2851" t="s">
        <v>784</v>
      </c>
      <c r="J2851" s="2">
        <v>239.96</v>
      </c>
      <c r="K2851">
        <v>4</v>
      </c>
      <c r="L2851" s="4"/>
    </row>
    <row r="2852" spans="1:12" x14ac:dyDescent="0.3">
      <c r="A2852" s="1">
        <v>42651</v>
      </c>
      <c r="B2852" s="1">
        <v>42657</v>
      </c>
      <c r="C2852" t="s">
        <v>7</v>
      </c>
      <c r="D2852" t="s">
        <v>1723</v>
      </c>
      <c r="E2852" t="s">
        <v>1724</v>
      </c>
      <c r="F2852" t="s">
        <v>3</v>
      </c>
      <c r="G2852" t="s">
        <v>4</v>
      </c>
      <c r="H2852" t="s">
        <v>10</v>
      </c>
      <c r="I2852" t="s">
        <v>693</v>
      </c>
      <c r="J2852" s="2">
        <v>40.68</v>
      </c>
      <c r="K2852">
        <v>2</v>
      </c>
      <c r="L2852" s="4"/>
    </row>
    <row r="2853" spans="1:12" x14ac:dyDescent="0.3">
      <c r="A2853" s="1">
        <v>42652</v>
      </c>
      <c r="B2853" s="1">
        <v>42654</v>
      </c>
      <c r="C2853" t="s">
        <v>22</v>
      </c>
      <c r="D2853" t="s">
        <v>751</v>
      </c>
      <c r="E2853" t="s">
        <v>752</v>
      </c>
      <c r="F2853" t="s">
        <v>3</v>
      </c>
      <c r="G2853" t="s">
        <v>4</v>
      </c>
      <c r="H2853" t="s">
        <v>5</v>
      </c>
      <c r="I2853" t="s">
        <v>2801</v>
      </c>
      <c r="J2853" s="2">
        <v>35.200000000000003</v>
      </c>
      <c r="K2853">
        <v>5</v>
      </c>
      <c r="L2853" s="4"/>
    </row>
    <row r="2854" spans="1:12" x14ac:dyDescent="0.3">
      <c r="A2854" s="1">
        <v>42655</v>
      </c>
      <c r="B2854" s="1">
        <v>42661</v>
      </c>
      <c r="C2854" t="s">
        <v>7</v>
      </c>
      <c r="D2854" t="s">
        <v>2802</v>
      </c>
      <c r="E2854" t="s">
        <v>2803</v>
      </c>
      <c r="F2854" t="s">
        <v>172</v>
      </c>
      <c r="G2854" t="s">
        <v>74</v>
      </c>
      <c r="H2854" t="s">
        <v>75</v>
      </c>
      <c r="I2854" t="s">
        <v>498</v>
      </c>
      <c r="J2854" s="2">
        <v>595</v>
      </c>
      <c r="K2854">
        <v>5</v>
      </c>
      <c r="L2854" s="4"/>
    </row>
    <row r="2855" spans="1:12" x14ac:dyDescent="0.3">
      <c r="A2855" s="1">
        <v>42655</v>
      </c>
      <c r="B2855" s="1">
        <v>42661</v>
      </c>
      <c r="C2855" t="s">
        <v>7</v>
      </c>
      <c r="D2855" t="s">
        <v>2802</v>
      </c>
      <c r="E2855" t="s">
        <v>2803</v>
      </c>
      <c r="F2855" t="s">
        <v>172</v>
      </c>
      <c r="G2855" t="s">
        <v>4</v>
      </c>
      <c r="H2855" t="s">
        <v>26</v>
      </c>
      <c r="I2855" t="s">
        <v>2108</v>
      </c>
      <c r="J2855" s="2">
        <v>79.872000000000014</v>
      </c>
      <c r="K2855">
        <v>3</v>
      </c>
      <c r="L2855" s="4"/>
    </row>
    <row r="2856" spans="1:12" x14ac:dyDescent="0.3">
      <c r="A2856" s="1">
        <v>42655</v>
      </c>
      <c r="B2856" s="1">
        <v>42657</v>
      </c>
      <c r="C2856" t="s">
        <v>22</v>
      </c>
      <c r="D2856" t="s">
        <v>1345</v>
      </c>
      <c r="E2856" t="s">
        <v>1346</v>
      </c>
      <c r="F2856" t="s">
        <v>3</v>
      </c>
      <c r="G2856" t="s">
        <v>74</v>
      </c>
      <c r="H2856" t="s">
        <v>75</v>
      </c>
      <c r="I2856" t="s">
        <v>1866</v>
      </c>
      <c r="J2856" s="2">
        <v>0.99</v>
      </c>
      <c r="K2856">
        <v>1</v>
      </c>
      <c r="L2856" s="4"/>
    </row>
    <row r="2857" spans="1:12" x14ac:dyDescent="0.3">
      <c r="A2857" s="1">
        <v>42655</v>
      </c>
      <c r="B2857" s="1">
        <v>42657</v>
      </c>
      <c r="C2857" t="s">
        <v>22</v>
      </c>
      <c r="D2857" t="s">
        <v>1345</v>
      </c>
      <c r="E2857" t="s">
        <v>1346</v>
      </c>
      <c r="F2857" t="s">
        <v>3</v>
      </c>
      <c r="G2857" t="s">
        <v>4</v>
      </c>
      <c r="H2857" t="s">
        <v>26</v>
      </c>
      <c r="I2857" t="s">
        <v>2804</v>
      </c>
      <c r="J2857" s="2">
        <v>101.84</v>
      </c>
      <c r="K2857">
        <v>5</v>
      </c>
      <c r="L2857" s="4"/>
    </row>
    <row r="2858" spans="1:12" x14ac:dyDescent="0.3">
      <c r="A2858" s="1">
        <v>42655</v>
      </c>
      <c r="B2858" s="1">
        <v>42657</v>
      </c>
      <c r="C2858" t="s">
        <v>0</v>
      </c>
      <c r="D2858" t="s">
        <v>2805</v>
      </c>
      <c r="E2858" t="s">
        <v>2806</v>
      </c>
      <c r="F2858" t="s">
        <v>3</v>
      </c>
      <c r="G2858" t="s">
        <v>74</v>
      </c>
      <c r="H2858" t="s">
        <v>75</v>
      </c>
      <c r="I2858" t="s">
        <v>2427</v>
      </c>
      <c r="J2858" s="2">
        <v>435.84000000000003</v>
      </c>
      <c r="K2858">
        <v>12</v>
      </c>
      <c r="L2858" s="4"/>
    </row>
    <row r="2859" spans="1:12" x14ac:dyDescent="0.3">
      <c r="A2859" s="1">
        <v>42655</v>
      </c>
      <c r="B2859" s="1">
        <v>42657</v>
      </c>
      <c r="C2859" t="s">
        <v>0</v>
      </c>
      <c r="D2859" t="s">
        <v>2805</v>
      </c>
      <c r="E2859" t="s">
        <v>2806</v>
      </c>
      <c r="F2859" t="s">
        <v>3</v>
      </c>
      <c r="G2859" t="s">
        <v>4</v>
      </c>
      <c r="H2859" t="s">
        <v>15</v>
      </c>
      <c r="I2859" t="s">
        <v>861</v>
      </c>
      <c r="J2859" s="2">
        <v>5.88</v>
      </c>
      <c r="K2859">
        <v>2</v>
      </c>
      <c r="L2859" s="4"/>
    </row>
    <row r="2860" spans="1:12" x14ac:dyDescent="0.3">
      <c r="A2860" s="1">
        <v>42656</v>
      </c>
      <c r="B2860" s="1">
        <v>42663</v>
      </c>
      <c r="C2860" t="s">
        <v>7</v>
      </c>
      <c r="D2860" t="s">
        <v>2234</v>
      </c>
      <c r="E2860" t="s">
        <v>2235</v>
      </c>
      <c r="F2860" t="s">
        <v>3</v>
      </c>
      <c r="G2860" t="s">
        <v>74</v>
      </c>
      <c r="H2860" t="s">
        <v>75</v>
      </c>
      <c r="I2860" t="s">
        <v>1877</v>
      </c>
      <c r="J2860" s="2">
        <v>209.94</v>
      </c>
      <c r="K2860">
        <v>6</v>
      </c>
      <c r="L2860" s="4"/>
    </row>
    <row r="2861" spans="1:12" x14ac:dyDescent="0.3">
      <c r="A2861" s="1">
        <v>42656</v>
      </c>
      <c r="B2861" s="1">
        <v>42663</v>
      </c>
      <c r="C2861" t="s">
        <v>7</v>
      </c>
      <c r="D2861" t="s">
        <v>2234</v>
      </c>
      <c r="E2861" t="s">
        <v>2235</v>
      </c>
      <c r="F2861" t="s">
        <v>3</v>
      </c>
      <c r="G2861" t="s">
        <v>74</v>
      </c>
      <c r="H2861" t="s">
        <v>147</v>
      </c>
      <c r="I2861" t="s">
        <v>2166</v>
      </c>
      <c r="J2861" s="2">
        <v>31.983999999999998</v>
      </c>
      <c r="K2861">
        <v>2</v>
      </c>
      <c r="L2861" s="4"/>
    </row>
    <row r="2862" spans="1:12" x14ac:dyDescent="0.3">
      <c r="A2862" s="1">
        <v>42656</v>
      </c>
      <c r="B2862" s="1">
        <v>42663</v>
      </c>
      <c r="C2862" t="s">
        <v>7</v>
      </c>
      <c r="D2862" t="s">
        <v>2234</v>
      </c>
      <c r="E2862" t="s">
        <v>2235</v>
      </c>
      <c r="F2862" t="s">
        <v>3</v>
      </c>
      <c r="G2862" t="s">
        <v>4</v>
      </c>
      <c r="H2862" t="s">
        <v>26</v>
      </c>
      <c r="I2862" t="s">
        <v>900</v>
      </c>
      <c r="J2862" s="2">
        <v>5083.96</v>
      </c>
      <c r="K2862">
        <v>5</v>
      </c>
      <c r="L2862" s="4"/>
    </row>
    <row r="2863" spans="1:12" x14ac:dyDescent="0.3">
      <c r="A2863" s="1">
        <v>42657</v>
      </c>
      <c r="B2863" s="1">
        <v>42660</v>
      </c>
      <c r="C2863" t="s">
        <v>22</v>
      </c>
      <c r="D2863" t="s">
        <v>2563</v>
      </c>
      <c r="E2863" t="s">
        <v>2564</v>
      </c>
      <c r="F2863" t="s">
        <v>3</v>
      </c>
      <c r="G2863" t="s">
        <v>12</v>
      </c>
      <c r="H2863" t="s">
        <v>35</v>
      </c>
      <c r="I2863" t="s">
        <v>205</v>
      </c>
      <c r="J2863" s="2">
        <v>9.4600000000000009</v>
      </c>
      <c r="K2863">
        <v>2</v>
      </c>
      <c r="L2863" s="4"/>
    </row>
    <row r="2864" spans="1:12" x14ac:dyDescent="0.3">
      <c r="A2864" s="1">
        <v>42657</v>
      </c>
      <c r="B2864" s="1">
        <v>42662</v>
      </c>
      <c r="C2864" t="s">
        <v>7</v>
      </c>
      <c r="D2864" t="s">
        <v>1207</v>
      </c>
      <c r="E2864" t="s">
        <v>1208</v>
      </c>
      <c r="F2864" t="s">
        <v>3</v>
      </c>
      <c r="G2864" t="s">
        <v>74</v>
      </c>
      <c r="H2864" t="s">
        <v>75</v>
      </c>
      <c r="I2864" t="s">
        <v>2807</v>
      </c>
      <c r="J2864" s="2">
        <v>46.36</v>
      </c>
      <c r="K2864">
        <v>4</v>
      </c>
      <c r="L2864" s="4"/>
    </row>
    <row r="2865" spans="1:12" x14ac:dyDescent="0.3">
      <c r="A2865" s="1">
        <v>42658</v>
      </c>
      <c r="B2865" s="1">
        <v>42661</v>
      </c>
      <c r="C2865" t="s">
        <v>0</v>
      </c>
      <c r="D2865" t="s">
        <v>2784</v>
      </c>
      <c r="E2865" t="s">
        <v>2785</v>
      </c>
      <c r="F2865" t="s">
        <v>3</v>
      </c>
      <c r="G2865" t="s">
        <v>4</v>
      </c>
      <c r="H2865" t="s">
        <v>15</v>
      </c>
      <c r="I2865" t="s">
        <v>2808</v>
      </c>
      <c r="J2865" s="2">
        <v>87.92</v>
      </c>
      <c r="K2865">
        <v>4</v>
      </c>
      <c r="L2865" s="4"/>
    </row>
    <row r="2866" spans="1:12" x14ac:dyDescent="0.3">
      <c r="A2866" s="1">
        <v>42658</v>
      </c>
      <c r="B2866" s="1">
        <v>42660</v>
      </c>
      <c r="C2866" t="s">
        <v>22</v>
      </c>
      <c r="D2866" t="s">
        <v>999</v>
      </c>
      <c r="E2866" t="s">
        <v>1000</v>
      </c>
      <c r="F2866" t="s">
        <v>3</v>
      </c>
      <c r="G2866" t="s">
        <v>12</v>
      </c>
      <c r="H2866" t="s">
        <v>44</v>
      </c>
      <c r="I2866" t="s">
        <v>1764</v>
      </c>
      <c r="J2866" s="2">
        <v>510.24</v>
      </c>
      <c r="K2866">
        <v>3</v>
      </c>
      <c r="L2866" s="4"/>
    </row>
    <row r="2867" spans="1:12" x14ac:dyDescent="0.3">
      <c r="A2867" s="1">
        <v>42658</v>
      </c>
      <c r="B2867" s="1">
        <v>42660</v>
      </c>
      <c r="C2867" t="s">
        <v>22</v>
      </c>
      <c r="D2867" t="s">
        <v>999</v>
      </c>
      <c r="E2867" t="s">
        <v>1000</v>
      </c>
      <c r="F2867" t="s">
        <v>3</v>
      </c>
      <c r="G2867" t="s">
        <v>4</v>
      </c>
      <c r="H2867" t="s">
        <v>5</v>
      </c>
      <c r="I2867" t="s">
        <v>713</v>
      </c>
      <c r="J2867" s="2">
        <v>204.95000000000002</v>
      </c>
      <c r="K2867">
        <v>5</v>
      </c>
      <c r="L2867" s="4"/>
    </row>
    <row r="2868" spans="1:12" x14ac:dyDescent="0.3">
      <c r="A2868" s="1">
        <v>42658</v>
      </c>
      <c r="B2868" s="1">
        <v>42663</v>
      </c>
      <c r="C2868" t="s">
        <v>7</v>
      </c>
      <c r="D2868" t="s">
        <v>2131</v>
      </c>
      <c r="E2868" t="s">
        <v>2132</v>
      </c>
      <c r="F2868" t="s">
        <v>3</v>
      </c>
      <c r="G2868" t="s">
        <v>4</v>
      </c>
      <c r="H2868" t="s">
        <v>168</v>
      </c>
      <c r="I2868" t="s">
        <v>1173</v>
      </c>
      <c r="J2868" s="2">
        <v>152.65</v>
      </c>
      <c r="K2868">
        <v>5</v>
      </c>
      <c r="L2868" s="4"/>
    </row>
    <row r="2869" spans="1:12" x14ac:dyDescent="0.3">
      <c r="A2869" s="1">
        <v>42658</v>
      </c>
      <c r="B2869" s="1">
        <v>42663</v>
      </c>
      <c r="C2869" t="s">
        <v>7</v>
      </c>
      <c r="D2869" t="s">
        <v>2131</v>
      </c>
      <c r="E2869" t="s">
        <v>2132</v>
      </c>
      <c r="F2869" t="s">
        <v>3</v>
      </c>
      <c r="G2869" t="s">
        <v>12</v>
      </c>
      <c r="H2869" t="s">
        <v>35</v>
      </c>
      <c r="I2869" t="s">
        <v>2809</v>
      </c>
      <c r="J2869" s="2">
        <v>22.72</v>
      </c>
      <c r="K2869">
        <v>1</v>
      </c>
      <c r="L2869" s="4"/>
    </row>
    <row r="2870" spans="1:12" x14ac:dyDescent="0.3">
      <c r="A2870" s="1">
        <v>42658</v>
      </c>
      <c r="B2870" s="1">
        <v>42662</v>
      </c>
      <c r="C2870" t="s">
        <v>7</v>
      </c>
      <c r="D2870" t="s">
        <v>625</v>
      </c>
      <c r="E2870" t="s">
        <v>626</v>
      </c>
      <c r="F2870" t="s">
        <v>3</v>
      </c>
      <c r="G2870" t="s">
        <v>4</v>
      </c>
      <c r="H2870" t="s">
        <v>168</v>
      </c>
      <c r="I2870" t="s">
        <v>2583</v>
      </c>
      <c r="J2870" s="2">
        <v>14.73</v>
      </c>
      <c r="K2870">
        <v>3</v>
      </c>
      <c r="L2870" s="4"/>
    </row>
    <row r="2871" spans="1:12" x14ac:dyDescent="0.3">
      <c r="A2871" s="1">
        <v>42658</v>
      </c>
      <c r="B2871" s="1">
        <v>42662</v>
      </c>
      <c r="C2871" t="s">
        <v>7</v>
      </c>
      <c r="D2871" t="s">
        <v>2810</v>
      </c>
      <c r="E2871" t="s">
        <v>2811</v>
      </c>
      <c r="F2871" t="s">
        <v>126</v>
      </c>
      <c r="G2871" t="s">
        <v>4</v>
      </c>
      <c r="H2871" t="s">
        <v>15</v>
      </c>
      <c r="I2871" t="s">
        <v>2795</v>
      </c>
      <c r="J2871" s="2">
        <v>11.68</v>
      </c>
      <c r="K2871">
        <v>2</v>
      </c>
      <c r="L2871" s="4"/>
    </row>
    <row r="2872" spans="1:12" x14ac:dyDescent="0.3">
      <c r="A2872" s="1">
        <v>42659</v>
      </c>
      <c r="B2872" s="1">
        <v>42664</v>
      </c>
      <c r="C2872" t="s">
        <v>7</v>
      </c>
      <c r="D2872" t="s">
        <v>1334</v>
      </c>
      <c r="E2872" t="s">
        <v>1335</v>
      </c>
      <c r="F2872" t="s">
        <v>25</v>
      </c>
      <c r="G2872" t="s">
        <v>4</v>
      </c>
      <c r="H2872" t="s">
        <v>5</v>
      </c>
      <c r="I2872" t="s">
        <v>1008</v>
      </c>
      <c r="J2872" s="2">
        <v>307.77600000000001</v>
      </c>
      <c r="K2872">
        <v>7</v>
      </c>
      <c r="L2872" s="4"/>
    </row>
    <row r="2873" spans="1:12" x14ac:dyDescent="0.3">
      <c r="A2873" s="1">
        <v>42659</v>
      </c>
      <c r="B2873" s="1">
        <v>42664</v>
      </c>
      <c r="C2873" t="s">
        <v>7</v>
      </c>
      <c r="D2873" t="s">
        <v>415</v>
      </c>
      <c r="E2873" t="s">
        <v>416</v>
      </c>
      <c r="F2873" t="s">
        <v>25</v>
      </c>
      <c r="G2873" t="s">
        <v>74</v>
      </c>
      <c r="H2873" t="s">
        <v>138</v>
      </c>
      <c r="I2873" t="s">
        <v>139</v>
      </c>
      <c r="J2873" s="2">
        <v>599.98500000000013</v>
      </c>
      <c r="K2873">
        <v>5</v>
      </c>
      <c r="L2873" s="4"/>
    </row>
    <row r="2874" spans="1:12" x14ac:dyDescent="0.3">
      <c r="A2874" s="1">
        <v>42660</v>
      </c>
      <c r="B2874" s="1">
        <v>42662</v>
      </c>
      <c r="C2874" t="s">
        <v>0</v>
      </c>
      <c r="D2874" t="s">
        <v>2812</v>
      </c>
      <c r="E2874" t="s">
        <v>2813</v>
      </c>
      <c r="F2874" t="s">
        <v>3</v>
      </c>
      <c r="G2874" t="s">
        <v>4</v>
      </c>
      <c r="H2874" t="s">
        <v>15</v>
      </c>
      <c r="I2874" t="s">
        <v>119</v>
      </c>
      <c r="J2874" s="2">
        <v>10.64</v>
      </c>
      <c r="K2874">
        <v>4</v>
      </c>
      <c r="L2874" s="4"/>
    </row>
    <row r="2875" spans="1:12" x14ac:dyDescent="0.3">
      <c r="A2875" s="1">
        <v>42660</v>
      </c>
      <c r="B2875" s="1">
        <v>42662</v>
      </c>
      <c r="C2875" t="s">
        <v>0</v>
      </c>
      <c r="D2875" t="s">
        <v>80</v>
      </c>
      <c r="E2875" t="s">
        <v>81</v>
      </c>
      <c r="F2875" t="s">
        <v>3</v>
      </c>
      <c r="G2875" t="s">
        <v>74</v>
      </c>
      <c r="H2875" t="s">
        <v>147</v>
      </c>
      <c r="I2875" t="s">
        <v>1645</v>
      </c>
      <c r="J2875" s="2">
        <v>52.792000000000002</v>
      </c>
      <c r="K2875">
        <v>1</v>
      </c>
      <c r="L2875" s="4"/>
    </row>
    <row r="2876" spans="1:12" x14ac:dyDescent="0.3">
      <c r="A2876" s="1">
        <v>42662</v>
      </c>
      <c r="B2876" s="1">
        <v>42667</v>
      </c>
      <c r="C2876" t="s">
        <v>0</v>
      </c>
      <c r="D2876" t="s">
        <v>602</v>
      </c>
      <c r="E2876" t="s">
        <v>603</v>
      </c>
      <c r="F2876" t="s">
        <v>3</v>
      </c>
      <c r="G2876" t="s">
        <v>4</v>
      </c>
      <c r="H2876" t="s">
        <v>29</v>
      </c>
      <c r="I2876" t="s">
        <v>2814</v>
      </c>
      <c r="J2876" s="2">
        <v>8.9600000000000009</v>
      </c>
      <c r="K2876">
        <v>2</v>
      </c>
      <c r="L2876" s="4"/>
    </row>
    <row r="2877" spans="1:12" x14ac:dyDescent="0.3">
      <c r="A2877" s="1">
        <v>42662</v>
      </c>
      <c r="B2877" s="1">
        <v>42667</v>
      </c>
      <c r="C2877" t="s">
        <v>0</v>
      </c>
      <c r="D2877" t="s">
        <v>602</v>
      </c>
      <c r="E2877" t="s">
        <v>603</v>
      </c>
      <c r="F2877" t="s">
        <v>3</v>
      </c>
      <c r="G2877" t="s">
        <v>4</v>
      </c>
      <c r="H2877" t="s">
        <v>168</v>
      </c>
      <c r="I2877" t="s">
        <v>194</v>
      </c>
      <c r="J2877" s="2">
        <v>31.5</v>
      </c>
      <c r="K2877">
        <v>10</v>
      </c>
      <c r="L2877" s="4"/>
    </row>
    <row r="2878" spans="1:12" x14ac:dyDescent="0.3">
      <c r="A2878" s="1">
        <v>42662</v>
      </c>
      <c r="B2878" s="1">
        <v>42667</v>
      </c>
      <c r="C2878" t="s">
        <v>0</v>
      </c>
      <c r="D2878" t="s">
        <v>602</v>
      </c>
      <c r="E2878" t="s">
        <v>603</v>
      </c>
      <c r="F2878" t="s">
        <v>3</v>
      </c>
      <c r="G2878" t="s">
        <v>12</v>
      </c>
      <c r="H2878" t="s">
        <v>35</v>
      </c>
      <c r="I2878" t="s">
        <v>2815</v>
      </c>
      <c r="J2878" s="2">
        <v>30.56</v>
      </c>
      <c r="K2878">
        <v>2</v>
      </c>
      <c r="L2878" s="4"/>
    </row>
    <row r="2879" spans="1:12" x14ac:dyDescent="0.3">
      <c r="A2879" s="1">
        <v>42662</v>
      </c>
      <c r="B2879" s="1">
        <v>42667</v>
      </c>
      <c r="C2879" t="s">
        <v>0</v>
      </c>
      <c r="D2879" t="s">
        <v>602</v>
      </c>
      <c r="E2879" t="s">
        <v>603</v>
      </c>
      <c r="F2879" t="s">
        <v>3</v>
      </c>
      <c r="G2879" t="s">
        <v>12</v>
      </c>
      <c r="H2879" t="s">
        <v>44</v>
      </c>
      <c r="I2879" t="s">
        <v>2816</v>
      </c>
      <c r="J2879" s="2">
        <v>24.368000000000002</v>
      </c>
      <c r="K2879">
        <v>2</v>
      </c>
      <c r="L2879" s="4"/>
    </row>
    <row r="2880" spans="1:12" x14ac:dyDescent="0.3">
      <c r="A2880" s="1">
        <v>42662</v>
      </c>
      <c r="B2880" s="1">
        <v>42666</v>
      </c>
      <c r="C2880" t="s">
        <v>7</v>
      </c>
      <c r="D2880" t="s">
        <v>2817</v>
      </c>
      <c r="E2880" t="s">
        <v>2818</v>
      </c>
      <c r="F2880" t="s">
        <v>3</v>
      </c>
      <c r="G2880" t="s">
        <v>4</v>
      </c>
      <c r="H2880" t="s">
        <v>26</v>
      </c>
      <c r="I2880" t="s">
        <v>1965</v>
      </c>
      <c r="J2880" s="2">
        <v>39.624000000000009</v>
      </c>
      <c r="K2880">
        <v>3</v>
      </c>
      <c r="L2880" s="4"/>
    </row>
    <row r="2881" spans="1:12" x14ac:dyDescent="0.3">
      <c r="A2881" s="1">
        <v>42663</v>
      </c>
      <c r="B2881" s="1">
        <v>42665</v>
      </c>
      <c r="C2881" t="s">
        <v>0</v>
      </c>
      <c r="D2881" t="s">
        <v>2819</v>
      </c>
      <c r="E2881" t="s">
        <v>2820</v>
      </c>
      <c r="F2881" t="s">
        <v>3</v>
      </c>
      <c r="G2881" t="s">
        <v>4</v>
      </c>
      <c r="H2881" t="s">
        <v>168</v>
      </c>
      <c r="I2881" t="s">
        <v>2821</v>
      </c>
      <c r="J2881" s="2">
        <v>3.75</v>
      </c>
      <c r="K2881">
        <v>1</v>
      </c>
      <c r="L2881" s="4"/>
    </row>
    <row r="2882" spans="1:12" x14ac:dyDescent="0.3">
      <c r="A2882" s="1">
        <v>42663</v>
      </c>
      <c r="B2882" s="1">
        <v>42665</v>
      </c>
      <c r="C2882" t="s">
        <v>0</v>
      </c>
      <c r="D2882" t="s">
        <v>2819</v>
      </c>
      <c r="E2882" t="s">
        <v>2820</v>
      </c>
      <c r="F2882" t="s">
        <v>3</v>
      </c>
      <c r="G2882" t="s">
        <v>4</v>
      </c>
      <c r="H2882" t="s">
        <v>26</v>
      </c>
      <c r="I2882" t="s">
        <v>2822</v>
      </c>
      <c r="J2882" s="2">
        <v>20.928000000000001</v>
      </c>
      <c r="K2882">
        <v>4</v>
      </c>
      <c r="L2882" s="4"/>
    </row>
    <row r="2883" spans="1:12" x14ac:dyDescent="0.3">
      <c r="A2883" s="1">
        <v>42664</v>
      </c>
      <c r="B2883" s="1">
        <v>42665</v>
      </c>
      <c r="C2883" t="s">
        <v>22</v>
      </c>
      <c r="D2883" t="s">
        <v>161</v>
      </c>
      <c r="E2883" t="s">
        <v>162</v>
      </c>
      <c r="F2883" t="s">
        <v>19</v>
      </c>
      <c r="G2883" t="s">
        <v>4</v>
      </c>
      <c r="H2883" t="s">
        <v>5</v>
      </c>
      <c r="I2883" t="s">
        <v>1788</v>
      </c>
      <c r="J2883" s="2">
        <v>5.1840000000000011</v>
      </c>
      <c r="K2883">
        <v>1</v>
      </c>
      <c r="L2883" s="4"/>
    </row>
    <row r="2884" spans="1:12" x14ac:dyDescent="0.3">
      <c r="A2884" s="1">
        <v>42664</v>
      </c>
      <c r="B2884" s="1">
        <v>42665</v>
      </c>
      <c r="C2884" t="s">
        <v>22</v>
      </c>
      <c r="D2884" t="s">
        <v>161</v>
      </c>
      <c r="E2884" t="s">
        <v>162</v>
      </c>
      <c r="F2884" t="s">
        <v>19</v>
      </c>
      <c r="G2884" t="s">
        <v>12</v>
      </c>
      <c r="H2884" t="s">
        <v>70</v>
      </c>
      <c r="I2884" t="s">
        <v>410</v>
      </c>
      <c r="J2884" s="2">
        <v>478.48</v>
      </c>
      <c r="K2884">
        <v>2</v>
      </c>
      <c r="L2884" s="4"/>
    </row>
    <row r="2885" spans="1:12" x14ac:dyDescent="0.3">
      <c r="A2885" s="1">
        <v>42664</v>
      </c>
      <c r="B2885" s="1">
        <v>42665</v>
      </c>
      <c r="C2885" t="s">
        <v>22</v>
      </c>
      <c r="D2885" t="s">
        <v>161</v>
      </c>
      <c r="E2885" t="s">
        <v>162</v>
      </c>
      <c r="F2885" t="s">
        <v>19</v>
      </c>
      <c r="G2885" t="s">
        <v>74</v>
      </c>
      <c r="H2885" t="s">
        <v>75</v>
      </c>
      <c r="I2885" t="s">
        <v>1233</v>
      </c>
      <c r="J2885" s="2">
        <v>28.400000000000002</v>
      </c>
      <c r="K2885">
        <v>2</v>
      </c>
      <c r="L2885" s="4"/>
    </row>
    <row r="2886" spans="1:12" x14ac:dyDescent="0.3">
      <c r="A2886" s="1">
        <v>42664</v>
      </c>
      <c r="B2886" s="1">
        <v>42671</v>
      </c>
      <c r="C2886" t="s">
        <v>7</v>
      </c>
      <c r="D2886" t="s">
        <v>832</v>
      </c>
      <c r="E2886" t="s">
        <v>833</v>
      </c>
      <c r="F2886" t="s">
        <v>25</v>
      </c>
      <c r="G2886" t="s">
        <v>4</v>
      </c>
      <c r="H2886" t="s">
        <v>26</v>
      </c>
      <c r="I2886" t="s">
        <v>1585</v>
      </c>
      <c r="J2886" s="2">
        <v>8.5590000000000011</v>
      </c>
      <c r="K2886">
        <v>1</v>
      </c>
      <c r="L2886" s="4"/>
    </row>
    <row r="2887" spans="1:12" x14ac:dyDescent="0.3">
      <c r="A2887" s="1">
        <v>42665</v>
      </c>
      <c r="B2887" s="1">
        <v>42670</v>
      </c>
      <c r="C2887" t="s">
        <v>7</v>
      </c>
      <c r="D2887" t="s">
        <v>17</v>
      </c>
      <c r="E2887" t="s">
        <v>18</v>
      </c>
      <c r="F2887" t="s">
        <v>19</v>
      </c>
      <c r="G2887" t="s">
        <v>12</v>
      </c>
      <c r="H2887" t="s">
        <v>44</v>
      </c>
      <c r="I2887" t="s">
        <v>329</v>
      </c>
      <c r="J2887" s="2">
        <v>177.22499999999999</v>
      </c>
      <c r="K2887">
        <v>5</v>
      </c>
      <c r="L2887" s="4"/>
    </row>
    <row r="2888" spans="1:12" x14ac:dyDescent="0.3">
      <c r="A2888" s="1">
        <v>42665</v>
      </c>
      <c r="B2888" s="1">
        <v>42667</v>
      </c>
      <c r="C2888" t="s">
        <v>0</v>
      </c>
      <c r="D2888" t="s">
        <v>1807</v>
      </c>
      <c r="E2888" t="s">
        <v>1808</v>
      </c>
      <c r="F2888" t="s">
        <v>115</v>
      </c>
      <c r="G2888" t="s">
        <v>4</v>
      </c>
      <c r="H2888" t="s">
        <v>26</v>
      </c>
      <c r="I2888" t="s">
        <v>2038</v>
      </c>
      <c r="J2888" s="2">
        <v>3.1680000000000006</v>
      </c>
      <c r="K2888">
        <v>4</v>
      </c>
      <c r="L2888" s="4"/>
    </row>
    <row r="2889" spans="1:12" x14ac:dyDescent="0.3">
      <c r="A2889" s="1">
        <v>42665</v>
      </c>
      <c r="B2889" s="1">
        <v>42667</v>
      </c>
      <c r="C2889" t="s">
        <v>0</v>
      </c>
      <c r="D2889" t="s">
        <v>1807</v>
      </c>
      <c r="E2889" t="s">
        <v>1808</v>
      </c>
      <c r="F2889" t="s">
        <v>115</v>
      </c>
      <c r="G2889" t="s">
        <v>12</v>
      </c>
      <c r="H2889" t="s">
        <v>70</v>
      </c>
      <c r="I2889" t="s">
        <v>2823</v>
      </c>
      <c r="J2889" s="2">
        <v>579.13599999999997</v>
      </c>
      <c r="K2889">
        <v>4</v>
      </c>
      <c r="L2889" s="4"/>
    </row>
    <row r="2890" spans="1:12" x14ac:dyDescent="0.3">
      <c r="A2890" s="1">
        <v>42670</v>
      </c>
      <c r="B2890" s="1">
        <v>42671</v>
      </c>
      <c r="C2890" t="s">
        <v>22</v>
      </c>
      <c r="D2890" t="s">
        <v>493</v>
      </c>
      <c r="E2890" t="s">
        <v>494</v>
      </c>
      <c r="F2890" t="s">
        <v>3</v>
      </c>
      <c r="G2890" t="s">
        <v>12</v>
      </c>
      <c r="H2890" t="s">
        <v>13</v>
      </c>
      <c r="I2890" t="s">
        <v>14</v>
      </c>
      <c r="J2890" s="2">
        <v>556.66499999999996</v>
      </c>
      <c r="K2890">
        <v>5</v>
      </c>
      <c r="L2890" s="4"/>
    </row>
    <row r="2891" spans="1:12" x14ac:dyDescent="0.3">
      <c r="A2891" s="1">
        <v>42670</v>
      </c>
      <c r="B2891" s="1">
        <v>42671</v>
      </c>
      <c r="C2891" t="s">
        <v>22</v>
      </c>
      <c r="D2891" t="s">
        <v>493</v>
      </c>
      <c r="E2891" t="s">
        <v>494</v>
      </c>
      <c r="F2891" t="s">
        <v>3</v>
      </c>
      <c r="G2891" t="s">
        <v>74</v>
      </c>
      <c r="H2891" t="s">
        <v>147</v>
      </c>
      <c r="I2891" t="s">
        <v>2824</v>
      </c>
      <c r="J2891" s="2">
        <v>95.84</v>
      </c>
      <c r="K2891">
        <v>4</v>
      </c>
      <c r="L2891" s="4"/>
    </row>
    <row r="2892" spans="1:12" x14ac:dyDescent="0.3">
      <c r="A2892" s="1">
        <v>42670</v>
      </c>
      <c r="B2892" s="1">
        <v>42672</v>
      </c>
      <c r="C2892" t="s">
        <v>22</v>
      </c>
      <c r="D2892" t="s">
        <v>213</v>
      </c>
      <c r="E2892" t="s">
        <v>214</v>
      </c>
      <c r="F2892" t="s">
        <v>3</v>
      </c>
      <c r="G2892" t="s">
        <v>12</v>
      </c>
      <c r="H2892" t="s">
        <v>44</v>
      </c>
      <c r="I2892" t="s">
        <v>358</v>
      </c>
      <c r="J2892" s="2">
        <v>189.57600000000002</v>
      </c>
      <c r="K2892">
        <v>1</v>
      </c>
      <c r="L2892" s="4"/>
    </row>
    <row r="2893" spans="1:12" x14ac:dyDescent="0.3">
      <c r="A2893" s="1">
        <v>42670</v>
      </c>
      <c r="B2893" s="1">
        <v>42672</v>
      </c>
      <c r="C2893" t="s">
        <v>22</v>
      </c>
      <c r="D2893" t="s">
        <v>213</v>
      </c>
      <c r="E2893" t="s">
        <v>214</v>
      </c>
      <c r="F2893" t="s">
        <v>3</v>
      </c>
      <c r="G2893" t="s">
        <v>74</v>
      </c>
      <c r="H2893" t="s">
        <v>147</v>
      </c>
      <c r="I2893" t="s">
        <v>165</v>
      </c>
      <c r="J2893" s="2">
        <v>71.959999999999994</v>
      </c>
      <c r="K2893">
        <v>5</v>
      </c>
      <c r="L2893" s="4"/>
    </row>
    <row r="2894" spans="1:12" x14ac:dyDescent="0.3">
      <c r="A2894" s="1">
        <v>42670</v>
      </c>
      <c r="B2894" s="1">
        <v>42675</v>
      </c>
      <c r="C2894" t="s">
        <v>7</v>
      </c>
      <c r="D2894" t="s">
        <v>1761</v>
      </c>
      <c r="E2894" t="s">
        <v>1762</v>
      </c>
      <c r="F2894" t="s">
        <v>25</v>
      </c>
      <c r="G2894" t="s">
        <v>4</v>
      </c>
      <c r="H2894" t="s">
        <v>5</v>
      </c>
      <c r="I2894" t="s">
        <v>2778</v>
      </c>
      <c r="J2894" s="2">
        <v>44.783999999999999</v>
      </c>
      <c r="K2894">
        <v>1</v>
      </c>
      <c r="L2894" s="4"/>
    </row>
    <row r="2895" spans="1:12" x14ac:dyDescent="0.3">
      <c r="A2895" s="1">
        <v>42673</v>
      </c>
      <c r="B2895" s="1">
        <v>42677</v>
      </c>
      <c r="C2895" t="s">
        <v>7</v>
      </c>
      <c r="D2895" t="s">
        <v>2234</v>
      </c>
      <c r="E2895" t="s">
        <v>2235</v>
      </c>
      <c r="F2895" t="s">
        <v>56</v>
      </c>
      <c r="G2895" t="s">
        <v>12</v>
      </c>
      <c r="H2895" t="s">
        <v>35</v>
      </c>
      <c r="I2895" t="s">
        <v>1857</v>
      </c>
      <c r="J2895" s="2">
        <v>9.64</v>
      </c>
      <c r="K2895">
        <v>2</v>
      </c>
      <c r="L2895" s="4"/>
    </row>
    <row r="2896" spans="1:12" x14ac:dyDescent="0.3">
      <c r="A2896" s="1">
        <v>42673</v>
      </c>
      <c r="B2896" s="1">
        <v>42680</v>
      </c>
      <c r="C2896" t="s">
        <v>7</v>
      </c>
      <c r="D2896" t="s">
        <v>226</v>
      </c>
      <c r="E2896" t="s">
        <v>227</v>
      </c>
      <c r="F2896" t="s">
        <v>56</v>
      </c>
      <c r="G2896" t="s">
        <v>4</v>
      </c>
      <c r="H2896" t="s">
        <v>26</v>
      </c>
      <c r="I2896" t="s">
        <v>1404</v>
      </c>
      <c r="J2896" s="2">
        <v>88.751999999999995</v>
      </c>
      <c r="K2896">
        <v>3</v>
      </c>
      <c r="L2896" s="4"/>
    </row>
    <row r="2897" spans="1:12" x14ac:dyDescent="0.3">
      <c r="A2897" s="1">
        <v>42673</v>
      </c>
      <c r="B2897" s="1">
        <v>42680</v>
      </c>
      <c r="C2897" t="s">
        <v>7</v>
      </c>
      <c r="D2897" t="s">
        <v>226</v>
      </c>
      <c r="E2897" t="s">
        <v>227</v>
      </c>
      <c r="F2897" t="s">
        <v>56</v>
      </c>
      <c r="G2897" t="s">
        <v>4</v>
      </c>
      <c r="H2897" t="s">
        <v>26</v>
      </c>
      <c r="I2897" t="s">
        <v>2825</v>
      </c>
      <c r="J2897" s="2">
        <v>13.904</v>
      </c>
      <c r="K2897">
        <v>2</v>
      </c>
      <c r="L2897" s="4"/>
    </row>
    <row r="2898" spans="1:12" x14ac:dyDescent="0.3">
      <c r="A2898" s="1">
        <v>42673</v>
      </c>
      <c r="B2898" s="1">
        <v>42679</v>
      </c>
      <c r="C2898" t="s">
        <v>7</v>
      </c>
      <c r="D2898" t="s">
        <v>2826</v>
      </c>
      <c r="E2898" t="s">
        <v>2827</v>
      </c>
      <c r="F2898" t="s">
        <v>3</v>
      </c>
      <c r="G2898" t="s">
        <v>4</v>
      </c>
      <c r="H2898" t="s">
        <v>168</v>
      </c>
      <c r="I2898" t="s">
        <v>1139</v>
      </c>
      <c r="J2898" s="2">
        <v>43.86</v>
      </c>
      <c r="K2898">
        <v>6</v>
      </c>
      <c r="L2898" s="4"/>
    </row>
    <row r="2899" spans="1:12" x14ac:dyDescent="0.3">
      <c r="A2899" s="1">
        <v>42673</v>
      </c>
      <c r="B2899" s="1">
        <v>42679</v>
      </c>
      <c r="C2899" t="s">
        <v>7</v>
      </c>
      <c r="D2899" t="s">
        <v>2826</v>
      </c>
      <c r="E2899" t="s">
        <v>2827</v>
      </c>
      <c r="F2899" t="s">
        <v>3</v>
      </c>
      <c r="G2899" t="s">
        <v>74</v>
      </c>
      <c r="H2899" t="s">
        <v>147</v>
      </c>
      <c r="I2899" t="s">
        <v>1867</v>
      </c>
      <c r="J2899" s="2">
        <v>148.47999999999999</v>
      </c>
      <c r="K2899">
        <v>2</v>
      </c>
      <c r="L2899" s="4"/>
    </row>
    <row r="2900" spans="1:12" x14ac:dyDescent="0.3">
      <c r="A2900" s="1">
        <v>42673</v>
      </c>
      <c r="B2900" s="1">
        <v>42679</v>
      </c>
      <c r="C2900" t="s">
        <v>7</v>
      </c>
      <c r="D2900" t="s">
        <v>2826</v>
      </c>
      <c r="E2900" t="s">
        <v>2827</v>
      </c>
      <c r="F2900" t="s">
        <v>3</v>
      </c>
      <c r="G2900" t="s">
        <v>4</v>
      </c>
      <c r="H2900" t="s">
        <v>5</v>
      </c>
      <c r="I2900" t="s">
        <v>2828</v>
      </c>
      <c r="J2900" s="2">
        <v>7.42</v>
      </c>
      <c r="K2900">
        <v>2</v>
      </c>
      <c r="L2900" s="4"/>
    </row>
    <row r="2901" spans="1:12" x14ac:dyDescent="0.3">
      <c r="A2901" s="1">
        <v>42673</v>
      </c>
      <c r="B2901" s="1">
        <v>42679</v>
      </c>
      <c r="C2901" t="s">
        <v>7</v>
      </c>
      <c r="D2901" t="s">
        <v>2826</v>
      </c>
      <c r="E2901" t="s">
        <v>2827</v>
      </c>
      <c r="F2901" t="s">
        <v>3</v>
      </c>
      <c r="G2901" t="s">
        <v>12</v>
      </c>
      <c r="H2901" t="s">
        <v>70</v>
      </c>
      <c r="I2901" t="s">
        <v>2107</v>
      </c>
      <c r="J2901" s="2">
        <v>71.992000000000004</v>
      </c>
      <c r="K2901">
        <v>1</v>
      </c>
      <c r="L2901" s="4"/>
    </row>
    <row r="2902" spans="1:12" x14ac:dyDescent="0.3">
      <c r="A2902" s="1">
        <v>42673</v>
      </c>
      <c r="B2902" s="1">
        <v>42679</v>
      </c>
      <c r="C2902" t="s">
        <v>7</v>
      </c>
      <c r="D2902" t="s">
        <v>2826</v>
      </c>
      <c r="E2902" t="s">
        <v>2827</v>
      </c>
      <c r="F2902" t="s">
        <v>3</v>
      </c>
      <c r="G2902" t="s">
        <v>4</v>
      </c>
      <c r="H2902" t="s">
        <v>15</v>
      </c>
      <c r="I2902" t="s">
        <v>16</v>
      </c>
      <c r="J2902" s="2">
        <v>19.899999999999999</v>
      </c>
      <c r="K2902">
        <v>5</v>
      </c>
      <c r="L2902" s="4"/>
    </row>
    <row r="2903" spans="1:12" x14ac:dyDescent="0.3">
      <c r="A2903" s="1">
        <v>42673</v>
      </c>
      <c r="B2903" s="1">
        <v>42679</v>
      </c>
      <c r="C2903" t="s">
        <v>7</v>
      </c>
      <c r="D2903" t="s">
        <v>2826</v>
      </c>
      <c r="E2903" t="s">
        <v>2827</v>
      </c>
      <c r="F2903" t="s">
        <v>3</v>
      </c>
      <c r="G2903" t="s">
        <v>4</v>
      </c>
      <c r="H2903" t="s">
        <v>20</v>
      </c>
      <c r="I2903" t="s">
        <v>2594</v>
      </c>
      <c r="J2903" s="2">
        <v>1702.12</v>
      </c>
      <c r="K2903">
        <v>14</v>
      </c>
      <c r="L2903" s="4"/>
    </row>
    <row r="2904" spans="1:12" x14ac:dyDescent="0.3">
      <c r="A2904" s="1">
        <v>42673</v>
      </c>
      <c r="B2904" s="1">
        <v>42676</v>
      </c>
      <c r="C2904" t="s">
        <v>22</v>
      </c>
      <c r="D2904" t="s">
        <v>1018</v>
      </c>
      <c r="E2904" t="s">
        <v>1019</v>
      </c>
      <c r="F2904" t="s">
        <v>56</v>
      </c>
      <c r="G2904" t="s">
        <v>12</v>
      </c>
      <c r="H2904" t="s">
        <v>70</v>
      </c>
      <c r="I2904" t="s">
        <v>571</v>
      </c>
      <c r="J2904" s="2">
        <v>97.567999999999998</v>
      </c>
      <c r="K2904">
        <v>2</v>
      </c>
      <c r="L2904" s="4"/>
    </row>
    <row r="2905" spans="1:12" x14ac:dyDescent="0.3">
      <c r="A2905" s="1">
        <v>42673</v>
      </c>
      <c r="B2905" s="1">
        <v>42676</v>
      </c>
      <c r="C2905" t="s">
        <v>22</v>
      </c>
      <c r="D2905" t="s">
        <v>1018</v>
      </c>
      <c r="E2905" t="s">
        <v>1019</v>
      </c>
      <c r="F2905" t="s">
        <v>56</v>
      </c>
      <c r="G2905" t="s">
        <v>12</v>
      </c>
      <c r="H2905" t="s">
        <v>70</v>
      </c>
      <c r="I2905" t="s">
        <v>1577</v>
      </c>
      <c r="J2905" s="2">
        <v>614.27200000000005</v>
      </c>
      <c r="K2905">
        <v>8</v>
      </c>
      <c r="L2905" s="4"/>
    </row>
    <row r="2906" spans="1:12" x14ac:dyDescent="0.3">
      <c r="A2906" s="1">
        <v>42673</v>
      </c>
      <c r="B2906" s="1">
        <v>42676</v>
      </c>
      <c r="C2906" t="s">
        <v>22</v>
      </c>
      <c r="D2906" t="s">
        <v>1018</v>
      </c>
      <c r="E2906" t="s">
        <v>1019</v>
      </c>
      <c r="F2906" t="s">
        <v>56</v>
      </c>
      <c r="G2906" t="s">
        <v>12</v>
      </c>
      <c r="H2906" t="s">
        <v>13</v>
      </c>
      <c r="I2906" t="s">
        <v>1038</v>
      </c>
      <c r="J2906" s="2">
        <v>199.98</v>
      </c>
      <c r="K2906">
        <v>2</v>
      </c>
      <c r="L2906" s="4"/>
    </row>
    <row r="2907" spans="1:12" x14ac:dyDescent="0.3">
      <c r="A2907" s="1">
        <v>42675</v>
      </c>
      <c r="B2907" s="1">
        <v>42677</v>
      </c>
      <c r="C2907" t="s">
        <v>0</v>
      </c>
      <c r="D2907" t="s">
        <v>2212</v>
      </c>
      <c r="E2907" t="s">
        <v>2213</v>
      </c>
      <c r="F2907" t="s">
        <v>56</v>
      </c>
      <c r="G2907" t="s">
        <v>4</v>
      </c>
      <c r="H2907" t="s">
        <v>26</v>
      </c>
      <c r="I2907" t="s">
        <v>724</v>
      </c>
      <c r="J2907" s="2">
        <v>25.120000000000005</v>
      </c>
      <c r="K2907">
        <v>5</v>
      </c>
      <c r="L2907" s="4"/>
    </row>
    <row r="2908" spans="1:12" x14ac:dyDescent="0.3">
      <c r="A2908" s="1">
        <v>42675</v>
      </c>
      <c r="B2908" s="1">
        <v>42677</v>
      </c>
      <c r="C2908" t="s">
        <v>0</v>
      </c>
      <c r="D2908" t="s">
        <v>2212</v>
      </c>
      <c r="E2908" t="s">
        <v>2213</v>
      </c>
      <c r="F2908" t="s">
        <v>56</v>
      </c>
      <c r="G2908" t="s">
        <v>12</v>
      </c>
      <c r="H2908" t="s">
        <v>44</v>
      </c>
      <c r="I2908" t="s">
        <v>1253</v>
      </c>
      <c r="J2908" s="2">
        <v>2665.62</v>
      </c>
      <c r="K2908">
        <v>9</v>
      </c>
      <c r="L2908" s="4"/>
    </row>
    <row r="2909" spans="1:12" x14ac:dyDescent="0.3">
      <c r="A2909" s="1">
        <v>42676</v>
      </c>
      <c r="B2909" s="1">
        <v>42680</v>
      </c>
      <c r="C2909" t="s">
        <v>7</v>
      </c>
      <c r="D2909" t="s">
        <v>1150</v>
      </c>
      <c r="E2909" t="s">
        <v>1151</v>
      </c>
      <c r="F2909" t="s">
        <v>56</v>
      </c>
      <c r="G2909" t="s">
        <v>4</v>
      </c>
      <c r="H2909" t="s">
        <v>5</v>
      </c>
      <c r="I2909" t="s">
        <v>2829</v>
      </c>
      <c r="J2909" s="2">
        <v>23.849999999999998</v>
      </c>
      <c r="K2909">
        <v>5</v>
      </c>
      <c r="L2909" s="4"/>
    </row>
    <row r="2910" spans="1:12" x14ac:dyDescent="0.3">
      <c r="A2910" s="1">
        <v>42676</v>
      </c>
      <c r="B2910" s="1">
        <v>42678</v>
      </c>
      <c r="C2910" t="s">
        <v>0</v>
      </c>
      <c r="D2910" t="s">
        <v>826</v>
      </c>
      <c r="E2910" t="s">
        <v>827</v>
      </c>
      <c r="F2910" t="s">
        <v>3</v>
      </c>
      <c r="G2910" t="s">
        <v>4</v>
      </c>
      <c r="H2910" t="s">
        <v>29</v>
      </c>
      <c r="I2910" t="s">
        <v>2179</v>
      </c>
      <c r="J2910" s="2">
        <v>76.58</v>
      </c>
      <c r="K2910">
        <v>7</v>
      </c>
      <c r="L2910" s="4"/>
    </row>
    <row r="2911" spans="1:12" x14ac:dyDescent="0.3">
      <c r="A2911" s="1">
        <v>42676</v>
      </c>
      <c r="B2911" s="1">
        <v>42678</v>
      </c>
      <c r="C2911" t="s">
        <v>0</v>
      </c>
      <c r="D2911" t="s">
        <v>826</v>
      </c>
      <c r="E2911" t="s">
        <v>827</v>
      </c>
      <c r="F2911" t="s">
        <v>3</v>
      </c>
      <c r="G2911" t="s">
        <v>4</v>
      </c>
      <c r="H2911" t="s">
        <v>15</v>
      </c>
      <c r="I2911" t="s">
        <v>2674</v>
      </c>
      <c r="J2911" s="2">
        <v>8.8000000000000007</v>
      </c>
      <c r="K2911">
        <v>5</v>
      </c>
      <c r="L2911" s="4"/>
    </row>
    <row r="2912" spans="1:12" x14ac:dyDescent="0.3">
      <c r="A2912" s="1">
        <v>42676</v>
      </c>
      <c r="B2912" s="1">
        <v>42678</v>
      </c>
      <c r="C2912" t="s">
        <v>0</v>
      </c>
      <c r="D2912" t="s">
        <v>826</v>
      </c>
      <c r="E2912" t="s">
        <v>827</v>
      </c>
      <c r="F2912" t="s">
        <v>3</v>
      </c>
      <c r="G2912" t="s">
        <v>4</v>
      </c>
      <c r="H2912" t="s">
        <v>26</v>
      </c>
      <c r="I2912" t="s">
        <v>2830</v>
      </c>
      <c r="J2912" s="2">
        <v>590.35199999999998</v>
      </c>
      <c r="K2912">
        <v>6</v>
      </c>
      <c r="L2912" s="4"/>
    </row>
    <row r="2913" spans="1:12" x14ac:dyDescent="0.3">
      <c r="A2913" s="1">
        <v>42676</v>
      </c>
      <c r="B2913" s="1">
        <v>42678</v>
      </c>
      <c r="C2913" t="s">
        <v>0</v>
      </c>
      <c r="D2913" t="s">
        <v>826</v>
      </c>
      <c r="E2913" t="s">
        <v>827</v>
      </c>
      <c r="F2913" t="s">
        <v>3</v>
      </c>
      <c r="G2913" t="s">
        <v>4</v>
      </c>
      <c r="H2913" t="s">
        <v>52</v>
      </c>
      <c r="I2913" t="s">
        <v>558</v>
      </c>
      <c r="J2913" s="2">
        <v>5.58</v>
      </c>
      <c r="K2913">
        <v>3</v>
      </c>
      <c r="L2913" s="4"/>
    </row>
    <row r="2914" spans="1:12" x14ac:dyDescent="0.3">
      <c r="A2914" s="1">
        <v>42676</v>
      </c>
      <c r="B2914" s="1">
        <v>42678</v>
      </c>
      <c r="C2914" t="s">
        <v>0</v>
      </c>
      <c r="D2914" t="s">
        <v>826</v>
      </c>
      <c r="E2914" t="s">
        <v>827</v>
      </c>
      <c r="F2914" t="s">
        <v>3</v>
      </c>
      <c r="G2914" t="s">
        <v>12</v>
      </c>
      <c r="H2914" t="s">
        <v>35</v>
      </c>
      <c r="I2914" t="s">
        <v>2831</v>
      </c>
      <c r="J2914" s="2">
        <v>25.02</v>
      </c>
      <c r="K2914">
        <v>3</v>
      </c>
      <c r="L2914" s="4"/>
    </row>
    <row r="2915" spans="1:12" x14ac:dyDescent="0.3">
      <c r="A2915" s="1">
        <v>42676</v>
      </c>
      <c r="B2915" s="1">
        <v>42678</v>
      </c>
      <c r="C2915" t="s">
        <v>0</v>
      </c>
      <c r="D2915" t="s">
        <v>826</v>
      </c>
      <c r="E2915" t="s">
        <v>827</v>
      </c>
      <c r="F2915" t="s">
        <v>3</v>
      </c>
      <c r="G2915" t="s">
        <v>4</v>
      </c>
      <c r="H2915" t="s">
        <v>10</v>
      </c>
      <c r="I2915" t="s">
        <v>2482</v>
      </c>
      <c r="J2915" s="2">
        <v>452.55000000000007</v>
      </c>
      <c r="K2915">
        <v>7</v>
      </c>
      <c r="L2915" s="4"/>
    </row>
    <row r="2916" spans="1:12" x14ac:dyDescent="0.3">
      <c r="A2916" s="1">
        <v>42676</v>
      </c>
      <c r="B2916" s="1">
        <v>42681</v>
      </c>
      <c r="C2916" t="s">
        <v>7</v>
      </c>
      <c r="D2916" t="s">
        <v>1878</v>
      </c>
      <c r="E2916" t="s">
        <v>1879</v>
      </c>
      <c r="F2916" t="s">
        <v>126</v>
      </c>
      <c r="G2916" t="s">
        <v>4</v>
      </c>
      <c r="H2916" t="s">
        <v>5</v>
      </c>
      <c r="I2916" t="s">
        <v>88</v>
      </c>
      <c r="J2916" s="2">
        <v>19.440000000000001</v>
      </c>
      <c r="K2916">
        <v>3</v>
      </c>
      <c r="L2916" s="4"/>
    </row>
    <row r="2917" spans="1:12" x14ac:dyDescent="0.3">
      <c r="A2917" s="1">
        <v>42676</v>
      </c>
      <c r="B2917" s="1">
        <v>42681</v>
      </c>
      <c r="C2917" t="s">
        <v>7</v>
      </c>
      <c r="D2917" t="s">
        <v>166</v>
      </c>
      <c r="E2917" t="s">
        <v>167</v>
      </c>
      <c r="F2917" t="s">
        <v>3</v>
      </c>
      <c r="G2917" t="s">
        <v>4</v>
      </c>
      <c r="H2917" t="s">
        <v>20</v>
      </c>
      <c r="I2917" t="s">
        <v>1814</v>
      </c>
      <c r="J2917" s="2">
        <v>168.1</v>
      </c>
      <c r="K2917">
        <v>5</v>
      </c>
      <c r="L2917" s="4"/>
    </row>
    <row r="2918" spans="1:12" x14ac:dyDescent="0.3">
      <c r="A2918" s="1">
        <v>42677</v>
      </c>
      <c r="B2918" s="1">
        <v>42681</v>
      </c>
      <c r="C2918" t="s">
        <v>7</v>
      </c>
      <c r="D2918" t="s">
        <v>2832</v>
      </c>
      <c r="E2918" t="s">
        <v>2833</v>
      </c>
      <c r="F2918" t="s">
        <v>56</v>
      </c>
      <c r="G2918" t="s">
        <v>4</v>
      </c>
      <c r="H2918" t="s">
        <v>5</v>
      </c>
      <c r="I2918" t="s">
        <v>1477</v>
      </c>
      <c r="J2918" s="2">
        <v>139.86000000000001</v>
      </c>
      <c r="K2918">
        <v>7</v>
      </c>
      <c r="L2918" s="4"/>
    </row>
    <row r="2919" spans="1:12" x14ac:dyDescent="0.3">
      <c r="A2919" s="1">
        <v>42677</v>
      </c>
      <c r="B2919" s="1">
        <v>42681</v>
      </c>
      <c r="C2919" t="s">
        <v>7</v>
      </c>
      <c r="D2919" t="s">
        <v>2832</v>
      </c>
      <c r="E2919" t="s">
        <v>2833</v>
      </c>
      <c r="F2919" t="s">
        <v>56</v>
      </c>
      <c r="G2919" t="s">
        <v>12</v>
      </c>
      <c r="H2919" t="s">
        <v>70</v>
      </c>
      <c r="I2919" t="s">
        <v>1099</v>
      </c>
      <c r="J2919" s="2">
        <v>307.13600000000002</v>
      </c>
      <c r="K2919">
        <v>4</v>
      </c>
      <c r="L2919" s="4"/>
    </row>
    <row r="2920" spans="1:12" x14ac:dyDescent="0.3">
      <c r="A2920" s="1">
        <v>42677</v>
      </c>
      <c r="B2920" s="1">
        <v>42682</v>
      </c>
      <c r="C2920" t="s">
        <v>7</v>
      </c>
      <c r="D2920" t="s">
        <v>2834</v>
      </c>
      <c r="E2920" t="s">
        <v>2835</v>
      </c>
      <c r="F2920" t="s">
        <v>172</v>
      </c>
      <c r="G2920" t="s">
        <v>12</v>
      </c>
      <c r="H2920" t="s">
        <v>35</v>
      </c>
      <c r="I2920" t="s">
        <v>1610</v>
      </c>
      <c r="J2920" s="2">
        <v>41.37</v>
      </c>
      <c r="K2920">
        <v>3</v>
      </c>
      <c r="L2920" s="4"/>
    </row>
    <row r="2921" spans="1:12" x14ac:dyDescent="0.3">
      <c r="A2921" s="1">
        <v>42677</v>
      </c>
      <c r="B2921" s="1">
        <v>42679</v>
      </c>
      <c r="C2921" t="s">
        <v>0</v>
      </c>
      <c r="D2921" t="s">
        <v>96</v>
      </c>
      <c r="E2921" t="s">
        <v>97</v>
      </c>
      <c r="F2921" t="s">
        <v>56</v>
      </c>
      <c r="G2921" t="s">
        <v>74</v>
      </c>
      <c r="H2921" t="s">
        <v>75</v>
      </c>
      <c r="I2921" t="s">
        <v>1574</v>
      </c>
      <c r="J2921" s="2">
        <v>43.5</v>
      </c>
      <c r="K2921">
        <v>3</v>
      </c>
      <c r="L2921" s="4"/>
    </row>
    <row r="2922" spans="1:12" x14ac:dyDescent="0.3">
      <c r="A2922" s="1">
        <v>42677</v>
      </c>
      <c r="B2922" s="1">
        <v>42682</v>
      </c>
      <c r="C2922" t="s">
        <v>7</v>
      </c>
      <c r="D2922" t="s">
        <v>1831</v>
      </c>
      <c r="E2922" t="s">
        <v>1832</v>
      </c>
      <c r="F2922" t="s">
        <v>3</v>
      </c>
      <c r="G2922" t="s">
        <v>4</v>
      </c>
      <c r="H2922" t="s">
        <v>5</v>
      </c>
      <c r="I2922" t="s">
        <v>2774</v>
      </c>
      <c r="J2922" s="2">
        <v>35.880000000000003</v>
      </c>
      <c r="K2922">
        <v>6</v>
      </c>
      <c r="L2922" s="4"/>
    </row>
    <row r="2923" spans="1:12" x14ac:dyDescent="0.3">
      <c r="A2923" s="1">
        <v>42677</v>
      </c>
      <c r="B2923" s="1">
        <v>42679</v>
      </c>
      <c r="C2923" t="s">
        <v>22</v>
      </c>
      <c r="D2923" t="s">
        <v>2370</v>
      </c>
      <c r="E2923" t="s">
        <v>2371</v>
      </c>
      <c r="F2923" t="s">
        <v>3</v>
      </c>
      <c r="G2923" t="s">
        <v>74</v>
      </c>
      <c r="H2923" t="s">
        <v>75</v>
      </c>
      <c r="I2923" t="s">
        <v>1692</v>
      </c>
      <c r="J2923" s="2">
        <v>199.75</v>
      </c>
      <c r="K2923">
        <v>5</v>
      </c>
      <c r="L2923" s="4"/>
    </row>
    <row r="2924" spans="1:12" x14ac:dyDescent="0.3">
      <c r="A2924" s="1">
        <v>42677</v>
      </c>
      <c r="B2924" s="1">
        <v>42679</v>
      </c>
      <c r="C2924" t="s">
        <v>22</v>
      </c>
      <c r="D2924" t="s">
        <v>2370</v>
      </c>
      <c r="E2924" t="s">
        <v>2371</v>
      </c>
      <c r="F2924" t="s">
        <v>3</v>
      </c>
      <c r="G2924" t="s">
        <v>12</v>
      </c>
      <c r="H2924" t="s">
        <v>44</v>
      </c>
      <c r="I2924" t="s">
        <v>1897</v>
      </c>
      <c r="J2924" s="2">
        <v>1673.1839999999997</v>
      </c>
      <c r="K2924">
        <v>12</v>
      </c>
      <c r="L2924" s="4"/>
    </row>
    <row r="2925" spans="1:12" x14ac:dyDescent="0.3">
      <c r="A2925" s="1">
        <v>42677</v>
      </c>
      <c r="B2925" s="1">
        <v>42681</v>
      </c>
      <c r="C2925" t="s">
        <v>7</v>
      </c>
      <c r="D2925" t="s">
        <v>493</v>
      </c>
      <c r="E2925" t="s">
        <v>494</v>
      </c>
      <c r="F2925" t="s">
        <v>56</v>
      </c>
      <c r="G2925" t="s">
        <v>4</v>
      </c>
      <c r="H2925" t="s">
        <v>26</v>
      </c>
      <c r="I2925" t="s">
        <v>2836</v>
      </c>
      <c r="J2925" s="2">
        <v>18.368000000000002</v>
      </c>
      <c r="K2925">
        <v>4</v>
      </c>
      <c r="L2925" s="4"/>
    </row>
    <row r="2926" spans="1:12" x14ac:dyDescent="0.3">
      <c r="A2926" s="1">
        <v>42677</v>
      </c>
      <c r="B2926" s="1">
        <v>42683</v>
      </c>
      <c r="C2926" t="s">
        <v>7</v>
      </c>
      <c r="D2926" t="s">
        <v>1384</v>
      </c>
      <c r="E2926" t="s">
        <v>1385</v>
      </c>
      <c r="F2926" t="s">
        <v>3</v>
      </c>
      <c r="G2926" t="s">
        <v>12</v>
      </c>
      <c r="H2926" t="s">
        <v>44</v>
      </c>
      <c r="I2926" t="s">
        <v>1627</v>
      </c>
      <c r="J2926" s="2">
        <v>486.36800000000005</v>
      </c>
      <c r="K2926">
        <v>4</v>
      </c>
      <c r="L2926" s="4"/>
    </row>
    <row r="2927" spans="1:12" x14ac:dyDescent="0.3">
      <c r="A2927" s="1">
        <v>42679</v>
      </c>
      <c r="B2927" s="1">
        <v>42686</v>
      </c>
      <c r="C2927" t="s">
        <v>7</v>
      </c>
      <c r="D2927" t="s">
        <v>2635</v>
      </c>
      <c r="E2927" t="s">
        <v>2636</v>
      </c>
      <c r="F2927" t="s">
        <v>25</v>
      </c>
      <c r="G2927" t="s">
        <v>4</v>
      </c>
      <c r="H2927" t="s">
        <v>26</v>
      </c>
      <c r="I2927" t="s">
        <v>1506</v>
      </c>
      <c r="J2927" s="2">
        <v>2.3880000000000003</v>
      </c>
      <c r="K2927">
        <v>2</v>
      </c>
      <c r="L2927" s="4"/>
    </row>
    <row r="2928" spans="1:12" x14ac:dyDescent="0.3">
      <c r="A2928" s="1">
        <v>42679</v>
      </c>
      <c r="B2928" s="1">
        <v>42686</v>
      </c>
      <c r="C2928" t="s">
        <v>7</v>
      </c>
      <c r="D2928" t="s">
        <v>2635</v>
      </c>
      <c r="E2928" t="s">
        <v>2636</v>
      </c>
      <c r="F2928" t="s">
        <v>25</v>
      </c>
      <c r="G2928" t="s">
        <v>4</v>
      </c>
      <c r="H2928" t="s">
        <v>10</v>
      </c>
      <c r="I2928" t="s">
        <v>1600</v>
      </c>
      <c r="J2928" s="2">
        <v>243.99200000000002</v>
      </c>
      <c r="K2928">
        <v>7</v>
      </c>
      <c r="L2928" s="4"/>
    </row>
    <row r="2929" spans="1:12" x14ac:dyDescent="0.3">
      <c r="A2929" s="1">
        <v>42679</v>
      </c>
      <c r="B2929" s="1">
        <v>42680</v>
      </c>
      <c r="C2929" t="s">
        <v>22</v>
      </c>
      <c r="D2929" t="s">
        <v>2117</v>
      </c>
      <c r="E2929" t="s">
        <v>2118</v>
      </c>
      <c r="F2929" t="s">
        <v>172</v>
      </c>
      <c r="G2929" t="s">
        <v>74</v>
      </c>
      <c r="H2929" t="s">
        <v>75</v>
      </c>
      <c r="I2929" t="s">
        <v>472</v>
      </c>
      <c r="J2929" s="2">
        <v>159.99</v>
      </c>
      <c r="K2929">
        <v>1</v>
      </c>
      <c r="L2929" s="4"/>
    </row>
    <row r="2930" spans="1:12" x14ac:dyDescent="0.3">
      <c r="A2930" s="1">
        <v>42679</v>
      </c>
      <c r="B2930" s="1">
        <v>42683</v>
      </c>
      <c r="C2930" t="s">
        <v>7</v>
      </c>
      <c r="D2930" t="s">
        <v>2096</v>
      </c>
      <c r="E2930" t="s">
        <v>2097</v>
      </c>
      <c r="F2930" t="s">
        <v>3</v>
      </c>
      <c r="G2930" t="s">
        <v>4</v>
      </c>
      <c r="H2930" t="s">
        <v>5</v>
      </c>
      <c r="I2930" t="s">
        <v>2339</v>
      </c>
      <c r="J2930" s="2">
        <v>12.96</v>
      </c>
      <c r="K2930">
        <v>2</v>
      </c>
      <c r="L2930" s="4"/>
    </row>
    <row r="2931" spans="1:12" x14ac:dyDescent="0.3">
      <c r="A2931" s="1">
        <v>42680</v>
      </c>
      <c r="B2931" s="1">
        <v>42686</v>
      </c>
      <c r="C2931" t="s">
        <v>7</v>
      </c>
      <c r="D2931" t="s">
        <v>2837</v>
      </c>
      <c r="E2931" t="s">
        <v>2838</v>
      </c>
      <c r="F2931" t="s">
        <v>19</v>
      </c>
      <c r="G2931" t="s">
        <v>4</v>
      </c>
      <c r="H2931" t="s">
        <v>26</v>
      </c>
      <c r="I2931" t="s">
        <v>2839</v>
      </c>
      <c r="J2931" s="2">
        <v>5.6820000000000013</v>
      </c>
      <c r="K2931">
        <v>1</v>
      </c>
      <c r="L2931" s="4"/>
    </row>
    <row r="2932" spans="1:12" x14ac:dyDescent="0.3">
      <c r="A2932" s="1">
        <v>42680</v>
      </c>
      <c r="B2932" s="1">
        <v>42685</v>
      </c>
      <c r="C2932" t="s">
        <v>7</v>
      </c>
      <c r="D2932" t="s">
        <v>777</v>
      </c>
      <c r="E2932" t="s">
        <v>778</v>
      </c>
      <c r="F2932" t="s">
        <v>3</v>
      </c>
      <c r="G2932" t="s">
        <v>4</v>
      </c>
      <c r="H2932" t="s">
        <v>29</v>
      </c>
      <c r="I2932" t="s">
        <v>758</v>
      </c>
      <c r="J2932" s="2">
        <v>15.28</v>
      </c>
      <c r="K2932">
        <v>2</v>
      </c>
      <c r="L2932" s="4"/>
    </row>
    <row r="2933" spans="1:12" x14ac:dyDescent="0.3">
      <c r="A2933" s="1">
        <v>42680</v>
      </c>
      <c r="B2933" s="1">
        <v>42685</v>
      </c>
      <c r="C2933" t="s">
        <v>7</v>
      </c>
      <c r="D2933" t="s">
        <v>777</v>
      </c>
      <c r="E2933" t="s">
        <v>778</v>
      </c>
      <c r="F2933" t="s">
        <v>3</v>
      </c>
      <c r="G2933" t="s">
        <v>12</v>
      </c>
      <c r="H2933" t="s">
        <v>35</v>
      </c>
      <c r="I2933" t="s">
        <v>2791</v>
      </c>
      <c r="J2933" s="2">
        <v>8.73</v>
      </c>
      <c r="K2933">
        <v>1</v>
      </c>
      <c r="L2933" s="4"/>
    </row>
    <row r="2934" spans="1:12" x14ac:dyDescent="0.3">
      <c r="A2934" s="1">
        <v>42680</v>
      </c>
      <c r="B2934" s="1">
        <v>42685</v>
      </c>
      <c r="C2934" t="s">
        <v>7</v>
      </c>
      <c r="D2934" t="s">
        <v>777</v>
      </c>
      <c r="E2934" t="s">
        <v>778</v>
      </c>
      <c r="F2934" t="s">
        <v>3</v>
      </c>
      <c r="G2934" t="s">
        <v>4</v>
      </c>
      <c r="H2934" t="s">
        <v>15</v>
      </c>
      <c r="I2934" t="s">
        <v>2840</v>
      </c>
      <c r="J2934" s="2">
        <v>5.68</v>
      </c>
      <c r="K2934">
        <v>2</v>
      </c>
      <c r="L2934" s="4"/>
    </row>
    <row r="2935" spans="1:12" x14ac:dyDescent="0.3">
      <c r="A2935" s="1">
        <v>42680</v>
      </c>
      <c r="B2935" s="1">
        <v>42680</v>
      </c>
      <c r="C2935" t="s">
        <v>240</v>
      </c>
      <c r="D2935" t="s">
        <v>595</v>
      </c>
      <c r="E2935" t="s">
        <v>596</v>
      </c>
      <c r="F2935" t="s">
        <v>3</v>
      </c>
      <c r="G2935" t="s">
        <v>4</v>
      </c>
      <c r="H2935" t="s">
        <v>5</v>
      </c>
      <c r="I2935" t="s">
        <v>1477</v>
      </c>
      <c r="J2935" s="2">
        <v>59.94</v>
      </c>
      <c r="K2935">
        <v>3</v>
      </c>
      <c r="L2935" s="4"/>
    </row>
    <row r="2936" spans="1:12" x14ac:dyDescent="0.3">
      <c r="A2936" s="1">
        <v>42680</v>
      </c>
      <c r="B2936" s="1">
        <v>42680</v>
      </c>
      <c r="C2936" t="s">
        <v>240</v>
      </c>
      <c r="D2936" t="s">
        <v>595</v>
      </c>
      <c r="E2936" t="s">
        <v>596</v>
      </c>
      <c r="F2936" t="s">
        <v>3</v>
      </c>
      <c r="G2936" t="s">
        <v>4</v>
      </c>
      <c r="H2936" t="s">
        <v>5</v>
      </c>
      <c r="I2936" t="s">
        <v>839</v>
      </c>
      <c r="J2936" s="2">
        <v>45.36</v>
      </c>
      <c r="K2936">
        <v>4</v>
      </c>
      <c r="L2936" s="4"/>
    </row>
    <row r="2937" spans="1:12" x14ac:dyDescent="0.3">
      <c r="A2937" s="1">
        <v>42680</v>
      </c>
      <c r="B2937" s="1">
        <v>42680</v>
      </c>
      <c r="C2937" t="s">
        <v>240</v>
      </c>
      <c r="D2937" t="s">
        <v>595</v>
      </c>
      <c r="E2937" t="s">
        <v>596</v>
      </c>
      <c r="F2937" t="s">
        <v>3</v>
      </c>
      <c r="G2937" t="s">
        <v>4</v>
      </c>
      <c r="H2937" t="s">
        <v>5</v>
      </c>
      <c r="I2937" t="s">
        <v>2274</v>
      </c>
      <c r="J2937" s="2">
        <v>26.400000000000002</v>
      </c>
      <c r="K2937">
        <v>5</v>
      </c>
      <c r="L2937" s="4"/>
    </row>
    <row r="2938" spans="1:12" x14ac:dyDescent="0.3">
      <c r="A2938" s="1">
        <v>42680</v>
      </c>
      <c r="B2938" s="1">
        <v>42680</v>
      </c>
      <c r="C2938" t="s">
        <v>240</v>
      </c>
      <c r="D2938" t="s">
        <v>595</v>
      </c>
      <c r="E2938" t="s">
        <v>596</v>
      </c>
      <c r="F2938" t="s">
        <v>3</v>
      </c>
      <c r="G2938" t="s">
        <v>4</v>
      </c>
      <c r="H2938" t="s">
        <v>168</v>
      </c>
      <c r="I2938" t="s">
        <v>1616</v>
      </c>
      <c r="J2938" s="2">
        <v>41.4</v>
      </c>
      <c r="K2938">
        <v>4</v>
      </c>
      <c r="L2938" s="4"/>
    </row>
    <row r="2939" spans="1:12" x14ac:dyDescent="0.3">
      <c r="A2939" s="1">
        <v>42680</v>
      </c>
      <c r="B2939" s="1">
        <v>42680</v>
      </c>
      <c r="C2939" t="s">
        <v>240</v>
      </c>
      <c r="D2939" t="s">
        <v>595</v>
      </c>
      <c r="E2939" t="s">
        <v>596</v>
      </c>
      <c r="F2939" t="s">
        <v>3</v>
      </c>
      <c r="G2939" t="s">
        <v>74</v>
      </c>
      <c r="H2939" t="s">
        <v>75</v>
      </c>
      <c r="I2939" t="s">
        <v>201</v>
      </c>
      <c r="J2939" s="2">
        <v>16.95</v>
      </c>
      <c r="K2939">
        <v>1</v>
      </c>
      <c r="L2939" s="4"/>
    </row>
    <row r="2940" spans="1:12" x14ac:dyDescent="0.3">
      <c r="A2940" s="1">
        <v>42680</v>
      </c>
      <c r="B2940" s="1">
        <v>42687</v>
      </c>
      <c r="C2940" t="s">
        <v>7</v>
      </c>
      <c r="D2940" t="s">
        <v>1547</v>
      </c>
      <c r="E2940" t="s">
        <v>1548</v>
      </c>
      <c r="F2940" t="s">
        <v>56</v>
      </c>
      <c r="G2940" t="s">
        <v>12</v>
      </c>
      <c r="H2940" t="s">
        <v>44</v>
      </c>
      <c r="I2940" t="s">
        <v>427</v>
      </c>
      <c r="J2940" s="2">
        <v>2036.8600000000001</v>
      </c>
      <c r="K2940">
        <v>7</v>
      </c>
      <c r="L2940" s="4"/>
    </row>
    <row r="2941" spans="1:12" x14ac:dyDescent="0.3">
      <c r="A2941" s="1">
        <v>42680</v>
      </c>
      <c r="B2941" s="1">
        <v>42687</v>
      </c>
      <c r="C2941" t="s">
        <v>7</v>
      </c>
      <c r="D2941" t="s">
        <v>1547</v>
      </c>
      <c r="E2941" t="s">
        <v>1548</v>
      </c>
      <c r="F2941" t="s">
        <v>56</v>
      </c>
      <c r="G2941" t="s">
        <v>12</v>
      </c>
      <c r="H2941" t="s">
        <v>70</v>
      </c>
      <c r="I2941" t="s">
        <v>490</v>
      </c>
      <c r="J2941" s="2">
        <v>449.56800000000004</v>
      </c>
      <c r="K2941">
        <v>2</v>
      </c>
      <c r="L2941" s="4"/>
    </row>
    <row r="2942" spans="1:12" x14ac:dyDescent="0.3">
      <c r="A2942" s="1">
        <v>42680</v>
      </c>
      <c r="B2942" s="1">
        <v>42687</v>
      </c>
      <c r="C2942" t="s">
        <v>7</v>
      </c>
      <c r="D2942" t="s">
        <v>1547</v>
      </c>
      <c r="E2942" t="s">
        <v>1548</v>
      </c>
      <c r="F2942" t="s">
        <v>56</v>
      </c>
      <c r="G2942" t="s">
        <v>74</v>
      </c>
      <c r="H2942" t="s">
        <v>75</v>
      </c>
      <c r="I2942" t="s">
        <v>2427</v>
      </c>
      <c r="J2942" s="2">
        <v>108.96000000000001</v>
      </c>
      <c r="K2942">
        <v>3</v>
      </c>
      <c r="L2942" s="4"/>
    </row>
    <row r="2943" spans="1:12" x14ac:dyDescent="0.3">
      <c r="A2943" s="1">
        <v>42681</v>
      </c>
      <c r="B2943" s="1">
        <v>42686</v>
      </c>
      <c r="C2943" t="s">
        <v>0</v>
      </c>
      <c r="D2943" t="s">
        <v>59</v>
      </c>
      <c r="E2943" t="s">
        <v>60</v>
      </c>
      <c r="F2943" t="s">
        <v>3</v>
      </c>
      <c r="G2943" t="s">
        <v>74</v>
      </c>
      <c r="H2943" t="s">
        <v>75</v>
      </c>
      <c r="I2943" t="s">
        <v>2841</v>
      </c>
      <c r="J2943" s="2">
        <v>59.97</v>
      </c>
      <c r="K2943">
        <v>3</v>
      </c>
      <c r="L2943" s="4"/>
    </row>
    <row r="2944" spans="1:12" x14ac:dyDescent="0.3">
      <c r="A2944" s="1">
        <v>42681</v>
      </c>
      <c r="B2944" s="1">
        <v>42686</v>
      </c>
      <c r="C2944" t="s">
        <v>0</v>
      </c>
      <c r="D2944" t="s">
        <v>59</v>
      </c>
      <c r="E2944" t="s">
        <v>60</v>
      </c>
      <c r="F2944" t="s">
        <v>3</v>
      </c>
      <c r="G2944" t="s">
        <v>74</v>
      </c>
      <c r="H2944" t="s">
        <v>147</v>
      </c>
      <c r="I2944" t="s">
        <v>1399</v>
      </c>
      <c r="J2944" s="2">
        <v>761.5440000000001</v>
      </c>
      <c r="K2944">
        <v>7</v>
      </c>
      <c r="L2944" s="4"/>
    </row>
    <row r="2945" spans="1:12" x14ac:dyDescent="0.3">
      <c r="A2945" s="1">
        <v>42681</v>
      </c>
      <c r="B2945" s="1">
        <v>42686</v>
      </c>
      <c r="C2945" t="s">
        <v>7</v>
      </c>
      <c r="D2945" t="s">
        <v>2751</v>
      </c>
      <c r="E2945" t="s">
        <v>2752</v>
      </c>
      <c r="F2945" t="s">
        <v>3</v>
      </c>
      <c r="G2945" t="s">
        <v>4</v>
      </c>
      <c r="H2945" t="s">
        <v>26</v>
      </c>
      <c r="I2945" t="s">
        <v>1650</v>
      </c>
      <c r="J2945" s="2">
        <v>21.792000000000002</v>
      </c>
      <c r="K2945">
        <v>4</v>
      </c>
      <c r="L2945" s="4"/>
    </row>
    <row r="2946" spans="1:12" x14ac:dyDescent="0.3">
      <c r="A2946" s="1">
        <v>42681</v>
      </c>
      <c r="B2946" s="1">
        <v>42686</v>
      </c>
      <c r="C2946" t="s">
        <v>7</v>
      </c>
      <c r="D2946" t="s">
        <v>2751</v>
      </c>
      <c r="E2946" t="s">
        <v>2752</v>
      </c>
      <c r="F2946" t="s">
        <v>3</v>
      </c>
      <c r="G2946" t="s">
        <v>74</v>
      </c>
      <c r="H2946" t="s">
        <v>75</v>
      </c>
      <c r="I2946" t="s">
        <v>2618</v>
      </c>
      <c r="J2946" s="2">
        <v>439.8</v>
      </c>
      <c r="K2946">
        <v>4</v>
      </c>
      <c r="L2946" s="4"/>
    </row>
    <row r="2947" spans="1:12" x14ac:dyDescent="0.3">
      <c r="A2947" s="1">
        <v>42683</v>
      </c>
      <c r="B2947" s="1">
        <v>42685</v>
      </c>
      <c r="C2947" t="s">
        <v>22</v>
      </c>
      <c r="D2947" t="s">
        <v>1306</v>
      </c>
      <c r="E2947" t="s">
        <v>1307</v>
      </c>
      <c r="F2947" t="s">
        <v>3</v>
      </c>
      <c r="G2947" t="s">
        <v>12</v>
      </c>
      <c r="H2947" t="s">
        <v>70</v>
      </c>
      <c r="I2947" t="s">
        <v>2107</v>
      </c>
      <c r="J2947" s="2">
        <v>215.976</v>
      </c>
      <c r="K2947">
        <v>3</v>
      </c>
      <c r="L2947" s="4"/>
    </row>
    <row r="2948" spans="1:12" x14ac:dyDescent="0.3">
      <c r="A2948" s="1">
        <v>42683</v>
      </c>
      <c r="B2948" s="1">
        <v>42688</v>
      </c>
      <c r="C2948" t="s">
        <v>7</v>
      </c>
      <c r="D2948" t="s">
        <v>2842</v>
      </c>
      <c r="E2948" t="s">
        <v>2843</v>
      </c>
      <c r="F2948" t="s">
        <v>3</v>
      </c>
      <c r="G2948" t="s">
        <v>4</v>
      </c>
      <c r="H2948" t="s">
        <v>10</v>
      </c>
      <c r="I2948" t="s">
        <v>519</v>
      </c>
      <c r="J2948" s="2">
        <v>63.56</v>
      </c>
      <c r="K2948">
        <v>2</v>
      </c>
      <c r="L2948" s="4"/>
    </row>
    <row r="2949" spans="1:12" x14ac:dyDescent="0.3">
      <c r="A2949" s="1">
        <v>42683</v>
      </c>
      <c r="B2949" s="1">
        <v>42688</v>
      </c>
      <c r="C2949" t="s">
        <v>7</v>
      </c>
      <c r="D2949" t="s">
        <v>2842</v>
      </c>
      <c r="E2949" t="s">
        <v>2843</v>
      </c>
      <c r="F2949" t="s">
        <v>3</v>
      </c>
      <c r="G2949" t="s">
        <v>74</v>
      </c>
      <c r="H2949" t="s">
        <v>75</v>
      </c>
      <c r="I2949" t="s">
        <v>212</v>
      </c>
      <c r="J2949" s="2">
        <v>99.99</v>
      </c>
      <c r="K2949">
        <v>1</v>
      </c>
      <c r="L2949" s="4"/>
    </row>
    <row r="2950" spans="1:12" x14ac:dyDescent="0.3">
      <c r="A2950" s="1">
        <v>42683</v>
      </c>
      <c r="B2950" s="1">
        <v>42688</v>
      </c>
      <c r="C2950" t="s">
        <v>7</v>
      </c>
      <c r="D2950" t="s">
        <v>384</v>
      </c>
      <c r="E2950" t="s">
        <v>385</v>
      </c>
      <c r="F2950" t="s">
        <v>3</v>
      </c>
      <c r="G2950" t="s">
        <v>12</v>
      </c>
      <c r="H2950" t="s">
        <v>35</v>
      </c>
      <c r="I2950" t="s">
        <v>374</v>
      </c>
      <c r="J2950" s="2">
        <v>47.12</v>
      </c>
      <c r="K2950">
        <v>8</v>
      </c>
      <c r="L2950" s="4"/>
    </row>
    <row r="2951" spans="1:12" x14ac:dyDescent="0.3">
      <c r="A2951" s="1">
        <v>42683</v>
      </c>
      <c r="B2951" s="1">
        <v>42687</v>
      </c>
      <c r="C2951" t="s">
        <v>7</v>
      </c>
      <c r="D2951" t="s">
        <v>2029</v>
      </c>
      <c r="E2951" t="s">
        <v>2030</v>
      </c>
      <c r="F2951" t="s">
        <v>3</v>
      </c>
      <c r="G2951" t="s">
        <v>12</v>
      </c>
      <c r="H2951" t="s">
        <v>70</v>
      </c>
      <c r="I2951" t="s">
        <v>1802</v>
      </c>
      <c r="J2951" s="2">
        <v>523.39200000000005</v>
      </c>
      <c r="K2951">
        <v>3</v>
      </c>
      <c r="L2951" s="4"/>
    </row>
    <row r="2952" spans="1:12" x14ac:dyDescent="0.3">
      <c r="A2952" s="1">
        <v>42684</v>
      </c>
      <c r="B2952" s="1">
        <v>42685</v>
      </c>
      <c r="C2952" t="s">
        <v>22</v>
      </c>
      <c r="D2952" t="s">
        <v>1168</v>
      </c>
      <c r="E2952" t="s">
        <v>1169</v>
      </c>
      <c r="F2952" t="s">
        <v>25</v>
      </c>
      <c r="G2952" t="s">
        <v>4</v>
      </c>
      <c r="H2952" t="s">
        <v>26</v>
      </c>
      <c r="I2952" t="s">
        <v>856</v>
      </c>
      <c r="J2952" s="2">
        <v>38.388000000000005</v>
      </c>
      <c r="K2952">
        <v>14</v>
      </c>
      <c r="L2952" s="4"/>
    </row>
    <row r="2953" spans="1:12" x14ac:dyDescent="0.3">
      <c r="A2953" s="1">
        <v>42684</v>
      </c>
      <c r="B2953" s="1">
        <v>42685</v>
      </c>
      <c r="C2953" t="s">
        <v>22</v>
      </c>
      <c r="D2953" t="s">
        <v>1168</v>
      </c>
      <c r="E2953" t="s">
        <v>1169</v>
      </c>
      <c r="F2953" t="s">
        <v>25</v>
      </c>
      <c r="G2953" t="s">
        <v>74</v>
      </c>
      <c r="H2953" t="s">
        <v>138</v>
      </c>
      <c r="I2953" t="s">
        <v>1115</v>
      </c>
      <c r="J2953" s="2">
        <v>95.994000000000014</v>
      </c>
      <c r="K2953">
        <v>2</v>
      </c>
      <c r="L2953" s="4"/>
    </row>
    <row r="2954" spans="1:12" x14ac:dyDescent="0.3">
      <c r="A2954" s="1">
        <v>42684</v>
      </c>
      <c r="B2954" s="1">
        <v>42685</v>
      </c>
      <c r="C2954" t="s">
        <v>22</v>
      </c>
      <c r="D2954" t="s">
        <v>1168</v>
      </c>
      <c r="E2954" t="s">
        <v>1169</v>
      </c>
      <c r="F2954" t="s">
        <v>25</v>
      </c>
      <c r="G2954" t="s">
        <v>74</v>
      </c>
      <c r="H2954" t="s">
        <v>75</v>
      </c>
      <c r="I2954" t="s">
        <v>916</v>
      </c>
      <c r="J2954" s="2">
        <v>239.95200000000003</v>
      </c>
      <c r="K2954">
        <v>6</v>
      </c>
      <c r="L2954" s="4"/>
    </row>
    <row r="2955" spans="1:12" x14ac:dyDescent="0.3">
      <c r="A2955" s="1">
        <v>42684</v>
      </c>
      <c r="B2955" s="1">
        <v>42685</v>
      </c>
      <c r="C2955" t="s">
        <v>22</v>
      </c>
      <c r="D2955" t="s">
        <v>1168</v>
      </c>
      <c r="E2955" t="s">
        <v>1169</v>
      </c>
      <c r="F2955" t="s">
        <v>25</v>
      </c>
      <c r="G2955" t="s">
        <v>74</v>
      </c>
      <c r="H2955" t="s">
        <v>147</v>
      </c>
      <c r="I2955" t="s">
        <v>2302</v>
      </c>
      <c r="J2955" s="2">
        <v>201.584</v>
      </c>
      <c r="K2955">
        <v>2</v>
      </c>
      <c r="L2955" s="4"/>
    </row>
    <row r="2956" spans="1:12" x14ac:dyDescent="0.3">
      <c r="A2956" s="1">
        <v>42684</v>
      </c>
      <c r="B2956" s="1">
        <v>42685</v>
      </c>
      <c r="C2956" t="s">
        <v>22</v>
      </c>
      <c r="D2956" t="s">
        <v>1168</v>
      </c>
      <c r="E2956" t="s">
        <v>1169</v>
      </c>
      <c r="F2956" t="s">
        <v>25</v>
      </c>
      <c r="G2956" t="s">
        <v>12</v>
      </c>
      <c r="H2956" t="s">
        <v>70</v>
      </c>
      <c r="I2956" t="s">
        <v>490</v>
      </c>
      <c r="J2956" s="2">
        <v>899.13600000000008</v>
      </c>
      <c r="K2956">
        <v>4</v>
      </c>
      <c r="L2956" s="4"/>
    </row>
    <row r="2957" spans="1:12" x14ac:dyDescent="0.3">
      <c r="A2957" s="1">
        <v>42684</v>
      </c>
      <c r="B2957" s="1">
        <v>42686</v>
      </c>
      <c r="C2957" t="s">
        <v>0</v>
      </c>
      <c r="D2957" t="s">
        <v>475</v>
      </c>
      <c r="E2957" t="s">
        <v>476</v>
      </c>
      <c r="F2957" t="s">
        <v>56</v>
      </c>
      <c r="G2957" t="s">
        <v>4</v>
      </c>
      <c r="H2957" t="s">
        <v>26</v>
      </c>
      <c r="I2957" t="s">
        <v>1209</v>
      </c>
      <c r="J2957" s="2">
        <v>26.352000000000004</v>
      </c>
      <c r="K2957">
        <v>3</v>
      </c>
      <c r="L2957" s="4"/>
    </row>
    <row r="2958" spans="1:12" x14ac:dyDescent="0.3">
      <c r="A2958" s="1">
        <v>42684</v>
      </c>
      <c r="B2958" s="1">
        <v>42684</v>
      </c>
      <c r="C2958" t="s">
        <v>240</v>
      </c>
      <c r="D2958" t="s">
        <v>2844</v>
      </c>
      <c r="E2958" t="s">
        <v>2845</v>
      </c>
      <c r="F2958" t="s">
        <v>3</v>
      </c>
      <c r="G2958" t="s">
        <v>4</v>
      </c>
      <c r="H2958" t="s">
        <v>15</v>
      </c>
      <c r="I2958" t="s">
        <v>2846</v>
      </c>
      <c r="J2958" s="2">
        <v>7.8000000000000007</v>
      </c>
      <c r="K2958">
        <v>3</v>
      </c>
      <c r="L2958" s="4"/>
    </row>
    <row r="2959" spans="1:12" x14ac:dyDescent="0.3">
      <c r="A2959" s="1">
        <v>42684</v>
      </c>
      <c r="B2959" s="1">
        <v>42691</v>
      </c>
      <c r="C2959" t="s">
        <v>7</v>
      </c>
      <c r="D2959" t="s">
        <v>1067</v>
      </c>
      <c r="E2959" t="s">
        <v>1068</v>
      </c>
      <c r="F2959" t="s">
        <v>56</v>
      </c>
      <c r="G2959" t="s">
        <v>4</v>
      </c>
      <c r="H2959" t="s">
        <v>20</v>
      </c>
      <c r="I2959" t="s">
        <v>2847</v>
      </c>
      <c r="J2959" s="2">
        <v>400.79999999999995</v>
      </c>
      <c r="K2959">
        <v>5</v>
      </c>
      <c r="L2959" s="4"/>
    </row>
    <row r="2960" spans="1:12" x14ac:dyDescent="0.3">
      <c r="A2960" s="1">
        <v>42684</v>
      </c>
      <c r="B2960" s="1">
        <v>42691</v>
      </c>
      <c r="C2960" t="s">
        <v>7</v>
      </c>
      <c r="D2960" t="s">
        <v>1067</v>
      </c>
      <c r="E2960" t="s">
        <v>1068</v>
      </c>
      <c r="F2960" t="s">
        <v>56</v>
      </c>
      <c r="G2960" t="s">
        <v>4</v>
      </c>
      <c r="H2960" t="s">
        <v>26</v>
      </c>
      <c r="I2960" t="s">
        <v>2335</v>
      </c>
      <c r="J2960" s="2">
        <v>28.792000000000002</v>
      </c>
      <c r="K2960">
        <v>1</v>
      </c>
      <c r="L2960" s="4"/>
    </row>
    <row r="2961" spans="1:12" x14ac:dyDescent="0.3">
      <c r="A2961" s="1">
        <v>42684</v>
      </c>
      <c r="B2961" s="1">
        <v>42690</v>
      </c>
      <c r="C2961" t="s">
        <v>7</v>
      </c>
      <c r="D2961" t="s">
        <v>372</v>
      </c>
      <c r="E2961" t="s">
        <v>373</v>
      </c>
      <c r="F2961" t="s">
        <v>3</v>
      </c>
      <c r="G2961" t="s">
        <v>74</v>
      </c>
      <c r="H2961" t="s">
        <v>75</v>
      </c>
      <c r="I2961" t="s">
        <v>2848</v>
      </c>
      <c r="J2961" s="2">
        <v>111.79</v>
      </c>
      <c r="K2961">
        <v>7</v>
      </c>
      <c r="L2961" s="4"/>
    </row>
    <row r="2962" spans="1:12" x14ac:dyDescent="0.3">
      <c r="A2962" s="1">
        <v>42684</v>
      </c>
      <c r="B2962" s="1">
        <v>42691</v>
      </c>
      <c r="C2962" t="s">
        <v>7</v>
      </c>
      <c r="D2962" t="s">
        <v>2051</v>
      </c>
      <c r="E2962" t="s">
        <v>2052</v>
      </c>
      <c r="F2962" t="s">
        <v>3</v>
      </c>
      <c r="G2962" t="s">
        <v>12</v>
      </c>
      <c r="H2962" t="s">
        <v>70</v>
      </c>
      <c r="I2962" t="s">
        <v>952</v>
      </c>
      <c r="J2962" s="2">
        <v>241.42399999999998</v>
      </c>
      <c r="K2962">
        <v>2</v>
      </c>
      <c r="L2962" s="4"/>
    </row>
    <row r="2963" spans="1:12" x14ac:dyDescent="0.3">
      <c r="A2963" s="1">
        <v>42685</v>
      </c>
      <c r="B2963" s="1">
        <v>42690</v>
      </c>
      <c r="C2963" t="s">
        <v>7</v>
      </c>
      <c r="D2963" t="s">
        <v>178</v>
      </c>
      <c r="E2963" t="s">
        <v>179</v>
      </c>
      <c r="F2963" t="s">
        <v>3</v>
      </c>
      <c r="G2963" t="s">
        <v>4</v>
      </c>
      <c r="H2963" t="s">
        <v>20</v>
      </c>
      <c r="I2963" t="s">
        <v>1302</v>
      </c>
      <c r="J2963" s="2">
        <v>10.89</v>
      </c>
      <c r="K2963">
        <v>1</v>
      </c>
      <c r="L2963" s="4"/>
    </row>
    <row r="2964" spans="1:12" x14ac:dyDescent="0.3">
      <c r="A2964" s="1">
        <v>42685</v>
      </c>
      <c r="B2964" s="1">
        <v>42690</v>
      </c>
      <c r="C2964" t="s">
        <v>7</v>
      </c>
      <c r="D2964" t="s">
        <v>178</v>
      </c>
      <c r="E2964" t="s">
        <v>179</v>
      </c>
      <c r="F2964" t="s">
        <v>3</v>
      </c>
      <c r="G2964" t="s">
        <v>4</v>
      </c>
      <c r="H2964" t="s">
        <v>5</v>
      </c>
      <c r="I2964" t="s">
        <v>2611</v>
      </c>
      <c r="J2964" s="2">
        <v>19.440000000000001</v>
      </c>
      <c r="K2964">
        <v>3</v>
      </c>
      <c r="L2964" s="4"/>
    </row>
    <row r="2965" spans="1:12" x14ac:dyDescent="0.3">
      <c r="A2965" s="1">
        <v>42685</v>
      </c>
      <c r="B2965" s="1">
        <v>42690</v>
      </c>
      <c r="C2965" t="s">
        <v>7</v>
      </c>
      <c r="D2965" t="s">
        <v>178</v>
      </c>
      <c r="E2965" t="s">
        <v>179</v>
      </c>
      <c r="F2965" t="s">
        <v>3</v>
      </c>
      <c r="G2965" t="s">
        <v>4</v>
      </c>
      <c r="H2965" t="s">
        <v>26</v>
      </c>
      <c r="I2965" t="s">
        <v>2242</v>
      </c>
      <c r="J2965" s="2">
        <v>121.6</v>
      </c>
      <c r="K2965">
        <v>5</v>
      </c>
      <c r="L2965" s="4"/>
    </row>
    <row r="2966" spans="1:12" x14ac:dyDescent="0.3">
      <c r="A2966" s="1">
        <v>42685</v>
      </c>
      <c r="B2966" s="1">
        <v>42689</v>
      </c>
      <c r="C2966" t="s">
        <v>0</v>
      </c>
      <c r="D2966" t="s">
        <v>2844</v>
      </c>
      <c r="E2966" t="s">
        <v>2845</v>
      </c>
      <c r="F2966" t="s">
        <v>3</v>
      </c>
      <c r="G2966" t="s">
        <v>12</v>
      </c>
      <c r="H2966" t="s">
        <v>35</v>
      </c>
      <c r="I2966" t="s">
        <v>2791</v>
      </c>
      <c r="J2966" s="2">
        <v>34.92</v>
      </c>
      <c r="K2966">
        <v>4</v>
      </c>
      <c r="L2966" s="4"/>
    </row>
    <row r="2967" spans="1:12" x14ac:dyDescent="0.3">
      <c r="A2967" s="1">
        <v>42686</v>
      </c>
      <c r="B2967" s="1">
        <v>42690</v>
      </c>
      <c r="C2967" t="s">
        <v>7</v>
      </c>
      <c r="D2967" t="s">
        <v>1502</v>
      </c>
      <c r="E2967" t="s">
        <v>1503</v>
      </c>
      <c r="F2967" t="s">
        <v>3</v>
      </c>
      <c r="G2967" t="s">
        <v>4</v>
      </c>
      <c r="H2967" t="s">
        <v>5</v>
      </c>
      <c r="I2967" t="s">
        <v>2555</v>
      </c>
      <c r="J2967" s="2">
        <v>10.56</v>
      </c>
      <c r="K2967">
        <v>2</v>
      </c>
      <c r="L2967" s="4"/>
    </row>
    <row r="2968" spans="1:12" x14ac:dyDescent="0.3">
      <c r="A2968" s="1">
        <v>42686</v>
      </c>
      <c r="B2968" s="1">
        <v>42686</v>
      </c>
      <c r="C2968" t="s">
        <v>240</v>
      </c>
      <c r="D2968" t="s">
        <v>442</v>
      </c>
      <c r="E2968" t="s">
        <v>443</v>
      </c>
      <c r="F2968" t="s">
        <v>25</v>
      </c>
      <c r="G2968" t="s">
        <v>74</v>
      </c>
      <c r="H2968" t="s">
        <v>75</v>
      </c>
      <c r="I2968" t="s">
        <v>1774</v>
      </c>
      <c r="J2968" s="2">
        <v>41.6</v>
      </c>
      <c r="K2968">
        <v>4</v>
      </c>
      <c r="L2968" s="4"/>
    </row>
    <row r="2969" spans="1:12" x14ac:dyDescent="0.3">
      <c r="A2969" s="1">
        <v>42686</v>
      </c>
      <c r="B2969" s="1">
        <v>42686</v>
      </c>
      <c r="C2969" t="s">
        <v>240</v>
      </c>
      <c r="D2969" t="s">
        <v>442</v>
      </c>
      <c r="E2969" t="s">
        <v>443</v>
      </c>
      <c r="F2969" t="s">
        <v>25</v>
      </c>
      <c r="G2969" t="s">
        <v>4</v>
      </c>
      <c r="H2969" t="s">
        <v>5</v>
      </c>
      <c r="I2969" t="s">
        <v>2170</v>
      </c>
      <c r="J2969" s="2">
        <v>23.120000000000005</v>
      </c>
      <c r="K2969">
        <v>5</v>
      </c>
      <c r="L2969" s="4"/>
    </row>
    <row r="2970" spans="1:12" x14ac:dyDescent="0.3">
      <c r="A2970" s="1">
        <v>42686</v>
      </c>
      <c r="B2970" s="1">
        <v>42686</v>
      </c>
      <c r="C2970" t="s">
        <v>240</v>
      </c>
      <c r="D2970" t="s">
        <v>442</v>
      </c>
      <c r="E2970" t="s">
        <v>443</v>
      </c>
      <c r="F2970" t="s">
        <v>25</v>
      </c>
      <c r="G2970" t="s">
        <v>12</v>
      </c>
      <c r="H2970" t="s">
        <v>70</v>
      </c>
      <c r="I2970" t="s">
        <v>2231</v>
      </c>
      <c r="J2970" s="2">
        <v>113.88800000000002</v>
      </c>
      <c r="K2970">
        <v>2</v>
      </c>
      <c r="L2970" s="4"/>
    </row>
    <row r="2971" spans="1:12" x14ac:dyDescent="0.3">
      <c r="A2971" s="1">
        <v>42686</v>
      </c>
      <c r="B2971" s="1">
        <v>42686</v>
      </c>
      <c r="C2971" t="s">
        <v>240</v>
      </c>
      <c r="D2971" t="s">
        <v>442</v>
      </c>
      <c r="E2971" t="s">
        <v>443</v>
      </c>
      <c r="F2971" t="s">
        <v>25</v>
      </c>
      <c r="G2971" t="s">
        <v>12</v>
      </c>
      <c r="H2971" t="s">
        <v>35</v>
      </c>
      <c r="I2971" t="s">
        <v>1710</v>
      </c>
      <c r="J2971" s="2">
        <v>113.56800000000001</v>
      </c>
      <c r="K2971">
        <v>2</v>
      </c>
      <c r="L2971" s="4"/>
    </row>
    <row r="2972" spans="1:12" x14ac:dyDescent="0.3">
      <c r="A2972" s="1">
        <v>42686</v>
      </c>
      <c r="B2972" s="1">
        <v>42686</v>
      </c>
      <c r="C2972" t="s">
        <v>240</v>
      </c>
      <c r="D2972" t="s">
        <v>442</v>
      </c>
      <c r="E2972" t="s">
        <v>443</v>
      </c>
      <c r="F2972" t="s">
        <v>25</v>
      </c>
      <c r="G2972" t="s">
        <v>74</v>
      </c>
      <c r="H2972" t="s">
        <v>147</v>
      </c>
      <c r="I2972" t="s">
        <v>1305</v>
      </c>
      <c r="J2972" s="2">
        <v>7.9200000000000008</v>
      </c>
      <c r="K2972">
        <v>2</v>
      </c>
      <c r="L2972" s="4"/>
    </row>
    <row r="2973" spans="1:12" x14ac:dyDescent="0.3">
      <c r="A2973" s="1">
        <v>42686</v>
      </c>
      <c r="B2973" s="1">
        <v>42686</v>
      </c>
      <c r="C2973" t="s">
        <v>240</v>
      </c>
      <c r="D2973" t="s">
        <v>442</v>
      </c>
      <c r="E2973" t="s">
        <v>443</v>
      </c>
      <c r="F2973" t="s">
        <v>25</v>
      </c>
      <c r="G2973" t="s">
        <v>74</v>
      </c>
      <c r="H2973" t="s">
        <v>147</v>
      </c>
      <c r="I2973" t="s">
        <v>276</v>
      </c>
      <c r="J2973" s="2">
        <v>671.98400000000004</v>
      </c>
      <c r="K2973">
        <v>2</v>
      </c>
      <c r="L2973" s="4"/>
    </row>
    <row r="2974" spans="1:12" x14ac:dyDescent="0.3">
      <c r="A2974" s="1">
        <v>42686</v>
      </c>
      <c r="B2974" s="1">
        <v>42690</v>
      </c>
      <c r="C2974" t="s">
        <v>7</v>
      </c>
      <c r="D2974" t="s">
        <v>1397</v>
      </c>
      <c r="E2974" t="s">
        <v>1398</v>
      </c>
      <c r="F2974" t="s">
        <v>56</v>
      </c>
      <c r="G2974" t="s">
        <v>4</v>
      </c>
      <c r="H2974" t="s">
        <v>168</v>
      </c>
      <c r="I2974" t="s">
        <v>1780</v>
      </c>
      <c r="J2974" s="2">
        <v>9.9600000000000009</v>
      </c>
      <c r="K2974">
        <v>2</v>
      </c>
      <c r="L2974" s="4"/>
    </row>
    <row r="2975" spans="1:12" x14ac:dyDescent="0.3">
      <c r="A2975" s="1">
        <v>42686</v>
      </c>
      <c r="B2975" s="1">
        <v>42690</v>
      </c>
      <c r="C2975" t="s">
        <v>7</v>
      </c>
      <c r="D2975" t="s">
        <v>1397</v>
      </c>
      <c r="E2975" t="s">
        <v>1398</v>
      </c>
      <c r="F2975" t="s">
        <v>56</v>
      </c>
      <c r="G2975" t="s">
        <v>4</v>
      </c>
      <c r="H2975" t="s">
        <v>15</v>
      </c>
      <c r="I2975" t="s">
        <v>2849</v>
      </c>
      <c r="J2975" s="2">
        <v>9.2099999999999991</v>
      </c>
      <c r="K2975">
        <v>3</v>
      </c>
      <c r="L2975" s="4"/>
    </row>
    <row r="2976" spans="1:12" x14ac:dyDescent="0.3">
      <c r="A2976" s="1">
        <v>42686</v>
      </c>
      <c r="B2976" s="1">
        <v>42690</v>
      </c>
      <c r="C2976" t="s">
        <v>7</v>
      </c>
      <c r="D2976" t="s">
        <v>1397</v>
      </c>
      <c r="E2976" t="s">
        <v>1398</v>
      </c>
      <c r="F2976" t="s">
        <v>56</v>
      </c>
      <c r="G2976" t="s">
        <v>4</v>
      </c>
      <c r="H2976" t="s">
        <v>78</v>
      </c>
      <c r="I2976" t="s">
        <v>2850</v>
      </c>
      <c r="J2976" s="2">
        <v>27.93</v>
      </c>
      <c r="K2976">
        <v>3</v>
      </c>
      <c r="L2976" s="4"/>
    </row>
    <row r="2977" spans="1:12" x14ac:dyDescent="0.3">
      <c r="A2977" s="1">
        <v>42686</v>
      </c>
      <c r="B2977" s="1">
        <v>42689</v>
      </c>
      <c r="C2977" t="s">
        <v>22</v>
      </c>
      <c r="D2977" t="s">
        <v>2029</v>
      </c>
      <c r="E2977" t="s">
        <v>2030</v>
      </c>
      <c r="F2977" t="s">
        <v>3</v>
      </c>
      <c r="G2977" t="s">
        <v>4</v>
      </c>
      <c r="H2977" t="s">
        <v>26</v>
      </c>
      <c r="I2977" t="s">
        <v>2851</v>
      </c>
      <c r="J2977" s="2">
        <v>14.016</v>
      </c>
      <c r="K2977">
        <v>4</v>
      </c>
      <c r="L2977" s="4"/>
    </row>
    <row r="2978" spans="1:12" x14ac:dyDescent="0.3">
      <c r="A2978" s="1">
        <v>42686</v>
      </c>
      <c r="B2978" s="1">
        <v>42690</v>
      </c>
      <c r="C2978" t="s">
        <v>0</v>
      </c>
      <c r="D2978" t="s">
        <v>538</v>
      </c>
      <c r="E2978" t="s">
        <v>539</v>
      </c>
      <c r="F2978" t="s">
        <v>56</v>
      </c>
      <c r="G2978" t="s">
        <v>4</v>
      </c>
      <c r="H2978" t="s">
        <v>52</v>
      </c>
      <c r="I2978" t="s">
        <v>53</v>
      </c>
      <c r="J2978" s="2">
        <v>18.240000000000002</v>
      </c>
      <c r="K2978">
        <v>3</v>
      </c>
      <c r="L2978" s="4"/>
    </row>
    <row r="2979" spans="1:12" x14ac:dyDescent="0.3">
      <c r="A2979" s="1">
        <v>42686</v>
      </c>
      <c r="B2979" s="1">
        <v>42690</v>
      </c>
      <c r="C2979" t="s">
        <v>0</v>
      </c>
      <c r="D2979" t="s">
        <v>538</v>
      </c>
      <c r="E2979" t="s">
        <v>539</v>
      </c>
      <c r="F2979" t="s">
        <v>56</v>
      </c>
      <c r="G2979" t="s">
        <v>4</v>
      </c>
      <c r="H2979" t="s">
        <v>20</v>
      </c>
      <c r="I2979" t="s">
        <v>533</v>
      </c>
      <c r="J2979" s="2">
        <v>76.12</v>
      </c>
      <c r="K2979">
        <v>2</v>
      </c>
      <c r="L2979" s="4"/>
    </row>
    <row r="2980" spans="1:12" x14ac:dyDescent="0.3">
      <c r="A2980" s="1">
        <v>42686</v>
      </c>
      <c r="B2980" s="1">
        <v>42690</v>
      </c>
      <c r="C2980" t="s">
        <v>7</v>
      </c>
      <c r="D2980" t="s">
        <v>2174</v>
      </c>
      <c r="E2980" t="s">
        <v>2175</v>
      </c>
      <c r="F2980" t="s">
        <v>25</v>
      </c>
      <c r="G2980" t="s">
        <v>74</v>
      </c>
      <c r="H2980" t="s">
        <v>75</v>
      </c>
      <c r="I2980" t="s">
        <v>1014</v>
      </c>
      <c r="J2980" s="2">
        <v>62.352000000000004</v>
      </c>
      <c r="K2980">
        <v>6</v>
      </c>
      <c r="L2980" s="4"/>
    </row>
    <row r="2981" spans="1:12" x14ac:dyDescent="0.3">
      <c r="A2981" s="1">
        <v>42686</v>
      </c>
      <c r="B2981" s="1">
        <v>42689</v>
      </c>
      <c r="C2981" t="s">
        <v>0</v>
      </c>
      <c r="D2981" t="s">
        <v>2285</v>
      </c>
      <c r="E2981" t="s">
        <v>2286</v>
      </c>
      <c r="F2981" t="s">
        <v>3</v>
      </c>
      <c r="G2981" t="s">
        <v>4</v>
      </c>
      <c r="H2981" t="s">
        <v>5</v>
      </c>
      <c r="I2981" t="s">
        <v>1421</v>
      </c>
      <c r="J2981" s="2">
        <v>11.56</v>
      </c>
      <c r="K2981">
        <v>2</v>
      </c>
      <c r="L2981" s="4"/>
    </row>
    <row r="2982" spans="1:12" x14ac:dyDescent="0.3">
      <c r="A2982" s="1">
        <v>42687</v>
      </c>
      <c r="B2982" s="1">
        <v>42692</v>
      </c>
      <c r="C2982" t="s">
        <v>7</v>
      </c>
      <c r="D2982" t="s">
        <v>2005</v>
      </c>
      <c r="E2982" t="s">
        <v>2006</v>
      </c>
      <c r="F2982" t="s">
        <v>56</v>
      </c>
      <c r="G2982" t="s">
        <v>12</v>
      </c>
      <c r="H2982" t="s">
        <v>70</v>
      </c>
      <c r="I2982" t="s">
        <v>462</v>
      </c>
      <c r="J2982" s="2">
        <v>2404.7040000000002</v>
      </c>
      <c r="K2982">
        <v>6</v>
      </c>
      <c r="L2982" s="4"/>
    </row>
    <row r="2983" spans="1:12" x14ac:dyDescent="0.3">
      <c r="A2983" s="1">
        <v>42687</v>
      </c>
      <c r="B2983" s="1">
        <v>42692</v>
      </c>
      <c r="C2983" t="s">
        <v>7</v>
      </c>
      <c r="D2983" t="s">
        <v>2005</v>
      </c>
      <c r="E2983" t="s">
        <v>2006</v>
      </c>
      <c r="F2983" t="s">
        <v>56</v>
      </c>
      <c r="G2983" t="s">
        <v>4</v>
      </c>
      <c r="H2983" t="s">
        <v>26</v>
      </c>
      <c r="I2983" t="s">
        <v>2406</v>
      </c>
      <c r="J2983" s="2">
        <v>563.024</v>
      </c>
      <c r="K2983">
        <v>11</v>
      </c>
      <c r="L2983" s="4"/>
    </row>
    <row r="2984" spans="1:12" x14ac:dyDescent="0.3">
      <c r="A2984" s="1">
        <v>42687</v>
      </c>
      <c r="B2984" s="1">
        <v>42692</v>
      </c>
      <c r="C2984" t="s">
        <v>7</v>
      </c>
      <c r="D2984" t="s">
        <v>2005</v>
      </c>
      <c r="E2984" t="s">
        <v>2006</v>
      </c>
      <c r="F2984" t="s">
        <v>56</v>
      </c>
      <c r="G2984" t="s">
        <v>4</v>
      </c>
      <c r="H2984" t="s">
        <v>10</v>
      </c>
      <c r="I2984" t="s">
        <v>915</v>
      </c>
      <c r="J2984" s="2">
        <v>344.90999999999997</v>
      </c>
      <c r="K2984">
        <v>3</v>
      </c>
      <c r="L2984" s="4"/>
    </row>
    <row r="2985" spans="1:12" x14ac:dyDescent="0.3">
      <c r="A2985" s="1">
        <v>42687</v>
      </c>
      <c r="B2985" s="1">
        <v>42692</v>
      </c>
      <c r="C2985" t="s">
        <v>7</v>
      </c>
      <c r="D2985" t="s">
        <v>2005</v>
      </c>
      <c r="E2985" t="s">
        <v>2006</v>
      </c>
      <c r="F2985" t="s">
        <v>56</v>
      </c>
      <c r="G2985" t="s">
        <v>4</v>
      </c>
      <c r="H2985" t="s">
        <v>168</v>
      </c>
      <c r="I2985" t="s">
        <v>1792</v>
      </c>
      <c r="J2985" s="2">
        <v>8.64</v>
      </c>
      <c r="K2985">
        <v>3</v>
      </c>
      <c r="L2985" s="4"/>
    </row>
    <row r="2986" spans="1:12" x14ac:dyDescent="0.3">
      <c r="A2986" s="1">
        <v>42687</v>
      </c>
      <c r="B2986" s="1">
        <v>42691</v>
      </c>
      <c r="C2986" t="s">
        <v>0</v>
      </c>
      <c r="D2986" t="s">
        <v>222</v>
      </c>
      <c r="E2986" t="s">
        <v>223</v>
      </c>
      <c r="F2986" t="s">
        <v>3</v>
      </c>
      <c r="G2986" t="s">
        <v>74</v>
      </c>
      <c r="H2986" t="s">
        <v>75</v>
      </c>
      <c r="I2986" t="s">
        <v>2309</v>
      </c>
      <c r="J2986" s="2">
        <v>82.95</v>
      </c>
      <c r="K2986">
        <v>5</v>
      </c>
      <c r="L2986" s="4"/>
    </row>
    <row r="2987" spans="1:12" x14ac:dyDescent="0.3">
      <c r="A2987" s="1">
        <v>42687</v>
      </c>
      <c r="B2987" s="1">
        <v>42693</v>
      </c>
      <c r="C2987" t="s">
        <v>7</v>
      </c>
      <c r="D2987" t="s">
        <v>480</v>
      </c>
      <c r="E2987" t="s">
        <v>481</v>
      </c>
      <c r="F2987" t="s">
        <v>3</v>
      </c>
      <c r="G2987" t="s">
        <v>74</v>
      </c>
      <c r="H2987" t="s">
        <v>147</v>
      </c>
      <c r="I2987" t="s">
        <v>2852</v>
      </c>
      <c r="J2987" s="2">
        <v>22</v>
      </c>
      <c r="K2987">
        <v>5</v>
      </c>
      <c r="L2987" s="4"/>
    </row>
    <row r="2988" spans="1:12" x14ac:dyDescent="0.3">
      <c r="A2988" s="1">
        <v>42688</v>
      </c>
      <c r="B2988" s="1">
        <v>42693</v>
      </c>
      <c r="C2988" t="s">
        <v>7</v>
      </c>
      <c r="D2988" t="s">
        <v>1995</v>
      </c>
      <c r="E2988" t="s">
        <v>1996</v>
      </c>
      <c r="F2988" t="s">
        <v>3</v>
      </c>
      <c r="G2988" t="s">
        <v>12</v>
      </c>
      <c r="H2988" t="s">
        <v>70</v>
      </c>
      <c r="I2988" t="s">
        <v>2405</v>
      </c>
      <c r="J2988" s="2">
        <v>321.56799999999998</v>
      </c>
      <c r="K2988">
        <v>2</v>
      </c>
      <c r="L2988" s="4"/>
    </row>
    <row r="2989" spans="1:12" x14ac:dyDescent="0.3">
      <c r="A2989" s="1">
        <v>42688</v>
      </c>
      <c r="B2989" s="1">
        <v>42693</v>
      </c>
      <c r="C2989" t="s">
        <v>7</v>
      </c>
      <c r="D2989" t="s">
        <v>1175</v>
      </c>
      <c r="E2989" t="s">
        <v>1176</v>
      </c>
      <c r="F2989" t="s">
        <v>3</v>
      </c>
      <c r="G2989" t="s">
        <v>4</v>
      </c>
      <c r="H2989" t="s">
        <v>15</v>
      </c>
      <c r="I2989" t="s">
        <v>272</v>
      </c>
      <c r="J2989" s="2">
        <v>34.24</v>
      </c>
      <c r="K2989">
        <v>8</v>
      </c>
      <c r="L2989" s="4"/>
    </row>
    <row r="2990" spans="1:12" x14ac:dyDescent="0.3">
      <c r="A2990" s="1">
        <v>42690</v>
      </c>
      <c r="B2990" s="1">
        <v>42696</v>
      </c>
      <c r="C2990" t="s">
        <v>7</v>
      </c>
      <c r="D2990" t="s">
        <v>2523</v>
      </c>
      <c r="E2990" t="s">
        <v>2524</v>
      </c>
      <c r="F2990" t="s">
        <v>3</v>
      </c>
      <c r="G2990" t="s">
        <v>4</v>
      </c>
      <c r="H2990" t="s">
        <v>10</v>
      </c>
      <c r="I2990" t="s">
        <v>821</v>
      </c>
      <c r="J2990" s="2">
        <v>811.28</v>
      </c>
      <c r="K2990">
        <v>8</v>
      </c>
      <c r="L2990" s="4"/>
    </row>
    <row r="2991" spans="1:12" x14ac:dyDescent="0.3">
      <c r="A2991" s="1">
        <v>42690</v>
      </c>
      <c r="B2991" s="1">
        <v>42690</v>
      </c>
      <c r="C2991" t="s">
        <v>240</v>
      </c>
      <c r="D2991" t="s">
        <v>2853</v>
      </c>
      <c r="E2991" t="s">
        <v>2854</v>
      </c>
      <c r="F2991" t="s">
        <v>3</v>
      </c>
      <c r="G2991" t="s">
        <v>74</v>
      </c>
      <c r="H2991" t="s">
        <v>138</v>
      </c>
      <c r="I2991" t="s">
        <v>1146</v>
      </c>
      <c r="J2991" s="2">
        <v>1919.9760000000001</v>
      </c>
      <c r="K2991">
        <v>3</v>
      </c>
      <c r="L2991" s="4"/>
    </row>
    <row r="2992" spans="1:12" x14ac:dyDescent="0.3">
      <c r="A2992" s="1">
        <v>42690</v>
      </c>
      <c r="B2992" s="1">
        <v>42694</v>
      </c>
      <c r="C2992" t="s">
        <v>7</v>
      </c>
      <c r="D2992" t="s">
        <v>1243</v>
      </c>
      <c r="E2992" t="s">
        <v>1244</v>
      </c>
      <c r="F2992" t="s">
        <v>3</v>
      </c>
      <c r="G2992" t="s">
        <v>4</v>
      </c>
      <c r="H2992" t="s">
        <v>10</v>
      </c>
      <c r="I2992" t="s">
        <v>1519</v>
      </c>
      <c r="J2992" s="2">
        <v>48.86</v>
      </c>
      <c r="K2992">
        <v>7</v>
      </c>
      <c r="L2992" s="4"/>
    </row>
    <row r="2993" spans="1:12" x14ac:dyDescent="0.3">
      <c r="A2993" s="1">
        <v>42690</v>
      </c>
      <c r="B2993" s="1">
        <v>42695</v>
      </c>
      <c r="C2993" t="s">
        <v>7</v>
      </c>
      <c r="D2993" t="s">
        <v>132</v>
      </c>
      <c r="E2993" t="s">
        <v>133</v>
      </c>
      <c r="F2993" t="s">
        <v>3</v>
      </c>
      <c r="G2993" t="s">
        <v>4</v>
      </c>
      <c r="H2993" t="s">
        <v>15</v>
      </c>
      <c r="I2993" t="s">
        <v>2652</v>
      </c>
      <c r="J2993" s="2">
        <v>23.36</v>
      </c>
      <c r="K2993">
        <v>4</v>
      </c>
      <c r="L2993" s="4"/>
    </row>
    <row r="2994" spans="1:12" x14ac:dyDescent="0.3">
      <c r="A2994" s="1">
        <v>42690</v>
      </c>
      <c r="B2994" s="1">
        <v>42693</v>
      </c>
      <c r="C2994" t="s">
        <v>22</v>
      </c>
      <c r="D2994" t="s">
        <v>1944</v>
      </c>
      <c r="E2994" t="s">
        <v>1945</v>
      </c>
      <c r="F2994" t="s">
        <v>56</v>
      </c>
      <c r="G2994" t="s">
        <v>4</v>
      </c>
      <c r="H2994" t="s">
        <v>5</v>
      </c>
      <c r="I2994" t="s">
        <v>990</v>
      </c>
      <c r="J2994" s="2">
        <v>73.679999999999993</v>
      </c>
      <c r="K2994">
        <v>6</v>
      </c>
      <c r="L2994" s="4"/>
    </row>
    <row r="2995" spans="1:12" x14ac:dyDescent="0.3">
      <c r="A2995" s="1">
        <v>42690</v>
      </c>
      <c r="B2995" s="1">
        <v>42693</v>
      </c>
      <c r="C2995" t="s">
        <v>22</v>
      </c>
      <c r="D2995" t="s">
        <v>1944</v>
      </c>
      <c r="E2995" t="s">
        <v>1945</v>
      </c>
      <c r="F2995" t="s">
        <v>56</v>
      </c>
      <c r="G2995" t="s">
        <v>12</v>
      </c>
      <c r="H2995" t="s">
        <v>35</v>
      </c>
      <c r="I2995" t="s">
        <v>2314</v>
      </c>
      <c r="J2995" s="2">
        <v>139.91999999999999</v>
      </c>
      <c r="K2995">
        <v>2</v>
      </c>
      <c r="L2995" s="4"/>
    </row>
    <row r="2996" spans="1:12" x14ac:dyDescent="0.3">
      <c r="A2996" s="1">
        <v>42690</v>
      </c>
      <c r="B2996" s="1">
        <v>42693</v>
      </c>
      <c r="C2996" t="s">
        <v>22</v>
      </c>
      <c r="D2996" t="s">
        <v>1944</v>
      </c>
      <c r="E2996" t="s">
        <v>1945</v>
      </c>
      <c r="F2996" t="s">
        <v>56</v>
      </c>
      <c r="G2996" t="s">
        <v>74</v>
      </c>
      <c r="H2996" t="s">
        <v>147</v>
      </c>
      <c r="I2996" t="s">
        <v>2701</v>
      </c>
      <c r="J2996" s="2">
        <v>107.88</v>
      </c>
      <c r="K2996">
        <v>3</v>
      </c>
      <c r="L2996" s="4"/>
    </row>
    <row r="2997" spans="1:12" x14ac:dyDescent="0.3">
      <c r="A2997" s="1">
        <v>42690</v>
      </c>
      <c r="B2997" s="1">
        <v>42693</v>
      </c>
      <c r="C2997" t="s">
        <v>22</v>
      </c>
      <c r="D2997" t="s">
        <v>1944</v>
      </c>
      <c r="E2997" t="s">
        <v>1945</v>
      </c>
      <c r="F2997" t="s">
        <v>56</v>
      </c>
      <c r="G2997" t="s">
        <v>4</v>
      </c>
      <c r="H2997" t="s">
        <v>10</v>
      </c>
      <c r="I2997" t="s">
        <v>1122</v>
      </c>
      <c r="J2997" s="2">
        <v>33.29</v>
      </c>
      <c r="K2997">
        <v>1</v>
      </c>
      <c r="L2997" s="4"/>
    </row>
    <row r="2998" spans="1:12" x14ac:dyDescent="0.3">
      <c r="A2998" s="1">
        <v>42690</v>
      </c>
      <c r="B2998" s="1">
        <v>42696</v>
      </c>
      <c r="C2998" t="s">
        <v>7</v>
      </c>
      <c r="D2998" t="s">
        <v>2573</v>
      </c>
      <c r="E2998" t="s">
        <v>2574</v>
      </c>
      <c r="F2998" t="s">
        <v>3</v>
      </c>
      <c r="G2998" t="s">
        <v>12</v>
      </c>
      <c r="H2998" t="s">
        <v>35</v>
      </c>
      <c r="I2998" t="s">
        <v>765</v>
      </c>
      <c r="J2998" s="2">
        <v>17.309999999999999</v>
      </c>
      <c r="K2998">
        <v>3</v>
      </c>
      <c r="L2998" s="4"/>
    </row>
    <row r="2999" spans="1:12" x14ac:dyDescent="0.3">
      <c r="A2999" s="1">
        <v>42690</v>
      </c>
      <c r="B2999" s="1">
        <v>42694</v>
      </c>
      <c r="C2999" t="s">
        <v>7</v>
      </c>
      <c r="D2999" t="s">
        <v>331</v>
      </c>
      <c r="E2999" t="s">
        <v>332</v>
      </c>
      <c r="F2999" t="s">
        <v>3</v>
      </c>
      <c r="G2999" t="s">
        <v>12</v>
      </c>
      <c r="H2999" t="s">
        <v>35</v>
      </c>
      <c r="I2999" t="s">
        <v>2855</v>
      </c>
      <c r="J2999" s="2">
        <v>119.94</v>
      </c>
      <c r="K2999">
        <v>3</v>
      </c>
      <c r="L2999" s="4"/>
    </row>
    <row r="3000" spans="1:12" x14ac:dyDescent="0.3">
      <c r="A3000" s="1">
        <v>42690</v>
      </c>
      <c r="B3000" s="1">
        <v>42694</v>
      </c>
      <c r="C3000" t="s">
        <v>7</v>
      </c>
      <c r="D3000" t="s">
        <v>331</v>
      </c>
      <c r="E3000" t="s">
        <v>332</v>
      </c>
      <c r="F3000" t="s">
        <v>3</v>
      </c>
      <c r="G3000" t="s">
        <v>12</v>
      </c>
      <c r="H3000" t="s">
        <v>35</v>
      </c>
      <c r="I3000" t="s">
        <v>2119</v>
      </c>
      <c r="J3000" s="2">
        <v>12.419999999999998</v>
      </c>
      <c r="K3000">
        <v>3</v>
      </c>
      <c r="L3000" s="4"/>
    </row>
    <row r="3001" spans="1:12" x14ac:dyDescent="0.3">
      <c r="A3001" s="1">
        <v>42691</v>
      </c>
      <c r="B3001" s="1">
        <v>42698</v>
      </c>
      <c r="C3001" t="s">
        <v>7</v>
      </c>
      <c r="D3001" t="s">
        <v>815</v>
      </c>
      <c r="E3001" t="s">
        <v>816</v>
      </c>
      <c r="F3001" t="s">
        <v>56</v>
      </c>
      <c r="G3001" t="s">
        <v>4</v>
      </c>
      <c r="H3001" t="s">
        <v>26</v>
      </c>
      <c r="I3001" t="s">
        <v>1050</v>
      </c>
      <c r="J3001" s="2">
        <v>13.904</v>
      </c>
      <c r="K3001">
        <v>2</v>
      </c>
      <c r="L3001" s="4"/>
    </row>
    <row r="3002" spans="1:12" x14ac:dyDescent="0.3">
      <c r="A3002" s="1">
        <v>42691</v>
      </c>
      <c r="B3002" s="1">
        <v>42695</v>
      </c>
      <c r="C3002" t="s">
        <v>7</v>
      </c>
      <c r="D3002" t="s">
        <v>2856</v>
      </c>
      <c r="E3002" t="s">
        <v>2857</v>
      </c>
      <c r="F3002" t="s">
        <v>19</v>
      </c>
      <c r="G3002" t="s">
        <v>4</v>
      </c>
      <c r="H3002" t="s">
        <v>5</v>
      </c>
      <c r="I3002" t="s">
        <v>2673</v>
      </c>
      <c r="J3002" s="2">
        <v>19.608000000000001</v>
      </c>
      <c r="K3002">
        <v>3</v>
      </c>
      <c r="L3002" s="4"/>
    </row>
    <row r="3003" spans="1:12" x14ac:dyDescent="0.3">
      <c r="A3003" s="1">
        <v>42691</v>
      </c>
      <c r="B3003" s="1">
        <v>42695</v>
      </c>
      <c r="C3003" t="s">
        <v>7</v>
      </c>
      <c r="D3003" t="s">
        <v>2856</v>
      </c>
      <c r="E3003" t="s">
        <v>2857</v>
      </c>
      <c r="F3003" t="s">
        <v>19</v>
      </c>
      <c r="G3003" t="s">
        <v>4</v>
      </c>
      <c r="H3003" t="s">
        <v>26</v>
      </c>
      <c r="I3003" t="s">
        <v>1743</v>
      </c>
      <c r="J3003" s="2">
        <v>4.1580000000000004</v>
      </c>
      <c r="K3003">
        <v>7</v>
      </c>
      <c r="L3003" s="4"/>
    </row>
    <row r="3004" spans="1:12" x14ac:dyDescent="0.3">
      <c r="A3004" s="1">
        <v>42692</v>
      </c>
      <c r="B3004" s="1">
        <v>42695</v>
      </c>
      <c r="C3004" t="s">
        <v>22</v>
      </c>
      <c r="D3004" t="s">
        <v>2858</v>
      </c>
      <c r="E3004" t="s">
        <v>2859</v>
      </c>
      <c r="F3004" t="s">
        <v>56</v>
      </c>
      <c r="G3004" t="s">
        <v>4</v>
      </c>
      <c r="H3004" t="s">
        <v>10</v>
      </c>
      <c r="I3004" t="s">
        <v>814</v>
      </c>
      <c r="J3004" s="2">
        <v>169.68</v>
      </c>
      <c r="K3004">
        <v>6</v>
      </c>
      <c r="L3004" s="4"/>
    </row>
    <row r="3005" spans="1:12" x14ac:dyDescent="0.3">
      <c r="A3005" s="1">
        <v>42692</v>
      </c>
      <c r="B3005" s="1">
        <v>42695</v>
      </c>
      <c r="C3005" t="s">
        <v>22</v>
      </c>
      <c r="D3005" t="s">
        <v>2858</v>
      </c>
      <c r="E3005" t="s">
        <v>2859</v>
      </c>
      <c r="F3005" t="s">
        <v>56</v>
      </c>
      <c r="G3005" t="s">
        <v>74</v>
      </c>
      <c r="H3005" t="s">
        <v>75</v>
      </c>
      <c r="I3005" t="s">
        <v>2013</v>
      </c>
      <c r="J3005" s="2">
        <v>132.52000000000001</v>
      </c>
      <c r="K3005">
        <v>4</v>
      </c>
      <c r="L3005" s="4"/>
    </row>
    <row r="3006" spans="1:12" x14ac:dyDescent="0.3">
      <c r="A3006" s="1">
        <v>42692</v>
      </c>
      <c r="B3006" s="1">
        <v>42695</v>
      </c>
      <c r="C3006" t="s">
        <v>22</v>
      </c>
      <c r="D3006" t="s">
        <v>2858</v>
      </c>
      <c r="E3006" t="s">
        <v>2859</v>
      </c>
      <c r="F3006" t="s">
        <v>56</v>
      </c>
      <c r="G3006" t="s">
        <v>4</v>
      </c>
      <c r="H3006" t="s">
        <v>52</v>
      </c>
      <c r="I3006" t="s">
        <v>215</v>
      </c>
      <c r="J3006" s="2">
        <v>2.96</v>
      </c>
      <c r="K3006">
        <v>2</v>
      </c>
      <c r="L3006" s="4"/>
    </row>
    <row r="3007" spans="1:12" x14ac:dyDescent="0.3">
      <c r="A3007" s="1">
        <v>42692</v>
      </c>
      <c r="B3007" s="1">
        <v>42695</v>
      </c>
      <c r="C3007" t="s">
        <v>22</v>
      </c>
      <c r="D3007" t="s">
        <v>2858</v>
      </c>
      <c r="E3007" t="s">
        <v>2859</v>
      </c>
      <c r="F3007" t="s">
        <v>56</v>
      </c>
      <c r="G3007" t="s">
        <v>4</v>
      </c>
      <c r="H3007" t="s">
        <v>26</v>
      </c>
      <c r="I3007" t="s">
        <v>382</v>
      </c>
      <c r="J3007" s="2">
        <v>8.4480000000000004</v>
      </c>
      <c r="K3007">
        <v>2</v>
      </c>
      <c r="L3007" s="4"/>
    </row>
    <row r="3008" spans="1:12" x14ac:dyDescent="0.3">
      <c r="A3008" s="1">
        <v>42692</v>
      </c>
      <c r="B3008" s="1">
        <v>42695</v>
      </c>
      <c r="C3008" t="s">
        <v>22</v>
      </c>
      <c r="D3008" t="s">
        <v>2858</v>
      </c>
      <c r="E3008" t="s">
        <v>2859</v>
      </c>
      <c r="F3008" t="s">
        <v>56</v>
      </c>
      <c r="G3008" t="s">
        <v>4</v>
      </c>
      <c r="H3008" t="s">
        <v>10</v>
      </c>
      <c r="I3008" t="s">
        <v>2498</v>
      </c>
      <c r="J3008" s="2">
        <v>95.94</v>
      </c>
      <c r="K3008">
        <v>3</v>
      </c>
      <c r="L3008" s="4"/>
    </row>
    <row r="3009" spans="1:12" x14ac:dyDescent="0.3">
      <c r="A3009" s="1">
        <v>42693</v>
      </c>
      <c r="B3009" s="1">
        <v>42694</v>
      </c>
      <c r="C3009" t="s">
        <v>22</v>
      </c>
      <c r="D3009" t="s">
        <v>1044</v>
      </c>
      <c r="E3009" t="s">
        <v>1045</v>
      </c>
      <c r="F3009" t="s">
        <v>3</v>
      </c>
      <c r="G3009" t="s">
        <v>74</v>
      </c>
      <c r="H3009" t="s">
        <v>147</v>
      </c>
      <c r="I3009" t="s">
        <v>1181</v>
      </c>
      <c r="J3009" s="2">
        <v>31.968000000000004</v>
      </c>
      <c r="K3009">
        <v>4</v>
      </c>
      <c r="L3009" s="4"/>
    </row>
    <row r="3010" spans="1:12" x14ac:dyDescent="0.3">
      <c r="A3010" s="1">
        <v>42693</v>
      </c>
      <c r="B3010" s="1">
        <v>42698</v>
      </c>
      <c r="C3010" t="s">
        <v>7</v>
      </c>
      <c r="D3010" t="s">
        <v>377</v>
      </c>
      <c r="E3010" t="s">
        <v>378</v>
      </c>
      <c r="F3010" t="s">
        <v>3</v>
      </c>
      <c r="G3010" t="s">
        <v>4</v>
      </c>
      <c r="H3010" t="s">
        <v>10</v>
      </c>
      <c r="I3010" t="s">
        <v>692</v>
      </c>
      <c r="J3010" s="2">
        <v>305.01</v>
      </c>
      <c r="K3010">
        <v>9</v>
      </c>
      <c r="L3010" s="4"/>
    </row>
    <row r="3011" spans="1:12" x14ac:dyDescent="0.3">
      <c r="A3011" s="1">
        <v>42693</v>
      </c>
      <c r="B3011" s="1">
        <v>42698</v>
      </c>
      <c r="C3011" t="s">
        <v>7</v>
      </c>
      <c r="D3011" t="s">
        <v>377</v>
      </c>
      <c r="E3011" t="s">
        <v>378</v>
      </c>
      <c r="F3011" t="s">
        <v>3</v>
      </c>
      <c r="G3011" t="s">
        <v>12</v>
      </c>
      <c r="H3011" t="s">
        <v>35</v>
      </c>
      <c r="I3011" t="s">
        <v>368</v>
      </c>
      <c r="J3011" s="2">
        <v>18.7</v>
      </c>
      <c r="K3011">
        <v>1</v>
      </c>
      <c r="L3011" s="4"/>
    </row>
    <row r="3012" spans="1:12" x14ac:dyDescent="0.3">
      <c r="A3012" s="1">
        <v>42694</v>
      </c>
      <c r="B3012" s="1">
        <v>42696</v>
      </c>
      <c r="C3012" t="s">
        <v>0</v>
      </c>
      <c r="D3012" t="s">
        <v>390</v>
      </c>
      <c r="E3012" t="s">
        <v>391</v>
      </c>
      <c r="F3012" t="s">
        <v>3</v>
      </c>
      <c r="G3012" t="s">
        <v>12</v>
      </c>
      <c r="H3012" t="s">
        <v>35</v>
      </c>
      <c r="I3012" t="s">
        <v>1678</v>
      </c>
      <c r="J3012" s="2">
        <v>42.599999999999994</v>
      </c>
      <c r="K3012">
        <v>3</v>
      </c>
      <c r="L3012" s="4"/>
    </row>
    <row r="3013" spans="1:12" x14ac:dyDescent="0.3">
      <c r="A3013" s="1">
        <v>42694</v>
      </c>
      <c r="B3013" s="1">
        <v>42696</v>
      </c>
      <c r="C3013" t="s">
        <v>0</v>
      </c>
      <c r="D3013" t="s">
        <v>390</v>
      </c>
      <c r="E3013" t="s">
        <v>391</v>
      </c>
      <c r="F3013" t="s">
        <v>3</v>
      </c>
      <c r="G3013" t="s">
        <v>4</v>
      </c>
      <c r="H3013" t="s">
        <v>26</v>
      </c>
      <c r="I3013" t="s">
        <v>1961</v>
      </c>
      <c r="J3013" s="2">
        <v>84.056000000000012</v>
      </c>
      <c r="K3013">
        <v>7</v>
      </c>
      <c r="L3013" s="4"/>
    </row>
    <row r="3014" spans="1:12" x14ac:dyDescent="0.3">
      <c r="A3014" s="1">
        <v>42694</v>
      </c>
      <c r="B3014" s="1">
        <v>42699</v>
      </c>
      <c r="C3014" t="s">
        <v>7</v>
      </c>
      <c r="D3014" t="s">
        <v>1617</v>
      </c>
      <c r="E3014" t="s">
        <v>1618</v>
      </c>
      <c r="F3014" t="s">
        <v>3</v>
      </c>
      <c r="G3014" t="s">
        <v>12</v>
      </c>
      <c r="H3014" t="s">
        <v>70</v>
      </c>
      <c r="I3014" t="s">
        <v>1635</v>
      </c>
      <c r="J3014" s="2">
        <v>283.92</v>
      </c>
      <c r="K3014">
        <v>5</v>
      </c>
      <c r="L3014" s="4"/>
    </row>
    <row r="3015" spans="1:12" x14ac:dyDescent="0.3">
      <c r="A3015" s="1">
        <v>42695</v>
      </c>
      <c r="B3015" s="1">
        <v>42699</v>
      </c>
      <c r="C3015" t="s">
        <v>7</v>
      </c>
      <c r="D3015" t="s">
        <v>254</v>
      </c>
      <c r="E3015" t="s">
        <v>255</v>
      </c>
      <c r="F3015" t="s">
        <v>56</v>
      </c>
      <c r="G3015" t="s">
        <v>12</v>
      </c>
      <c r="H3015" t="s">
        <v>44</v>
      </c>
      <c r="I3015" t="s">
        <v>466</v>
      </c>
      <c r="J3015" s="2">
        <v>70.98</v>
      </c>
      <c r="K3015">
        <v>1</v>
      </c>
      <c r="L3015" s="4"/>
    </row>
    <row r="3016" spans="1:12" x14ac:dyDescent="0.3">
      <c r="A3016" s="1">
        <v>42695</v>
      </c>
      <c r="B3016" s="1">
        <v>42699</v>
      </c>
      <c r="C3016" t="s">
        <v>7</v>
      </c>
      <c r="D3016" t="s">
        <v>699</v>
      </c>
      <c r="E3016" t="s">
        <v>700</v>
      </c>
      <c r="F3016" t="s">
        <v>3</v>
      </c>
      <c r="G3016" t="s">
        <v>4</v>
      </c>
      <c r="H3016" t="s">
        <v>10</v>
      </c>
      <c r="I3016" t="s">
        <v>814</v>
      </c>
      <c r="J3016" s="2">
        <v>56.56</v>
      </c>
      <c r="K3016">
        <v>2</v>
      </c>
      <c r="L3016" s="4"/>
    </row>
    <row r="3017" spans="1:12" x14ac:dyDescent="0.3">
      <c r="A3017" s="1">
        <v>42695</v>
      </c>
      <c r="B3017" s="1">
        <v>42699</v>
      </c>
      <c r="C3017" t="s">
        <v>7</v>
      </c>
      <c r="D3017" t="s">
        <v>699</v>
      </c>
      <c r="E3017" t="s">
        <v>700</v>
      </c>
      <c r="F3017" t="s">
        <v>3</v>
      </c>
      <c r="G3017" t="s">
        <v>4</v>
      </c>
      <c r="H3017" t="s">
        <v>15</v>
      </c>
      <c r="I3017" t="s">
        <v>2714</v>
      </c>
      <c r="J3017" s="2">
        <v>5.56</v>
      </c>
      <c r="K3017">
        <v>2</v>
      </c>
      <c r="L3017" s="4"/>
    </row>
    <row r="3018" spans="1:12" x14ac:dyDescent="0.3">
      <c r="A3018" s="1">
        <v>42695</v>
      </c>
      <c r="B3018" s="1">
        <v>42699</v>
      </c>
      <c r="C3018" t="s">
        <v>7</v>
      </c>
      <c r="D3018" t="s">
        <v>699</v>
      </c>
      <c r="E3018" t="s">
        <v>700</v>
      </c>
      <c r="F3018" t="s">
        <v>3</v>
      </c>
      <c r="G3018" t="s">
        <v>4</v>
      </c>
      <c r="H3018" t="s">
        <v>52</v>
      </c>
      <c r="I3018" t="s">
        <v>1064</v>
      </c>
      <c r="J3018" s="2">
        <v>9.02</v>
      </c>
      <c r="K3018">
        <v>2</v>
      </c>
      <c r="L3018" s="4"/>
    </row>
    <row r="3019" spans="1:12" x14ac:dyDescent="0.3">
      <c r="A3019" s="1">
        <v>42695</v>
      </c>
      <c r="B3019" s="1">
        <v>42699</v>
      </c>
      <c r="C3019" t="s">
        <v>7</v>
      </c>
      <c r="D3019" t="s">
        <v>699</v>
      </c>
      <c r="E3019" t="s">
        <v>700</v>
      </c>
      <c r="F3019" t="s">
        <v>3</v>
      </c>
      <c r="G3019" t="s">
        <v>4</v>
      </c>
      <c r="H3019" t="s">
        <v>20</v>
      </c>
      <c r="I3019" t="s">
        <v>2172</v>
      </c>
      <c r="J3019" s="2">
        <v>8.6199999999999992</v>
      </c>
      <c r="K3019">
        <v>1</v>
      </c>
      <c r="L3019" s="4"/>
    </row>
    <row r="3020" spans="1:12" x14ac:dyDescent="0.3">
      <c r="A3020" s="1">
        <v>42695</v>
      </c>
      <c r="B3020" s="1">
        <v>42699</v>
      </c>
      <c r="C3020" t="s">
        <v>7</v>
      </c>
      <c r="D3020" t="s">
        <v>699</v>
      </c>
      <c r="E3020" t="s">
        <v>700</v>
      </c>
      <c r="F3020" t="s">
        <v>3</v>
      </c>
      <c r="G3020" t="s">
        <v>74</v>
      </c>
      <c r="H3020" t="s">
        <v>147</v>
      </c>
      <c r="I3020" t="s">
        <v>2521</v>
      </c>
      <c r="J3020" s="2">
        <v>659.97600000000011</v>
      </c>
      <c r="K3020">
        <v>3</v>
      </c>
      <c r="L3020" s="4"/>
    </row>
    <row r="3021" spans="1:12" x14ac:dyDescent="0.3">
      <c r="A3021" s="1">
        <v>42695</v>
      </c>
      <c r="B3021" s="1">
        <v>42699</v>
      </c>
      <c r="C3021" t="s">
        <v>7</v>
      </c>
      <c r="D3021" t="s">
        <v>335</v>
      </c>
      <c r="E3021" t="s">
        <v>336</v>
      </c>
      <c r="F3021" t="s">
        <v>3</v>
      </c>
      <c r="G3021" t="s">
        <v>4</v>
      </c>
      <c r="H3021" t="s">
        <v>15</v>
      </c>
      <c r="I3021" t="s">
        <v>1085</v>
      </c>
      <c r="J3021" s="2">
        <v>11.76</v>
      </c>
      <c r="K3021">
        <v>4</v>
      </c>
      <c r="L3021" s="4"/>
    </row>
    <row r="3022" spans="1:12" x14ac:dyDescent="0.3">
      <c r="A3022" s="1">
        <v>42695</v>
      </c>
      <c r="B3022" s="1">
        <v>42699</v>
      </c>
      <c r="C3022" t="s">
        <v>7</v>
      </c>
      <c r="D3022" t="s">
        <v>335</v>
      </c>
      <c r="E3022" t="s">
        <v>336</v>
      </c>
      <c r="F3022" t="s">
        <v>3</v>
      </c>
      <c r="G3022" t="s">
        <v>4</v>
      </c>
      <c r="H3022" t="s">
        <v>26</v>
      </c>
      <c r="I3022" t="s">
        <v>2804</v>
      </c>
      <c r="J3022" s="2">
        <v>40.736000000000004</v>
      </c>
      <c r="K3022">
        <v>2</v>
      </c>
      <c r="L3022" s="4"/>
    </row>
    <row r="3023" spans="1:12" x14ac:dyDescent="0.3">
      <c r="A3023" s="1">
        <v>42695</v>
      </c>
      <c r="B3023" s="1">
        <v>42699</v>
      </c>
      <c r="C3023" t="s">
        <v>7</v>
      </c>
      <c r="D3023" t="s">
        <v>1608</v>
      </c>
      <c r="E3023" t="s">
        <v>1609</v>
      </c>
      <c r="F3023" t="s">
        <v>56</v>
      </c>
      <c r="G3023" t="s">
        <v>4</v>
      </c>
      <c r="H3023" t="s">
        <v>26</v>
      </c>
      <c r="I3023" t="s">
        <v>407</v>
      </c>
      <c r="J3023" s="2">
        <v>150.80000000000001</v>
      </c>
      <c r="K3023">
        <v>5</v>
      </c>
      <c r="L3023" s="4"/>
    </row>
    <row r="3024" spans="1:12" x14ac:dyDescent="0.3">
      <c r="A3024" s="1">
        <v>42695</v>
      </c>
      <c r="B3024" s="1">
        <v>42699</v>
      </c>
      <c r="C3024" t="s">
        <v>7</v>
      </c>
      <c r="D3024" t="s">
        <v>1608</v>
      </c>
      <c r="E3024" t="s">
        <v>1609</v>
      </c>
      <c r="F3024" t="s">
        <v>56</v>
      </c>
      <c r="G3024" t="s">
        <v>74</v>
      </c>
      <c r="H3024" t="s">
        <v>138</v>
      </c>
      <c r="I3024" t="s">
        <v>2860</v>
      </c>
      <c r="J3024" s="2">
        <v>1039.992</v>
      </c>
      <c r="K3024">
        <v>1</v>
      </c>
      <c r="L3024" s="4"/>
    </row>
    <row r="3025" spans="1:12" x14ac:dyDescent="0.3">
      <c r="A3025" s="1">
        <v>42695</v>
      </c>
      <c r="B3025" s="1">
        <v>42699</v>
      </c>
      <c r="C3025" t="s">
        <v>7</v>
      </c>
      <c r="D3025" t="s">
        <v>1608</v>
      </c>
      <c r="E3025" t="s">
        <v>1609</v>
      </c>
      <c r="F3025" t="s">
        <v>56</v>
      </c>
      <c r="G3025" t="s">
        <v>4</v>
      </c>
      <c r="H3025" t="s">
        <v>5</v>
      </c>
      <c r="I3025" t="s">
        <v>2861</v>
      </c>
      <c r="J3025" s="2">
        <v>51.84</v>
      </c>
      <c r="K3025">
        <v>8</v>
      </c>
      <c r="L3025" s="4"/>
    </row>
    <row r="3026" spans="1:12" x14ac:dyDescent="0.3">
      <c r="A3026" s="1">
        <v>42698</v>
      </c>
      <c r="B3026" s="1">
        <v>42703</v>
      </c>
      <c r="C3026" t="s">
        <v>0</v>
      </c>
      <c r="D3026" t="s">
        <v>32</v>
      </c>
      <c r="E3026" t="s">
        <v>33</v>
      </c>
      <c r="F3026" t="s">
        <v>25</v>
      </c>
      <c r="G3026" t="s">
        <v>4</v>
      </c>
      <c r="H3026" t="s">
        <v>26</v>
      </c>
      <c r="I3026" t="s">
        <v>61</v>
      </c>
      <c r="J3026" s="2">
        <v>20.724000000000004</v>
      </c>
      <c r="K3026">
        <v>2</v>
      </c>
      <c r="L3026" s="4"/>
    </row>
    <row r="3027" spans="1:12" x14ac:dyDescent="0.3">
      <c r="A3027" s="1">
        <v>42698</v>
      </c>
      <c r="B3027" s="1">
        <v>42703</v>
      </c>
      <c r="C3027" t="s">
        <v>0</v>
      </c>
      <c r="D3027" t="s">
        <v>32</v>
      </c>
      <c r="E3027" t="s">
        <v>33</v>
      </c>
      <c r="F3027" t="s">
        <v>25</v>
      </c>
      <c r="G3027" t="s">
        <v>4</v>
      </c>
      <c r="H3027" t="s">
        <v>10</v>
      </c>
      <c r="I3027" t="s">
        <v>1744</v>
      </c>
      <c r="J3027" s="2">
        <v>415.87200000000007</v>
      </c>
      <c r="K3027">
        <v>8</v>
      </c>
      <c r="L3027" s="4"/>
    </row>
    <row r="3028" spans="1:12" x14ac:dyDescent="0.3">
      <c r="A3028" s="1">
        <v>42698</v>
      </c>
      <c r="B3028" s="1">
        <v>42701</v>
      </c>
      <c r="C3028" t="s">
        <v>22</v>
      </c>
      <c r="D3028" t="s">
        <v>288</v>
      </c>
      <c r="E3028" t="s">
        <v>289</v>
      </c>
      <c r="F3028" t="s">
        <v>3</v>
      </c>
      <c r="G3028" t="s">
        <v>4</v>
      </c>
      <c r="H3028" t="s">
        <v>15</v>
      </c>
      <c r="I3028" t="s">
        <v>2862</v>
      </c>
      <c r="J3028" s="2">
        <v>27.76</v>
      </c>
      <c r="K3028">
        <v>4</v>
      </c>
      <c r="L3028" s="4"/>
    </row>
    <row r="3029" spans="1:12" x14ac:dyDescent="0.3">
      <c r="A3029" s="1">
        <v>42698</v>
      </c>
      <c r="B3029" s="1">
        <v>42698</v>
      </c>
      <c r="C3029" t="s">
        <v>240</v>
      </c>
      <c r="D3029" t="s">
        <v>2702</v>
      </c>
      <c r="E3029" t="s">
        <v>2703</v>
      </c>
      <c r="F3029" t="s">
        <v>3</v>
      </c>
      <c r="G3029" t="s">
        <v>4</v>
      </c>
      <c r="H3029" t="s">
        <v>5</v>
      </c>
      <c r="I3029" t="s">
        <v>886</v>
      </c>
      <c r="J3029" s="2">
        <v>7.78</v>
      </c>
      <c r="K3029">
        <v>1</v>
      </c>
      <c r="L3029" s="4"/>
    </row>
    <row r="3030" spans="1:12" x14ac:dyDescent="0.3">
      <c r="A3030" s="1">
        <v>42698</v>
      </c>
      <c r="B3030" s="1">
        <v>42698</v>
      </c>
      <c r="C3030" t="s">
        <v>240</v>
      </c>
      <c r="D3030" t="s">
        <v>1962</v>
      </c>
      <c r="E3030" t="s">
        <v>1963</v>
      </c>
      <c r="F3030" t="s">
        <v>3</v>
      </c>
      <c r="G3030" t="s">
        <v>12</v>
      </c>
      <c r="H3030" t="s">
        <v>44</v>
      </c>
      <c r="I3030" t="s">
        <v>2713</v>
      </c>
      <c r="J3030" s="2">
        <v>364.08000000000004</v>
      </c>
      <c r="K3030">
        <v>2</v>
      </c>
      <c r="L3030" s="4"/>
    </row>
    <row r="3031" spans="1:12" x14ac:dyDescent="0.3">
      <c r="A3031" s="1">
        <v>42698</v>
      </c>
      <c r="B3031" s="1">
        <v>42698</v>
      </c>
      <c r="C3031" t="s">
        <v>240</v>
      </c>
      <c r="D3031" t="s">
        <v>1962</v>
      </c>
      <c r="E3031" t="s">
        <v>1963</v>
      </c>
      <c r="F3031" t="s">
        <v>3</v>
      </c>
      <c r="G3031" t="s">
        <v>12</v>
      </c>
      <c r="H3031" t="s">
        <v>44</v>
      </c>
      <c r="I3031" t="s">
        <v>1174</v>
      </c>
      <c r="J3031" s="2">
        <v>71.088000000000008</v>
      </c>
      <c r="K3031">
        <v>2</v>
      </c>
      <c r="L3031" s="4"/>
    </row>
    <row r="3032" spans="1:12" x14ac:dyDescent="0.3">
      <c r="A3032" s="1">
        <v>42698</v>
      </c>
      <c r="B3032" s="1">
        <v>42704</v>
      </c>
      <c r="C3032" t="s">
        <v>7</v>
      </c>
      <c r="D3032" t="s">
        <v>245</v>
      </c>
      <c r="E3032" t="s">
        <v>246</v>
      </c>
      <c r="F3032" t="s">
        <v>3</v>
      </c>
      <c r="G3032" t="s">
        <v>74</v>
      </c>
      <c r="H3032" t="s">
        <v>75</v>
      </c>
      <c r="I3032" t="s">
        <v>2848</v>
      </c>
      <c r="J3032" s="2">
        <v>223.58</v>
      </c>
      <c r="K3032">
        <v>14</v>
      </c>
      <c r="L3032" s="4"/>
    </row>
    <row r="3033" spans="1:12" x14ac:dyDescent="0.3">
      <c r="A3033" s="1">
        <v>42699</v>
      </c>
      <c r="B3033" s="1">
        <v>42703</v>
      </c>
      <c r="C3033" t="s">
        <v>7</v>
      </c>
      <c r="D3033" t="s">
        <v>2863</v>
      </c>
      <c r="E3033" t="s">
        <v>2864</v>
      </c>
      <c r="F3033" t="s">
        <v>3</v>
      </c>
      <c r="G3033" t="s">
        <v>12</v>
      </c>
      <c r="H3033" t="s">
        <v>13</v>
      </c>
      <c r="I3033" t="s">
        <v>1437</v>
      </c>
      <c r="J3033" s="2">
        <v>359.49899999999997</v>
      </c>
      <c r="K3033">
        <v>3</v>
      </c>
      <c r="L3033" s="4"/>
    </row>
    <row r="3034" spans="1:12" x14ac:dyDescent="0.3">
      <c r="A3034" s="1">
        <v>42699</v>
      </c>
      <c r="B3034" s="1">
        <v>42703</v>
      </c>
      <c r="C3034" t="s">
        <v>7</v>
      </c>
      <c r="D3034" t="s">
        <v>2863</v>
      </c>
      <c r="E3034" t="s">
        <v>2864</v>
      </c>
      <c r="F3034" t="s">
        <v>3</v>
      </c>
      <c r="G3034" t="s">
        <v>4</v>
      </c>
      <c r="H3034" t="s">
        <v>10</v>
      </c>
      <c r="I3034" t="s">
        <v>1504</v>
      </c>
      <c r="J3034" s="2">
        <v>10.48</v>
      </c>
      <c r="K3034">
        <v>1</v>
      </c>
      <c r="L3034" s="4"/>
    </row>
    <row r="3035" spans="1:12" x14ac:dyDescent="0.3">
      <c r="A3035" s="1">
        <v>42699</v>
      </c>
      <c r="B3035" s="1">
        <v>42703</v>
      </c>
      <c r="C3035" t="s">
        <v>0</v>
      </c>
      <c r="D3035" t="s">
        <v>1953</v>
      </c>
      <c r="E3035" t="s">
        <v>1954</v>
      </c>
      <c r="F3035" t="s">
        <v>3</v>
      </c>
      <c r="G3035" t="s">
        <v>74</v>
      </c>
      <c r="H3035" t="s">
        <v>147</v>
      </c>
      <c r="I3035" t="s">
        <v>2672</v>
      </c>
      <c r="J3035" s="2">
        <v>39.960000000000008</v>
      </c>
      <c r="K3035">
        <v>5</v>
      </c>
      <c r="L3035" s="4"/>
    </row>
    <row r="3036" spans="1:12" x14ac:dyDescent="0.3">
      <c r="A3036" s="1">
        <v>42699</v>
      </c>
      <c r="B3036" s="1">
        <v>42703</v>
      </c>
      <c r="C3036" t="s">
        <v>0</v>
      </c>
      <c r="D3036" t="s">
        <v>1953</v>
      </c>
      <c r="E3036" t="s">
        <v>1954</v>
      </c>
      <c r="F3036" t="s">
        <v>3</v>
      </c>
      <c r="G3036" t="s">
        <v>4</v>
      </c>
      <c r="H3036" t="s">
        <v>5</v>
      </c>
      <c r="I3036" t="s">
        <v>1976</v>
      </c>
      <c r="J3036" s="2">
        <v>34.08</v>
      </c>
      <c r="K3036">
        <v>6</v>
      </c>
      <c r="L3036" s="4"/>
    </row>
    <row r="3037" spans="1:12" x14ac:dyDescent="0.3">
      <c r="A3037" s="1">
        <v>42699</v>
      </c>
      <c r="B3037" s="1">
        <v>42705</v>
      </c>
      <c r="C3037" t="s">
        <v>7</v>
      </c>
      <c r="D3037" t="s">
        <v>889</v>
      </c>
      <c r="E3037" t="s">
        <v>890</v>
      </c>
      <c r="F3037" t="s">
        <v>3</v>
      </c>
      <c r="G3037" t="s">
        <v>4</v>
      </c>
      <c r="H3037" t="s">
        <v>15</v>
      </c>
      <c r="I3037" t="s">
        <v>366</v>
      </c>
      <c r="J3037" s="2">
        <v>5.16</v>
      </c>
      <c r="K3037">
        <v>2</v>
      </c>
      <c r="L3037" s="4"/>
    </row>
    <row r="3038" spans="1:12" x14ac:dyDescent="0.3">
      <c r="A3038" s="1">
        <v>42701</v>
      </c>
      <c r="B3038" s="1">
        <v>42707</v>
      </c>
      <c r="C3038" t="s">
        <v>7</v>
      </c>
      <c r="D3038" t="s">
        <v>1995</v>
      </c>
      <c r="E3038" t="s">
        <v>1996</v>
      </c>
      <c r="F3038" t="s">
        <v>3</v>
      </c>
      <c r="G3038" t="s">
        <v>4</v>
      </c>
      <c r="H3038" t="s">
        <v>5</v>
      </c>
      <c r="I3038" t="s">
        <v>2865</v>
      </c>
      <c r="J3038" s="2">
        <v>244.54999999999998</v>
      </c>
      <c r="K3038">
        <v>5</v>
      </c>
      <c r="L3038" s="4"/>
    </row>
    <row r="3039" spans="1:12" x14ac:dyDescent="0.3">
      <c r="A3039" s="1">
        <v>42701</v>
      </c>
      <c r="B3039" s="1">
        <v>42707</v>
      </c>
      <c r="C3039" t="s">
        <v>7</v>
      </c>
      <c r="D3039" t="s">
        <v>1995</v>
      </c>
      <c r="E3039" t="s">
        <v>1996</v>
      </c>
      <c r="F3039" t="s">
        <v>3</v>
      </c>
      <c r="G3039" t="s">
        <v>74</v>
      </c>
      <c r="H3039" t="s">
        <v>75</v>
      </c>
      <c r="I3039" t="s">
        <v>191</v>
      </c>
      <c r="J3039" s="2">
        <v>166.16</v>
      </c>
      <c r="K3039">
        <v>8</v>
      </c>
      <c r="L3039" s="4"/>
    </row>
    <row r="3040" spans="1:12" x14ac:dyDescent="0.3">
      <c r="A3040" s="1">
        <v>42701</v>
      </c>
      <c r="B3040" s="1">
        <v>42706</v>
      </c>
      <c r="C3040" t="s">
        <v>7</v>
      </c>
      <c r="D3040" t="s">
        <v>1967</v>
      </c>
      <c r="E3040" t="s">
        <v>1968</v>
      </c>
      <c r="F3040" t="s">
        <v>3</v>
      </c>
      <c r="G3040" t="s">
        <v>4</v>
      </c>
      <c r="H3040" t="s">
        <v>26</v>
      </c>
      <c r="I3040" t="s">
        <v>2152</v>
      </c>
      <c r="J3040" s="2">
        <v>117.48800000000001</v>
      </c>
      <c r="K3040">
        <v>7</v>
      </c>
      <c r="L3040" s="4"/>
    </row>
    <row r="3041" spans="1:12" x14ac:dyDescent="0.3">
      <c r="A3041" s="1">
        <v>42701</v>
      </c>
      <c r="B3041" s="1">
        <v>42706</v>
      </c>
      <c r="C3041" t="s">
        <v>7</v>
      </c>
      <c r="D3041" t="s">
        <v>1967</v>
      </c>
      <c r="E3041" t="s">
        <v>1968</v>
      </c>
      <c r="F3041" t="s">
        <v>3</v>
      </c>
      <c r="G3041" t="s">
        <v>12</v>
      </c>
      <c r="H3041" t="s">
        <v>35</v>
      </c>
      <c r="I3041" t="s">
        <v>1386</v>
      </c>
      <c r="J3041" s="2">
        <v>18.84</v>
      </c>
      <c r="K3041">
        <v>3</v>
      </c>
      <c r="L3041" s="4"/>
    </row>
    <row r="3042" spans="1:12" x14ac:dyDescent="0.3">
      <c r="A3042" s="1">
        <v>42701</v>
      </c>
      <c r="B3042" s="1">
        <v>42707</v>
      </c>
      <c r="C3042" t="s">
        <v>7</v>
      </c>
      <c r="D3042" t="s">
        <v>2743</v>
      </c>
      <c r="E3042" t="s">
        <v>2744</v>
      </c>
      <c r="F3042" t="s">
        <v>3</v>
      </c>
      <c r="G3042" t="s">
        <v>74</v>
      </c>
      <c r="H3042" t="s">
        <v>147</v>
      </c>
      <c r="I3042" t="s">
        <v>165</v>
      </c>
      <c r="J3042" s="2">
        <v>57.567999999999998</v>
      </c>
      <c r="K3042">
        <v>4</v>
      </c>
      <c r="L3042" s="4"/>
    </row>
    <row r="3043" spans="1:12" x14ac:dyDescent="0.3">
      <c r="A3043" s="1">
        <v>42702</v>
      </c>
      <c r="B3043" s="1">
        <v>42705</v>
      </c>
      <c r="C3043" t="s">
        <v>22</v>
      </c>
      <c r="D3043" t="s">
        <v>2866</v>
      </c>
      <c r="E3043" t="s">
        <v>2867</v>
      </c>
      <c r="F3043" t="s">
        <v>115</v>
      </c>
      <c r="G3043" t="s">
        <v>4</v>
      </c>
      <c r="H3043" t="s">
        <v>5</v>
      </c>
      <c r="I3043" t="s">
        <v>2740</v>
      </c>
      <c r="J3043" s="2">
        <v>88.768000000000001</v>
      </c>
      <c r="K3043">
        <v>2</v>
      </c>
      <c r="L3043" s="4"/>
    </row>
    <row r="3044" spans="1:12" x14ac:dyDescent="0.3">
      <c r="A3044" s="1">
        <v>42702</v>
      </c>
      <c r="B3044" s="1">
        <v>42706</v>
      </c>
      <c r="C3044" t="s">
        <v>7</v>
      </c>
      <c r="D3044" t="s">
        <v>2285</v>
      </c>
      <c r="E3044" t="s">
        <v>2286</v>
      </c>
      <c r="F3044" t="s">
        <v>3</v>
      </c>
      <c r="G3044" t="s">
        <v>4</v>
      </c>
      <c r="H3044" t="s">
        <v>168</v>
      </c>
      <c r="I3044" t="s">
        <v>2122</v>
      </c>
      <c r="J3044" s="2">
        <v>62.65</v>
      </c>
      <c r="K3044">
        <v>5</v>
      </c>
      <c r="L3044" s="4"/>
    </row>
    <row r="3045" spans="1:12" x14ac:dyDescent="0.3">
      <c r="A3045" s="1">
        <v>42704</v>
      </c>
      <c r="B3045" s="1">
        <v>42707</v>
      </c>
      <c r="C3045" t="s">
        <v>22</v>
      </c>
      <c r="D3045" t="s">
        <v>1685</v>
      </c>
      <c r="E3045" t="s">
        <v>1686</v>
      </c>
      <c r="F3045" t="s">
        <v>3</v>
      </c>
      <c r="G3045" t="s">
        <v>12</v>
      </c>
      <c r="H3045" t="s">
        <v>35</v>
      </c>
      <c r="I3045" t="s">
        <v>2868</v>
      </c>
      <c r="J3045" s="2">
        <v>25.83</v>
      </c>
      <c r="K3045">
        <v>3</v>
      </c>
      <c r="L3045" s="4"/>
    </row>
    <row r="3046" spans="1:12" x14ac:dyDescent="0.3">
      <c r="A3046" s="1">
        <v>42705</v>
      </c>
      <c r="B3046" s="1">
        <v>42709</v>
      </c>
      <c r="C3046" t="s">
        <v>7</v>
      </c>
      <c r="D3046" t="s">
        <v>2205</v>
      </c>
      <c r="E3046" t="s">
        <v>2206</v>
      </c>
      <c r="F3046" t="s">
        <v>115</v>
      </c>
      <c r="G3046" t="s">
        <v>74</v>
      </c>
      <c r="H3046" t="s">
        <v>147</v>
      </c>
      <c r="I3046" t="s">
        <v>1058</v>
      </c>
      <c r="J3046" s="2">
        <v>470.37600000000009</v>
      </c>
      <c r="K3046">
        <v>3</v>
      </c>
      <c r="L3046" s="4"/>
    </row>
    <row r="3047" spans="1:12" x14ac:dyDescent="0.3">
      <c r="A3047" s="1">
        <v>42705</v>
      </c>
      <c r="B3047" s="1">
        <v>42709</v>
      </c>
      <c r="C3047" t="s">
        <v>7</v>
      </c>
      <c r="D3047" t="s">
        <v>2205</v>
      </c>
      <c r="E3047" t="s">
        <v>2206</v>
      </c>
      <c r="F3047" t="s">
        <v>115</v>
      </c>
      <c r="G3047" t="s">
        <v>74</v>
      </c>
      <c r="H3047" t="s">
        <v>147</v>
      </c>
      <c r="I3047" t="s">
        <v>230</v>
      </c>
      <c r="J3047" s="2">
        <v>105.584</v>
      </c>
      <c r="K3047">
        <v>2</v>
      </c>
      <c r="L3047" s="4"/>
    </row>
    <row r="3048" spans="1:12" x14ac:dyDescent="0.3">
      <c r="A3048" s="1">
        <v>42705</v>
      </c>
      <c r="B3048" s="1">
        <v>42709</v>
      </c>
      <c r="C3048" t="s">
        <v>7</v>
      </c>
      <c r="D3048" t="s">
        <v>2205</v>
      </c>
      <c r="E3048" t="s">
        <v>2206</v>
      </c>
      <c r="F3048" t="s">
        <v>115</v>
      </c>
      <c r="G3048" t="s">
        <v>4</v>
      </c>
      <c r="H3048" t="s">
        <v>20</v>
      </c>
      <c r="I3048" t="s">
        <v>2529</v>
      </c>
      <c r="J3048" s="2">
        <v>31.152000000000001</v>
      </c>
      <c r="K3048">
        <v>3</v>
      </c>
      <c r="L3048" s="4"/>
    </row>
    <row r="3049" spans="1:12" x14ac:dyDescent="0.3">
      <c r="A3049" s="1">
        <v>42705</v>
      </c>
      <c r="B3049" s="1">
        <v>42709</v>
      </c>
      <c r="C3049" t="s">
        <v>7</v>
      </c>
      <c r="D3049" t="s">
        <v>2205</v>
      </c>
      <c r="E3049" t="s">
        <v>2206</v>
      </c>
      <c r="F3049" t="s">
        <v>115</v>
      </c>
      <c r="G3049" t="s">
        <v>4</v>
      </c>
      <c r="H3049" t="s">
        <v>26</v>
      </c>
      <c r="I3049" t="s">
        <v>236</v>
      </c>
      <c r="J3049" s="2">
        <v>6.7830000000000004</v>
      </c>
      <c r="K3049">
        <v>7</v>
      </c>
      <c r="L3049" s="4"/>
    </row>
    <row r="3050" spans="1:12" x14ac:dyDescent="0.3">
      <c r="A3050" s="1">
        <v>42705</v>
      </c>
      <c r="B3050" s="1">
        <v>42709</v>
      </c>
      <c r="C3050" t="s">
        <v>7</v>
      </c>
      <c r="D3050" t="s">
        <v>2205</v>
      </c>
      <c r="E3050" t="s">
        <v>2206</v>
      </c>
      <c r="F3050" t="s">
        <v>115</v>
      </c>
      <c r="G3050" t="s">
        <v>74</v>
      </c>
      <c r="H3050" t="s">
        <v>147</v>
      </c>
      <c r="I3050" t="s">
        <v>1703</v>
      </c>
      <c r="J3050" s="2">
        <v>406.36799999999999</v>
      </c>
      <c r="K3050">
        <v>4</v>
      </c>
      <c r="L3050" s="4"/>
    </row>
    <row r="3051" spans="1:12" x14ac:dyDescent="0.3">
      <c r="A3051" s="1">
        <v>42705</v>
      </c>
      <c r="B3051" s="1">
        <v>42709</v>
      </c>
      <c r="C3051" t="s">
        <v>7</v>
      </c>
      <c r="D3051" t="s">
        <v>2629</v>
      </c>
      <c r="E3051" t="s">
        <v>2630</v>
      </c>
      <c r="F3051" t="s">
        <v>3</v>
      </c>
      <c r="G3051" t="s">
        <v>4</v>
      </c>
      <c r="H3051" t="s">
        <v>5</v>
      </c>
      <c r="I3051" t="s">
        <v>2260</v>
      </c>
      <c r="J3051" s="2">
        <v>45.36</v>
      </c>
      <c r="K3051">
        <v>7</v>
      </c>
      <c r="L3051" s="4"/>
    </row>
    <row r="3052" spans="1:12" x14ac:dyDescent="0.3">
      <c r="A3052" s="1">
        <v>42705</v>
      </c>
      <c r="B3052" s="1">
        <v>42709</v>
      </c>
      <c r="C3052" t="s">
        <v>7</v>
      </c>
      <c r="D3052" t="s">
        <v>2629</v>
      </c>
      <c r="E3052" t="s">
        <v>2630</v>
      </c>
      <c r="F3052" t="s">
        <v>3</v>
      </c>
      <c r="G3052" t="s">
        <v>4</v>
      </c>
      <c r="H3052" t="s">
        <v>26</v>
      </c>
      <c r="I3052" t="s">
        <v>2675</v>
      </c>
      <c r="J3052" s="2">
        <v>10.128</v>
      </c>
      <c r="K3052">
        <v>2</v>
      </c>
      <c r="L3052" s="4"/>
    </row>
    <row r="3053" spans="1:12" x14ac:dyDescent="0.3">
      <c r="A3053" s="1">
        <v>42705</v>
      </c>
      <c r="B3053" s="1">
        <v>42712</v>
      </c>
      <c r="C3053" t="s">
        <v>7</v>
      </c>
      <c r="D3053" t="s">
        <v>2462</v>
      </c>
      <c r="E3053" t="s">
        <v>2463</v>
      </c>
      <c r="F3053" t="s">
        <v>56</v>
      </c>
      <c r="G3053" t="s">
        <v>4</v>
      </c>
      <c r="H3053" t="s">
        <v>5</v>
      </c>
      <c r="I3053" t="s">
        <v>2486</v>
      </c>
      <c r="J3053" s="2">
        <v>41.86</v>
      </c>
      <c r="K3053">
        <v>7</v>
      </c>
      <c r="L3053" s="4"/>
    </row>
    <row r="3054" spans="1:12" x14ac:dyDescent="0.3">
      <c r="A3054" s="1">
        <v>42705</v>
      </c>
      <c r="B3054" s="1">
        <v>42712</v>
      </c>
      <c r="C3054" t="s">
        <v>7</v>
      </c>
      <c r="D3054" t="s">
        <v>2462</v>
      </c>
      <c r="E3054" t="s">
        <v>2463</v>
      </c>
      <c r="F3054" t="s">
        <v>56</v>
      </c>
      <c r="G3054" t="s">
        <v>12</v>
      </c>
      <c r="H3054" t="s">
        <v>13</v>
      </c>
      <c r="I3054" t="s">
        <v>1729</v>
      </c>
      <c r="J3054" s="2">
        <v>141.96</v>
      </c>
      <c r="K3054">
        <v>2</v>
      </c>
      <c r="L3054" s="4"/>
    </row>
    <row r="3055" spans="1:12" x14ac:dyDescent="0.3">
      <c r="A3055" s="1">
        <v>42705</v>
      </c>
      <c r="B3055" s="1">
        <v>42710</v>
      </c>
      <c r="C3055" t="s">
        <v>7</v>
      </c>
      <c r="D3055" t="s">
        <v>1030</v>
      </c>
      <c r="E3055" t="s">
        <v>1031</v>
      </c>
      <c r="F3055" t="s">
        <v>56</v>
      </c>
      <c r="G3055" t="s">
        <v>4</v>
      </c>
      <c r="H3055" t="s">
        <v>26</v>
      </c>
      <c r="I3055" t="s">
        <v>1449</v>
      </c>
      <c r="J3055" s="2">
        <v>15.920000000000002</v>
      </c>
      <c r="K3055">
        <v>5</v>
      </c>
      <c r="L3055" s="4"/>
    </row>
    <row r="3056" spans="1:12" x14ac:dyDescent="0.3">
      <c r="A3056" s="1">
        <v>42705</v>
      </c>
      <c r="B3056" s="1">
        <v>42710</v>
      </c>
      <c r="C3056" t="s">
        <v>7</v>
      </c>
      <c r="D3056" t="s">
        <v>1030</v>
      </c>
      <c r="E3056" t="s">
        <v>1031</v>
      </c>
      <c r="F3056" t="s">
        <v>56</v>
      </c>
      <c r="G3056" t="s">
        <v>12</v>
      </c>
      <c r="H3056" t="s">
        <v>35</v>
      </c>
      <c r="I3056" t="s">
        <v>374</v>
      </c>
      <c r="J3056" s="2">
        <v>70.679999999999993</v>
      </c>
      <c r="K3056">
        <v>12</v>
      </c>
      <c r="L3056" s="4"/>
    </row>
    <row r="3057" spans="1:12" x14ac:dyDescent="0.3">
      <c r="A3057" s="1">
        <v>42705</v>
      </c>
      <c r="B3057" s="1">
        <v>42710</v>
      </c>
      <c r="C3057" t="s">
        <v>7</v>
      </c>
      <c r="D3057" t="s">
        <v>1030</v>
      </c>
      <c r="E3057" t="s">
        <v>1031</v>
      </c>
      <c r="F3057" t="s">
        <v>56</v>
      </c>
      <c r="G3057" t="s">
        <v>4</v>
      </c>
      <c r="H3057" t="s">
        <v>10</v>
      </c>
      <c r="I3057" t="s">
        <v>1280</v>
      </c>
      <c r="J3057" s="2">
        <v>541.24</v>
      </c>
      <c r="K3057">
        <v>4</v>
      </c>
      <c r="L3057" s="4"/>
    </row>
    <row r="3058" spans="1:12" x14ac:dyDescent="0.3">
      <c r="A3058" s="1">
        <v>42705</v>
      </c>
      <c r="B3058" s="1">
        <v>42711</v>
      </c>
      <c r="C3058" t="s">
        <v>7</v>
      </c>
      <c r="D3058" t="s">
        <v>2646</v>
      </c>
      <c r="E3058" t="s">
        <v>2647</v>
      </c>
      <c r="F3058" t="s">
        <v>3</v>
      </c>
      <c r="G3058" t="s">
        <v>12</v>
      </c>
      <c r="H3058" t="s">
        <v>35</v>
      </c>
      <c r="I3058" t="s">
        <v>2314</v>
      </c>
      <c r="J3058" s="2">
        <v>629.64</v>
      </c>
      <c r="K3058">
        <v>9</v>
      </c>
      <c r="L3058" s="4"/>
    </row>
    <row r="3059" spans="1:12" x14ac:dyDescent="0.3">
      <c r="A3059" s="1">
        <v>42706</v>
      </c>
      <c r="B3059" s="1">
        <v>42709</v>
      </c>
      <c r="C3059" t="s">
        <v>22</v>
      </c>
      <c r="D3059" t="s">
        <v>1153</v>
      </c>
      <c r="E3059" t="s">
        <v>1154</v>
      </c>
      <c r="F3059" t="s">
        <v>3</v>
      </c>
      <c r="G3059" t="s">
        <v>4</v>
      </c>
      <c r="H3059" t="s">
        <v>10</v>
      </c>
      <c r="I3059" t="s">
        <v>718</v>
      </c>
      <c r="J3059" s="2">
        <v>559.62</v>
      </c>
      <c r="K3059">
        <v>9</v>
      </c>
      <c r="L3059" s="4"/>
    </row>
    <row r="3060" spans="1:12" x14ac:dyDescent="0.3">
      <c r="A3060" s="1">
        <v>42706</v>
      </c>
      <c r="B3060" s="1">
        <v>42709</v>
      </c>
      <c r="C3060" t="s">
        <v>22</v>
      </c>
      <c r="D3060" t="s">
        <v>1153</v>
      </c>
      <c r="E3060" t="s">
        <v>1154</v>
      </c>
      <c r="F3060" t="s">
        <v>3</v>
      </c>
      <c r="G3060" t="s">
        <v>4</v>
      </c>
      <c r="H3060" t="s">
        <v>5</v>
      </c>
      <c r="I3060" t="s">
        <v>604</v>
      </c>
      <c r="J3060" s="2">
        <v>109.92</v>
      </c>
      <c r="K3060">
        <v>2</v>
      </c>
      <c r="L3060" s="4"/>
    </row>
    <row r="3061" spans="1:12" x14ac:dyDescent="0.3">
      <c r="A3061" s="1">
        <v>42706</v>
      </c>
      <c r="B3061" s="1">
        <v>42709</v>
      </c>
      <c r="C3061" t="s">
        <v>22</v>
      </c>
      <c r="D3061" t="s">
        <v>1153</v>
      </c>
      <c r="E3061" t="s">
        <v>1154</v>
      </c>
      <c r="F3061" t="s">
        <v>3</v>
      </c>
      <c r="G3061" t="s">
        <v>4</v>
      </c>
      <c r="H3061" t="s">
        <v>5</v>
      </c>
      <c r="I3061" t="s">
        <v>1324</v>
      </c>
      <c r="J3061" s="2">
        <v>8.56</v>
      </c>
      <c r="K3061">
        <v>2</v>
      </c>
      <c r="L3061" s="4"/>
    </row>
    <row r="3062" spans="1:12" x14ac:dyDescent="0.3">
      <c r="A3062" s="1">
        <v>42706</v>
      </c>
      <c r="B3062" s="1">
        <v>42707</v>
      </c>
      <c r="C3062" t="s">
        <v>240</v>
      </c>
      <c r="D3062" t="s">
        <v>1216</v>
      </c>
      <c r="E3062" t="s">
        <v>1217</v>
      </c>
      <c r="F3062" t="s">
        <v>3</v>
      </c>
      <c r="G3062" t="s">
        <v>4</v>
      </c>
      <c r="H3062" t="s">
        <v>26</v>
      </c>
      <c r="I3062" t="s">
        <v>1368</v>
      </c>
      <c r="J3062" s="2">
        <v>9.0240000000000009</v>
      </c>
      <c r="K3062">
        <v>6</v>
      </c>
      <c r="L3062" s="4"/>
    </row>
    <row r="3063" spans="1:12" x14ac:dyDescent="0.3">
      <c r="A3063" s="1">
        <v>42706</v>
      </c>
      <c r="B3063" s="1">
        <v>42707</v>
      </c>
      <c r="C3063" t="s">
        <v>240</v>
      </c>
      <c r="D3063" t="s">
        <v>1216</v>
      </c>
      <c r="E3063" t="s">
        <v>1217</v>
      </c>
      <c r="F3063" t="s">
        <v>3</v>
      </c>
      <c r="G3063" t="s">
        <v>4</v>
      </c>
      <c r="H3063" t="s">
        <v>26</v>
      </c>
      <c r="I3063" t="s">
        <v>573</v>
      </c>
      <c r="J3063" s="2">
        <v>69.456000000000003</v>
      </c>
      <c r="K3063">
        <v>2</v>
      </c>
      <c r="L3063" s="4"/>
    </row>
    <row r="3064" spans="1:12" x14ac:dyDescent="0.3">
      <c r="A3064" s="1">
        <v>42706</v>
      </c>
      <c r="B3064" s="1">
        <v>42707</v>
      </c>
      <c r="C3064" t="s">
        <v>240</v>
      </c>
      <c r="D3064" t="s">
        <v>1216</v>
      </c>
      <c r="E3064" t="s">
        <v>1217</v>
      </c>
      <c r="F3064" t="s">
        <v>3</v>
      </c>
      <c r="G3064" t="s">
        <v>4</v>
      </c>
      <c r="H3064" t="s">
        <v>5</v>
      </c>
      <c r="I3064" t="s">
        <v>675</v>
      </c>
      <c r="J3064" s="2">
        <v>10.86</v>
      </c>
      <c r="K3064">
        <v>2</v>
      </c>
      <c r="L3064" s="4"/>
    </row>
    <row r="3065" spans="1:12" x14ac:dyDescent="0.3">
      <c r="A3065" s="1">
        <v>42706</v>
      </c>
      <c r="B3065" s="1">
        <v>42707</v>
      </c>
      <c r="C3065" t="s">
        <v>240</v>
      </c>
      <c r="D3065" t="s">
        <v>1216</v>
      </c>
      <c r="E3065" t="s">
        <v>1217</v>
      </c>
      <c r="F3065" t="s">
        <v>3</v>
      </c>
      <c r="G3065" t="s">
        <v>4</v>
      </c>
      <c r="H3065" t="s">
        <v>20</v>
      </c>
      <c r="I3065" t="s">
        <v>184</v>
      </c>
      <c r="J3065" s="2">
        <v>79.47</v>
      </c>
      <c r="K3065">
        <v>3</v>
      </c>
      <c r="L3065" s="4"/>
    </row>
    <row r="3066" spans="1:12" x14ac:dyDescent="0.3">
      <c r="A3066" s="1">
        <v>42706</v>
      </c>
      <c r="B3066" s="1">
        <v>42707</v>
      </c>
      <c r="C3066" t="s">
        <v>240</v>
      </c>
      <c r="D3066" t="s">
        <v>1216</v>
      </c>
      <c r="E3066" t="s">
        <v>1217</v>
      </c>
      <c r="F3066" t="s">
        <v>3</v>
      </c>
      <c r="G3066" t="s">
        <v>4</v>
      </c>
      <c r="H3066" t="s">
        <v>15</v>
      </c>
      <c r="I3066" t="s">
        <v>849</v>
      </c>
      <c r="J3066" s="2">
        <v>10.08</v>
      </c>
      <c r="K3066">
        <v>6</v>
      </c>
      <c r="L3066" s="4"/>
    </row>
    <row r="3067" spans="1:12" x14ac:dyDescent="0.3">
      <c r="A3067" s="1">
        <v>42706</v>
      </c>
      <c r="B3067" s="1">
        <v>42710</v>
      </c>
      <c r="C3067" t="s">
        <v>7</v>
      </c>
      <c r="D3067" t="s">
        <v>2869</v>
      </c>
      <c r="E3067" t="s">
        <v>2870</v>
      </c>
      <c r="F3067" t="s">
        <v>3</v>
      </c>
      <c r="G3067" t="s">
        <v>74</v>
      </c>
      <c r="H3067" t="s">
        <v>147</v>
      </c>
      <c r="I3067" t="s">
        <v>1898</v>
      </c>
      <c r="J3067" s="2">
        <v>39.992000000000004</v>
      </c>
      <c r="K3067">
        <v>1</v>
      </c>
      <c r="L3067" s="4"/>
    </row>
    <row r="3068" spans="1:12" x14ac:dyDescent="0.3">
      <c r="A3068" s="1">
        <v>42706</v>
      </c>
      <c r="B3068" s="1">
        <v>42710</v>
      </c>
      <c r="C3068" t="s">
        <v>7</v>
      </c>
      <c r="D3068" t="s">
        <v>2869</v>
      </c>
      <c r="E3068" t="s">
        <v>2870</v>
      </c>
      <c r="F3068" t="s">
        <v>3</v>
      </c>
      <c r="G3068" t="s">
        <v>12</v>
      </c>
      <c r="H3068" t="s">
        <v>70</v>
      </c>
      <c r="I3068" t="s">
        <v>2871</v>
      </c>
      <c r="J3068" s="2">
        <v>1159.056</v>
      </c>
      <c r="K3068">
        <v>9</v>
      </c>
      <c r="L3068" s="4"/>
    </row>
    <row r="3069" spans="1:12" x14ac:dyDescent="0.3">
      <c r="A3069" s="1">
        <v>42706</v>
      </c>
      <c r="B3069" s="1">
        <v>42710</v>
      </c>
      <c r="C3069" t="s">
        <v>7</v>
      </c>
      <c r="D3069" t="s">
        <v>2869</v>
      </c>
      <c r="E3069" t="s">
        <v>2870</v>
      </c>
      <c r="F3069" t="s">
        <v>3</v>
      </c>
      <c r="G3069" t="s">
        <v>4</v>
      </c>
      <c r="H3069" t="s">
        <v>15</v>
      </c>
      <c r="I3069" t="s">
        <v>2872</v>
      </c>
      <c r="J3069" s="2">
        <v>179.89999999999998</v>
      </c>
      <c r="K3069">
        <v>5</v>
      </c>
      <c r="L3069" s="4"/>
    </row>
    <row r="3070" spans="1:12" x14ac:dyDescent="0.3">
      <c r="A3070" s="1">
        <v>42706</v>
      </c>
      <c r="B3070" s="1">
        <v>42710</v>
      </c>
      <c r="C3070" t="s">
        <v>7</v>
      </c>
      <c r="D3070" t="s">
        <v>2512</v>
      </c>
      <c r="E3070" t="s">
        <v>2513</v>
      </c>
      <c r="F3070" t="s">
        <v>115</v>
      </c>
      <c r="G3070" t="s">
        <v>4</v>
      </c>
      <c r="H3070" t="s">
        <v>10</v>
      </c>
      <c r="I3070" t="s">
        <v>1088</v>
      </c>
      <c r="J3070" s="2">
        <v>114.28800000000001</v>
      </c>
      <c r="K3070">
        <v>1</v>
      </c>
      <c r="L3070" s="4"/>
    </row>
    <row r="3071" spans="1:12" x14ac:dyDescent="0.3">
      <c r="A3071" s="1">
        <v>42706</v>
      </c>
      <c r="B3071" s="1">
        <v>42710</v>
      </c>
      <c r="C3071" t="s">
        <v>7</v>
      </c>
      <c r="D3071" t="s">
        <v>2512</v>
      </c>
      <c r="E3071" t="s">
        <v>2513</v>
      </c>
      <c r="F3071" t="s">
        <v>115</v>
      </c>
      <c r="G3071" t="s">
        <v>4</v>
      </c>
      <c r="H3071" t="s">
        <v>26</v>
      </c>
      <c r="I3071" t="s">
        <v>1375</v>
      </c>
      <c r="J3071" s="2">
        <v>36.624000000000002</v>
      </c>
      <c r="K3071">
        <v>8</v>
      </c>
      <c r="L3071" s="4"/>
    </row>
    <row r="3072" spans="1:12" x14ac:dyDescent="0.3">
      <c r="A3072" s="1">
        <v>42706</v>
      </c>
      <c r="B3072" s="1">
        <v>42710</v>
      </c>
      <c r="C3072" t="s">
        <v>7</v>
      </c>
      <c r="D3072" t="s">
        <v>2512</v>
      </c>
      <c r="E3072" t="s">
        <v>2513</v>
      </c>
      <c r="F3072" t="s">
        <v>115</v>
      </c>
      <c r="G3072" t="s">
        <v>12</v>
      </c>
      <c r="H3072" t="s">
        <v>13</v>
      </c>
      <c r="I3072" t="s">
        <v>2873</v>
      </c>
      <c r="J3072" s="2">
        <v>242.35200000000003</v>
      </c>
      <c r="K3072">
        <v>8</v>
      </c>
      <c r="L3072" s="4"/>
    </row>
    <row r="3073" spans="1:12" x14ac:dyDescent="0.3">
      <c r="A3073" s="1">
        <v>42706</v>
      </c>
      <c r="B3073" s="1">
        <v>42710</v>
      </c>
      <c r="C3073" t="s">
        <v>7</v>
      </c>
      <c r="D3073" t="s">
        <v>2512</v>
      </c>
      <c r="E3073" t="s">
        <v>2513</v>
      </c>
      <c r="F3073" t="s">
        <v>115</v>
      </c>
      <c r="G3073" t="s">
        <v>74</v>
      </c>
      <c r="H3073" t="s">
        <v>147</v>
      </c>
      <c r="I3073" t="s">
        <v>1090</v>
      </c>
      <c r="J3073" s="2">
        <v>49.616000000000007</v>
      </c>
      <c r="K3073">
        <v>2</v>
      </c>
      <c r="L3073" s="4"/>
    </row>
    <row r="3074" spans="1:12" x14ac:dyDescent="0.3">
      <c r="A3074" s="1">
        <v>42706</v>
      </c>
      <c r="B3074" s="1">
        <v>42710</v>
      </c>
      <c r="C3074" t="s">
        <v>7</v>
      </c>
      <c r="D3074" t="s">
        <v>2512</v>
      </c>
      <c r="E3074" t="s">
        <v>2513</v>
      </c>
      <c r="F3074" t="s">
        <v>115</v>
      </c>
      <c r="G3074" t="s">
        <v>12</v>
      </c>
      <c r="H3074" t="s">
        <v>35</v>
      </c>
      <c r="I3074" t="s">
        <v>2275</v>
      </c>
      <c r="J3074" s="2">
        <v>508.70400000000006</v>
      </c>
      <c r="K3074">
        <v>6</v>
      </c>
      <c r="L3074" s="4"/>
    </row>
    <row r="3075" spans="1:12" x14ac:dyDescent="0.3">
      <c r="A3075" s="1">
        <v>42706</v>
      </c>
      <c r="B3075" s="1">
        <v>42710</v>
      </c>
      <c r="C3075" t="s">
        <v>7</v>
      </c>
      <c r="D3075" t="s">
        <v>2512</v>
      </c>
      <c r="E3075" t="s">
        <v>2513</v>
      </c>
      <c r="F3075" t="s">
        <v>115</v>
      </c>
      <c r="G3075" t="s">
        <v>74</v>
      </c>
      <c r="H3075" t="s">
        <v>147</v>
      </c>
      <c r="I3075" t="s">
        <v>2087</v>
      </c>
      <c r="J3075" s="2">
        <v>57.36</v>
      </c>
      <c r="K3075">
        <v>6</v>
      </c>
      <c r="L3075" s="4"/>
    </row>
    <row r="3076" spans="1:12" x14ac:dyDescent="0.3">
      <c r="A3076" s="1">
        <v>42706</v>
      </c>
      <c r="B3076" s="1">
        <v>42710</v>
      </c>
      <c r="C3076" t="s">
        <v>7</v>
      </c>
      <c r="D3076" t="s">
        <v>2512</v>
      </c>
      <c r="E3076" t="s">
        <v>2513</v>
      </c>
      <c r="F3076" t="s">
        <v>115</v>
      </c>
      <c r="G3076" t="s">
        <v>12</v>
      </c>
      <c r="H3076" t="s">
        <v>70</v>
      </c>
      <c r="I3076" t="s">
        <v>957</v>
      </c>
      <c r="J3076" s="2">
        <v>906.68000000000006</v>
      </c>
      <c r="K3076">
        <v>5</v>
      </c>
      <c r="L3076" s="4"/>
    </row>
    <row r="3077" spans="1:12" x14ac:dyDescent="0.3">
      <c r="A3077" s="1">
        <v>42706</v>
      </c>
      <c r="B3077" s="1">
        <v>42706</v>
      </c>
      <c r="C3077" t="s">
        <v>240</v>
      </c>
      <c r="D3077" t="s">
        <v>2571</v>
      </c>
      <c r="E3077" t="s">
        <v>2572</v>
      </c>
      <c r="F3077" t="s">
        <v>25</v>
      </c>
      <c r="G3077" t="s">
        <v>4</v>
      </c>
      <c r="H3077" t="s">
        <v>26</v>
      </c>
      <c r="I3077" t="s">
        <v>407</v>
      </c>
      <c r="J3077" s="2">
        <v>67.860000000000014</v>
      </c>
      <c r="K3077">
        <v>6</v>
      </c>
      <c r="L3077" s="4"/>
    </row>
    <row r="3078" spans="1:12" x14ac:dyDescent="0.3">
      <c r="A3078" s="1">
        <v>42707</v>
      </c>
      <c r="B3078" s="1">
        <v>42707</v>
      </c>
      <c r="C3078" t="s">
        <v>240</v>
      </c>
      <c r="D3078" t="s">
        <v>1071</v>
      </c>
      <c r="E3078" t="s">
        <v>1072</v>
      </c>
      <c r="F3078" t="s">
        <v>3</v>
      </c>
      <c r="G3078" t="s">
        <v>4</v>
      </c>
      <c r="H3078" t="s">
        <v>5</v>
      </c>
      <c r="I3078" t="s">
        <v>930</v>
      </c>
      <c r="J3078" s="2">
        <v>166.44</v>
      </c>
      <c r="K3078">
        <v>3</v>
      </c>
      <c r="L3078" s="4"/>
    </row>
    <row r="3079" spans="1:12" x14ac:dyDescent="0.3">
      <c r="A3079" s="1">
        <v>42707</v>
      </c>
      <c r="B3079" s="1">
        <v>42711</v>
      </c>
      <c r="C3079" t="s">
        <v>0</v>
      </c>
      <c r="D3079" t="s">
        <v>1674</v>
      </c>
      <c r="E3079" t="s">
        <v>1675</v>
      </c>
      <c r="F3079" t="s">
        <v>56</v>
      </c>
      <c r="G3079" t="s">
        <v>12</v>
      </c>
      <c r="H3079" t="s">
        <v>44</v>
      </c>
      <c r="I3079" t="s">
        <v>98</v>
      </c>
      <c r="J3079" s="2">
        <v>521.96</v>
      </c>
      <c r="K3079">
        <v>2</v>
      </c>
      <c r="L3079" s="4"/>
    </row>
    <row r="3080" spans="1:12" x14ac:dyDescent="0.3">
      <c r="A3080" s="1">
        <v>42707</v>
      </c>
      <c r="B3080" s="1">
        <v>42710</v>
      </c>
      <c r="C3080" t="s">
        <v>0</v>
      </c>
      <c r="D3080" t="s">
        <v>1316</v>
      </c>
      <c r="E3080" t="s">
        <v>1317</v>
      </c>
      <c r="F3080" t="s">
        <v>115</v>
      </c>
      <c r="G3080" t="s">
        <v>4</v>
      </c>
      <c r="H3080" t="s">
        <v>15</v>
      </c>
      <c r="I3080" t="s">
        <v>2714</v>
      </c>
      <c r="J3080" s="2">
        <v>13.343999999999998</v>
      </c>
      <c r="K3080">
        <v>6</v>
      </c>
      <c r="L3080" s="4"/>
    </row>
    <row r="3081" spans="1:12" x14ac:dyDescent="0.3">
      <c r="A3081" s="1">
        <v>42707</v>
      </c>
      <c r="B3081" s="1">
        <v>42710</v>
      </c>
      <c r="C3081" t="s">
        <v>0</v>
      </c>
      <c r="D3081" t="s">
        <v>1316</v>
      </c>
      <c r="E3081" t="s">
        <v>1317</v>
      </c>
      <c r="F3081" t="s">
        <v>115</v>
      </c>
      <c r="G3081" t="s">
        <v>74</v>
      </c>
      <c r="H3081" t="s">
        <v>75</v>
      </c>
      <c r="I3081" t="s">
        <v>495</v>
      </c>
      <c r="J3081" s="2">
        <v>76.75200000000001</v>
      </c>
      <c r="K3081">
        <v>6</v>
      </c>
      <c r="L3081" s="4"/>
    </row>
    <row r="3082" spans="1:12" x14ac:dyDescent="0.3">
      <c r="A3082" s="1">
        <v>42707</v>
      </c>
      <c r="B3082" s="1">
        <v>42710</v>
      </c>
      <c r="C3082" t="s">
        <v>0</v>
      </c>
      <c r="D3082" t="s">
        <v>1316</v>
      </c>
      <c r="E3082" t="s">
        <v>1317</v>
      </c>
      <c r="F3082" t="s">
        <v>115</v>
      </c>
      <c r="G3082" t="s">
        <v>74</v>
      </c>
      <c r="H3082" t="s">
        <v>75</v>
      </c>
      <c r="I3082" t="s">
        <v>495</v>
      </c>
      <c r="J3082" s="2">
        <v>102.33600000000001</v>
      </c>
      <c r="K3082">
        <v>8</v>
      </c>
      <c r="L3082" s="4"/>
    </row>
    <row r="3083" spans="1:12" x14ac:dyDescent="0.3">
      <c r="A3083" s="1">
        <v>42707</v>
      </c>
      <c r="B3083" s="1">
        <v>42710</v>
      </c>
      <c r="C3083" t="s">
        <v>0</v>
      </c>
      <c r="D3083" t="s">
        <v>1316</v>
      </c>
      <c r="E3083" t="s">
        <v>1317</v>
      </c>
      <c r="F3083" t="s">
        <v>115</v>
      </c>
      <c r="G3083" t="s">
        <v>4</v>
      </c>
      <c r="H3083" t="s">
        <v>5</v>
      </c>
      <c r="I3083" t="s">
        <v>691</v>
      </c>
      <c r="J3083" s="2">
        <v>10.32</v>
      </c>
      <c r="K3083">
        <v>2</v>
      </c>
      <c r="L3083" s="4"/>
    </row>
    <row r="3084" spans="1:12" x14ac:dyDescent="0.3">
      <c r="A3084" s="1">
        <v>42707</v>
      </c>
      <c r="B3084" s="1">
        <v>42710</v>
      </c>
      <c r="C3084" t="s">
        <v>0</v>
      </c>
      <c r="D3084" t="s">
        <v>1316</v>
      </c>
      <c r="E3084" t="s">
        <v>1317</v>
      </c>
      <c r="F3084" t="s">
        <v>115</v>
      </c>
      <c r="G3084" t="s">
        <v>4</v>
      </c>
      <c r="H3084" t="s">
        <v>78</v>
      </c>
      <c r="I3084" t="s">
        <v>1545</v>
      </c>
      <c r="J3084" s="2">
        <v>47.32</v>
      </c>
      <c r="K3084">
        <v>7</v>
      </c>
      <c r="L3084" s="4"/>
    </row>
    <row r="3085" spans="1:12" x14ac:dyDescent="0.3">
      <c r="A3085" s="1">
        <v>42707</v>
      </c>
      <c r="B3085" s="1">
        <v>42710</v>
      </c>
      <c r="C3085" t="s">
        <v>0</v>
      </c>
      <c r="D3085" t="s">
        <v>1316</v>
      </c>
      <c r="E3085" t="s">
        <v>1317</v>
      </c>
      <c r="F3085" t="s">
        <v>115</v>
      </c>
      <c r="G3085" t="s">
        <v>12</v>
      </c>
      <c r="H3085" t="s">
        <v>35</v>
      </c>
      <c r="I3085" t="s">
        <v>484</v>
      </c>
      <c r="J3085" s="2">
        <v>23.376000000000001</v>
      </c>
      <c r="K3085">
        <v>3</v>
      </c>
      <c r="L3085" s="4"/>
    </row>
    <row r="3086" spans="1:12" x14ac:dyDescent="0.3">
      <c r="A3086" s="1">
        <v>42707</v>
      </c>
      <c r="B3086" s="1">
        <v>42710</v>
      </c>
      <c r="C3086" t="s">
        <v>0</v>
      </c>
      <c r="D3086" t="s">
        <v>1316</v>
      </c>
      <c r="E3086" t="s">
        <v>1317</v>
      </c>
      <c r="F3086" t="s">
        <v>115</v>
      </c>
      <c r="G3086" t="s">
        <v>12</v>
      </c>
      <c r="H3086" t="s">
        <v>35</v>
      </c>
      <c r="I3086" t="s">
        <v>1042</v>
      </c>
      <c r="J3086" s="2">
        <v>16.72</v>
      </c>
      <c r="K3086">
        <v>5</v>
      </c>
      <c r="L3086" s="4"/>
    </row>
    <row r="3087" spans="1:12" x14ac:dyDescent="0.3">
      <c r="A3087" s="1">
        <v>42707</v>
      </c>
      <c r="B3087" s="1">
        <v>42710</v>
      </c>
      <c r="C3087" t="s">
        <v>0</v>
      </c>
      <c r="D3087" t="s">
        <v>1316</v>
      </c>
      <c r="E3087" t="s">
        <v>1317</v>
      </c>
      <c r="F3087" t="s">
        <v>115</v>
      </c>
      <c r="G3087" t="s">
        <v>12</v>
      </c>
      <c r="H3087" t="s">
        <v>35</v>
      </c>
      <c r="I3087" t="s">
        <v>2736</v>
      </c>
      <c r="J3087" s="2">
        <v>16.192</v>
      </c>
      <c r="K3087">
        <v>1</v>
      </c>
      <c r="L3087" s="4"/>
    </row>
    <row r="3088" spans="1:12" x14ac:dyDescent="0.3">
      <c r="A3088" s="1">
        <v>42708</v>
      </c>
      <c r="B3088" s="1">
        <v>42710</v>
      </c>
      <c r="C3088" t="s">
        <v>22</v>
      </c>
      <c r="D3088" t="s">
        <v>1723</v>
      </c>
      <c r="E3088" t="s">
        <v>1724</v>
      </c>
      <c r="F3088" t="s">
        <v>3</v>
      </c>
      <c r="G3088" t="s">
        <v>4</v>
      </c>
      <c r="H3088" t="s">
        <v>5</v>
      </c>
      <c r="I3088" t="s">
        <v>733</v>
      </c>
      <c r="J3088" s="2">
        <v>11.76</v>
      </c>
      <c r="K3088">
        <v>2</v>
      </c>
      <c r="L3088" s="4"/>
    </row>
    <row r="3089" spans="1:12" x14ac:dyDescent="0.3">
      <c r="A3089" s="1">
        <v>42709</v>
      </c>
      <c r="B3089" s="1">
        <v>42711</v>
      </c>
      <c r="C3089" t="s">
        <v>0</v>
      </c>
      <c r="D3089" t="s">
        <v>302</v>
      </c>
      <c r="E3089" t="s">
        <v>303</v>
      </c>
      <c r="F3089" t="s">
        <v>3</v>
      </c>
      <c r="G3089" t="s">
        <v>4</v>
      </c>
      <c r="H3089" t="s">
        <v>5</v>
      </c>
      <c r="I3089" t="s">
        <v>659</v>
      </c>
      <c r="J3089" s="2">
        <v>92.94</v>
      </c>
      <c r="K3089">
        <v>3</v>
      </c>
      <c r="L3089" s="4"/>
    </row>
    <row r="3090" spans="1:12" x14ac:dyDescent="0.3">
      <c r="A3090" s="1">
        <v>42709</v>
      </c>
      <c r="B3090" s="1">
        <v>42713</v>
      </c>
      <c r="C3090" t="s">
        <v>7</v>
      </c>
      <c r="D3090" t="s">
        <v>1225</v>
      </c>
      <c r="E3090" t="s">
        <v>1226</v>
      </c>
      <c r="F3090" t="s">
        <v>56</v>
      </c>
      <c r="G3090" t="s">
        <v>4</v>
      </c>
      <c r="H3090" t="s">
        <v>26</v>
      </c>
      <c r="I3090" t="s">
        <v>127</v>
      </c>
      <c r="J3090" s="2">
        <v>24.816000000000003</v>
      </c>
      <c r="K3090">
        <v>3</v>
      </c>
      <c r="L3090" s="4"/>
    </row>
    <row r="3091" spans="1:12" x14ac:dyDescent="0.3">
      <c r="A3091" s="1">
        <v>42709</v>
      </c>
      <c r="B3091" s="1">
        <v>42713</v>
      </c>
      <c r="C3091" t="s">
        <v>7</v>
      </c>
      <c r="D3091" t="s">
        <v>1225</v>
      </c>
      <c r="E3091" t="s">
        <v>1226</v>
      </c>
      <c r="F3091" t="s">
        <v>56</v>
      </c>
      <c r="G3091" t="s">
        <v>4</v>
      </c>
      <c r="H3091" t="s">
        <v>26</v>
      </c>
      <c r="I3091" t="s">
        <v>2092</v>
      </c>
      <c r="J3091" s="2">
        <v>14.976000000000003</v>
      </c>
      <c r="K3091">
        <v>6</v>
      </c>
      <c r="L3091" s="4"/>
    </row>
    <row r="3092" spans="1:12" x14ac:dyDescent="0.3">
      <c r="A3092" s="1">
        <v>42709</v>
      </c>
      <c r="B3092" s="1">
        <v>42710</v>
      </c>
      <c r="C3092" t="s">
        <v>22</v>
      </c>
      <c r="D3092" t="s">
        <v>1714</v>
      </c>
      <c r="E3092" t="s">
        <v>1715</v>
      </c>
      <c r="F3092" t="s">
        <v>56</v>
      </c>
      <c r="G3092" t="s">
        <v>4</v>
      </c>
      <c r="H3092" t="s">
        <v>26</v>
      </c>
      <c r="I3092" t="s">
        <v>1299</v>
      </c>
      <c r="J3092" s="2">
        <v>83.920000000000016</v>
      </c>
      <c r="K3092">
        <v>5</v>
      </c>
      <c r="L3092" s="4"/>
    </row>
    <row r="3093" spans="1:12" x14ac:dyDescent="0.3">
      <c r="A3093" s="1">
        <v>42709</v>
      </c>
      <c r="B3093" s="1">
        <v>42710</v>
      </c>
      <c r="C3093" t="s">
        <v>22</v>
      </c>
      <c r="D3093" t="s">
        <v>1714</v>
      </c>
      <c r="E3093" t="s">
        <v>1715</v>
      </c>
      <c r="F3093" t="s">
        <v>56</v>
      </c>
      <c r="G3093" t="s">
        <v>12</v>
      </c>
      <c r="H3093" t="s">
        <v>35</v>
      </c>
      <c r="I3093" t="s">
        <v>2855</v>
      </c>
      <c r="J3093" s="2">
        <v>199.89999999999998</v>
      </c>
      <c r="K3093">
        <v>5</v>
      </c>
      <c r="L3093" s="4"/>
    </row>
    <row r="3094" spans="1:12" x14ac:dyDescent="0.3">
      <c r="A3094" s="1">
        <v>42709</v>
      </c>
      <c r="B3094" s="1">
        <v>42710</v>
      </c>
      <c r="C3094" t="s">
        <v>22</v>
      </c>
      <c r="D3094" t="s">
        <v>1714</v>
      </c>
      <c r="E3094" t="s">
        <v>1715</v>
      </c>
      <c r="F3094" t="s">
        <v>56</v>
      </c>
      <c r="G3094" t="s">
        <v>74</v>
      </c>
      <c r="H3094" t="s">
        <v>147</v>
      </c>
      <c r="I3094" t="s">
        <v>2123</v>
      </c>
      <c r="J3094" s="2">
        <v>31.176000000000002</v>
      </c>
      <c r="K3094">
        <v>3</v>
      </c>
      <c r="L3094" s="4"/>
    </row>
    <row r="3095" spans="1:12" x14ac:dyDescent="0.3">
      <c r="A3095" s="1">
        <v>42709</v>
      </c>
      <c r="B3095" s="1">
        <v>42710</v>
      </c>
      <c r="C3095" t="s">
        <v>22</v>
      </c>
      <c r="D3095" t="s">
        <v>1714</v>
      </c>
      <c r="E3095" t="s">
        <v>1715</v>
      </c>
      <c r="F3095" t="s">
        <v>56</v>
      </c>
      <c r="G3095" t="s">
        <v>4</v>
      </c>
      <c r="H3095" t="s">
        <v>26</v>
      </c>
      <c r="I3095" t="s">
        <v>2335</v>
      </c>
      <c r="J3095" s="2">
        <v>172.75200000000001</v>
      </c>
      <c r="K3095">
        <v>6</v>
      </c>
      <c r="L3095" s="4"/>
    </row>
    <row r="3096" spans="1:12" x14ac:dyDescent="0.3">
      <c r="A3096" s="1">
        <v>42709</v>
      </c>
      <c r="B3096" s="1">
        <v>42710</v>
      </c>
      <c r="C3096" t="s">
        <v>22</v>
      </c>
      <c r="D3096" t="s">
        <v>1714</v>
      </c>
      <c r="E3096" t="s">
        <v>1715</v>
      </c>
      <c r="F3096" t="s">
        <v>56</v>
      </c>
      <c r="G3096" t="s">
        <v>4</v>
      </c>
      <c r="H3096" t="s">
        <v>26</v>
      </c>
      <c r="I3096" t="s">
        <v>1290</v>
      </c>
      <c r="J3096" s="2">
        <v>9.2959999999999994</v>
      </c>
      <c r="K3096">
        <v>2</v>
      </c>
      <c r="L3096" s="4"/>
    </row>
    <row r="3097" spans="1:12" x14ac:dyDescent="0.3">
      <c r="A3097" s="1">
        <v>42710</v>
      </c>
      <c r="B3097" s="1">
        <v>42712</v>
      </c>
      <c r="C3097" t="s">
        <v>0</v>
      </c>
      <c r="D3097" t="s">
        <v>2874</v>
      </c>
      <c r="E3097" t="s">
        <v>2875</v>
      </c>
      <c r="F3097" t="s">
        <v>3</v>
      </c>
      <c r="G3097" t="s">
        <v>4</v>
      </c>
      <c r="H3097" t="s">
        <v>10</v>
      </c>
      <c r="I3097" t="s">
        <v>130</v>
      </c>
      <c r="J3097" s="2">
        <v>10.68</v>
      </c>
      <c r="K3097">
        <v>1</v>
      </c>
      <c r="L3097" s="4"/>
    </row>
    <row r="3098" spans="1:12" x14ac:dyDescent="0.3">
      <c r="A3098" s="1">
        <v>42711</v>
      </c>
      <c r="B3098" s="1">
        <v>42714</v>
      </c>
      <c r="C3098" t="s">
        <v>22</v>
      </c>
      <c r="D3098" t="s">
        <v>1002</v>
      </c>
      <c r="E3098" t="s">
        <v>1003</v>
      </c>
      <c r="F3098" t="s">
        <v>3</v>
      </c>
      <c r="G3098" t="s">
        <v>74</v>
      </c>
      <c r="H3098" t="s">
        <v>147</v>
      </c>
      <c r="I3098" t="s">
        <v>2401</v>
      </c>
      <c r="J3098" s="2">
        <v>374.37600000000003</v>
      </c>
      <c r="K3098">
        <v>3</v>
      </c>
      <c r="L3098" s="4"/>
    </row>
    <row r="3099" spans="1:12" x14ac:dyDescent="0.3">
      <c r="A3099" s="1">
        <v>42711</v>
      </c>
      <c r="B3099" s="1">
        <v>42718</v>
      </c>
      <c r="C3099" t="s">
        <v>7</v>
      </c>
      <c r="D3099" t="s">
        <v>847</v>
      </c>
      <c r="E3099" t="s">
        <v>848</v>
      </c>
      <c r="F3099" t="s">
        <v>3</v>
      </c>
      <c r="G3099" t="s">
        <v>4</v>
      </c>
      <c r="H3099" t="s">
        <v>5</v>
      </c>
      <c r="I3099" t="s">
        <v>1215</v>
      </c>
      <c r="J3099" s="2">
        <v>50.04</v>
      </c>
      <c r="K3099">
        <v>6</v>
      </c>
      <c r="L3099" s="4"/>
    </row>
    <row r="3100" spans="1:12" x14ac:dyDescent="0.3">
      <c r="A3100" s="1">
        <v>42712</v>
      </c>
      <c r="B3100" s="1">
        <v>42716</v>
      </c>
      <c r="C3100" t="s">
        <v>7</v>
      </c>
      <c r="D3100" t="s">
        <v>749</v>
      </c>
      <c r="E3100" t="s">
        <v>750</v>
      </c>
      <c r="F3100" t="s">
        <v>3</v>
      </c>
      <c r="G3100" t="s">
        <v>74</v>
      </c>
      <c r="H3100" t="s">
        <v>75</v>
      </c>
      <c r="I3100" t="s">
        <v>1748</v>
      </c>
      <c r="J3100" s="2">
        <v>179.95000000000002</v>
      </c>
      <c r="K3100">
        <v>5</v>
      </c>
      <c r="L3100" s="4"/>
    </row>
    <row r="3101" spans="1:12" x14ac:dyDescent="0.3">
      <c r="A3101" s="1">
        <v>42712</v>
      </c>
      <c r="B3101" s="1">
        <v>42716</v>
      </c>
      <c r="C3101" t="s">
        <v>7</v>
      </c>
      <c r="D3101" t="s">
        <v>749</v>
      </c>
      <c r="E3101" t="s">
        <v>750</v>
      </c>
      <c r="F3101" t="s">
        <v>3</v>
      </c>
      <c r="G3101" t="s">
        <v>74</v>
      </c>
      <c r="H3101" t="s">
        <v>534</v>
      </c>
      <c r="I3101" t="s">
        <v>535</v>
      </c>
      <c r="J3101" s="2">
        <v>1199.9760000000001</v>
      </c>
      <c r="K3101">
        <v>3</v>
      </c>
      <c r="L3101" s="4"/>
    </row>
    <row r="3102" spans="1:12" x14ac:dyDescent="0.3">
      <c r="A3102" s="1">
        <v>42712</v>
      </c>
      <c r="B3102" s="1">
        <v>42716</v>
      </c>
      <c r="C3102" t="s">
        <v>7</v>
      </c>
      <c r="D3102" t="s">
        <v>749</v>
      </c>
      <c r="E3102" t="s">
        <v>750</v>
      </c>
      <c r="F3102" t="s">
        <v>3</v>
      </c>
      <c r="G3102" t="s">
        <v>4</v>
      </c>
      <c r="H3102" t="s">
        <v>5</v>
      </c>
      <c r="I3102" t="s">
        <v>675</v>
      </c>
      <c r="J3102" s="2">
        <v>27.15</v>
      </c>
      <c r="K3102">
        <v>5</v>
      </c>
      <c r="L3102" s="4"/>
    </row>
    <row r="3103" spans="1:12" x14ac:dyDescent="0.3">
      <c r="A3103" s="1">
        <v>42712</v>
      </c>
      <c r="B3103" s="1">
        <v>42716</v>
      </c>
      <c r="C3103" t="s">
        <v>7</v>
      </c>
      <c r="D3103" t="s">
        <v>749</v>
      </c>
      <c r="E3103" t="s">
        <v>750</v>
      </c>
      <c r="F3103" t="s">
        <v>3</v>
      </c>
      <c r="G3103" t="s">
        <v>12</v>
      </c>
      <c r="H3103" t="s">
        <v>44</v>
      </c>
      <c r="I3103" t="s">
        <v>855</v>
      </c>
      <c r="J3103" s="2">
        <v>1004.0239999999999</v>
      </c>
      <c r="K3103">
        <v>7</v>
      </c>
      <c r="L3103" s="4"/>
    </row>
    <row r="3104" spans="1:12" x14ac:dyDescent="0.3">
      <c r="A3104" s="1">
        <v>42712</v>
      </c>
      <c r="B3104" s="1">
        <v>42716</v>
      </c>
      <c r="C3104" t="s">
        <v>7</v>
      </c>
      <c r="D3104" t="s">
        <v>749</v>
      </c>
      <c r="E3104" t="s">
        <v>750</v>
      </c>
      <c r="F3104" t="s">
        <v>3</v>
      </c>
      <c r="G3104" t="s">
        <v>4</v>
      </c>
      <c r="H3104" t="s">
        <v>5</v>
      </c>
      <c r="I3104" t="s">
        <v>34</v>
      </c>
      <c r="J3104" s="2">
        <v>9.68</v>
      </c>
      <c r="K3104">
        <v>1</v>
      </c>
      <c r="L3104" s="4"/>
    </row>
    <row r="3105" spans="1:12" x14ac:dyDescent="0.3">
      <c r="A3105" s="1">
        <v>42712</v>
      </c>
      <c r="B3105" s="1">
        <v>42716</v>
      </c>
      <c r="C3105" t="s">
        <v>7</v>
      </c>
      <c r="D3105" t="s">
        <v>749</v>
      </c>
      <c r="E3105" t="s">
        <v>750</v>
      </c>
      <c r="F3105" t="s">
        <v>3</v>
      </c>
      <c r="G3105" t="s">
        <v>4</v>
      </c>
      <c r="H3105" t="s">
        <v>168</v>
      </c>
      <c r="I3105" t="s">
        <v>1355</v>
      </c>
      <c r="J3105" s="2">
        <v>28.349999999999998</v>
      </c>
      <c r="K3105">
        <v>9</v>
      </c>
      <c r="L3105" s="4"/>
    </row>
    <row r="3106" spans="1:12" x14ac:dyDescent="0.3">
      <c r="A3106" s="1">
        <v>42712</v>
      </c>
      <c r="B3106" s="1">
        <v>42716</v>
      </c>
      <c r="C3106" t="s">
        <v>7</v>
      </c>
      <c r="D3106" t="s">
        <v>749</v>
      </c>
      <c r="E3106" t="s">
        <v>750</v>
      </c>
      <c r="F3106" t="s">
        <v>3</v>
      </c>
      <c r="G3106" t="s">
        <v>4</v>
      </c>
      <c r="H3106" t="s">
        <v>5</v>
      </c>
      <c r="I3106" t="s">
        <v>2501</v>
      </c>
      <c r="J3106" s="2">
        <v>55.98</v>
      </c>
      <c r="K3106">
        <v>1</v>
      </c>
      <c r="L3106" s="4"/>
    </row>
    <row r="3107" spans="1:12" x14ac:dyDescent="0.3">
      <c r="A3107" s="1">
        <v>42712</v>
      </c>
      <c r="B3107" s="1">
        <v>42716</v>
      </c>
      <c r="C3107" t="s">
        <v>7</v>
      </c>
      <c r="D3107" t="s">
        <v>749</v>
      </c>
      <c r="E3107" t="s">
        <v>750</v>
      </c>
      <c r="F3107" t="s">
        <v>3</v>
      </c>
      <c r="G3107" t="s">
        <v>12</v>
      </c>
      <c r="H3107" t="s">
        <v>13</v>
      </c>
      <c r="I3107" t="s">
        <v>31</v>
      </c>
      <c r="J3107" s="2">
        <v>1336.829</v>
      </c>
      <c r="K3107">
        <v>13</v>
      </c>
      <c r="L3107" s="4"/>
    </row>
    <row r="3108" spans="1:12" x14ac:dyDescent="0.3">
      <c r="A3108" s="1">
        <v>42712</v>
      </c>
      <c r="B3108" s="1">
        <v>42716</v>
      </c>
      <c r="C3108" t="s">
        <v>7</v>
      </c>
      <c r="D3108" t="s">
        <v>749</v>
      </c>
      <c r="E3108" t="s">
        <v>750</v>
      </c>
      <c r="F3108" t="s">
        <v>3</v>
      </c>
      <c r="G3108" t="s">
        <v>12</v>
      </c>
      <c r="H3108" t="s">
        <v>70</v>
      </c>
      <c r="I3108" t="s">
        <v>1635</v>
      </c>
      <c r="J3108" s="2">
        <v>113.56800000000001</v>
      </c>
      <c r="K3108">
        <v>2</v>
      </c>
      <c r="L3108" s="4"/>
    </row>
    <row r="3109" spans="1:12" x14ac:dyDescent="0.3">
      <c r="A3109" s="1">
        <v>42712</v>
      </c>
      <c r="B3109" s="1">
        <v>42713</v>
      </c>
      <c r="C3109" t="s">
        <v>22</v>
      </c>
      <c r="D3109" t="s">
        <v>2876</v>
      </c>
      <c r="E3109" t="s">
        <v>2877</v>
      </c>
      <c r="F3109" t="s">
        <v>3</v>
      </c>
      <c r="G3109" t="s">
        <v>4</v>
      </c>
      <c r="H3109" t="s">
        <v>10</v>
      </c>
      <c r="I3109" t="s">
        <v>2878</v>
      </c>
      <c r="J3109" s="2">
        <v>29.79</v>
      </c>
      <c r="K3109">
        <v>3</v>
      </c>
      <c r="L3109" s="4"/>
    </row>
    <row r="3110" spans="1:12" x14ac:dyDescent="0.3">
      <c r="A3110" s="1">
        <v>42712</v>
      </c>
      <c r="B3110" s="1">
        <v>42713</v>
      </c>
      <c r="C3110" t="s">
        <v>22</v>
      </c>
      <c r="D3110" t="s">
        <v>2876</v>
      </c>
      <c r="E3110" t="s">
        <v>2877</v>
      </c>
      <c r="F3110" t="s">
        <v>3</v>
      </c>
      <c r="G3110" t="s">
        <v>12</v>
      </c>
      <c r="H3110" t="s">
        <v>35</v>
      </c>
      <c r="I3110" t="s">
        <v>2879</v>
      </c>
      <c r="J3110" s="2">
        <v>128.9</v>
      </c>
      <c r="K3110">
        <v>2</v>
      </c>
      <c r="L3110" s="4"/>
    </row>
    <row r="3111" spans="1:12" x14ac:dyDescent="0.3">
      <c r="A3111" s="1">
        <v>42712</v>
      </c>
      <c r="B3111" s="1">
        <v>42713</v>
      </c>
      <c r="C3111" t="s">
        <v>22</v>
      </c>
      <c r="D3111" t="s">
        <v>2876</v>
      </c>
      <c r="E3111" t="s">
        <v>2877</v>
      </c>
      <c r="F3111" t="s">
        <v>3</v>
      </c>
      <c r="G3111" t="s">
        <v>4</v>
      </c>
      <c r="H3111" t="s">
        <v>5</v>
      </c>
      <c r="I3111" t="s">
        <v>2548</v>
      </c>
      <c r="J3111" s="2">
        <v>60.12</v>
      </c>
      <c r="K3111">
        <v>9</v>
      </c>
      <c r="L3111" s="4"/>
    </row>
    <row r="3112" spans="1:12" x14ac:dyDescent="0.3">
      <c r="A3112" s="1">
        <v>42712</v>
      </c>
      <c r="B3112" s="1">
        <v>42716</v>
      </c>
      <c r="C3112" t="s">
        <v>0</v>
      </c>
      <c r="D3112" t="s">
        <v>2391</v>
      </c>
      <c r="E3112" t="s">
        <v>2392</v>
      </c>
      <c r="F3112" t="s">
        <v>3</v>
      </c>
      <c r="G3112" t="s">
        <v>4</v>
      </c>
      <c r="H3112" t="s">
        <v>20</v>
      </c>
      <c r="I3112" t="s">
        <v>2880</v>
      </c>
      <c r="J3112" s="2">
        <v>69.48</v>
      </c>
      <c r="K3112">
        <v>1</v>
      </c>
      <c r="L3112" s="4"/>
    </row>
    <row r="3113" spans="1:12" x14ac:dyDescent="0.3">
      <c r="A3113" s="1">
        <v>42712</v>
      </c>
      <c r="B3113" s="1">
        <v>42718</v>
      </c>
      <c r="C3113" t="s">
        <v>7</v>
      </c>
      <c r="D3113" t="s">
        <v>2881</v>
      </c>
      <c r="E3113" t="s">
        <v>2882</v>
      </c>
      <c r="F3113" t="s">
        <v>3</v>
      </c>
      <c r="G3113" t="s">
        <v>4</v>
      </c>
      <c r="H3113" t="s">
        <v>5</v>
      </c>
      <c r="I3113" t="s">
        <v>2883</v>
      </c>
      <c r="J3113" s="2">
        <v>87.92</v>
      </c>
      <c r="K3113">
        <v>4</v>
      </c>
      <c r="L3113" s="4"/>
    </row>
    <row r="3114" spans="1:12" x14ac:dyDescent="0.3">
      <c r="A3114" s="1">
        <v>42712</v>
      </c>
      <c r="B3114" s="1">
        <v>42718</v>
      </c>
      <c r="C3114" t="s">
        <v>7</v>
      </c>
      <c r="D3114" t="s">
        <v>2881</v>
      </c>
      <c r="E3114" t="s">
        <v>2882</v>
      </c>
      <c r="F3114" t="s">
        <v>3</v>
      </c>
      <c r="G3114" t="s">
        <v>4</v>
      </c>
      <c r="H3114" t="s">
        <v>26</v>
      </c>
      <c r="I3114" t="s">
        <v>1725</v>
      </c>
      <c r="J3114" s="2">
        <v>22.424000000000003</v>
      </c>
      <c r="K3114">
        <v>1</v>
      </c>
      <c r="L3114" s="4"/>
    </row>
    <row r="3115" spans="1:12" x14ac:dyDescent="0.3">
      <c r="A3115" s="1">
        <v>42712</v>
      </c>
      <c r="B3115" s="1">
        <v>42718</v>
      </c>
      <c r="C3115" t="s">
        <v>7</v>
      </c>
      <c r="D3115" t="s">
        <v>2881</v>
      </c>
      <c r="E3115" t="s">
        <v>2882</v>
      </c>
      <c r="F3115" t="s">
        <v>3</v>
      </c>
      <c r="G3115" t="s">
        <v>4</v>
      </c>
      <c r="H3115" t="s">
        <v>26</v>
      </c>
      <c r="I3115" t="s">
        <v>407</v>
      </c>
      <c r="J3115" s="2">
        <v>90.480000000000018</v>
      </c>
      <c r="K3115">
        <v>3</v>
      </c>
      <c r="L3115" s="4"/>
    </row>
    <row r="3116" spans="1:12" x14ac:dyDescent="0.3">
      <c r="A3116" s="1">
        <v>42712</v>
      </c>
      <c r="B3116" s="1">
        <v>42718</v>
      </c>
      <c r="C3116" t="s">
        <v>7</v>
      </c>
      <c r="D3116" t="s">
        <v>2881</v>
      </c>
      <c r="E3116" t="s">
        <v>2882</v>
      </c>
      <c r="F3116" t="s">
        <v>3</v>
      </c>
      <c r="G3116" t="s">
        <v>4</v>
      </c>
      <c r="H3116" t="s">
        <v>10</v>
      </c>
      <c r="I3116" t="s">
        <v>2884</v>
      </c>
      <c r="J3116" s="2">
        <v>42.76</v>
      </c>
      <c r="K3116">
        <v>1</v>
      </c>
      <c r="L3116" s="4"/>
    </row>
    <row r="3117" spans="1:12" x14ac:dyDescent="0.3">
      <c r="A3117" s="1">
        <v>42713</v>
      </c>
      <c r="B3117" s="1">
        <v>42718</v>
      </c>
      <c r="C3117" t="s">
        <v>7</v>
      </c>
      <c r="D3117" t="s">
        <v>2885</v>
      </c>
      <c r="E3117" t="s">
        <v>2886</v>
      </c>
      <c r="F3117" t="s">
        <v>3</v>
      </c>
      <c r="G3117" t="s">
        <v>74</v>
      </c>
      <c r="H3117" t="s">
        <v>147</v>
      </c>
      <c r="I3117" t="s">
        <v>2031</v>
      </c>
      <c r="J3117" s="2">
        <v>444.76800000000003</v>
      </c>
      <c r="K3117">
        <v>4</v>
      </c>
      <c r="L3117" s="4"/>
    </row>
    <row r="3118" spans="1:12" x14ac:dyDescent="0.3">
      <c r="A3118" s="1">
        <v>42713</v>
      </c>
      <c r="B3118" s="1">
        <v>42717</v>
      </c>
      <c r="C3118" t="s">
        <v>0</v>
      </c>
      <c r="D3118" t="s">
        <v>1104</v>
      </c>
      <c r="E3118" t="s">
        <v>1105</v>
      </c>
      <c r="F3118" t="s">
        <v>3</v>
      </c>
      <c r="G3118" t="s">
        <v>4</v>
      </c>
      <c r="H3118" t="s">
        <v>15</v>
      </c>
      <c r="I3118" t="s">
        <v>2606</v>
      </c>
      <c r="J3118" s="2">
        <v>11.16</v>
      </c>
      <c r="K3118">
        <v>2</v>
      </c>
      <c r="L3118" s="4"/>
    </row>
    <row r="3119" spans="1:12" x14ac:dyDescent="0.3">
      <c r="A3119" s="1">
        <v>42713</v>
      </c>
      <c r="B3119" s="1">
        <v>42717</v>
      </c>
      <c r="C3119" t="s">
        <v>0</v>
      </c>
      <c r="D3119" t="s">
        <v>1104</v>
      </c>
      <c r="E3119" t="s">
        <v>1105</v>
      </c>
      <c r="F3119" t="s">
        <v>3</v>
      </c>
      <c r="G3119" t="s">
        <v>12</v>
      </c>
      <c r="H3119" t="s">
        <v>44</v>
      </c>
      <c r="I3119" t="s">
        <v>220</v>
      </c>
      <c r="J3119" s="2">
        <v>896.32799999999997</v>
      </c>
      <c r="K3119">
        <v>9</v>
      </c>
      <c r="L3119" s="4"/>
    </row>
    <row r="3120" spans="1:12" x14ac:dyDescent="0.3">
      <c r="A3120" s="1">
        <v>42713</v>
      </c>
      <c r="B3120" s="1">
        <v>42717</v>
      </c>
      <c r="C3120" t="s">
        <v>0</v>
      </c>
      <c r="D3120" t="s">
        <v>1104</v>
      </c>
      <c r="E3120" t="s">
        <v>1105</v>
      </c>
      <c r="F3120" t="s">
        <v>3</v>
      </c>
      <c r="G3120" t="s">
        <v>4</v>
      </c>
      <c r="H3120" t="s">
        <v>20</v>
      </c>
      <c r="I3120" t="s">
        <v>2887</v>
      </c>
      <c r="J3120" s="2">
        <v>189</v>
      </c>
      <c r="K3120">
        <v>1</v>
      </c>
      <c r="L3120" s="4"/>
    </row>
    <row r="3121" spans="1:12" x14ac:dyDescent="0.3">
      <c r="A3121" s="1">
        <v>42713</v>
      </c>
      <c r="B3121" s="1">
        <v>42717</v>
      </c>
      <c r="C3121" t="s">
        <v>7</v>
      </c>
      <c r="D3121" t="s">
        <v>475</v>
      </c>
      <c r="E3121" t="s">
        <v>476</v>
      </c>
      <c r="F3121" t="s">
        <v>25</v>
      </c>
      <c r="G3121" t="s">
        <v>4</v>
      </c>
      <c r="H3121" t="s">
        <v>5</v>
      </c>
      <c r="I3121" t="s">
        <v>1206</v>
      </c>
      <c r="J3121" s="2">
        <v>419.4</v>
      </c>
      <c r="K3121">
        <v>5</v>
      </c>
      <c r="L3121" s="4"/>
    </row>
    <row r="3122" spans="1:12" x14ac:dyDescent="0.3">
      <c r="A3122" s="1">
        <v>42713</v>
      </c>
      <c r="B3122" s="1">
        <v>42717</v>
      </c>
      <c r="C3122" t="s">
        <v>7</v>
      </c>
      <c r="D3122" t="s">
        <v>475</v>
      </c>
      <c r="E3122" t="s">
        <v>476</v>
      </c>
      <c r="F3122" t="s">
        <v>25</v>
      </c>
      <c r="G3122" t="s">
        <v>4</v>
      </c>
      <c r="H3122" t="s">
        <v>26</v>
      </c>
      <c r="I3122" t="s">
        <v>2888</v>
      </c>
      <c r="J3122" s="2">
        <v>13.005000000000003</v>
      </c>
      <c r="K3122">
        <v>3</v>
      </c>
      <c r="L3122" s="4"/>
    </row>
    <row r="3123" spans="1:12" x14ac:dyDescent="0.3">
      <c r="A3123" s="1">
        <v>42713</v>
      </c>
      <c r="B3123" s="1">
        <v>42715</v>
      </c>
      <c r="C3123" t="s">
        <v>0</v>
      </c>
      <c r="D3123" t="s">
        <v>2269</v>
      </c>
      <c r="E3123" t="s">
        <v>2270</v>
      </c>
      <c r="F3123" t="s">
        <v>3</v>
      </c>
      <c r="G3123" t="s">
        <v>12</v>
      </c>
      <c r="H3123" t="s">
        <v>13</v>
      </c>
      <c r="I3123" t="s">
        <v>2628</v>
      </c>
      <c r="J3123" s="2">
        <v>148.25700000000001</v>
      </c>
      <c r="K3123">
        <v>3</v>
      </c>
      <c r="L3123" s="4"/>
    </row>
    <row r="3124" spans="1:12" x14ac:dyDescent="0.3">
      <c r="A3124" s="1">
        <v>42714</v>
      </c>
      <c r="B3124" s="1">
        <v>42721</v>
      </c>
      <c r="C3124" t="s">
        <v>7</v>
      </c>
      <c r="D3124" t="s">
        <v>2209</v>
      </c>
      <c r="E3124" t="s">
        <v>2210</v>
      </c>
      <c r="F3124" t="s">
        <v>3</v>
      </c>
      <c r="G3124" t="s">
        <v>4</v>
      </c>
      <c r="H3124" t="s">
        <v>26</v>
      </c>
      <c r="I3124" t="s">
        <v>559</v>
      </c>
      <c r="J3124" s="2">
        <v>19.936000000000003</v>
      </c>
      <c r="K3124">
        <v>4</v>
      </c>
      <c r="L3124" s="4"/>
    </row>
    <row r="3125" spans="1:12" x14ac:dyDescent="0.3">
      <c r="A3125" s="1">
        <v>42714</v>
      </c>
      <c r="B3125" s="1">
        <v>42721</v>
      </c>
      <c r="C3125" t="s">
        <v>7</v>
      </c>
      <c r="D3125" t="s">
        <v>2209</v>
      </c>
      <c r="E3125" t="s">
        <v>2210</v>
      </c>
      <c r="F3125" t="s">
        <v>3</v>
      </c>
      <c r="G3125" t="s">
        <v>4</v>
      </c>
      <c r="H3125" t="s">
        <v>26</v>
      </c>
      <c r="I3125" t="s">
        <v>414</v>
      </c>
      <c r="J3125" s="2">
        <v>65.567999999999998</v>
      </c>
      <c r="K3125">
        <v>2</v>
      </c>
      <c r="L3125" s="4"/>
    </row>
    <row r="3126" spans="1:12" x14ac:dyDescent="0.3">
      <c r="A3126" s="1">
        <v>42714</v>
      </c>
      <c r="B3126" s="1">
        <v>42718</v>
      </c>
      <c r="C3126" t="s">
        <v>0</v>
      </c>
      <c r="D3126" t="s">
        <v>1067</v>
      </c>
      <c r="E3126" t="s">
        <v>1068</v>
      </c>
      <c r="F3126" t="s">
        <v>39</v>
      </c>
      <c r="G3126" t="s">
        <v>12</v>
      </c>
      <c r="H3126" t="s">
        <v>44</v>
      </c>
      <c r="I3126" t="s">
        <v>2061</v>
      </c>
      <c r="J3126" s="2">
        <v>1669.6</v>
      </c>
      <c r="K3126">
        <v>4</v>
      </c>
      <c r="L3126" s="4"/>
    </row>
    <row r="3127" spans="1:12" x14ac:dyDescent="0.3">
      <c r="A3127" s="1">
        <v>42714</v>
      </c>
      <c r="B3127" s="1">
        <v>42716</v>
      </c>
      <c r="C3127" t="s">
        <v>0</v>
      </c>
      <c r="D3127" t="s">
        <v>2209</v>
      </c>
      <c r="E3127" t="s">
        <v>2210</v>
      </c>
      <c r="F3127" t="s">
        <v>56</v>
      </c>
      <c r="G3127" t="s">
        <v>74</v>
      </c>
      <c r="H3127" t="s">
        <v>75</v>
      </c>
      <c r="I3127" t="s">
        <v>528</v>
      </c>
      <c r="J3127" s="2">
        <v>49.08</v>
      </c>
      <c r="K3127">
        <v>3</v>
      </c>
      <c r="L3127" s="4"/>
    </row>
    <row r="3128" spans="1:12" x14ac:dyDescent="0.3">
      <c r="A3128" s="1">
        <v>42714</v>
      </c>
      <c r="B3128" s="1">
        <v>42716</v>
      </c>
      <c r="C3128" t="s">
        <v>0</v>
      </c>
      <c r="D3128" t="s">
        <v>2209</v>
      </c>
      <c r="E3128" t="s">
        <v>2210</v>
      </c>
      <c r="F3128" t="s">
        <v>56</v>
      </c>
      <c r="G3128" t="s">
        <v>4</v>
      </c>
      <c r="H3128" t="s">
        <v>10</v>
      </c>
      <c r="I3128" t="s">
        <v>1744</v>
      </c>
      <c r="J3128" s="2">
        <v>324.90000000000003</v>
      </c>
      <c r="K3128">
        <v>5</v>
      </c>
      <c r="L3128" s="4"/>
    </row>
    <row r="3129" spans="1:12" x14ac:dyDescent="0.3">
      <c r="A3129" s="1">
        <v>42714</v>
      </c>
      <c r="B3129" s="1">
        <v>42716</v>
      </c>
      <c r="C3129" t="s">
        <v>0</v>
      </c>
      <c r="D3129" t="s">
        <v>2209</v>
      </c>
      <c r="E3129" t="s">
        <v>2210</v>
      </c>
      <c r="F3129" t="s">
        <v>56</v>
      </c>
      <c r="G3129" t="s">
        <v>4</v>
      </c>
      <c r="H3129" t="s">
        <v>15</v>
      </c>
      <c r="I3129" t="s">
        <v>2889</v>
      </c>
      <c r="J3129" s="2">
        <v>18.240000000000002</v>
      </c>
      <c r="K3129">
        <v>3</v>
      </c>
      <c r="L3129" s="4"/>
    </row>
    <row r="3130" spans="1:12" x14ac:dyDescent="0.3">
      <c r="A3130" s="1">
        <v>42714</v>
      </c>
      <c r="B3130" s="1">
        <v>42716</v>
      </c>
      <c r="C3130" t="s">
        <v>0</v>
      </c>
      <c r="D3130" t="s">
        <v>2890</v>
      </c>
      <c r="E3130" t="s">
        <v>2891</v>
      </c>
      <c r="F3130" t="s">
        <v>3</v>
      </c>
      <c r="G3130" t="s">
        <v>74</v>
      </c>
      <c r="H3130" t="s">
        <v>147</v>
      </c>
      <c r="I3130" t="s">
        <v>2824</v>
      </c>
      <c r="J3130" s="2">
        <v>95.84</v>
      </c>
      <c r="K3130">
        <v>4</v>
      </c>
      <c r="L3130" s="4"/>
    </row>
    <row r="3131" spans="1:12" x14ac:dyDescent="0.3">
      <c r="A3131" s="1">
        <v>42714</v>
      </c>
      <c r="B3131" s="1">
        <v>42716</v>
      </c>
      <c r="C3131" t="s">
        <v>0</v>
      </c>
      <c r="D3131" t="s">
        <v>2890</v>
      </c>
      <c r="E3131" t="s">
        <v>2891</v>
      </c>
      <c r="F3131" t="s">
        <v>3</v>
      </c>
      <c r="G3131" t="s">
        <v>4</v>
      </c>
      <c r="H3131" t="s">
        <v>5</v>
      </c>
      <c r="I3131" t="s">
        <v>6</v>
      </c>
      <c r="J3131" s="2">
        <v>12.96</v>
      </c>
      <c r="K3131">
        <v>2</v>
      </c>
      <c r="L3131" s="4"/>
    </row>
    <row r="3132" spans="1:12" x14ac:dyDescent="0.3">
      <c r="A3132" s="1">
        <v>42717</v>
      </c>
      <c r="B3132" s="1">
        <v>42717</v>
      </c>
      <c r="C3132" t="s">
        <v>240</v>
      </c>
      <c r="D3132" t="s">
        <v>592</v>
      </c>
      <c r="E3132" t="s">
        <v>593</v>
      </c>
      <c r="F3132" t="s">
        <v>56</v>
      </c>
      <c r="G3132" t="s">
        <v>4</v>
      </c>
      <c r="H3132" t="s">
        <v>10</v>
      </c>
      <c r="I3132" t="s">
        <v>1504</v>
      </c>
      <c r="J3132" s="2">
        <v>31.44</v>
      </c>
      <c r="K3132">
        <v>3</v>
      </c>
      <c r="L3132" s="4"/>
    </row>
    <row r="3133" spans="1:12" x14ac:dyDescent="0.3">
      <c r="A3133" s="1">
        <v>42717</v>
      </c>
      <c r="B3133" s="1">
        <v>42722</v>
      </c>
      <c r="C3133" t="s">
        <v>7</v>
      </c>
      <c r="D3133" t="s">
        <v>2285</v>
      </c>
      <c r="E3133" t="s">
        <v>2286</v>
      </c>
      <c r="F3133" t="s">
        <v>3</v>
      </c>
      <c r="G3133" t="s">
        <v>4</v>
      </c>
      <c r="H3133" t="s">
        <v>168</v>
      </c>
      <c r="I3133" t="s">
        <v>417</v>
      </c>
      <c r="J3133" s="2">
        <v>8.64</v>
      </c>
      <c r="K3133">
        <v>3</v>
      </c>
      <c r="L3133" s="4"/>
    </row>
    <row r="3134" spans="1:12" x14ac:dyDescent="0.3">
      <c r="A3134" s="1">
        <v>42717</v>
      </c>
      <c r="B3134" s="1">
        <v>42722</v>
      </c>
      <c r="C3134" t="s">
        <v>7</v>
      </c>
      <c r="D3134" t="s">
        <v>2285</v>
      </c>
      <c r="E3134" t="s">
        <v>2286</v>
      </c>
      <c r="F3134" t="s">
        <v>3</v>
      </c>
      <c r="G3134" t="s">
        <v>4</v>
      </c>
      <c r="H3134" t="s">
        <v>5</v>
      </c>
      <c r="I3134" t="s">
        <v>2339</v>
      </c>
      <c r="J3134" s="2">
        <v>38.880000000000003</v>
      </c>
      <c r="K3134">
        <v>6</v>
      </c>
      <c r="L3134" s="4"/>
    </row>
    <row r="3135" spans="1:12" x14ac:dyDescent="0.3">
      <c r="A3135" s="1">
        <v>42717</v>
      </c>
      <c r="B3135" s="1">
        <v>42722</v>
      </c>
      <c r="C3135" t="s">
        <v>7</v>
      </c>
      <c r="D3135" t="s">
        <v>2285</v>
      </c>
      <c r="E3135" t="s">
        <v>2286</v>
      </c>
      <c r="F3135" t="s">
        <v>3</v>
      </c>
      <c r="G3135" t="s">
        <v>12</v>
      </c>
      <c r="H3135" t="s">
        <v>35</v>
      </c>
      <c r="I3135" t="s">
        <v>2892</v>
      </c>
      <c r="J3135" s="2">
        <v>201.04</v>
      </c>
      <c r="K3135">
        <v>8</v>
      </c>
      <c r="L3135" s="4"/>
    </row>
    <row r="3136" spans="1:12" x14ac:dyDescent="0.3">
      <c r="A3136" s="1">
        <v>42717</v>
      </c>
      <c r="B3136" s="1">
        <v>42722</v>
      </c>
      <c r="C3136" t="s">
        <v>7</v>
      </c>
      <c r="D3136" t="s">
        <v>2285</v>
      </c>
      <c r="E3136" t="s">
        <v>2286</v>
      </c>
      <c r="F3136" t="s">
        <v>3</v>
      </c>
      <c r="G3136" t="s">
        <v>4</v>
      </c>
      <c r="H3136" t="s">
        <v>5</v>
      </c>
      <c r="I3136" t="s">
        <v>2545</v>
      </c>
      <c r="J3136" s="2">
        <v>12.96</v>
      </c>
      <c r="K3136">
        <v>2</v>
      </c>
      <c r="L3136" s="4"/>
    </row>
    <row r="3137" spans="1:12" x14ac:dyDescent="0.3">
      <c r="A3137" s="1">
        <v>42718</v>
      </c>
      <c r="B3137" s="1">
        <v>42722</v>
      </c>
      <c r="C3137" t="s">
        <v>7</v>
      </c>
      <c r="D3137" t="s">
        <v>2420</v>
      </c>
      <c r="E3137" t="s">
        <v>2421</v>
      </c>
      <c r="F3137" t="s">
        <v>3</v>
      </c>
      <c r="G3137" t="s">
        <v>12</v>
      </c>
      <c r="H3137" t="s">
        <v>35</v>
      </c>
      <c r="I3137" t="s">
        <v>2612</v>
      </c>
      <c r="J3137" s="2">
        <v>26.25</v>
      </c>
      <c r="K3137">
        <v>3</v>
      </c>
      <c r="L3137" s="4"/>
    </row>
    <row r="3138" spans="1:12" x14ac:dyDescent="0.3">
      <c r="A3138" s="1">
        <v>42718</v>
      </c>
      <c r="B3138" s="1">
        <v>42722</v>
      </c>
      <c r="C3138" t="s">
        <v>7</v>
      </c>
      <c r="D3138" t="s">
        <v>2420</v>
      </c>
      <c r="E3138" t="s">
        <v>2421</v>
      </c>
      <c r="F3138" t="s">
        <v>3</v>
      </c>
      <c r="G3138" t="s">
        <v>4</v>
      </c>
      <c r="H3138" t="s">
        <v>26</v>
      </c>
      <c r="I3138" t="s">
        <v>1911</v>
      </c>
      <c r="J3138" s="2">
        <v>64.959999999999994</v>
      </c>
      <c r="K3138">
        <v>14</v>
      </c>
      <c r="L3138" s="4"/>
    </row>
    <row r="3139" spans="1:12" x14ac:dyDescent="0.3">
      <c r="A3139" s="1">
        <v>42718</v>
      </c>
      <c r="B3139" s="1">
        <v>42722</v>
      </c>
      <c r="C3139" t="s">
        <v>7</v>
      </c>
      <c r="D3139" t="s">
        <v>2420</v>
      </c>
      <c r="E3139" t="s">
        <v>2421</v>
      </c>
      <c r="F3139" t="s">
        <v>3</v>
      </c>
      <c r="G3139" t="s">
        <v>4</v>
      </c>
      <c r="H3139" t="s">
        <v>29</v>
      </c>
      <c r="I3139" t="s">
        <v>1576</v>
      </c>
      <c r="J3139" s="2">
        <v>43.7</v>
      </c>
      <c r="K3139">
        <v>5</v>
      </c>
      <c r="L3139" s="4"/>
    </row>
    <row r="3140" spans="1:12" x14ac:dyDescent="0.3">
      <c r="A3140" s="1">
        <v>42719</v>
      </c>
      <c r="B3140" s="1">
        <v>42724</v>
      </c>
      <c r="C3140" t="s">
        <v>7</v>
      </c>
      <c r="D3140" t="s">
        <v>836</v>
      </c>
      <c r="E3140" t="s">
        <v>837</v>
      </c>
      <c r="F3140" t="s">
        <v>56</v>
      </c>
      <c r="G3140" t="s">
        <v>12</v>
      </c>
      <c r="H3140" t="s">
        <v>35</v>
      </c>
      <c r="I3140" t="s">
        <v>2893</v>
      </c>
      <c r="J3140" s="2">
        <v>22.77</v>
      </c>
      <c r="K3140">
        <v>3</v>
      </c>
      <c r="L3140" s="4"/>
    </row>
    <row r="3141" spans="1:12" x14ac:dyDescent="0.3">
      <c r="A3141" s="1">
        <v>42719</v>
      </c>
      <c r="B3141" s="1">
        <v>42723</v>
      </c>
      <c r="C3141" t="s">
        <v>7</v>
      </c>
      <c r="D3141" t="s">
        <v>1083</v>
      </c>
      <c r="E3141" t="s">
        <v>1084</v>
      </c>
      <c r="F3141" t="s">
        <v>3</v>
      </c>
      <c r="G3141" t="s">
        <v>4</v>
      </c>
      <c r="H3141" t="s">
        <v>5</v>
      </c>
      <c r="I3141" t="s">
        <v>454</v>
      </c>
      <c r="J3141" s="2">
        <v>22.830000000000002</v>
      </c>
      <c r="K3141">
        <v>3</v>
      </c>
      <c r="L3141" s="4"/>
    </row>
    <row r="3142" spans="1:12" x14ac:dyDescent="0.3">
      <c r="A3142" s="1">
        <v>42719</v>
      </c>
      <c r="B3142" s="1">
        <v>42723</v>
      </c>
      <c r="C3142" t="s">
        <v>7</v>
      </c>
      <c r="D3142" t="s">
        <v>1083</v>
      </c>
      <c r="E3142" t="s">
        <v>1084</v>
      </c>
      <c r="F3142" t="s">
        <v>3</v>
      </c>
      <c r="G3142" t="s">
        <v>4</v>
      </c>
      <c r="H3142" t="s">
        <v>20</v>
      </c>
      <c r="I3142" t="s">
        <v>2558</v>
      </c>
      <c r="J3142" s="2">
        <v>54.32</v>
      </c>
      <c r="K3142">
        <v>4</v>
      </c>
      <c r="L3142" s="4"/>
    </row>
    <row r="3143" spans="1:12" x14ac:dyDescent="0.3">
      <c r="A3143" s="1">
        <v>42719</v>
      </c>
      <c r="B3143" s="1">
        <v>42723</v>
      </c>
      <c r="C3143" t="s">
        <v>7</v>
      </c>
      <c r="D3143" t="s">
        <v>1083</v>
      </c>
      <c r="E3143" t="s">
        <v>1084</v>
      </c>
      <c r="F3143" t="s">
        <v>3</v>
      </c>
      <c r="G3143" t="s">
        <v>74</v>
      </c>
      <c r="H3143" t="s">
        <v>147</v>
      </c>
      <c r="I3143" t="s">
        <v>2503</v>
      </c>
      <c r="J3143" s="2">
        <v>196.77600000000001</v>
      </c>
      <c r="K3143">
        <v>3</v>
      </c>
      <c r="L3143" s="4"/>
    </row>
    <row r="3144" spans="1:12" x14ac:dyDescent="0.3">
      <c r="A3144" s="1">
        <v>42720</v>
      </c>
      <c r="B3144" s="1">
        <v>42725</v>
      </c>
      <c r="C3144" t="s">
        <v>0</v>
      </c>
      <c r="D3144" t="s">
        <v>202</v>
      </c>
      <c r="E3144" t="s">
        <v>203</v>
      </c>
      <c r="F3144" t="s">
        <v>3</v>
      </c>
      <c r="G3144" t="s">
        <v>12</v>
      </c>
      <c r="H3144" t="s">
        <v>70</v>
      </c>
      <c r="I3144" t="s">
        <v>741</v>
      </c>
      <c r="J3144" s="2">
        <v>81.567999999999998</v>
      </c>
      <c r="K3144">
        <v>2</v>
      </c>
      <c r="L3144" s="4"/>
    </row>
    <row r="3145" spans="1:12" x14ac:dyDescent="0.3">
      <c r="A3145" s="1">
        <v>42720</v>
      </c>
      <c r="B3145" s="1">
        <v>42725</v>
      </c>
      <c r="C3145" t="s">
        <v>0</v>
      </c>
      <c r="D3145" t="s">
        <v>202</v>
      </c>
      <c r="E3145" t="s">
        <v>203</v>
      </c>
      <c r="F3145" t="s">
        <v>3</v>
      </c>
      <c r="G3145" t="s">
        <v>12</v>
      </c>
      <c r="H3145" t="s">
        <v>70</v>
      </c>
      <c r="I3145" t="s">
        <v>525</v>
      </c>
      <c r="J3145" s="2">
        <v>97.184000000000012</v>
      </c>
      <c r="K3145">
        <v>2</v>
      </c>
      <c r="L3145" s="4"/>
    </row>
    <row r="3146" spans="1:12" x14ac:dyDescent="0.3">
      <c r="A3146" s="1">
        <v>42720</v>
      </c>
      <c r="B3146" s="1">
        <v>42725</v>
      </c>
      <c r="C3146" t="s">
        <v>0</v>
      </c>
      <c r="D3146" t="s">
        <v>202</v>
      </c>
      <c r="E3146" t="s">
        <v>203</v>
      </c>
      <c r="F3146" t="s">
        <v>3</v>
      </c>
      <c r="G3146" t="s">
        <v>4</v>
      </c>
      <c r="H3146" t="s">
        <v>26</v>
      </c>
      <c r="I3146" t="s">
        <v>1328</v>
      </c>
      <c r="J3146" s="2">
        <v>24.320000000000004</v>
      </c>
      <c r="K3146">
        <v>5</v>
      </c>
      <c r="L3146" s="4"/>
    </row>
    <row r="3147" spans="1:12" x14ac:dyDescent="0.3">
      <c r="A3147" s="1">
        <v>42720</v>
      </c>
      <c r="B3147" s="1">
        <v>42725</v>
      </c>
      <c r="C3147" t="s">
        <v>0</v>
      </c>
      <c r="D3147" t="s">
        <v>202</v>
      </c>
      <c r="E3147" t="s">
        <v>203</v>
      </c>
      <c r="F3147" t="s">
        <v>3</v>
      </c>
      <c r="G3147" t="s">
        <v>12</v>
      </c>
      <c r="H3147" t="s">
        <v>35</v>
      </c>
      <c r="I3147" t="s">
        <v>2567</v>
      </c>
      <c r="J3147" s="2">
        <v>18.96</v>
      </c>
      <c r="K3147">
        <v>2</v>
      </c>
      <c r="L3147" s="4"/>
    </row>
    <row r="3148" spans="1:12" x14ac:dyDescent="0.3">
      <c r="A3148" s="1">
        <v>42720</v>
      </c>
      <c r="B3148" s="1">
        <v>42725</v>
      </c>
      <c r="C3148" t="s">
        <v>0</v>
      </c>
      <c r="D3148" t="s">
        <v>2022</v>
      </c>
      <c r="E3148" t="s">
        <v>2023</v>
      </c>
      <c r="F3148" t="s">
        <v>3</v>
      </c>
      <c r="G3148" t="s">
        <v>4</v>
      </c>
      <c r="H3148" t="s">
        <v>5</v>
      </c>
      <c r="I3148" t="s">
        <v>1653</v>
      </c>
      <c r="J3148" s="2">
        <v>13.36</v>
      </c>
      <c r="K3148">
        <v>2</v>
      </c>
      <c r="L3148" s="4"/>
    </row>
    <row r="3149" spans="1:12" x14ac:dyDescent="0.3">
      <c r="A3149" s="1">
        <v>42720</v>
      </c>
      <c r="B3149" s="1">
        <v>42725</v>
      </c>
      <c r="C3149" t="s">
        <v>0</v>
      </c>
      <c r="D3149" t="s">
        <v>2022</v>
      </c>
      <c r="E3149" t="s">
        <v>2023</v>
      </c>
      <c r="F3149" t="s">
        <v>3</v>
      </c>
      <c r="G3149" t="s">
        <v>4</v>
      </c>
      <c r="H3149" t="s">
        <v>10</v>
      </c>
      <c r="I3149" t="s">
        <v>519</v>
      </c>
      <c r="J3149" s="2">
        <v>158.9</v>
      </c>
      <c r="K3149">
        <v>5</v>
      </c>
      <c r="L3149" s="4"/>
    </row>
    <row r="3150" spans="1:12" x14ac:dyDescent="0.3">
      <c r="A3150" s="1">
        <v>42720</v>
      </c>
      <c r="B3150" s="1">
        <v>42724</v>
      </c>
      <c r="C3150" t="s">
        <v>0</v>
      </c>
      <c r="D3150" t="s">
        <v>2894</v>
      </c>
      <c r="E3150" t="s">
        <v>2895</v>
      </c>
      <c r="F3150" t="s">
        <v>3</v>
      </c>
      <c r="G3150" t="s">
        <v>4</v>
      </c>
      <c r="H3150" t="s">
        <v>26</v>
      </c>
      <c r="I3150" t="s">
        <v>793</v>
      </c>
      <c r="J3150" s="2">
        <v>5.9840000000000009</v>
      </c>
      <c r="K3150">
        <v>2</v>
      </c>
      <c r="L3150" s="4"/>
    </row>
    <row r="3151" spans="1:12" x14ac:dyDescent="0.3">
      <c r="A3151" s="1">
        <v>42720</v>
      </c>
      <c r="B3151" s="1">
        <v>42724</v>
      </c>
      <c r="C3151" t="s">
        <v>0</v>
      </c>
      <c r="D3151" t="s">
        <v>2894</v>
      </c>
      <c r="E3151" t="s">
        <v>2895</v>
      </c>
      <c r="F3151" t="s">
        <v>3</v>
      </c>
      <c r="G3151" t="s">
        <v>74</v>
      </c>
      <c r="H3151" t="s">
        <v>75</v>
      </c>
      <c r="I3151" t="s">
        <v>1700</v>
      </c>
      <c r="J3151" s="2">
        <v>189.95000000000002</v>
      </c>
      <c r="K3151">
        <v>5</v>
      </c>
      <c r="L3151" s="4"/>
    </row>
    <row r="3152" spans="1:12" x14ac:dyDescent="0.3">
      <c r="A3152" s="1">
        <v>42720</v>
      </c>
      <c r="B3152" s="1">
        <v>42724</v>
      </c>
      <c r="C3152" t="s">
        <v>0</v>
      </c>
      <c r="D3152" t="s">
        <v>2894</v>
      </c>
      <c r="E3152" t="s">
        <v>2895</v>
      </c>
      <c r="F3152" t="s">
        <v>3</v>
      </c>
      <c r="G3152" t="s">
        <v>74</v>
      </c>
      <c r="H3152" t="s">
        <v>75</v>
      </c>
      <c r="I3152" t="s">
        <v>2413</v>
      </c>
      <c r="J3152" s="2">
        <v>149.94999999999999</v>
      </c>
      <c r="K3152">
        <v>5</v>
      </c>
      <c r="L3152" s="4"/>
    </row>
    <row r="3153" spans="1:12" x14ac:dyDescent="0.3">
      <c r="A3153" s="1">
        <v>42720</v>
      </c>
      <c r="B3153" s="1">
        <v>42724</v>
      </c>
      <c r="C3153" t="s">
        <v>0</v>
      </c>
      <c r="D3153" t="s">
        <v>2894</v>
      </c>
      <c r="E3153" t="s">
        <v>2895</v>
      </c>
      <c r="F3153" t="s">
        <v>3</v>
      </c>
      <c r="G3153" t="s">
        <v>4</v>
      </c>
      <c r="H3153" t="s">
        <v>15</v>
      </c>
      <c r="I3153" t="s">
        <v>2896</v>
      </c>
      <c r="J3153" s="2">
        <v>29.950000000000003</v>
      </c>
      <c r="K3153">
        <v>5</v>
      </c>
      <c r="L3153" s="4"/>
    </row>
    <row r="3154" spans="1:12" x14ac:dyDescent="0.3">
      <c r="A3154" s="1">
        <v>42720</v>
      </c>
      <c r="B3154" s="1">
        <v>42724</v>
      </c>
      <c r="C3154" t="s">
        <v>0</v>
      </c>
      <c r="D3154" t="s">
        <v>2894</v>
      </c>
      <c r="E3154" t="s">
        <v>2895</v>
      </c>
      <c r="F3154" t="s">
        <v>3</v>
      </c>
      <c r="G3154" t="s">
        <v>4</v>
      </c>
      <c r="H3154" t="s">
        <v>168</v>
      </c>
      <c r="I3154" t="s">
        <v>838</v>
      </c>
      <c r="J3154" s="2">
        <v>44.400000000000006</v>
      </c>
      <c r="K3154">
        <v>3</v>
      </c>
      <c r="L3154" s="4"/>
    </row>
    <row r="3155" spans="1:12" x14ac:dyDescent="0.3">
      <c r="A3155" s="1">
        <v>42721</v>
      </c>
      <c r="B3155" s="1">
        <v>42725</v>
      </c>
      <c r="C3155" t="s">
        <v>7</v>
      </c>
      <c r="D3155" t="s">
        <v>1758</v>
      </c>
      <c r="E3155" t="s">
        <v>1759</v>
      </c>
      <c r="F3155" t="s">
        <v>3</v>
      </c>
      <c r="G3155" t="s">
        <v>4</v>
      </c>
      <c r="H3155" t="s">
        <v>26</v>
      </c>
      <c r="I3155" t="s">
        <v>1444</v>
      </c>
      <c r="J3155" s="2">
        <v>15.24</v>
      </c>
      <c r="K3155">
        <v>5</v>
      </c>
      <c r="L3155" s="4"/>
    </row>
    <row r="3156" spans="1:12" x14ac:dyDescent="0.3">
      <c r="A3156" s="1">
        <v>42721</v>
      </c>
      <c r="B3156" s="1">
        <v>42725</v>
      </c>
      <c r="C3156" t="s">
        <v>7</v>
      </c>
      <c r="D3156" t="s">
        <v>1758</v>
      </c>
      <c r="E3156" t="s">
        <v>1759</v>
      </c>
      <c r="F3156" t="s">
        <v>3</v>
      </c>
      <c r="G3156" t="s">
        <v>4</v>
      </c>
      <c r="H3156" t="s">
        <v>5</v>
      </c>
      <c r="I3156" t="s">
        <v>2195</v>
      </c>
      <c r="J3156" s="2">
        <v>13.23</v>
      </c>
      <c r="K3156">
        <v>3</v>
      </c>
      <c r="L3156" s="4"/>
    </row>
    <row r="3157" spans="1:12" x14ac:dyDescent="0.3">
      <c r="A3157" s="1">
        <v>42721</v>
      </c>
      <c r="B3157" s="1">
        <v>42724</v>
      </c>
      <c r="C3157" t="s">
        <v>22</v>
      </c>
      <c r="D3157" t="s">
        <v>2897</v>
      </c>
      <c r="E3157" t="s">
        <v>2898</v>
      </c>
      <c r="F3157" t="s">
        <v>3</v>
      </c>
      <c r="G3157" t="s">
        <v>4</v>
      </c>
      <c r="H3157" t="s">
        <v>26</v>
      </c>
      <c r="I3157" t="s">
        <v>2083</v>
      </c>
      <c r="J3157" s="2">
        <v>11.808</v>
      </c>
      <c r="K3157">
        <v>2</v>
      </c>
      <c r="L3157" s="4"/>
    </row>
    <row r="3158" spans="1:12" x14ac:dyDescent="0.3">
      <c r="A3158" s="1">
        <v>42721</v>
      </c>
      <c r="B3158" s="1">
        <v>42725</v>
      </c>
      <c r="C3158" t="s">
        <v>7</v>
      </c>
      <c r="D3158" t="s">
        <v>2899</v>
      </c>
      <c r="E3158" t="s">
        <v>2900</v>
      </c>
      <c r="F3158" t="s">
        <v>3</v>
      </c>
      <c r="G3158" t="s">
        <v>4</v>
      </c>
      <c r="H3158" t="s">
        <v>10</v>
      </c>
      <c r="I3158" t="s">
        <v>2449</v>
      </c>
      <c r="J3158" s="2">
        <v>481.32</v>
      </c>
      <c r="K3158">
        <v>4</v>
      </c>
      <c r="L3158" s="4"/>
    </row>
    <row r="3159" spans="1:12" x14ac:dyDescent="0.3">
      <c r="A3159" s="1">
        <v>42721</v>
      </c>
      <c r="B3159" s="1">
        <v>42725</v>
      </c>
      <c r="C3159" t="s">
        <v>7</v>
      </c>
      <c r="D3159" t="s">
        <v>2899</v>
      </c>
      <c r="E3159" t="s">
        <v>2900</v>
      </c>
      <c r="F3159" t="s">
        <v>3</v>
      </c>
      <c r="G3159" t="s">
        <v>4</v>
      </c>
      <c r="H3159" t="s">
        <v>78</v>
      </c>
      <c r="I3159" t="s">
        <v>2448</v>
      </c>
      <c r="J3159" s="2">
        <v>13.98</v>
      </c>
      <c r="K3159">
        <v>1</v>
      </c>
      <c r="L3159" s="4"/>
    </row>
    <row r="3160" spans="1:12" x14ac:dyDescent="0.3">
      <c r="A3160" s="1">
        <v>42722</v>
      </c>
      <c r="B3160" s="1">
        <v>42727</v>
      </c>
      <c r="C3160" t="s">
        <v>0</v>
      </c>
      <c r="D3160" t="s">
        <v>829</v>
      </c>
      <c r="E3160" t="s">
        <v>830</v>
      </c>
      <c r="F3160" t="s">
        <v>3</v>
      </c>
      <c r="G3160" t="s">
        <v>4</v>
      </c>
      <c r="H3160" t="s">
        <v>26</v>
      </c>
      <c r="I3160" t="s">
        <v>1135</v>
      </c>
      <c r="J3160" s="2">
        <v>46.672000000000004</v>
      </c>
      <c r="K3160">
        <v>2</v>
      </c>
      <c r="L3160" s="4"/>
    </row>
    <row r="3161" spans="1:12" x14ac:dyDescent="0.3">
      <c r="A3161" s="1">
        <v>42722</v>
      </c>
      <c r="B3161" s="1">
        <v>42727</v>
      </c>
      <c r="C3161" t="s">
        <v>0</v>
      </c>
      <c r="D3161" t="s">
        <v>829</v>
      </c>
      <c r="E3161" t="s">
        <v>830</v>
      </c>
      <c r="F3161" t="s">
        <v>3</v>
      </c>
      <c r="G3161" t="s">
        <v>12</v>
      </c>
      <c r="H3161" t="s">
        <v>13</v>
      </c>
      <c r="I3161" t="s">
        <v>2901</v>
      </c>
      <c r="J3161" s="2">
        <v>119.83299999999998</v>
      </c>
      <c r="K3161">
        <v>1</v>
      </c>
      <c r="L3161" s="4"/>
    </row>
    <row r="3162" spans="1:12" x14ac:dyDescent="0.3">
      <c r="A3162" s="1">
        <v>42722</v>
      </c>
      <c r="B3162" s="1">
        <v>42727</v>
      </c>
      <c r="C3162" t="s">
        <v>0</v>
      </c>
      <c r="D3162" t="s">
        <v>829</v>
      </c>
      <c r="E3162" t="s">
        <v>830</v>
      </c>
      <c r="F3162" t="s">
        <v>3</v>
      </c>
      <c r="G3162" t="s">
        <v>74</v>
      </c>
      <c r="H3162" t="s">
        <v>75</v>
      </c>
      <c r="I3162" t="s">
        <v>784</v>
      </c>
      <c r="J3162" s="2">
        <v>119.98</v>
      </c>
      <c r="K3162">
        <v>2</v>
      </c>
      <c r="L3162" s="4"/>
    </row>
    <row r="3163" spans="1:12" x14ac:dyDescent="0.3">
      <c r="A3163" s="1">
        <v>42722</v>
      </c>
      <c r="B3163" s="1">
        <v>42723</v>
      </c>
      <c r="C3163" t="s">
        <v>22</v>
      </c>
      <c r="D3163" t="s">
        <v>2285</v>
      </c>
      <c r="E3163" t="s">
        <v>2286</v>
      </c>
      <c r="F3163" t="s">
        <v>3</v>
      </c>
      <c r="G3163" t="s">
        <v>4</v>
      </c>
      <c r="H3163" t="s">
        <v>15</v>
      </c>
      <c r="I3163" t="s">
        <v>2902</v>
      </c>
      <c r="J3163" s="2">
        <v>6.63</v>
      </c>
      <c r="K3163">
        <v>3</v>
      </c>
      <c r="L3163" s="4"/>
    </row>
    <row r="3164" spans="1:12" x14ac:dyDescent="0.3">
      <c r="A3164" s="1">
        <v>42722</v>
      </c>
      <c r="B3164" s="1">
        <v>42723</v>
      </c>
      <c r="C3164" t="s">
        <v>22</v>
      </c>
      <c r="D3164" t="s">
        <v>2285</v>
      </c>
      <c r="E3164" t="s">
        <v>2286</v>
      </c>
      <c r="F3164" t="s">
        <v>3</v>
      </c>
      <c r="G3164" t="s">
        <v>4</v>
      </c>
      <c r="H3164" t="s">
        <v>5</v>
      </c>
      <c r="I3164" t="s">
        <v>2339</v>
      </c>
      <c r="J3164" s="2">
        <v>12.96</v>
      </c>
      <c r="K3164">
        <v>2</v>
      </c>
      <c r="L3164" s="4"/>
    </row>
    <row r="3165" spans="1:12" x14ac:dyDescent="0.3">
      <c r="A3165" s="1">
        <v>42722</v>
      </c>
      <c r="B3165" s="1">
        <v>42723</v>
      </c>
      <c r="C3165" t="s">
        <v>22</v>
      </c>
      <c r="D3165" t="s">
        <v>2285</v>
      </c>
      <c r="E3165" t="s">
        <v>2286</v>
      </c>
      <c r="F3165" t="s">
        <v>3</v>
      </c>
      <c r="G3165" t="s">
        <v>4</v>
      </c>
      <c r="H3165" t="s">
        <v>5</v>
      </c>
      <c r="I3165" t="s">
        <v>1813</v>
      </c>
      <c r="J3165" s="2">
        <v>32.400000000000006</v>
      </c>
      <c r="K3165">
        <v>5</v>
      </c>
      <c r="L3165" s="4"/>
    </row>
    <row r="3166" spans="1:12" x14ac:dyDescent="0.3">
      <c r="A3166" s="1">
        <v>42722</v>
      </c>
      <c r="B3166" s="1">
        <v>42728</v>
      </c>
      <c r="C3166" t="s">
        <v>7</v>
      </c>
      <c r="D3166" t="s">
        <v>2464</v>
      </c>
      <c r="E3166" t="s">
        <v>2465</v>
      </c>
      <c r="F3166" t="s">
        <v>3</v>
      </c>
      <c r="G3166" t="s">
        <v>4</v>
      </c>
      <c r="H3166" t="s">
        <v>15</v>
      </c>
      <c r="I3166" t="s">
        <v>2903</v>
      </c>
      <c r="J3166" s="2">
        <v>5.76</v>
      </c>
      <c r="K3166">
        <v>2</v>
      </c>
      <c r="L3166" s="4"/>
    </row>
    <row r="3167" spans="1:12" x14ac:dyDescent="0.3">
      <c r="A3167" s="1">
        <v>42723</v>
      </c>
      <c r="B3167" s="1">
        <v>42728</v>
      </c>
      <c r="C3167" t="s">
        <v>0</v>
      </c>
      <c r="D3167" t="s">
        <v>2480</v>
      </c>
      <c r="E3167" t="s">
        <v>2481</v>
      </c>
      <c r="F3167" t="s">
        <v>3</v>
      </c>
      <c r="G3167" t="s">
        <v>4</v>
      </c>
      <c r="H3167" t="s">
        <v>26</v>
      </c>
      <c r="I3167" t="s">
        <v>1689</v>
      </c>
      <c r="J3167" s="2">
        <v>36.672000000000004</v>
      </c>
      <c r="K3167">
        <v>2</v>
      </c>
      <c r="L3167" s="4"/>
    </row>
    <row r="3168" spans="1:12" x14ac:dyDescent="0.3">
      <c r="A3168" s="1">
        <v>42723</v>
      </c>
      <c r="B3168" s="1">
        <v>42727</v>
      </c>
      <c r="C3168" t="s">
        <v>7</v>
      </c>
      <c r="D3168" t="s">
        <v>2751</v>
      </c>
      <c r="E3168" t="s">
        <v>2752</v>
      </c>
      <c r="F3168" t="s">
        <v>115</v>
      </c>
      <c r="G3168" t="s">
        <v>12</v>
      </c>
      <c r="H3168" t="s">
        <v>35</v>
      </c>
      <c r="I3168" t="s">
        <v>864</v>
      </c>
      <c r="J3168" s="2">
        <v>13.360000000000001</v>
      </c>
      <c r="K3168">
        <v>5</v>
      </c>
      <c r="L3168" s="4"/>
    </row>
    <row r="3169" spans="1:12" x14ac:dyDescent="0.3">
      <c r="A3169" s="1">
        <v>42723</v>
      </c>
      <c r="B3169" s="1">
        <v>42727</v>
      </c>
      <c r="C3169" t="s">
        <v>7</v>
      </c>
      <c r="D3169" t="s">
        <v>2751</v>
      </c>
      <c r="E3169" t="s">
        <v>2752</v>
      </c>
      <c r="F3169" t="s">
        <v>115</v>
      </c>
      <c r="G3169" t="s">
        <v>4</v>
      </c>
      <c r="H3169" t="s">
        <v>10</v>
      </c>
      <c r="I3169" t="s">
        <v>1765</v>
      </c>
      <c r="J3169" s="2">
        <v>78.256</v>
      </c>
      <c r="K3169">
        <v>2</v>
      </c>
      <c r="L3169" s="4"/>
    </row>
    <row r="3170" spans="1:12" x14ac:dyDescent="0.3">
      <c r="A3170" s="1">
        <v>42723</v>
      </c>
      <c r="B3170" s="1">
        <v>42727</v>
      </c>
      <c r="C3170" t="s">
        <v>7</v>
      </c>
      <c r="D3170" t="s">
        <v>2751</v>
      </c>
      <c r="E3170" t="s">
        <v>2752</v>
      </c>
      <c r="F3170" t="s">
        <v>115</v>
      </c>
      <c r="G3170" t="s">
        <v>12</v>
      </c>
      <c r="H3170" t="s">
        <v>13</v>
      </c>
      <c r="I3170" t="s">
        <v>1891</v>
      </c>
      <c r="J3170" s="2">
        <v>102.01800000000001</v>
      </c>
      <c r="K3170">
        <v>7</v>
      </c>
      <c r="L3170" s="4"/>
    </row>
    <row r="3171" spans="1:12" x14ac:dyDescent="0.3">
      <c r="A3171" s="1">
        <v>42725</v>
      </c>
      <c r="B3171" s="1">
        <v>42729</v>
      </c>
      <c r="C3171" t="s">
        <v>7</v>
      </c>
      <c r="D3171" t="s">
        <v>644</v>
      </c>
      <c r="E3171" t="s">
        <v>645</v>
      </c>
      <c r="F3171" t="s">
        <v>3</v>
      </c>
      <c r="G3171" t="s">
        <v>4</v>
      </c>
      <c r="H3171" t="s">
        <v>15</v>
      </c>
      <c r="I3171" t="s">
        <v>2902</v>
      </c>
      <c r="J3171" s="2">
        <v>6.63</v>
      </c>
      <c r="K3171">
        <v>3</v>
      </c>
      <c r="L3171" s="4"/>
    </row>
    <row r="3172" spans="1:12" x14ac:dyDescent="0.3">
      <c r="A3172" s="1">
        <v>42725</v>
      </c>
      <c r="B3172" s="1">
        <v>42729</v>
      </c>
      <c r="C3172" t="s">
        <v>7</v>
      </c>
      <c r="D3172" t="s">
        <v>644</v>
      </c>
      <c r="E3172" t="s">
        <v>645</v>
      </c>
      <c r="F3172" t="s">
        <v>3</v>
      </c>
      <c r="G3172" t="s">
        <v>4</v>
      </c>
      <c r="H3172" t="s">
        <v>15</v>
      </c>
      <c r="I3172" t="s">
        <v>1318</v>
      </c>
      <c r="J3172" s="2">
        <v>5.88</v>
      </c>
      <c r="K3172">
        <v>2</v>
      </c>
      <c r="L3172" s="4"/>
    </row>
    <row r="3173" spans="1:12" x14ac:dyDescent="0.3">
      <c r="A3173" s="1">
        <v>42725</v>
      </c>
      <c r="B3173" s="1">
        <v>42729</v>
      </c>
      <c r="C3173" t="s">
        <v>7</v>
      </c>
      <c r="D3173" t="s">
        <v>1789</v>
      </c>
      <c r="E3173" t="s">
        <v>1790</v>
      </c>
      <c r="F3173" t="s">
        <v>3</v>
      </c>
      <c r="G3173" t="s">
        <v>4</v>
      </c>
      <c r="H3173" t="s">
        <v>10</v>
      </c>
      <c r="I3173" t="s">
        <v>1088</v>
      </c>
      <c r="J3173" s="2">
        <v>1000.0200000000001</v>
      </c>
      <c r="K3173">
        <v>7</v>
      </c>
      <c r="L3173" s="4"/>
    </row>
    <row r="3174" spans="1:12" x14ac:dyDescent="0.3">
      <c r="A3174" s="1">
        <v>42725</v>
      </c>
      <c r="B3174" s="1">
        <v>42731</v>
      </c>
      <c r="C3174" t="s">
        <v>7</v>
      </c>
      <c r="D3174" t="s">
        <v>222</v>
      </c>
      <c r="E3174" t="s">
        <v>223</v>
      </c>
      <c r="F3174" t="s">
        <v>3</v>
      </c>
      <c r="G3174" t="s">
        <v>4</v>
      </c>
      <c r="H3174" t="s">
        <v>10</v>
      </c>
      <c r="I3174" t="s">
        <v>718</v>
      </c>
      <c r="J3174" s="2">
        <v>124.36</v>
      </c>
      <c r="K3174">
        <v>2</v>
      </c>
      <c r="L3174" s="4"/>
    </row>
    <row r="3175" spans="1:12" x14ac:dyDescent="0.3">
      <c r="A3175" s="1">
        <v>42726</v>
      </c>
      <c r="B3175" s="1">
        <v>42730</v>
      </c>
      <c r="C3175" t="s">
        <v>7</v>
      </c>
      <c r="D3175" t="s">
        <v>213</v>
      </c>
      <c r="E3175" t="s">
        <v>214</v>
      </c>
      <c r="F3175" t="s">
        <v>172</v>
      </c>
      <c r="G3175" t="s">
        <v>4</v>
      </c>
      <c r="H3175" t="s">
        <v>15</v>
      </c>
      <c r="I3175" t="s">
        <v>2904</v>
      </c>
      <c r="J3175" s="2">
        <v>4.17</v>
      </c>
      <c r="K3175">
        <v>3</v>
      </c>
      <c r="L3175" s="4"/>
    </row>
    <row r="3176" spans="1:12" x14ac:dyDescent="0.3">
      <c r="A3176" s="1">
        <v>42726</v>
      </c>
      <c r="B3176" s="1">
        <v>42730</v>
      </c>
      <c r="C3176" t="s">
        <v>7</v>
      </c>
      <c r="D3176" t="s">
        <v>213</v>
      </c>
      <c r="E3176" t="s">
        <v>214</v>
      </c>
      <c r="F3176" t="s">
        <v>172</v>
      </c>
      <c r="G3176" t="s">
        <v>74</v>
      </c>
      <c r="H3176" t="s">
        <v>147</v>
      </c>
      <c r="I3176" t="s">
        <v>2363</v>
      </c>
      <c r="J3176" s="2">
        <v>67.040000000000006</v>
      </c>
      <c r="K3176">
        <v>4</v>
      </c>
      <c r="L3176" s="4"/>
    </row>
    <row r="3177" spans="1:12" x14ac:dyDescent="0.3">
      <c r="A3177" s="1">
        <v>42726</v>
      </c>
      <c r="B3177" s="1">
        <v>42730</v>
      </c>
      <c r="C3177" t="s">
        <v>7</v>
      </c>
      <c r="D3177" t="s">
        <v>213</v>
      </c>
      <c r="E3177" t="s">
        <v>214</v>
      </c>
      <c r="F3177" t="s">
        <v>172</v>
      </c>
      <c r="G3177" t="s">
        <v>4</v>
      </c>
      <c r="H3177" t="s">
        <v>10</v>
      </c>
      <c r="I3177" t="s">
        <v>229</v>
      </c>
      <c r="J3177" s="2">
        <v>37.32</v>
      </c>
      <c r="K3177">
        <v>3</v>
      </c>
      <c r="L3177" s="4"/>
    </row>
    <row r="3178" spans="1:12" x14ac:dyDescent="0.3">
      <c r="A3178" s="1">
        <v>42726</v>
      </c>
      <c r="B3178" s="1">
        <v>42730</v>
      </c>
      <c r="C3178" t="s">
        <v>7</v>
      </c>
      <c r="D3178" t="s">
        <v>213</v>
      </c>
      <c r="E3178" t="s">
        <v>214</v>
      </c>
      <c r="F3178" t="s">
        <v>172</v>
      </c>
      <c r="G3178" t="s">
        <v>4</v>
      </c>
      <c r="H3178" t="s">
        <v>168</v>
      </c>
      <c r="I3178" t="s">
        <v>2562</v>
      </c>
      <c r="J3178" s="2">
        <v>18.45</v>
      </c>
      <c r="K3178">
        <v>5</v>
      </c>
      <c r="L3178" s="4"/>
    </row>
    <row r="3179" spans="1:12" x14ac:dyDescent="0.3">
      <c r="A3179" s="1">
        <v>42726</v>
      </c>
      <c r="B3179" s="1">
        <v>42729</v>
      </c>
      <c r="C3179" t="s">
        <v>0</v>
      </c>
      <c r="D3179" t="s">
        <v>2890</v>
      </c>
      <c r="E3179" t="s">
        <v>2891</v>
      </c>
      <c r="F3179" t="s">
        <v>25</v>
      </c>
      <c r="G3179" t="s">
        <v>12</v>
      </c>
      <c r="H3179" t="s">
        <v>44</v>
      </c>
      <c r="I3179" t="s">
        <v>927</v>
      </c>
      <c r="J3179" s="2">
        <v>182.55</v>
      </c>
      <c r="K3179">
        <v>2</v>
      </c>
      <c r="L3179" s="4"/>
    </row>
    <row r="3180" spans="1:12" x14ac:dyDescent="0.3">
      <c r="A3180" s="1">
        <v>42726</v>
      </c>
      <c r="B3180" s="1">
        <v>42728</v>
      </c>
      <c r="C3180" t="s">
        <v>22</v>
      </c>
      <c r="D3180" t="s">
        <v>2789</v>
      </c>
      <c r="E3180" t="s">
        <v>2790</v>
      </c>
      <c r="F3180" t="s">
        <v>3</v>
      </c>
      <c r="G3180" t="s">
        <v>74</v>
      </c>
      <c r="H3180" t="s">
        <v>75</v>
      </c>
      <c r="I3180" t="s">
        <v>936</v>
      </c>
      <c r="J3180" s="2">
        <v>474.95</v>
      </c>
      <c r="K3180">
        <v>5</v>
      </c>
      <c r="L3180" s="4"/>
    </row>
    <row r="3181" spans="1:12" x14ac:dyDescent="0.3">
      <c r="A3181" s="1">
        <v>42727</v>
      </c>
      <c r="B3181" s="1">
        <v>42727</v>
      </c>
      <c r="C3181" t="s">
        <v>240</v>
      </c>
      <c r="D3181" t="s">
        <v>619</v>
      </c>
      <c r="E3181" t="s">
        <v>620</v>
      </c>
      <c r="F3181" t="s">
        <v>3</v>
      </c>
      <c r="G3181" t="s">
        <v>4</v>
      </c>
      <c r="H3181" t="s">
        <v>15</v>
      </c>
      <c r="I3181" t="s">
        <v>2905</v>
      </c>
      <c r="J3181" s="2">
        <v>13.48</v>
      </c>
      <c r="K3181">
        <v>4</v>
      </c>
      <c r="L3181" s="4"/>
    </row>
    <row r="3182" spans="1:12" x14ac:dyDescent="0.3">
      <c r="A3182" s="1">
        <v>42728</v>
      </c>
      <c r="B3182" s="1">
        <v>42735</v>
      </c>
      <c r="C3182" t="s">
        <v>7</v>
      </c>
      <c r="D3182" t="s">
        <v>977</v>
      </c>
      <c r="E3182" t="s">
        <v>978</v>
      </c>
      <c r="F3182" t="s">
        <v>56</v>
      </c>
      <c r="G3182" t="s">
        <v>4</v>
      </c>
      <c r="H3182" t="s">
        <v>10</v>
      </c>
      <c r="I3182" t="s">
        <v>961</v>
      </c>
      <c r="J3182" s="2">
        <v>1003.6200000000001</v>
      </c>
      <c r="K3182">
        <v>6</v>
      </c>
      <c r="L3182" s="4"/>
    </row>
    <row r="3183" spans="1:12" x14ac:dyDescent="0.3">
      <c r="A3183" s="1">
        <v>42728</v>
      </c>
      <c r="B3183" s="1">
        <v>42729</v>
      </c>
      <c r="C3183" t="s">
        <v>22</v>
      </c>
      <c r="D3183" t="s">
        <v>1622</v>
      </c>
      <c r="E3183" t="s">
        <v>1623</v>
      </c>
      <c r="F3183" t="s">
        <v>3</v>
      </c>
      <c r="G3183" t="s">
        <v>74</v>
      </c>
      <c r="H3183" t="s">
        <v>534</v>
      </c>
      <c r="I3183" t="s">
        <v>1501</v>
      </c>
      <c r="J3183" s="2">
        <v>2879.9520000000002</v>
      </c>
      <c r="K3183">
        <v>6</v>
      </c>
      <c r="L3183" s="4"/>
    </row>
    <row r="3184" spans="1:12" x14ac:dyDescent="0.3">
      <c r="A3184" s="1">
        <v>42728</v>
      </c>
      <c r="B3184" s="1">
        <v>42729</v>
      </c>
      <c r="C3184" t="s">
        <v>22</v>
      </c>
      <c r="D3184" t="s">
        <v>1622</v>
      </c>
      <c r="E3184" t="s">
        <v>1623</v>
      </c>
      <c r="F3184" t="s">
        <v>3</v>
      </c>
      <c r="G3184" t="s">
        <v>4</v>
      </c>
      <c r="H3184" t="s">
        <v>26</v>
      </c>
      <c r="I3184" t="s">
        <v>407</v>
      </c>
      <c r="J3184" s="2">
        <v>90.480000000000018</v>
      </c>
      <c r="K3184">
        <v>3</v>
      </c>
      <c r="L3184" s="4"/>
    </row>
    <row r="3185" spans="1:12" x14ac:dyDescent="0.3">
      <c r="A3185" s="1">
        <v>42728</v>
      </c>
      <c r="B3185" s="1">
        <v>42735</v>
      </c>
      <c r="C3185" t="s">
        <v>7</v>
      </c>
      <c r="D3185" t="s">
        <v>1127</v>
      </c>
      <c r="E3185" t="s">
        <v>1128</v>
      </c>
      <c r="F3185" t="s">
        <v>25</v>
      </c>
      <c r="G3185" t="s">
        <v>12</v>
      </c>
      <c r="H3185" t="s">
        <v>35</v>
      </c>
      <c r="I3185" t="s">
        <v>392</v>
      </c>
      <c r="J3185" s="2">
        <v>8.5440000000000005</v>
      </c>
      <c r="K3185">
        <v>4</v>
      </c>
      <c r="L3185" s="4"/>
    </row>
    <row r="3186" spans="1:12" x14ac:dyDescent="0.3">
      <c r="A3186" s="1">
        <v>42728</v>
      </c>
      <c r="B3186" s="1">
        <v>42735</v>
      </c>
      <c r="C3186" t="s">
        <v>7</v>
      </c>
      <c r="D3186" t="s">
        <v>1127</v>
      </c>
      <c r="E3186" t="s">
        <v>1128</v>
      </c>
      <c r="F3186" t="s">
        <v>25</v>
      </c>
      <c r="G3186" t="s">
        <v>12</v>
      </c>
      <c r="H3186" t="s">
        <v>70</v>
      </c>
      <c r="I3186" t="s">
        <v>2369</v>
      </c>
      <c r="J3186" s="2">
        <v>842.37600000000009</v>
      </c>
      <c r="K3186">
        <v>3</v>
      </c>
      <c r="L3186" s="4"/>
    </row>
    <row r="3187" spans="1:12" x14ac:dyDescent="0.3">
      <c r="A3187" s="1">
        <v>42728</v>
      </c>
      <c r="B3187" s="1">
        <v>42734</v>
      </c>
      <c r="C3187" t="s">
        <v>7</v>
      </c>
      <c r="D3187" t="s">
        <v>2078</v>
      </c>
      <c r="E3187" t="s">
        <v>2079</v>
      </c>
      <c r="F3187" t="s">
        <v>224</v>
      </c>
      <c r="G3187" t="s">
        <v>4</v>
      </c>
      <c r="H3187" t="s">
        <v>26</v>
      </c>
      <c r="I3187" t="s">
        <v>2906</v>
      </c>
      <c r="J3187" s="2">
        <v>21.312000000000005</v>
      </c>
      <c r="K3187">
        <v>3</v>
      </c>
      <c r="L3187" s="4"/>
    </row>
    <row r="3188" spans="1:12" x14ac:dyDescent="0.3">
      <c r="A3188" s="1">
        <v>42729</v>
      </c>
      <c r="B3188" s="1">
        <v>42733</v>
      </c>
      <c r="C3188" t="s">
        <v>7</v>
      </c>
      <c r="D3188" t="s">
        <v>1202</v>
      </c>
      <c r="E3188" t="s">
        <v>1203</v>
      </c>
      <c r="F3188" t="s">
        <v>3</v>
      </c>
      <c r="G3188" t="s">
        <v>4</v>
      </c>
      <c r="H3188" t="s">
        <v>26</v>
      </c>
      <c r="I3188" t="s">
        <v>2406</v>
      </c>
      <c r="J3188" s="2">
        <v>153.55199999999999</v>
      </c>
      <c r="K3188">
        <v>3</v>
      </c>
      <c r="L3188" s="4"/>
    </row>
    <row r="3189" spans="1:12" x14ac:dyDescent="0.3">
      <c r="A3189" s="1">
        <v>42729</v>
      </c>
      <c r="B3189" s="1">
        <v>42733</v>
      </c>
      <c r="C3189" t="s">
        <v>7</v>
      </c>
      <c r="D3189" t="s">
        <v>1202</v>
      </c>
      <c r="E3189" t="s">
        <v>1203</v>
      </c>
      <c r="F3189" t="s">
        <v>3</v>
      </c>
      <c r="G3189" t="s">
        <v>4</v>
      </c>
      <c r="H3189" t="s">
        <v>10</v>
      </c>
      <c r="I3189" t="s">
        <v>1280</v>
      </c>
      <c r="J3189" s="2">
        <v>270.62</v>
      </c>
      <c r="K3189">
        <v>2</v>
      </c>
      <c r="L3189" s="4"/>
    </row>
    <row r="3190" spans="1:12" x14ac:dyDescent="0.3">
      <c r="A3190" s="1">
        <v>42729</v>
      </c>
      <c r="B3190" s="1">
        <v>42733</v>
      </c>
      <c r="C3190" t="s">
        <v>7</v>
      </c>
      <c r="D3190" t="s">
        <v>2616</v>
      </c>
      <c r="E3190" t="s">
        <v>2617</v>
      </c>
      <c r="F3190" t="s">
        <v>56</v>
      </c>
      <c r="G3190" t="s">
        <v>4</v>
      </c>
      <c r="H3190" t="s">
        <v>26</v>
      </c>
      <c r="I3190" t="s">
        <v>426</v>
      </c>
      <c r="J3190" s="2">
        <v>3.8560000000000003</v>
      </c>
      <c r="K3190">
        <v>1</v>
      </c>
      <c r="L3190" s="4"/>
    </row>
    <row r="3191" spans="1:12" x14ac:dyDescent="0.3">
      <c r="A3191" s="1">
        <v>42732</v>
      </c>
      <c r="B3191" s="1">
        <v>42737</v>
      </c>
      <c r="C3191" t="s">
        <v>0</v>
      </c>
      <c r="D3191" t="s">
        <v>1647</v>
      </c>
      <c r="E3191" t="s">
        <v>1648</v>
      </c>
      <c r="F3191" t="s">
        <v>3</v>
      </c>
      <c r="G3191" t="s">
        <v>4</v>
      </c>
      <c r="H3191" t="s">
        <v>10</v>
      </c>
      <c r="I3191" t="s">
        <v>843</v>
      </c>
      <c r="J3191" s="2">
        <v>725.84</v>
      </c>
      <c r="K3191">
        <v>4</v>
      </c>
      <c r="L3191" s="4"/>
    </row>
    <row r="3192" spans="1:12" x14ac:dyDescent="0.3">
      <c r="A3192" s="1">
        <v>42732</v>
      </c>
      <c r="B3192" s="1">
        <v>42737</v>
      </c>
      <c r="C3192" t="s">
        <v>7</v>
      </c>
      <c r="D3192" t="s">
        <v>1768</v>
      </c>
      <c r="E3192" t="s">
        <v>1769</v>
      </c>
      <c r="F3192" t="s">
        <v>56</v>
      </c>
      <c r="G3192" t="s">
        <v>12</v>
      </c>
      <c r="H3192" t="s">
        <v>35</v>
      </c>
      <c r="I3192" t="s">
        <v>2411</v>
      </c>
      <c r="J3192" s="2">
        <v>7.4</v>
      </c>
      <c r="K3192">
        <v>2</v>
      </c>
      <c r="L3192" s="4"/>
    </row>
    <row r="3193" spans="1:12" x14ac:dyDescent="0.3">
      <c r="A3193" s="1">
        <v>42732</v>
      </c>
      <c r="B3193" s="1">
        <v>42735</v>
      </c>
      <c r="C3193" t="s">
        <v>0</v>
      </c>
      <c r="D3193" t="s">
        <v>2337</v>
      </c>
      <c r="E3193" t="s">
        <v>2338</v>
      </c>
      <c r="F3193" t="s">
        <v>115</v>
      </c>
      <c r="G3193" t="s">
        <v>4</v>
      </c>
      <c r="H3193" t="s">
        <v>26</v>
      </c>
      <c r="I3193" t="s">
        <v>1743</v>
      </c>
      <c r="J3193" s="2">
        <v>1.1880000000000002</v>
      </c>
      <c r="K3193">
        <v>2</v>
      </c>
      <c r="L3193" s="4"/>
    </row>
    <row r="3194" spans="1:12" x14ac:dyDescent="0.3">
      <c r="A3194" s="1">
        <v>42732</v>
      </c>
      <c r="B3194" s="1">
        <v>42735</v>
      </c>
      <c r="C3194" t="s">
        <v>22</v>
      </c>
      <c r="D3194" t="s">
        <v>2040</v>
      </c>
      <c r="E3194" t="s">
        <v>2041</v>
      </c>
      <c r="F3194" t="s">
        <v>3</v>
      </c>
      <c r="G3194" t="s">
        <v>12</v>
      </c>
      <c r="H3194" t="s">
        <v>70</v>
      </c>
      <c r="I3194" t="s">
        <v>1410</v>
      </c>
      <c r="J3194" s="2">
        <v>340.70400000000006</v>
      </c>
      <c r="K3194">
        <v>6</v>
      </c>
      <c r="L3194" s="4"/>
    </row>
    <row r="3195" spans="1:12" x14ac:dyDescent="0.3">
      <c r="A3195" s="1">
        <v>42732</v>
      </c>
      <c r="B3195" s="1">
        <v>42736</v>
      </c>
      <c r="C3195" t="s">
        <v>7</v>
      </c>
      <c r="D3195" t="s">
        <v>2571</v>
      </c>
      <c r="E3195" t="s">
        <v>2572</v>
      </c>
      <c r="F3195" t="s">
        <v>172</v>
      </c>
      <c r="G3195" t="s">
        <v>4</v>
      </c>
      <c r="H3195" t="s">
        <v>10</v>
      </c>
      <c r="I3195" t="s">
        <v>465</v>
      </c>
      <c r="J3195" s="2">
        <v>118.25</v>
      </c>
      <c r="K3195">
        <v>5</v>
      </c>
      <c r="L3195" s="4"/>
    </row>
    <row r="3196" spans="1:12" x14ac:dyDescent="0.3">
      <c r="A3196" s="1">
        <v>42732</v>
      </c>
      <c r="B3196" s="1">
        <v>42736</v>
      </c>
      <c r="C3196" t="s">
        <v>7</v>
      </c>
      <c r="D3196" t="s">
        <v>2571</v>
      </c>
      <c r="E3196" t="s">
        <v>2572</v>
      </c>
      <c r="F3196" t="s">
        <v>172</v>
      </c>
      <c r="G3196" t="s">
        <v>4</v>
      </c>
      <c r="H3196" t="s">
        <v>5</v>
      </c>
      <c r="I3196" t="s">
        <v>1325</v>
      </c>
      <c r="J3196" s="2">
        <v>4.28</v>
      </c>
      <c r="K3196">
        <v>1</v>
      </c>
      <c r="L3196" s="4"/>
    </row>
    <row r="3197" spans="1:12" x14ac:dyDescent="0.3">
      <c r="A3197" s="1">
        <v>42733</v>
      </c>
      <c r="B3197" s="1">
        <v>42737</v>
      </c>
      <c r="C3197" t="s">
        <v>7</v>
      </c>
      <c r="D3197" t="s">
        <v>1838</v>
      </c>
      <c r="E3197" t="s">
        <v>1839</v>
      </c>
      <c r="F3197" t="s">
        <v>3</v>
      </c>
      <c r="G3197" t="s">
        <v>12</v>
      </c>
      <c r="H3197" t="s">
        <v>70</v>
      </c>
      <c r="I3197" t="s">
        <v>1931</v>
      </c>
      <c r="J3197" s="2">
        <v>393.56799999999998</v>
      </c>
      <c r="K3197">
        <v>4</v>
      </c>
      <c r="L3197" s="4"/>
    </row>
    <row r="3198" spans="1:12" x14ac:dyDescent="0.3">
      <c r="A3198" s="1">
        <v>42733</v>
      </c>
      <c r="B3198" s="1">
        <v>42737</v>
      </c>
      <c r="C3198" t="s">
        <v>7</v>
      </c>
      <c r="D3198" t="s">
        <v>1838</v>
      </c>
      <c r="E3198" t="s">
        <v>1839</v>
      </c>
      <c r="F3198" t="s">
        <v>3</v>
      </c>
      <c r="G3198" t="s">
        <v>74</v>
      </c>
      <c r="H3198" t="s">
        <v>147</v>
      </c>
      <c r="I3198" t="s">
        <v>2302</v>
      </c>
      <c r="J3198" s="2">
        <v>302.37599999999998</v>
      </c>
      <c r="K3198">
        <v>3</v>
      </c>
      <c r="L3198" s="4"/>
    </row>
    <row r="3199" spans="1:12" x14ac:dyDescent="0.3">
      <c r="A3199" s="1">
        <v>42733</v>
      </c>
      <c r="B3199" s="1">
        <v>42740</v>
      </c>
      <c r="C3199" t="s">
        <v>7</v>
      </c>
      <c r="D3199" t="s">
        <v>2209</v>
      </c>
      <c r="E3199" t="s">
        <v>2210</v>
      </c>
      <c r="F3199" t="s">
        <v>3</v>
      </c>
      <c r="G3199" t="s">
        <v>12</v>
      </c>
      <c r="H3199" t="s">
        <v>35</v>
      </c>
      <c r="I3199" t="s">
        <v>2247</v>
      </c>
      <c r="J3199" s="2">
        <v>101.12</v>
      </c>
      <c r="K3199">
        <v>8</v>
      </c>
      <c r="L3199" s="4"/>
    </row>
    <row r="3200" spans="1:12" x14ac:dyDescent="0.3">
      <c r="A3200" s="1">
        <v>42733</v>
      </c>
      <c r="B3200" s="1">
        <v>42737</v>
      </c>
      <c r="C3200" t="s">
        <v>7</v>
      </c>
      <c r="D3200" t="s">
        <v>508</v>
      </c>
      <c r="E3200" t="s">
        <v>509</v>
      </c>
      <c r="F3200" t="s">
        <v>56</v>
      </c>
      <c r="G3200" t="s">
        <v>4</v>
      </c>
      <c r="H3200" t="s">
        <v>52</v>
      </c>
      <c r="I3200" t="s">
        <v>2907</v>
      </c>
      <c r="J3200" s="2">
        <v>19.600000000000001</v>
      </c>
      <c r="K3200">
        <v>5</v>
      </c>
      <c r="L3200" s="4"/>
    </row>
    <row r="3201" spans="1:12" x14ac:dyDescent="0.3">
      <c r="A3201" s="1">
        <v>42733</v>
      </c>
      <c r="B3201" s="1">
        <v>42737</v>
      </c>
      <c r="C3201" t="s">
        <v>7</v>
      </c>
      <c r="D3201" t="s">
        <v>508</v>
      </c>
      <c r="E3201" t="s">
        <v>509</v>
      </c>
      <c r="F3201" t="s">
        <v>56</v>
      </c>
      <c r="G3201" t="s">
        <v>12</v>
      </c>
      <c r="H3201" t="s">
        <v>35</v>
      </c>
      <c r="I3201" t="s">
        <v>1149</v>
      </c>
      <c r="J3201" s="2">
        <v>68.459999999999994</v>
      </c>
      <c r="K3201">
        <v>2</v>
      </c>
      <c r="L3201" s="4"/>
    </row>
    <row r="3202" spans="1:12" x14ac:dyDescent="0.3">
      <c r="A3202" s="1">
        <v>42734</v>
      </c>
      <c r="B3202" s="1">
        <v>42738</v>
      </c>
      <c r="C3202" t="s">
        <v>7</v>
      </c>
      <c r="D3202" t="s">
        <v>1899</v>
      </c>
      <c r="E3202" t="s">
        <v>1900</v>
      </c>
      <c r="F3202" t="s">
        <v>3</v>
      </c>
      <c r="G3202" t="s">
        <v>4</v>
      </c>
      <c r="H3202" t="s">
        <v>26</v>
      </c>
      <c r="I3202" t="s">
        <v>1050</v>
      </c>
      <c r="J3202" s="2">
        <v>13.904</v>
      </c>
      <c r="K3202">
        <v>2</v>
      </c>
      <c r="L3202" s="4"/>
    </row>
    <row r="3203" spans="1:12" x14ac:dyDescent="0.3">
      <c r="A3203" s="1">
        <v>42734</v>
      </c>
      <c r="B3203" s="1">
        <v>42738</v>
      </c>
      <c r="C3203" t="s">
        <v>7</v>
      </c>
      <c r="D3203" t="s">
        <v>1899</v>
      </c>
      <c r="E3203" t="s">
        <v>1900</v>
      </c>
      <c r="F3203" t="s">
        <v>3</v>
      </c>
      <c r="G3203" t="s">
        <v>4</v>
      </c>
      <c r="H3203" t="s">
        <v>26</v>
      </c>
      <c r="I3203" t="s">
        <v>2908</v>
      </c>
      <c r="J3203" s="2">
        <v>20.72</v>
      </c>
      <c r="K3203">
        <v>2</v>
      </c>
      <c r="L3203" s="4"/>
    </row>
    <row r="3204" spans="1:12" x14ac:dyDescent="0.3">
      <c r="A3204" s="1">
        <v>42734</v>
      </c>
      <c r="B3204" s="1">
        <v>42738</v>
      </c>
      <c r="C3204" t="s">
        <v>7</v>
      </c>
      <c r="D3204" t="s">
        <v>2007</v>
      </c>
      <c r="E3204" t="s">
        <v>2008</v>
      </c>
      <c r="F3204" t="s">
        <v>115</v>
      </c>
      <c r="G3204" t="s">
        <v>4</v>
      </c>
      <c r="H3204" t="s">
        <v>52</v>
      </c>
      <c r="I3204" t="s">
        <v>2909</v>
      </c>
      <c r="J3204" s="2">
        <v>3.024</v>
      </c>
      <c r="K3204">
        <v>3</v>
      </c>
      <c r="L3204" s="4"/>
    </row>
    <row r="3205" spans="1:12" x14ac:dyDescent="0.3">
      <c r="J3205"/>
      <c r="L3205" s="4"/>
    </row>
    <row r="3206" spans="1:12" x14ac:dyDescent="0.3">
      <c r="J3206"/>
      <c r="L3206" s="4"/>
    </row>
    <row r="3207" spans="1:12" x14ac:dyDescent="0.3">
      <c r="J3207"/>
      <c r="L3207" s="4"/>
    </row>
    <row r="3208" spans="1:12" x14ac:dyDescent="0.3">
      <c r="J3208"/>
      <c r="L3208" s="4"/>
    </row>
    <row r="3209" spans="1:12" x14ac:dyDescent="0.3">
      <c r="J3209"/>
      <c r="L3209" s="4"/>
    </row>
    <row r="3210" spans="1:12" x14ac:dyDescent="0.3">
      <c r="J3210"/>
      <c r="L3210" s="4"/>
    </row>
    <row r="3211" spans="1:12" x14ac:dyDescent="0.3">
      <c r="J3211"/>
      <c r="L3211" s="4"/>
    </row>
    <row r="3212" spans="1:12" x14ac:dyDescent="0.3">
      <c r="J3212"/>
      <c r="L3212" s="4"/>
    </row>
    <row r="3213" spans="1:12" x14ac:dyDescent="0.3">
      <c r="J3213"/>
      <c r="L3213" s="4"/>
    </row>
    <row r="3214" spans="1:12" x14ac:dyDescent="0.3">
      <c r="J3214"/>
      <c r="L3214" s="4"/>
    </row>
    <row r="3215" spans="1:12" x14ac:dyDescent="0.3">
      <c r="J3215"/>
      <c r="L3215" s="4"/>
    </row>
    <row r="3216" spans="1:12" x14ac:dyDescent="0.3">
      <c r="J3216"/>
      <c r="L3216" s="4"/>
    </row>
    <row r="3217" spans="10:12" x14ac:dyDescent="0.3">
      <c r="J3217"/>
      <c r="L3217" s="4"/>
    </row>
    <row r="3218" spans="10:12" x14ac:dyDescent="0.3">
      <c r="J3218"/>
      <c r="L3218" s="4"/>
    </row>
    <row r="3219" spans="10:12" x14ac:dyDescent="0.3">
      <c r="J3219"/>
      <c r="L3219" s="4"/>
    </row>
    <row r="3220" spans="10:12" x14ac:dyDescent="0.3">
      <c r="J3220"/>
      <c r="L3220" s="4"/>
    </row>
    <row r="3221" spans="10:12" x14ac:dyDescent="0.3">
      <c r="J3221"/>
      <c r="L3221" s="4"/>
    </row>
    <row r="3222" spans="10:12" x14ac:dyDescent="0.3">
      <c r="J3222"/>
      <c r="L3222" s="4"/>
    </row>
    <row r="3223" spans="10:12" x14ac:dyDescent="0.3">
      <c r="J3223"/>
      <c r="L3223" s="4"/>
    </row>
    <row r="3224" spans="10:12" x14ac:dyDescent="0.3">
      <c r="J3224"/>
      <c r="L3224" s="4"/>
    </row>
    <row r="3225" spans="10:12" x14ac:dyDescent="0.3">
      <c r="J3225"/>
      <c r="L3225" s="4"/>
    </row>
    <row r="3226" spans="10:12" x14ac:dyDescent="0.3">
      <c r="J3226"/>
      <c r="L3226" s="4"/>
    </row>
    <row r="3227" spans="10:12" x14ac:dyDescent="0.3">
      <c r="J3227"/>
      <c r="L3227" s="4"/>
    </row>
    <row r="3228" spans="10:12" x14ac:dyDescent="0.3">
      <c r="J3228"/>
      <c r="L3228" s="4"/>
    </row>
    <row r="3229" spans="10:12" x14ac:dyDescent="0.3">
      <c r="J3229"/>
      <c r="L3229" s="4"/>
    </row>
    <row r="3230" spans="10:12" x14ac:dyDescent="0.3">
      <c r="J3230"/>
      <c r="L3230" s="4"/>
    </row>
    <row r="3231" spans="10:12" x14ac:dyDescent="0.3">
      <c r="J3231"/>
      <c r="L3231" s="4"/>
    </row>
    <row r="3232" spans="10:12" x14ac:dyDescent="0.3">
      <c r="J3232"/>
      <c r="L3232" s="4"/>
    </row>
    <row r="3233" spans="10:12" x14ac:dyDescent="0.3">
      <c r="J3233"/>
      <c r="L3233" s="4"/>
    </row>
    <row r="3234" spans="10:12" x14ac:dyDescent="0.3">
      <c r="J3234"/>
      <c r="L3234" s="4"/>
    </row>
    <row r="3235" spans="10:12" x14ac:dyDescent="0.3">
      <c r="J3235"/>
      <c r="L3235" s="4"/>
    </row>
    <row r="3236" spans="10:12" x14ac:dyDescent="0.3">
      <c r="J3236"/>
      <c r="L3236" s="4"/>
    </row>
    <row r="3237" spans="10:12" x14ac:dyDescent="0.3">
      <c r="J3237"/>
      <c r="L3237" s="4"/>
    </row>
    <row r="3238" spans="10:12" x14ac:dyDescent="0.3">
      <c r="J3238"/>
      <c r="L3238" s="4"/>
    </row>
    <row r="3239" spans="10:12" x14ac:dyDescent="0.3">
      <c r="J3239"/>
      <c r="L3239" s="4"/>
    </row>
    <row r="3240" spans="10:12" x14ac:dyDescent="0.3">
      <c r="J3240"/>
      <c r="L3240" s="4"/>
    </row>
    <row r="3241" spans="10:12" x14ac:dyDescent="0.3">
      <c r="J3241"/>
      <c r="L3241" s="4"/>
    </row>
    <row r="3242" spans="10:12" x14ac:dyDescent="0.3">
      <c r="J3242"/>
      <c r="L3242" s="4"/>
    </row>
    <row r="3243" spans="10:12" x14ac:dyDescent="0.3">
      <c r="J3243"/>
      <c r="L3243" s="4"/>
    </row>
    <row r="3244" spans="10:12" x14ac:dyDescent="0.3">
      <c r="J3244"/>
      <c r="L3244" s="4"/>
    </row>
    <row r="3245" spans="10:12" x14ac:dyDescent="0.3">
      <c r="J3245"/>
      <c r="L3245" s="4"/>
    </row>
    <row r="3246" spans="10:12" x14ac:dyDescent="0.3">
      <c r="J3246"/>
      <c r="L3246" s="4"/>
    </row>
    <row r="3247" spans="10:12" x14ac:dyDescent="0.3">
      <c r="J3247"/>
      <c r="L3247" s="4"/>
    </row>
    <row r="3248" spans="10:12" x14ac:dyDescent="0.3">
      <c r="J3248"/>
      <c r="L3248" s="4"/>
    </row>
    <row r="3249" spans="10:12" x14ac:dyDescent="0.3">
      <c r="J3249"/>
      <c r="L3249" s="4"/>
    </row>
    <row r="3250" spans="10:12" x14ac:dyDescent="0.3">
      <c r="J3250"/>
      <c r="L3250" s="4"/>
    </row>
    <row r="3251" spans="10:12" x14ac:dyDescent="0.3">
      <c r="J3251"/>
      <c r="L3251" s="4"/>
    </row>
    <row r="3252" spans="10:12" x14ac:dyDescent="0.3">
      <c r="J3252"/>
      <c r="L3252" s="4"/>
    </row>
    <row r="3253" spans="10:12" x14ac:dyDescent="0.3">
      <c r="J3253"/>
      <c r="L3253" s="4"/>
    </row>
    <row r="3254" spans="10:12" x14ac:dyDescent="0.3">
      <c r="J3254"/>
      <c r="L3254" s="4"/>
    </row>
    <row r="3255" spans="10:12" x14ac:dyDescent="0.3">
      <c r="J3255"/>
      <c r="L3255" s="4"/>
    </row>
    <row r="3256" spans="10:12" x14ac:dyDescent="0.3">
      <c r="J3256"/>
      <c r="L3256" s="4"/>
    </row>
    <row r="3257" spans="10:12" x14ac:dyDescent="0.3">
      <c r="J3257"/>
      <c r="L3257" s="4"/>
    </row>
    <row r="3258" spans="10:12" x14ac:dyDescent="0.3">
      <c r="J3258"/>
      <c r="L3258" s="4"/>
    </row>
    <row r="3259" spans="10:12" x14ac:dyDescent="0.3">
      <c r="J3259"/>
      <c r="L3259" s="4"/>
    </row>
    <row r="3260" spans="10:12" x14ac:dyDescent="0.3">
      <c r="J3260"/>
      <c r="L3260" s="4"/>
    </row>
    <row r="3261" spans="10:12" x14ac:dyDescent="0.3">
      <c r="J3261"/>
      <c r="L3261" s="4"/>
    </row>
    <row r="3262" spans="10:12" x14ac:dyDescent="0.3">
      <c r="J3262"/>
      <c r="L3262" s="4"/>
    </row>
    <row r="3263" spans="10:12" x14ac:dyDescent="0.3">
      <c r="J3263"/>
      <c r="L3263" s="4"/>
    </row>
    <row r="3264" spans="10:12" x14ac:dyDescent="0.3">
      <c r="J3264"/>
      <c r="L3264" s="4"/>
    </row>
    <row r="3265" spans="10:12" x14ac:dyDescent="0.3">
      <c r="J3265"/>
      <c r="L3265" s="4"/>
    </row>
    <row r="3266" spans="10:12" x14ac:dyDescent="0.3">
      <c r="J3266"/>
      <c r="L3266" s="4"/>
    </row>
    <row r="3267" spans="10:12" x14ac:dyDescent="0.3">
      <c r="J3267"/>
      <c r="L3267" s="4"/>
    </row>
    <row r="3268" spans="10:12" x14ac:dyDescent="0.3">
      <c r="J3268"/>
      <c r="L3268" s="4"/>
    </row>
    <row r="3269" spans="10:12" x14ac:dyDescent="0.3">
      <c r="J3269"/>
      <c r="L3269" s="4"/>
    </row>
    <row r="3270" spans="10:12" x14ac:dyDescent="0.3">
      <c r="J3270"/>
      <c r="L3270" s="4"/>
    </row>
    <row r="3271" spans="10:12" x14ac:dyDescent="0.3">
      <c r="J3271"/>
      <c r="L3271" s="4"/>
    </row>
    <row r="3272" spans="10:12" x14ac:dyDescent="0.3">
      <c r="J3272"/>
      <c r="L3272" s="4"/>
    </row>
    <row r="3273" spans="10:12" x14ac:dyDescent="0.3">
      <c r="J3273"/>
      <c r="L3273" s="4"/>
    </row>
    <row r="3274" spans="10:12" x14ac:dyDescent="0.3">
      <c r="J3274"/>
      <c r="L3274" s="4"/>
    </row>
    <row r="3275" spans="10:12" x14ac:dyDescent="0.3">
      <c r="J3275"/>
      <c r="L3275" s="4"/>
    </row>
    <row r="3276" spans="10:12" x14ac:dyDescent="0.3">
      <c r="J3276"/>
      <c r="L3276" s="4"/>
    </row>
    <row r="3277" spans="10:12" x14ac:dyDescent="0.3">
      <c r="J3277"/>
      <c r="L3277" s="4"/>
    </row>
    <row r="3278" spans="10:12" x14ac:dyDescent="0.3">
      <c r="J3278"/>
      <c r="L3278" s="4"/>
    </row>
    <row r="3279" spans="10:12" x14ac:dyDescent="0.3">
      <c r="J3279"/>
      <c r="L3279" s="4"/>
    </row>
    <row r="3280" spans="10:12" x14ac:dyDescent="0.3">
      <c r="J3280"/>
      <c r="L3280" s="4"/>
    </row>
    <row r="3281" spans="10:12" x14ac:dyDescent="0.3">
      <c r="J3281"/>
      <c r="L3281" s="4"/>
    </row>
    <row r="3282" spans="10:12" x14ac:dyDescent="0.3">
      <c r="J3282"/>
      <c r="L3282" s="4"/>
    </row>
    <row r="3283" spans="10:12" x14ac:dyDescent="0.3">
      <c r="J3283"/>
      <c r="L3283" s="4"/>
    </row>
    <row r="3284" spans="10:12" x14ac:dyDescent="0.3">
      <c r="J3284"/>
      <c r="L3284" s="4"/>
    </row>
    <row r="3285" spans="10:12" x14ac:dyDescent="0.3">
      <c r="J3285"/>
      <c r="L3285" s="4"/>
    </row>
    <row r="3286" spans="10:12" x14ac:dyDescent="0.3">
      <c r="J3286"/>
      <c r="L3286" s="4"/>
    </row>
    <row r="3287" spans="10:12" x14ac:dyDescent="0.3">
      <c r="J3287"/>
      <c r="L3287" s="4"/>
    </row>
    <row r="3288" spans="10:12" x14ac:dyDescent="0.3">
      <c r="J3288"/>
      <c r="L3288" s="4"/>
    </row>
    <row r="3289" spans="10:12" x14ac:dyDescent="0.3">
      <c r="J3289"/>
      <c r="L3289" s="4"/>
    </row>
    <row r="3290" spans="10:12" x14ac:dyDescent="0.3">
      <c r="J3290"/>
      <c r="L3290" s="4"/>
    </row>
    <row r="3291" spans="10:12" x14ac:dyDescent="0.3">
      <c r="J3291"/>
      <c r="L3291" s="4"/>
    </row>
    <row r="3292" spans="10:12" x14ac:dyDescent="0.3">
      <c r="J3292"/>
      <c r="L3292" s="4"/>
    </row>
    <row r="3293" spans="10:12" x14ac:dyDescent="0.3">
      <c r="J3293"/>
      <c r="L3293" s="4"/>
    </row>
    <row r="3294" spans="10:12" x14ac:dyDescent="0.3">
      <c r="J3294"/>
      <c r="L3294" s="4"/>
    </row>
    <row r="3295" spans="10:12" x14ac:dyDescent="0.3">
      <c r="J3295"/>
      <c r="L3295" s="4"/>
    </row>
    <row r="3296" spans="10:12" x14ac:dyDescent="0.3">
      <c r="J3296"/>
      <c r="L3296" s="4"/>
    </row>
    <row r="3297" spans="10:12" x14ac:dyDescent="0.3">
      <c r="J3297"/>
      <c r="L3297" s="4"/>
    </row>
    <row r="3298" spans="10:12" x14ac:dyDescent="0.3">
      <c r="J3298"/>
      <c r="L3298" s="4"/>
    </row>
    <row r="3299" spans="10:12" x14ac:dyDescent="0.3">
      <c r="J3299"/>
      <c r="L3299" s="4"/>
    </row>
    <row r="3300" spans="10:12" x14ac:dyDescent="0.3">
      <c r="J3300"/>
      <c r="L3300" s="4"/>
    </row>
    <row r="3301" spans="10:12" x14ac:dyDescent="0.3">
      <c r="J3301"/>
      <c r="L3301" s="4"/>
    </row>
    <row r="3302" spans="10:12" x14ac:dyDescent="0.3">
      <c r="J3302"/>
      <c r="L3302" s="4"/>
    </row>
    <row r="3303" spans="10:12" x14ac:dyDescent="0.3">
      <c r="J3303"/>
      <c r="L3303" s="4"/>
    </row>
    <row r="3304" spans="10:12" x14ac:dyDescent="0.3">
      <c r="J3304"/>
      <c r="L3304" s="4"/>
    </row>
    <row r="3305" spans="10:12" x14ac:dyDescent="0.3">
      <c r="J3305"/>
      <c r="L3305" s="4"/>
    </row>
    <row r="3306" spans="10:12" x14ac:dyDescent="0.3">
      <c r="J3306"/>
      <c r="L3306" s="4"/>
    </row>
    <row r="3307" spans="10:12" x14ac:dyDescent="0.3">
      <c r="J3307"/>
      <c r="L3307" s="4"/>
    </row>
    <row r="3308" spans="10:12" x14ac:dyDescent="0.3">
      <c r="J3308"/>
      <c r="L3308" s="4"/>
    </row>
    <row r="3309" spans="10:12" x14ac:dyDescent="0.3">
      <c r="J3309"/>
      <c r="L3309" s="4"/>
    </row>
    <row r="3310" spans="10:12" x14ac:dyDescent="0.3">
      <c r="J3310"/>
      <c r="L3310" s="4"/>
    </row>
    <row r="3311" spans="10:12" x14ac:dyDescent="0.3">
      <c r="J3311"/>
      <c r="L3311" s="4"/>
    </row>
    <row r="3312" spans="10:12" x14ac:dyDescent="0.3">
      <c r="J3312"/>
      <c r="L3312" s="4"/>
    </row>
    <row r="3313" spans="10:12" x14ac:dyDescent="0.3">
      <c r="J3313"/>
      <c r="L3313" s="4"/>
    </row>
    <row r="3314" spans="10:12" x14ac:dyDescent="0.3">
      <c r="J3314"/>
      <c r="L3314" s="4"/>
    </row>
    <row r="3315" spans="10:12" x14ac:dyDescent="0.3">
      <c r="J3315"/>
      <c r="L3315" s="4"/>
    </row>
    <row r="3316" spans="10:12" x14ac:dyDescent="0.3">
      <c r="J3316"/>
      <c r="L3316" s="4"/>
    </row>
    <row r="3317" spans="10:12" x14ac:dyDescent="0.3">
      <c r="J3317"/>
      <c r="L3317" s="4"/>
    </row>
    <row r="3318" spans="10:12" x14ac:dyDescent="0.3">
      <c r="J3318"/>
      <c r="L3318" s="4"/>
    </row>
    <row r="3319" spans="10:12" x14ac:dyDescent="0.3">
      <c r="J3319"/>
      <c r="L3319" s="4"/>
    </row>
    <row r="3320" spans="10:12" x14ac:dyDescent="0.3">
      <c r="J3320"/>
      <c r="L3320" s="4"/>
    </row>
    <row r="3321" spans="10:12" x14ac:dyDescent="0.3">
      <c r="J3321"/>
      <c r="L3321" s="4"/>
    </row>
    <row r="3322" spans="10:12" x14ac:dyDescent="0.3">
      <c r="J3322"/>
      <c r="L3322" s="4"/>
    </row>
    <row r="3323" spans="10:12" x14ac:dyDescent="0.3">
      <c r="J3323"/>
      <c r="L3323" s="4"/>
    </row>
    <row r="3324" spans="10:12" x14ac:dyDescent="0.3">
      <c r="J3324"/>
      <c r="L3324" s="4"/>
    </row>
    <row r="3325" spans="10:12" x14ac:dyDescent="0.3">
      <c r="J3325"/>
      <c r="L3325" s="4"/>
    </row>
    <row r="3326" spans="10:12" x14ac:dyDescent="0.3">
      <c r="J3326"/>
      <c r="L3326" s="4"/>
    </row>
    <row r="3327" spans="10:12" x14ac:dyDescent="0.3">
      <c r="J3327"/>
      <c r="L3327" s="4"/>
    </row>
    <row r="3328" spans="10:12" x14ac:dyDescent="0.3">
      <c r="J3328"/>
      <c r="L3328" s="4"/>
    </row>
    <row r="3329" spans="10:12" x14ac:dyDescent="0.3">
      <c r="J3329"/>
      <c r="L3329" s="4"/>
    </row>
    <row r="3330" spans="10:12" x14ac:dyDescent="0.3">
      <c r="J3330"/>
      <c r="L3330" s="4"/>
    </row>
    <row r="3331" spans="10:12" x14ac:dyDescent="0.3">
      <c r="J3331"/>
      <c r="L3331" s="4"/>
    </row>
    <row r="3332" spans="10:12" x14ac:dyDescent="0.3">
      <c r="J3332"/>
      <c r="L3332" s="4"/>
    </row>
    <row r="3333" spans="10:12" x14ac:dyDescent="0.3">
      <c r="J3333"/>
      <c r="L3333" s="4"/>
    </row>
    <row r="3334" spans="10:12" x14ac:dyDescent="0.3">
      <c r="J3334"/>
      <c r="L3334" s="4"/>
    </row>
    <row r="3335" spans="10:12" x14ac:dyDescent="0.3">
      <c r="J3335"/>
      <c r="L3335" s="4"/>
    </row>
    <row r="3336" spans="10:12" x14ac:dyDescent="0.3">
      <c r="J3336"/>
      <c r="L3336" s="4"/>
    </row>
    <row r="3337" spans="10:12" x14ac:dyDescent="0.3">
      <c r="J3337"/>
      <c r="L3337" s="4"/>
    </row>
    <row r="3338" spans="10:12" x14ac:dyDescent="0.3">
      <c r="J3338"/>
      <c r="L3338" s="4"/>
    </row>
    <row r="3339" spans="10:12" x14ac:dyDescent="0.3">
      <c r="J3339"/>
      <c r="L3339" s="4"/>
    </row>
    <row r="3340" spans="10:12" x14ac:dyDescent="0.3">
      <c r="J3340"/>
      <c r="L3340" s="4"/>
    </row>
    <row r="3341" spans="10:12" x14ac:dyDescent="0.3">
      <c r="J3341"/>
      <c r="L3341" s="4"/>
    </row>
    <row r="3342" spans="10:12" x14ac:dyDescent="0.3">
      <c r="J3342"/>
      <c r="L3342" s="4"/>
    </row>
    <row r="3343" spans="10:12" x14ac:dyDescent="0.3">
      <c r="J3343"/>
      <c r="L3343" s="4"/>
    </row>
    <row r="3344" spans="10:12" x14ac:dyDescent="0.3">
      <c r="J3344"/>
      <c r="L3344" s="4"/>
    </row>
    <row r="3345" spans="10:12" x14ac:dyDescent="0.3">
      <c r="J3345"/>
      <c r="L3345" s="4"/>
    </row>
    <row r="3346" spans="10:12" x14ac:dyDescent="0.3">
      <c r="J3346"/>
      <c r="L3346" s="4"/>
    </row>
    <row r="3347" spans="10:12" x14ac:dyDescent="0.3">
      <c r="J3347"/>
      <c r="L3347" s="4"/>
    </row>
    <row r="3348" spans="10:12" x14ac:dyDescent="0.3">
      <c r="J3348"/>
      <c r="L3348" s="4"/>
    </row>
    <row r="3349" spans="10:12" x14ac:dyDescent="0.3">
      <c r="J3349"/>
      <c r="L3349" s="4"/>
    </row>
    <row r="3350" spans="10:12" x14ac:dyDescent="0.3">
      <c r="J3350"/>
      <c r="L3350" s="4"/>
    </row>
    <row r="3351" spans="10:12" x14ac:dyDescent="0.3">
      <c r="J3351"/>
      <c r="L3351" s="4"/>
    </row>
    <row r="3352" spans="10:12" x14ac:dyDescent="0.3">
      <c r="J3352"/>
      <c r="L3352" s="4"/>
    </row>
    <row r="3353" spans="10:12" x14ac:dyDescent="0.3">
      <c r="J3353"/>
      <c r="L3353" s="4"/>
    </row>
    <row r="3354" spans="10:12" x14ac:dyDescent="0.3">
      <c r="J3354"/>
      <c r="L3354" s="4"/>
    </row>
    <row r="3355" spans="10:12" x14ac:dyDescent="0.3">
      <c r="J3355"/>
      <c r="L3355" s="4"/>
    </row>
    <row r="3356" spans="10:12" x14ac:dyDescent="0.3">
      <c r="J3356"/>
      <c r="L3356" s="4"/>
    </row>
    <row r="3357" spans="10:12" x14ac:dyDescent="0.3">
      <c r="J3357"/>
      <c r="L3357" s="4"/>
    </row>
    <row r="3358" spans="10:12" x14ac:dyDescent="0.3">
      <c r="J3358"/>
      <c r="L3358" s="4"/>
    </row>
    <row r="3359" spans="10:12" x14ac:dyDescent="0.3">
      <c r="J3359"/>
      <c r="L3359" s="4"/>
    </row>
    <row r="3360" spans="10:12" x14ac:dyDescent="0.3">
      <c r="J3360"/>
      <c r="L3360" s="4"/>
    </row>
    <row r="3361" spans="10:12" x14ac:dyDescent="0.3">
      <c r="J3361"/>
      <c r="L3361" s="4"/>
    </row>
    <row r="3362" spans="10:12" x14ac:dyDescent="0.3">
      <c r="J3362"/>
      <c r="L3362" s="4"/>
    </row>
    <row r="3363" spans="10:12" x14ac:dyDescent="0.3">
      <c r="J3363"/>
      <c r="L3363" s="4"/>
    </row>
    <row r="3364" spans="10:12" x14ac:dyDescent="0.3">
      <c r="J3364"/>
      <c r="L3364" s="4"/>
    </row>
    <row r="3365" spans="10:12" x14ac:dyDescent="0.3">
      <c r="J3365"/>
      <c r="L3365" s="4"/>
    </row>
    <row r="3366" spans="10:12" x14ac:dyDescent="0.3">
      <c r="J3366"/>
      <c r="L3366" s="4"/>
    </row>
    <row r="3367" spans="10:12" x14ac:dyDescent="0.3">
      <c r="J3367"/>
      <c r="L3367" s="4"/>
    </row>
    <row r="3368" spans="10:12" x14ac:dyDescent="0.3">
      <c r="J3368"/>
      <c r="L3368" s="4"/>
    </row>
    <row r="3369" spans="10:12" x14ac:dyDescent="0.3">
      <c r="J3369"/>
      <c r="L3369" s="4"/>
    </row>
    <row r="3370" spans="10:12" x14ac:dyDescent="0.3">
      <c r="J3370"/>
      <c r="L3370" s="4"/>
    </row>
    <row r="3371" spans="10:12" x14ac:dyDescent="0.3">
      <c r="J3371"/>
      <c r="L3371" s="4"/>
    </row>
    <row r="3372" spans="10:12" x14ac:dyDescent="0.3">
      <c r="J3372"/>
      <c r="L3372" s="4"/>
    </row>
    <row r="3373" spans="10:12" x14ac:dyDescent="0.3">
      <c r="J3373"/>
      <c r="L3373" s="4"/>
    </row>
    <row r="3374" spans="10:12" x14ac:dyDescent="0.3">
      <c r="J3374"/>
      <c r="L3374" s="4"/>
    </row>
    <row r="3375" spans="10:12" x14ac:dyDescent="0.3">
      <c r="J3375"/>
      <c r="L3375" s="4"/>
    </row>
    <row r="3376" spans="10:12" x14ac:dyDescent="0.3">
      <c r="J3376"/>
      <c r="L3376" s="4"/>
    </row>
    <row r="3377" spans="10:12" x14ac:dyDescent="0.3">
      <c r="J3377"/>
      <c r="L3377" s="4"/>
    </row>
    <row r="3378" spans="10:12" x14ac:dyDescent="0.3">
      <c r="J3378"/>
      <c r="L3378" s="4"/>
    </row>
    <row r="3379" spans="10:12" x14ac:dyDescent="0.3">
      <c r="J3379"/>
      <c r="L3379" s="4"/>
    </row>
    <row r="3380" spans="10:12" x14ac:dyDescent="0.3">
      <c r="J3380"/>
      <c r="L3380" s="4"/>
    </row>
    <row r="3381" spans="10:12" x14ac:dyDescent="0.3">
      <c r="J3381"/>
      <c r="L3381" s="4"/>
    </row>
    <row r="3382" spans="10:12" x14ac:dyDescent="0.3">
      <c r="J3382"/>
      <c r="L3382" s="4"/>
    </row>
    <row r="3383" spans="10:12" x14ac:dyDescent="0.3">
      <c r="J3383"/>
      <c r="L3383" s="4"/>
    </row>
    <row r="3384" spans="10:12" x14ac:dyDescent="0.3">
      <c r="J3384"/>
      <c r="L3384" s="4"/>
    </row>
    <row r="3385" spans="10:12" x14ac:dyDescent="0.3">
      <c r="J3385"/>
      <c r="L3385" s="4"/>
    </row>
    <row r="3386" spans="10:12" x14ac:dyDescent="0.3">
      <c r="J3386"/>
      <c r="L3386" s="4"/>
    </row>
    <row r="3387" spans="10:12" x14ac:dyDescent="0.3">
      <c r="J3387"/>
      <c r="L3387" s="4"/>
    </row>
    <row r="3388" spans="10:12" x14ac:dyDescent="0.3">
      <c r="J3388"/>
      <c r="L3388" s="4"/>
    </row>
    <row r="3389" spans="10:12" x14ac:dyDescent="0.3">
      <c r="J3389"/>
      <c r="L3389" s="4"/>
    </row>
    <row r="3390" spans="10:12" x14ac:dyDescent="0.3">
      <c r="J3390"/>
      <c r="L3390" s="4"/>
    </row>
    <row r="3391" spans="10:12" x14ac:dyDescent="0.3">
      <c r="J3391"/>
      <c r="L3391" s="4"/>
    </row>
    <row r="3392" spans="10:12" x14ac:dyDescent="0.3">
      <c r="J3392"/>
      <c r="L3392" s="4"/>
    </row>
    <row r="3393" spans="10:12" x14ac:dyDescent="0.3">
      <c r="J3393"/>
      <c r="L3393" s="4"/>
    </row>
    <row r="3394" spans="10:12" x14ac:dyDescent="0.3">
      <c r="J3394"/>
      <c r="L3394" s="4"/>
    </row>
    <row r="3395" spans="10:12" x14ac:dyDescent="0.3">
      <c r="J3395"/>
      <c r="L3395" s="4"/>
    </row>
    <row r="3396" spans="10:12" x14ac:dyDescent="0.3">
      <c r="J3396"/>
      <c r="L3396" s="4"/>
    </row>
    <row r="3397" spans="10:12" x14ac:dyDescent="0.3">
      <c r="J3397"/>
      <c r="L3397" s="4"/>
    </row>
    <row r="3398" spans="10:12" x14ac:dyDescent="0.3">
      <c r="J3398"/>
      <c r="L3398" s="4"/>
    </row>
    <row r="3399" spans="10:12" x14ac:dyDescent="0.3">
      <c r="J3399"/>
      <c r="L3399" s="4"/>
    </row>
    <row r="3400" spans="10:12" x14ac:dyDescent="0.3">
      <c r="J3400"/>
      <c r="L3400" s="4"/>
    </row>
    <row r="3401" spans="10:12" x14ac:dyDescent="0.3">
      <c r="J3401"/>
      <c r="L3401" s="4"/>
    </row>
    <row r="3402" spans="10:12" x14ac:dyDescent="0.3">
      <c r="J3402"/>
      <c r="L3402" s="4"/>
    </row>
    <row r="3403" spans="10:12" x14ac:dyDescent="0.3">
      <c r="J3403"/>
      <c r="L3403" s="4"/>
    </row>
    <row r="3404" spans="10:12" x14ac:dyDescent="0.3">
      <c r="J3404"/>
      <c r="L3404" s="4"/>
    </row>
    <row r="3405" spans="10:12" x14ac:dyDescent="0.3">
      <c r="J3405"/>
      <c r="L3405" s="4"/>
    </row>
    <row r="3406" spans="10:12" x14ac:dyDescent="0.3">
      <c r="J3406"/>
      <c r="L3406" s="4"/>
    </row>
    <row r="3407" spans="10:12" x14ac:dyDescent="0.3">
      <c r="J3407"/>
      <c r="L3407" s="4"/>
    </row>
    <row r="3408" spans="10:12" x14ac:dyDescent="0.3">
      <c r="J3408"/>
      <c r="L3408" s="4"/>
    </row>
    <row r="3409" spans="10:12" x14ac:dyDescent="0.3">
      <c r="J3409"/>
      <c r="L3409" s="4"/>
    </row>
    <row r="3410" spans="10:12" x14ac:dyDescent="0.3">
      <c r="J3410"/>
      <c r="L3410" s="4"/>
    </row>
    <row r="3411" spans="10:12" x14ac:dyDescent="0.3">
      <c r="J3411"/>
      <c r="L3411" s="4"/>
    </row>
    <row r="3412" spans="10:12" x14ac:dyDescent="0.3">
      <c r="J3412"/>
      <c r="L3412" s="4"/>
    </row>
    <row r="3413" spans="10:12" x14ac:dyDescent="0.3">
      <c r="J3413"/>
      <c r="L3413" s="4"/>
    </row>
    <row r="3414" spans="10:12" x14ac:dyDescent="0.3">
      <c r="J3414"/>
      <c r="L3414" s="4"/>
    </row>
    <row r="3415" spans="10:12" x14ac:dyDescent="0.3">
      <c r="J3415"/>
      <c r="L3415" s="4"/>
    </row>
    <row r="3416" spans="10:12" x14ac:dyDescent="0.3">
      <c r="J3416"/>
      <c r="L3416" s="4"/>
    </row>
    <row r="3417" spans="10:12" x14ac:dyDescent="0.3">
      <c r="J3417"/>
      <c r="L3417" s="4"/>
    </row>
    <row r="3418" spans="10:12" x14ac:dyDescent="0.3">
      <c r="J3418"/>
      <c r="L3418" s="4"/>
    </row>
    <row r="3419" spans="10:12" x14ac:dyDescent="0.3">
      <c r="J3419"/>
      <c r="L3419" s="4"/>
    </row>
    <row r="3420" spans="10:12" x14ac:dyDescent="0.3">
      <c r="J3420"/>
      <c r="L3420" s="4"/>
    </row>
    <row r="3421" spans="10:12" x14ac:dyDescent="0.3">
      <c r="J3421"/>
      <c r="L3421" s="4"/>
    </row>
    <row r="3422" spans="10:12" x14ac:dyDescent="0.3">
      <c r="J3422"/>
      <c r="L3422" s="4"/>
    </row>
    <row r="3423" spans="10:12" x14ac:dyDescent="0.3">
      <c r="J3423"/>
      <c r="L3423" s="4"/>
    </row>
    <row r="3424" spans="10:12" x14ac:dyDescent="0.3">
      <c r="J3424"/>
      <c r="L3424" s="4"/>
    </row>
    <row r="3425" spans="10:12" x14ac:dyDescent="0.3">
      <c r="J3425"/>
      <c r="L3425" s="4"/>
    </row>
    <row r="3426" spans="10:12" x14ac:dyDescent="0.3">
      <c r="J3426"/>
      <c r="L3426" s="4"/>
    </row>
    <row r="3427" spans="10:12" x14ac:dyDescent="0.3">
      <c r="J3427"/>
      <c r="L3427" s="4"/>
    </row>
    <row r="3428" spans="10:12" x14ac:dyDescent="0.3">
      <c r="J3428"/>
      <c r="L3428" s="4"/>
    </row>
    <row r="3429" spans="10:12" x14ac:dyDescent="0.3">
      <c r="J3429"/>
      <c r="L3429" s="4"/>
    </row>
    <row r="3430" spans="10:12" x14ac:dyDescent="0.3">
      <c r="J3430"/>
      <c r="L3430" s="4"/>
    </row>
    <row r="3431" spans="10:12" x14ac:dyDescent="0.3">
      <c r="J3431"/>
      <c r="L3431" s="4"/>
    </row>
    <row r="3432" spans="10:12" x14ac:dyDescent="0.3">
      <c r="J3432"/>
      <c r="L3432" s="4"/>
    </row>
    <row r="3433" spans="10:12" x14ac:dyDescent="0.3">
      <c r="J3433"/>
      <c r="L3433" s="4"/>
    </row>
    <row r="3434" spans="10:12" x14ac:dyDescent="0.3">
      <c r="J3434"/>
      <c r="L3434" s="4"/>
    </row>
    <row r="3435" spans="10:12" x14ac:dyDescent="0.3">
      <c r="J3435"/>
      <c r="L3435" s="4"/>
    </row>
    <row r="3436" spans="10:12" x14ac:dyDescent="0.3">
      <c r="J3436"/>
      <c r="L3436" s="4"/>
    </row>
    <row r="3437" spans="10:12" x14ac:dyDescent="0.3">
      <c r="J3437"/>
      <c r="L3437" s="4"/>
    </row>
    <row r="3438" spans="10:12" x14ac:dyDescent="0.3">
      <c r="J3438"/>
      <c r="L3438" s="4"/>
    </row>
    <row r="3439" spans="10:12" x14ac:dyDescent="0.3">
      <c r="J3439"/>
      <c r="L3439" s="4"/>
    </row>
    <row r="3440" spans="10:12" x14ac:dyDescent="0.3">
      <c r="J3440"/>
      <c r="L3440" s="4"/>
    </row>
    <row r="3441" spans="10:12" x14ac:dyDescent="0.3">
      <c r="J3441"/>
      <c r="L3441" s="4"/>
    </row>
    <row r="3442" spans="10:12" x14ac:dyDescent="0.3">
      <c r="J3442"/>
      <c r="L3442" s="4"/>
    </row>
    <row r="3443" spans="10:12" x14ac:dyDescent="0.3">
      <c r="J3443"/>
      <c r="L3443" s="4"/>
    </row>
    <row r="3444" spans="10:12" x14ac:dyDescent="0.3">
      <c r="J3444"/>
      <c r="L3444" s="4"/>
    </row>
    <row r="3445" spans="10:12" x14ac:dyDescent="0.3">
      <c r="J3445"/>
      <c r="L3445" s="4"/>
    </row>
    <row r="3446" spans="10:12" x14ac:dyDescent="0.3">
      <c r="J3446"/>
      <c r="L3446" s="4"/>
    </row>
    <row r="3447" spans="10:12" x14ac:dyDescent="0.3">
      <c r="J3447"/>
      <c r="L3447" s="4"/>
    </row>
    <row r="3448" spans="10:12" x14ac:dyDescent="0.3">
      <c r="J3448"/>
      <c r="L3448" s="4"/>
    </row>
    <row r="3449" spans="10:12" x14ac:dyDescent="0.3">
      <c r="J3449"/>
      <c r="L3449" s="4"/>
    </row>
    <row r="3450" spans="10:12" x14ac:dyDescent="0.3">
      <c r="J3450"/>
      <c r="L3450" s="4"/>
    </row>
    <row r="3451" spans="10:12" x14ac:dyDescent="0.3">
      <c r="J3451"/>
      <c r="L3451" s="4"/>
    </row>
    <row r="3452" spans="10:12" x14ac:dyDescent="0.3">
      <c r="J3452"/>
      <c r="L3452" s="4"/>
    </row>
    <row r="3453" spans="10:12" x14ac:dyDescent="0.3">
      <c r="J3453"/>
      <c r="L3453" s="4"/>
    </row>
    <row r="3454" spans="10:12" x14ac:dyDescent="0.3">
      <c r="J3454"/>
      <c r="L3454" s="4"/>
    </row>
    <row r="3455" spans="10:12" x14ac:dyDescent="0.3">
      <c r="J3455"/>
      <c r="L3455" s="4"/>
    </row>
    <row r="3456" spans="10:12" x14ac:dyDescent="0.3">
      <c r="J3456"/>
      <c r="L3456" s="4"/>
    </row>
    <row r="3457" spans="10:12" x14ac:dyDescent="0.3">
      <c r="J3457"/>
      <c r="L3457" s="4"/>
    </row>
    <row r="3458" spans="10:12" x14ac:dyDescent="0.3">
      <c r="J3458"/>
      <c r="L3458" s="4"/>
    </row>
    <row r="3459" spans="10:12" x14ac:dyDescent="0.3">
      <c r="J3459"/>
      <c r="L3459" s="4"/>
    </row>
    <row r="3460" spans="10:12" x14ac:dyDescent="0.3">
      <c r="J3460"/>
      <c r="L3460" s="4"/>
    </row>
    <row r="3461" spans="10:12" x14ac:dyDescent="0.3">
      <c r="J3461"/>
      <c r="L3461" s="4"/>
    </row>
    <row r="3462" spans="10:12" x14ac:dyDescent="0.3">
      <c r="J3462"/>
      <c r="L3462" s="4"/>
    </row>
    <row r="3463" spans="10:12" x14ac:dyDescent="0.3">
      <c r="J3463"/>
      <c r="L3463" s="4"/>
    </row>
    <row r="3464" spans="10:12" x14ac:dyDescent="0.3">
      <c r="J3464"/>
      <c r="L3464" s="4"/>
    </row>
    <row r="3465" spans="10:12" x14ac:dyDescent="0.3">
      <c r="J3465"/>
      <c r="L3465" s="4"/>
    </row>
    <row r="3466" spans="10:12" x14ac:dyDescent="0.3">
      <c r="J3466"/>
      <c r="L3466" s="4"/>
    </row>
    <row r="3467" spans="10:12" x14ac:dyDescent="0.3">
      <c r="J3467"/>
      <c r="L3467" s="4"/>
    </row>
    <row r="3468" spans="10:12" x14ac:dyDescent="0.3">
      <c r="J3468"/>
      <c r="L3468" s="4"/>
    </row>
    <row r="3469" spans="10:12" x14ac:dyDescent="0.3">
      <c r="J3469"/>
      <c r="L3469" s="4"/>
    </row>
    <row r="3470" spans="10:12" x14ac:dyDescent="0.3">
      <c r="J3470"/>
      <c r="L3470" s="4"/>
    </row>
    <row r="3471" spans="10:12" x14ac:dyDescent="0.3">
      <c r="J3471"/>
      <c r="L3471" s="4"/>
    </row>
    <row r="3472" spans="10:12" x14ac:dyDescent="0.3">
      <c r="J3472"/>
      <c r="L3472" s="4"/>
    </row>
    <row r="3473" spans="10:12" x14ac:dyDescent="0.3">
      <c r="J3473"/>
      <c r="L3473" s="4"/>
    </row>
    <row r="3474" spans="10:12" x14ac:dyDescent="0.3">
      <c r="J3474"/>
      <c r="L3474" s="4"/>
    </row>
    <row r="3475" spans="10:12" x14ac:dyDescent="0.3">
      <c r="J3475"/>
      <c r="L3475" s="4"/>
    </row>
    <row r="3476" spans="10:12" x14ac:dyDescent="0.3">
      <c r="J3476"/>
      <c r="L3476" s="4"/>
    </row>
    <row r="3477" spans="10:12" x14ac:dyDescent="0.3">
      <c r="J3477"/>
      <c r="L3477" s="4"/>
    </row>
    <row r="3478" spans="10:12" x14ac:dyDescent="0.3">
      <c r="J3478"/>
      <c r="L3478" s="4"/>
    </row>
    <row r="3479" spans="10:12" x14ac:dyDescent="0.3">
      <c r="J3479"/>
      <c r="L3479" s="4"/>
    </row>
    <row r="3480" spans="10:12" x14ac:dyDescent="0.3">
      <c r="J3480"/>
      <c r="L3480" s="4"/>
    </row>
    <row r="3481" spans="10:12" x14ac:dyDescent="0.3">
      <c r="J3481"/>
      <c r="L3481" s="4"/>
    </row>
    <row r="3482" spans="10:12" x14ac:dyDescent="0.3">
      <c r="J3482"/>
      <c r="L3482" s="4"/>
    </row>
    <row r="3483" spans="10:12" x14ac:dyDescent="0.3">
      <c r="J3483"/>
      <c r="L3483" s="4"/>
    </row>
    <row r="3484" spans="10:12" x14ac:dyDescent="0.3">
      <c r="J3484"/>
      <c r="L3484" s="4"/>
    </row>
    <row r="3485" spans="10:12" x14ac:dyDescent="0.3">
      <c r="J3485"/>
      <c r="L3485" s="4"/>
    </row>
    <row r="3486" spans="10:12" x14ac:dyDescent="0.3">
      <c r="J3486"/>
      <c r="L3486" s="4"/>
    </row>
    <row r="3487" spans="10:12" x14ac:dyDescent="0.3">
      <c r="J3487"/>
      <c r="L3487" s="4"/>
    </row>
    <row r="3488" spans="10:12" x14ac:dyDescent="0.3">
      <c r="J3488"/>
      <c r="L3488" s="4"/>
    </row>
    <row r="3489" spans="10:12" x14ac:dyDescent="0.3">
      <c r="J3489"/>
      <c r="L3489" s="4"/>
    </row>
    <row r="3490" spans="10:12" x14ac:dyDescent="0.3">
      <c r="J3490"/>
      <c r="L3490" s="4"/>
    </row>
    <row r="3491" spans="10:12" x14ac:dyDescent="0.3">
      <c r="J3491"/>
      <c r="L3491" s="4"/>
    </row>
    <row r="3492" spans="10:12" x14ac:dyDescent="0.3">
      <c r="J3492"/>
      <c r="L3492" s="4"/>
    </row>
    <row r="3493" spans="10:12" x14ac:dyDescent="0.3">
      <c r="J3493"/>
      <c r="L3493" s="4"/>
    </row>
    <row r="3494" spans="10:12" x14ac:dyDescent="0.3">
      <c r="J3494"/>
      <c r="L3494" s="4"/>
    </row>
    <row r="3495" spans="10:12" x14ac:dyDescent="0.3">
      <c r="J3495"/>
      <c r="L3495" s="4"/>
    </row>
    <row r="3496" spans="10:12" x14ac:dyDescent="0.3">
      <c r="J3496"/>
      <c r="L3496" s="4"/>
    </row>
    <row r="3497" spans="10:12" x14ac:dyDescent="0.3">
      <c r="J3497"/>
      <c r="L3497" s="4"/>
    </row>
    <row r="3498" spans="10:12" x14ac:dyDescent="0.3">
      <c r="J3498"/>
      <c r="L3498" s="4"/>
    </row>
    <row r="3499" spans="10:12" x14ac:dyDescent="0.3">
      <c r="J3499"/>
      <c r="L3499" s="4"/>
    </row>
    <row r="3500" spans="10:12" x14ac:dyDescent="0.3">
      <c r="J3500"/>
      <c r="L3500" s="4"/>
    </row>
    <row r="3501" spans="10:12" x14ac:dyDescent="0.3">
      <c r="J3501"/>
      <c r="L3501" s="4"/>
    </row>
    <row r="3502" spans="10:12" x14ac:dyDescent="0.3">
      <c r="J3502"/>
      <c r="L3502" s="4"/>
    </row>
    <row r="3503" spans="10:12" x14ac:dyDescent="0.3">
      <c r="J3503"/>
      <c r="L3503" s="4"/>
    </row>
    <row r="3504" spans="10:12" x14ac:dyDescent="0.3">
      <c r="J3504"/>
      <c r="L3504" s="4"/>
    </row>
    <row r="3505" spans="10:12" x14ac:dyDescent="0.3">
      <c r="J3505"/>
      <c r="L3505" s="4"/>
    </row>
    <row r="3506" spans="10:12" x14ac:dyDescent="0.3">
      <c r="J3506"/>
      <c r="L3506" s="4"/>
    </row>
    <row r="3507" spans="10:12" x14ac:dyDescent="0.3">
      <c r="J3507"/>
      <c r="L3507" s="4"/>
    </row>
    <row r="3508" spans="10:12" x14ac:dyDescent="0.3">
      <c r="J3508"/>
      <c r="L3508" s="4"/>
    </row>
    <row r="3509" spans="10:12" x14ac:dyDescent="0.3">
      <c r="J3509"/>
      <c r="L3509" s="4"/>
    </row>
    <row r="3510" spans="10:12" x14ac:dyDescent="0.3">
      <c r="J3510"/>
      <c r="L3510" s="4"/>
    </row>
    <row r="3511" spans="10:12" x14ac:dyDescent="0.3">
      <c r="J3511"/>
      <c r="L3511" s="4"/>
    </row>
    <row r="3512" spans="10:12" x14ac:dyDescent="0.3">
      <c r="J3512"/>
      <c r="L3512" s="4"/>
    </row>
    <row r="3513" spans="10:12" x14ac:dyDescent="0.3">
      <c r="J3513"/>
      <c r="L3513" s="4"/>
    </row>
    <row r="3514" spans="10:12" x14ac:dyDescent="0.3">
      <c r="J3514"/>
      <c r="L3514" s="4"/>
    </row>
    <row r="3515" spans="10:12" x14ac:dyDescent="0.3">
      <c r="J3515"/>
      <c r="L3515" s="4"/>
    </row>
    <row r="3516" spans="10:12" x14ac:dyDescent="0.3">
      <c r="J3516"/>
      <c r="L3516" s="4"/>
    </row>
    <row r="3517" spans="10:12" x14ac:dyDescent="0.3">
      <c r="J3517"/>
      <c r="L3517" s="4"/>
    </row>
    <row r="3518" spans="10:12" x14ac:dyDescent="0.3">
      <c r="J3518"/>
      <c r="L3518" s="4"/>
    </row>
    <row r="3519" spans="10:12" x14ac:dyDescent="0.3">
      <c r="J3519"/>
      <c r="L3519" s="4"/>
    </row>
    <row r="3520" spans="10:12" x14ac:dyDescent="0.3">
      <c r="J3520"/>
      <c r="L3520" s="4"/>
    </row>
    <row r="3521" spans="10:12" x14ac:dyDescent="0.3">
      <c r="J3521"/>
      <c r="L3521" s="4"/>
    </row>
    <row r="3522" spans="10:12" x14ac:dyDescent="0.3">
      <c r="J3522"/>
      <c r="L3522" s="4"/>
    </row>
    <row r="3523" spans="10:12" x14ac:dyDescent="0.3">
      <c r="J3523"/>
      <c r="L3523" s="4"/>
    </row>
    <row r="3524" spans="10:12" x14ac:dyDescent="0.3">
      <c r="J3524"/>
      <c r="L3524" s="4"/>
    </row>
    <row r="3525" spans="10:12" x14ac:dyDescent="0.3">
      <c r="J3525"/>
      <c r="L3525" s="4"/>
    </row>
    <row r="3526" spans="10:12" x14ac:dyDescent="0.3">
      <c r="J3526"/>
      <c r="L3526" s="4"/>
    </row>
    <row r="3527" spans="10:12" x14ac:dyDescent="0.3">
      <c r="J3527"/>
      <c r="L3527" s="4"/>
    </row>
    <row r="3528" spans="10:12" x14ac:dyDescent="0.3">
      <c r="J3528"/>
      <c r="L3528" s="4"/>
    </row>
    <row r="3529" spans="10:12" x14ac:dyDescent="0.3">
      <c r="J3529"/>
      <c r="L3529" s="4"/>
    </row>
    <row r="3530" spans="10:12" x14ac:dyDescent="0.3">
      <c r="J3530"/>
      <c r="L3530" s="4"/>
    </row>
    <row r="3531" spans="10:12" x14ac:dyDescent="0.3">
      <c r="J3531"/>
      <c r="L3531" s="4"/>
    </row>
    <row r="3532" spans="10:12" x14ac:dyDescent="0.3">
      <c r="J3532"/>
      <c r="L3532" s="4"/>
    </row>
    <row r="3533" spans="10:12" x14ac:dyDescent="0.3">
      <c r="J3533"/>
      <c r="L3533" s="4"/>
    </row>
    <row r="3534" spans="10:12" x14ac:dyDescent="0.3">
      <c r="J3534"/>
      <c r="L3534" s="4"/>
    </row>
    <row r="3535" spans="10:12" x14ac:dyDescent="0.3">
      <c r="J3535"/>
      <c r="L3535" s="4"/>
    </row>
    <row r="3536" spans="10:12" x14ac:dyDescent="0.3">
      <c r="J3536"/>
      <c r="L3536" s="4"/>
    </row>
    <row r="3537" spans="10:12" x14ac:dyDescent="0.3">
      <c r="J3537"/>
      <c r="L3537" s="4"/>
    </row>
    <row r="3538" spans="10:12" x14ac:dyDescent="0.3">
      <c r="J3538"/>
      <c r="L3538" s="4"/>
    </row>
    <row r="3539" spans="10:12" x14ac:dyDescent="0.3">
      <c r="J3539"/>
      <c r="L3539" s="4"/>
    </row>
    <row r="3540" spans="10:12" x14ac:dyDescent="0.3">
      <c r="J3540"/>
      <c r="L3540" s="4"/>
    </row>
    <row r="3541" spans="10:12" x14ac:dyDescent="0.3">
      <c r="J3541"/>
      <c r="L3541" s="4"/>
    </row>
    <row r="3542" spans="10:12" x14ac:dyDescent="0.3">
      <c r="J3542"/>
      <c r="L3542" s="4"/>
    </row>
    <row r="3543" spans="10:12" x14ac:dyDescent="0.3">
      <c r="J3543"/>
      <c r="L3543" s="4"/>
    </row>
    <row r="3544" spans="10:12" x14ac:dyDescent="0.3">
      <c r="J3544"/>
      <c r="L3544" s="4"/>
    </row>
    <row r="3545" spans="10:12" x14ac:dyDescent="0.3">
      <c r="J3545"/>
      <c r="L3545" s="4"/>
    </row>
    <row r="3546" spans="10:12" x14ac:dyDescent="0.3">
      <c r="J3546"/>
      <c r="L3546" s="4"/>
    </row>
    <row r="3547" spans="10:12" x14ac:dyDescent="0.3">
      <c r="J3547"/>
      <c r="L3547" s="4"/>
    </row>
    <row r="3548" spans="10:12" x14ac:dyDescent="0.3">
      <c r="J3548"/>
      <c r="L3548" s="4"/>
    </row>
    <row r="3549" spans="10:12" x14ac:dyDescent="0.3">
      <c r="J3549"/>
      <c r="L3549" s="4"/>
    </row>
    <row r="3550" spans="10:12" x14ac:dyDescent="0.3">
      <c r="J3550"/>
      <c r="L3550" s="4"/>
    </row>
    <row r="3551" spans="10:12" x14ac:dyDescent="0.3">
      <c r="J3551"/>
      <c r="L3551" s="4"/>
    </row>
    <row r="3552" spans="10:12" x14ac:dyDescent="0.3">
      <c r="J3552"/>
      <c r="L3552" s="4"/>
    </row>
    <row r="3553" spans="10:12" x14ac:dyDescent="0.3">
      <c r="J3553"/>
      <c r="L3553" s="4"/>
    </row>
    <row r="3554" spans="10:12" x14ac:dyDescent="0.3">
      <c r="J3554"/>
      <c r="L3554" s="4"/>
    </row>
    <row r="3555" spans="10:12" x14ac:dyDescent="0.3">
      <c r="J3555"/>
      <c r="L3555" s="4"/>
    </row>
    <row r="3556" spans="10:12" x14ac:dyDescent="0.3">
      <c r="J3556"/>
      <c r="L3556" s="4"/>
    </row>
    <row r="3557" spans="10:12" x14ac:dyDescent="0.3">
      <c r="J3557"/>
      <c r="L3557" s="4"/>
    </row>
    <row r="3558" spans="10:12" x14ac:dyDescent="0.3">
      <c r="J3558"/>
      <c r="L3558" s="4"/>
    </row>
    <row r="3559" spans="10:12" x14ac:dyDescent="0.3">
      <c r="J3559"/>
      <c r="L3559" s="4"/>
    </row>
    <row r="3560" spans="10:12" x14ac:dyDescent="0.3">
      <c r="J3560"/>
      <c r="L3560" s="4"/>
    </row>
    <row r="3561" spans="10:12" x14ac:dyDescent="0.3">
      <c r="J3561"/>
      <c r="L3561" s="4"/>
    </row>
    <row r="3562" spans="10:12" x14ac:dyDescent="0.3">
      <c r="J3562"/>
      <c r="L3562" s="4"/>
    </row>
    <row r="3563" spans="10:12" x14ac:dyDescent="0.3">
      <c r="J3563"/>
      <c r="L3563" s="4"/>
    </row>
    <row r="3564" spans="10:12" x14ac:dyDescent="0.3">
      <c r="J3564"/>
      <c r="L3564" s="4"/>
    </row>
    <row r="3565" spans="10:12" x14ac:dyDescent="0.3">
      <c r="J3565"/>
      <c r="L3565" s="4"/>
    </row>
    <row r="3566" spans="10:12" x14ac:dyDescent="0.3">
      <c r="J3566"/>
      <c r="L3566" s="4"/>
    </row>
    <row r="3567" spans="10:12" x14ac:dyDescent="0.3">
      <c r="J3567"/>
      <c r="L3567" s="4"/>
    </row>
    <row r="3568" spans="10:12" x14ac:dyDescent="0.3">
      <c r="J3568"/>
      <c r="L3568" s="4"/>
    </row>
    <row r="3569" spans="10:12" x14ac:dyDescent="0.3">
      <c r="J3569"/>
      <c r="L3569" s="4"/>
    </row>
    <row r="3570" spans="10:12" x14ac:dyDescent="0.3">
      <c r="J3570"/>
      <c r="L3570" s="4"/>
    </row>
    <row r="3571" spans="10:12" x14ac:dyDescent="0.3">
      <c r="J3571"/>
      <c r="L3571" s="4"/>
    </row>
    <row r="3572" spans="10:12" x14ac:dyDescent="0.3">
      <c r="J3572"/>
      <c r="L3572" s="4"/>
    </row>
    <row r="3573" spans="10:12" x14ac:dyDescent="0.3">
      <c r="J3573"/>
      <c r="L3573" s="4"/>
    </row>
    <row r="3574" spans="10:12" x14ac:dyDescent="0.3">
      <c r="J3574"/>
      <c r="L3574" s="4"/>
    </row>
    <row r="3575" spans="10:12" x14ac:dyDescent="0.3">
      <c r="J3575"/>
      <c r="L3575" s="4"/>
    </row>
    <row r="3576" spans="10:12" x14ac:dyDescent="0.3">
      <c r="J3576"/>
      <c r="L3576" s="4"/>
    </row>
    <row r="3577" spans="10:12" x14ac:dyDescent="0.3">
      <c r="J3577"/>
      <c r="L3577" s="4"/>
    </row>
    <row r="3578" spans="10:12" x14ac:dyDescent="0.3">
      <c r="J3578"/>
      <c r="L3578" s="4"/>
    </row>
    <row r="3579" spans="10:12" x14ac:dyDescent="0.3">
      <c r="J3579"/>
      <c r="L3579" s="4"/>
    </row>
    <row r="3580" spans="10:12" x14ac:dyDescent="0.3">
      <c r="J3580"/>
      <c r="L3580" s="4"/>
    </row>
    <row r="3581" spans="10:12" x14ac:dyDescent="0.3">
      <c r="J3581"/>
      <c r="L3581" s="4"/>
    </row>
    <row r="3582" spans="10:12" x14ac:dyDescent="0.3">
      <c r="J3582"/>
      <c r="L3582" s="4"/>
    </row>
    <row r="3583" spans="10:12" x14ac:dyDescent="0.3">
      <c r="J3583"/>
      <c r="L3583" s="4"/>
    </row>
    <row r="3584" spans="10:12" x14ac:dyDescent="0.3">
      <c r="J3584"/>
      <c r="L3584" s="4"/>
    </row>
    <row r="3585" spans="10:12" x14ac:dyDescent="0.3">
      <c r="J3585"/>
      <c r="L3585" s="4"/>
    </row>
    <row r="3586" spans="10:12" x14ac:dyDescent="0.3">
      <c r="J3586"/>
      <c r="L3586" s="4"/>
    </row>
    <row r="3587" spans="10:12" x14ac:dyDescent="0.3">
      <c r="J3587"/>
      <c r="L3587" s="4"/>
    </row>
    <row r="3588" spans="10:12" x14ac:dyDescent="0.3">
      <c r="J3588"/>
      <c r="L3588" s="4"/>
    </row>
    <row r="3589" spans="10:12" x14ac:dyDescent="0.3">
      <c r="J3589"/>
      <c r="L3589" s="4"/>
    </row>
    <row r="3590" spans="10:12" x14ac:dyDescent="0.3">
      <c r="J3590"/>
      <c r="L3590" s="4"/>
    </row>
    <row r="3591" spans="10:12" x14ac:dyDescent="0.3">
      <c r="J3591"/>
      <c r="L3591" s="4"/>
    </row>
    <row r="3592" spans="10:12" x14ac:dyDescent="0.3">
      <c r="J3592"/>
      <c r="L3592" s="4"/>
    </row>
    <row r="3593" spans="10:12" x14ac:dyDescent="0.3">
      <c r="J3593"/>
      <c r="L3593" s="4"/>
    </row>
    <row r="3594" spans="10:12" x14ac:dyDescent="0.3">
      <c r="J3594"/>
      <c r="L3594" s="4"/>
    </row>
    <row r="3595" spans="10:12" x14ac:dyDescent="0.3">
      <c r="J3595"/>
      <c r="L3595" s="4"/>
    </row>
    <row r="3596" spans="10:12" x14ac:dyDescent="0.3">
      <c r="J3596"/>
      <c r="L3596" s="4"/>
    </row>
    <row r="3597" spans="10:12" x14ac:dyDescent="0.3">
      <c r="J3597"/>
      <c r="L3597" s="4"/>
    </row>
    <row r="3598" spans="10:12" x14ac:dyDescent="0.3">
      <c r="J3598"/>
      <c r="L3598" s="4"/>
    </row>
    <row r="3599" spans="10:12" x14ac:dyDescent="0.3">
      <c r="J3599"/>
      <c r="L3599" s="4"/>
    </row>
    <row r="3600" spans="10:12" x14ac:dyDescent="0.3">
      <c r="J3600"/>
      <c r="L3600" s="4"/>
    </row>
    <row r="3601" spans="10:12" x14ac:dyDescent="0.3">
      <c r="J3601"/>
      <c r="L3601" s="4"/>
    </row>
    <row r="3602" spans="10:12" x14ac:dyDescent="0.3">
      <c r="J3602"/>
      <c r="L3602" s="4"/>
    </row>
    <row r="3603" spans="10:12" x14ac:dyDescent="0.3">
      <c r="J3603"/>
      <c r="L3603" s="4"/>
    </row>
    <row r="3604" spans="10:12" x14ac:dyDescent="0.3">
      <c r="J3604"/>
      <c r="L3604" s="4"/>
    </row>
    <row r="3605" spans="10:12" x14ac:dyDescent="0.3">
      <c r="J3605"/>
      <c r="L3605" s="4"/>
    </row>
    <row r="3606" spans="10:12" x14ac:dyDescent="0.3">
      <c r="J3606"/>
      <c r="L3606" s="4"/>
    </row>
    <row r="3607" spans="10:12" x14ac:dyDescent="0.3">
      <c r="J3607"/>
      <c r="L3607" s="4"/>
    </row>
    <row r="3608" spans="10:12" x14ac:dyDescent="0.3">
      <c r="J3608"/>
      <c r="L3608" s="4"/>
    </row>
    <row r="3609" spans="10:12" x14ac:dyDescent="0.3">
      <c r="J3609"/>
      <c r="L3609" s="4"/>
    </row>
    <row r="3610" spans="10:12" x14ac:dyDescent="0.3">
      <c r="J3610"/>
      <c r="L3610" s="4"/>
    </row>
    <row r="3611" spans="10:12" x14ac:dyDescent="0.3">
      <c r="J3611"/>
      <c r="L3611" s="4"/>
    </row>
    <row r="3612" spans="10:12" x14ac:dyDescent="0.3">
      <c r="J3612"/>
      <c r="L3612" s="4"/>
    </row>
    <row r="3613" spans="10:12" x14ac:dyDescent="0.3">
      <c r="J3613"/>
      <c r="L3613" s="4"/>
    </row>
    <row r="3614" spans="10:12" x14ac:dyDescent="0.3">
      <c r="J3614"/>
      <c r="L3614" s="4"/>
    </row>
    <row r="3615" spans="10:12" x14ac:dyDescent="0.3">
      <c r="J3615"/>
      <c r="L3615" s="4"/>
    </row>
    <row r="3616" spans="10:12" x14ac:dyDescent="0.3">
      <c r="J3616"/>
      <c r="L3616" s="4"/>
    </row>
    <row r="3617" spans="10:12" x14ac:dyDescent="0.3">
      <c r="J3617"/>
      <c r="L3617" s="4"/>
    </row>
    <row r="3618" spans="10:12" x14ac:dyDescent="0.3">
      <c r="J3618"/>
      <c r="L3618" s="4"/>
    </row>
    <row r="3619" spans="10:12" x14ac:dyDescent="0.3">
      <c r="J3619"/>
      <c r="L3619" s="4"/>
    </row>
    <row r="3620" spans="10:12" x14ac:dyDescent="0.3">
      <c r="J3620"/>
      <c r="L3620" s="4"/>
    </row>
    <row r="3621" spans="10:12" x14ac:dyDescent="0.3">
      <c r="J3621"/>
      <c r="L3621" s="4"/>
    </row>
    <row r="3622" spans="10:12" x14ac:dyDescent="0.3">
      <c r="J3622"/>
      <c r="L3622" s="4"/>
    </row>
    <row r="3623" spans="10:12" x14ac:dyDescent="0.3">
      <c r="J3623"/>
      <c r="L3623" s="4"/>
    </row>
    <row r="3624" spans="10:12" x14ac:dyDescent="0.3">
      <c r="J3624"/>
      <c r="L3624" s="4"/>
    </row>
    <row r="3625" spans="10:12" x14ac:dyDescent="0.3">
      <c r="J3625"/>
      <c r="L3625" s="4"/>
    </row>
    <row r="3626" spans="10:12" x14ac:dyDescent="0.3">
      <c r="J3626"/>
      <c r="L3626" s="4"/>
    </row>
    <row r="3627" spans="10:12" x14ac:dyDescent="0.3">
      <c r="J3627"/>
      <c r="L3627" s="4"/>
    </row>
    <row r="3628" spans="10:12" x14ac:dyDescent="0.3">
      <c r="J3628"/>
      <c r="L3628" s="4"/>
    </row>
    <row r="3629" spans="10:12" x14ac:dyDescent="0.3">
      <c r="J3629"/>
      <c r="L3629" s="4"/>
    </row>
    <row r="3630" spans="10:12" x14ac:dyDescent="0.3">
      <c r="J3630"/>
      <c r="L3630" s="4"/>
    </row>
    <row r="3631" spans="10:12" x14ac:dyDescent="0.3">
      <c r="J3631"/>
      <c r="L3631" s="4"/>
    </row>
    <row r="3632" spans="10:12" x14ac:dyDescent="0.3">
      <c r="J3632"/>
      <c r="L3632" s="4"/>
    </row>
    <row r="3633" spans="10:12" x14ac:dyDescent="0.3">
      <c r="J3633"/>
      <c r="L3633" s="4"/>
    </row>
    <row r="3634" spans="10:12" x14ac:dyDescent="0.3">
      <c r="J3634"/>
      <c r="L3634" s="4"/>
    </row>
    <row r="3635" spans="10:12" x14ac:dyDescent="0.3">
      <c r="J3635"/>
      <c r="L3635" s="4"/>
    </row>
    <row r="3636" spans="10:12" x14ac:dyDescent="0.3">
      <c r="J3636"/>
      <c r="L3636" s="4"/>
    </row>
    <row r="3637" spans="10:12" x14ac:dyDescent="0.3">
      <c r="J3637"/>
      <c r="L3637" s="4"/>
    </row>
    <row r="3638" spans="10:12" x14ac:dyDescent="0.3">
      <c r="J3638"/>
      <c r="L3638" s="4"/>
    </row>
    <row r="3639" spans="10:12" x14ac:dyDescent="0.3">
      <c r="J3639"/>
      <c r="L3639" s="4"/>
    </row>
    <row r="3640" spans="10:12" x14ac:dyDescent="0.3">
      <c r="J3640"/>
      <c r="L3640" s="4"/>
    </row>
    <row r="3641" spans="10:12" x14ac:dyDescent="0.3">
      <c r="J3641"/>
      <c r="L3641" s="4"/>
    </row>
    <row r="3642" spans="10:12" x14ac:dyDescent="0.3">
      <c r="J3642"/>
      <c r="L3642" s="4"/>
    </row>
    <row r="3643" spans="10:12" x14ac:dyDescent="0.3">
      <c r="J3643"/>
      <c r="L3643" s="4"/>
    </row>
    <row r="3644" spans="10:12" x14ac:dyDescent="0.3">
      <c r="J3644"/>
      <c r="L3644" s="4"/>
    </row>
    <row r="3645" spans="10:12" x14ac:dyDescent="0.3">
      <c r="J3645"/>
      <c r="L3645" s="4"/>
    </row>
    <row r="3646" spans="10:12" x14ac:dyDescent="0.3">
      <c r="J3646"/>
      <c r="L3646" s="4"/>
    </row>
    <row r="3647" spans="10:12" x14ac:dyDescent="0.3">
      <c r="J3647"/>
      <c r="L3647" s="4"/>
    </row>
    <row r="3648" spans="10:12" x14ac:dyDescent="0.3">
      <c r="J3648"/>
      <c r="L3648" s="4"/>
    </row>
    <row r="3649" spans="10:12" x14ac:dyDescent="0.3">
      <c r="J3649"/>
      <c r="L3649" s="4"/>
    </row>
    <row r="3650" spans="10:12" x14ac:dyDescent="0.3">
      <c r="J3650"/>
      <c r="L3650" s="4"/>
    </row>
    <row r="3651" spans="10:12" x14ac:dyDescent="0.3">
      <c r="J3651"/>
      <c r="L3651" s="4"/>
    </row>
    <row r="3652" spans="10:12" x14ac:dyDescent="0.3">
      <c r="J3652"/>
      <c r="L3652" s="4"/>
    </row>
    <row r="3653" spans="10:12" x14ac:dyDescent="0.3">
      <c r="J3653"/>
      <c r="L3653" s="4"/>
    </row>
    <row r="3654" spans="10:12" x14ac:dyDescent="0.3">
      <c r="J3654"/>
      <c r="L3654" s="4"/>
    </row>
    <row r="3655" spans="10:12" x14ac:dyDescent="0.3">
      <c r="J3655"/>
      <c r="L3655" s="4"/>
    </row>
    <row r="3656" spans="10:12" x14ac:dyDescent="0.3">
      <c r="J3656"/>
      <c r="L3656" s="4"/>
    </row>
    <row r="3657" spans="10:12" x14ac:dyDescent="0.3">
      <c r="J3657"/>
      <c r="L3657" s="4"/>
    </row>
    <row r="3658" spans="10:12" x14ac:dyDescent="0.3">
      <c r="J3658"/>
      <c r="L3658" s="4"/>
    </row>
    <row r="3659" spans="10:12" x14ac:dyDescent="0.3">
      <c r="J3659"/>
      <c r="L3659" s="4"/>
    </row>
    <row r="3660" spans="10:12" x14ac:dyDescent="0.3">
      <c r="J3660"/>
      <c r="L3660" s="4"/>
    </row>
    <row r="3661" spans="10:12" x14ac:dyDescent="0.3">
      <c r="J3661"/>
      <c r="L3661" s="4"/>
    </row>
    <row r="3662" spans="10:12" x14ac:dyDescent="0.3">
      <c r="J3662"/>
      <c r="L3662" s="4"/>
    </row>
    <row r="3663" spans="10:12" x14ac:dyDescent="0.3">
      <c r="J3663"/>
      <c r="L3663" s="4"/>
    </row>
    <row r="3664" spans="10:12" x14ac:dyDescent="0.3">
      <c r="J3664"/>
      <c r="L3664" s="4"/>
    </row>
    <row r="3665" spans="10:12" x14ac:dyDescent="0.3">
      <c r="J3665"/>
      <c r="L3665" s="4"/>
    </row>
    <row r="3666" spans="10:12" x14ac:dyDescent="0.3">
      <c r="J3666"/>
      <c r="L3666" s="4"/>
    </row>
    <row r="3667" spans="10:12" x14ac:dyDescent="0.3">
      <c r="J3667"/>
      <c r="L3667" s="4"/>
    </row>
    <row r="3668" spans="10:12" x14ac:dyDescent="0.3">
      <c r="J3668"/>
      <c r="L3668" s="4"/>
    </row>
    <row r="3669" spans="10:12" x14ac:dyDescent="0.3">
      <c r="J3669"/>
      <c r="L3669" s="4"/>
    </row>
    <row r="3670" spans="10:12" x14ac:dyDescent="0.3">
      <c r="J3670"/>
      <c r="L3670" s="4"/>
    </row>
    <row r="3671" spans="10:12" x14ac:dyDescent="0.3">
      <c r="J3671"/>
      <c r="L3671" s="4"/>
    </row>
    <row r="3672" spans="10:12" x14ac:dyDescent="0.3">
      <c r="J3672"/>
      <c r="L3672" s="4"/>
    </row>
    <row r="3673" spans="10:12" x14ac:dyDescent="0.3">
      <c r="J3673"/>
      <c r="L3673" s="4"/>
    </row>
    <row r="3674" spans="10:12" x14ac:dyDescent="0.3">
      <c r="J3674"/>
      <c r="L3674" s="4"/>
    </row>
    <row r="3675" spans="10:12" x14ac:dyDescent="0.3">
      <c r="J3675"/>
      <c r="L3675" s="4"/>
    </row>
    <row r="3676" spans="10:12" x14ac:dyDescent="0.3">
      <c r="J3676"/>
      <c r="L3676" s="4"/>
    </row>
    <row r="3677" spans="10:12" x14ac:dyDescent="0.3">
      <c r="J3677"/>
      <c r="L3677" s="4"/>
    </row>
    <row r="3678" spans="10:12" x14ac:dyDescent="0.3">
      <c r="J3678"/>
      <c r="L3678" s="4"/>
    </row>
    <row r="3679" spans="10:12" x14ac:dyDescent="0.3">
      <c r="J3679"/>
      <c r="L3679" s="4"/>
    </row>
    <row r="3680" spans="10:12" x14ac:dyDescent="0.3">
      <c r="J3680"/>
      <c r="L3680" s="4"/>
    </row>
    <row r="3681" spans="10:12" x14ac:dyDescent="0.3">
      <c r="J3681"/>
      <c r="L3681" s="4"/>
    </row>
    <row r="3682" spans="10:12" x14ac:dyDescent="0.3">
      <c r="J3682"/>
      <c r="L3682" s="4"/>
    </row>
    <row r="3683" spans="10:12" x14ac:dyDescent="0.3">
      <c r="J3683"/>
      <c r="L3683" s="4"/>
    </row>
    <row r="3684" spans="10:12" x14ac:dyDescent="0.3">
      <c r="J3684"/>
      <c r="L3684" s="4"/>
    </row>
    <row r="3685" spans="10:12" x14ac:dyDescent="0.3">
      <c r="J3685"/>
      <c r="L3685" s="4"/>
    </row>
    <row r="3686" spans="10:12" x14ac:dyDescent="0.3">
      <c r="J3686"/>
      <c r="L3686" s="4"/>
    </row>
    <row r="3687" spans="10:12" x14ac:dyDescent="0.3">
      <c r="J3687"/>
      <c r="L3687" s="4"/>
    </row>
    <row r="3688" spans="10:12" x14ac:dyDescent="0.3">
      <c r="J3688"/>
      <c r="L3688" s="4"/>
    </row>
    <row r="3689" spans="10:12" x14ac:dyDescent="0.3">
      <c r="J3689"/>
      <c r="L3689" s="4"/>
    </row>
    <row r="3690" spans="10:12" x14ac:dyDescent="0.3">
      <c r="J3690"/>
      <c r="L3690" s="4"/>
    </row>
    <row r="3691" spans="10:12" x14ac:dyDescent="0.3">
      <c r="J3691"/>
      <c r="L3691" s="4"/>
    </row>
    <row r="3692" spans="10:12" x14ac:dyDescent="0.3">
      <c r="J3692"/>
      <c r="L3692" s="4"/>
    </row>
    <row r="3693" spans="10:12" x14ac:dyDescent="0.3">
      <c r="J3693"/>
      <c r="L3693" s="4"/>
    </row>
    <row r="3694" spans="10:12" x14ac:dyDescent="0.3">
      <c r="J3694"/>
      <c r="L3694" s="4"/>
    </row>
    <row r="3695" spans="10:12" x14ac:dyDescent="0.3">
      <c r="J3695"/>
      <c r="L3695" s="4"/>
    </row>
    <row r="3696" spans="10:12" x14ac:dyDescent="0.3">
      <c r="J3696"/>
      <c r="L3696" s="4"/>
    </row>
    <row r="3697" spans="10:12" x14ac:dyDescent="0.3">
      <c r="J3697"/>
      <c r="L3697" s="4"/>
    </row>
    <row r="3698" spans="10:12" x14ac:dyDescent="0.3">
      <c r="J3698"/>
      <c r="L3698" s="4"/>
    </row>
    <row r="3699" spans="10:12" x14ac:dyDescent="0.3">
      <c r="J3699"/>
      <c r="L3699" s="4"/>
    </row>
    <row r="3700" spans="10:12" x14ac:dyDescent="0.3">
      <c r="J3700"/>
      <c r="L3700" s="4"/>
    </row>
    <row r="3701" spans="10:12" x14ac:dyDescent="0.3">
      <c r="J3701"/>
      <c r="L3701" s="4"/>
    </row>
    <row r="3702" spans="10:12" x14ac:dyDescent="0.3">
      <c r="J3702"/>
      <c r="L3702" s="4"/>
    </row>
    <row r="3703" spans="10:12" x14ac:dyDescent="0.3">
      <c r="J3703"/>
      <c r="L3703" s="4"/>
    </row>
    <row r="3704" spans="10:12" x14ac:dyDescent="0.3">
      <c r="J3704"/>
      <c r="L3704" s="4"/>
    </row>
    <row r="3705" spans="10:12" x14ac:dyDescent="0.3">
      <c r="J3705"/>
      <c r="L3705" s="4"/>
    </row>
    <row r="3706" spans="10:12" x14ac:dyDescent="0.3">
      <c r="J3706"/>
      <c r="L3706" s="4"/>
    </row>
    <row r="3707" spans="10:12" x14ac:dyDescent="0.3">
      <c r="J3707"/>
      <c r="L3707" s="4"/>
    </row>
    <row r="3708" spans="10:12" x14ac:dyDescent="0.3">
      <c r="J3708"/>
      <c r="L3708" s="4"/>
    </row>
    <row r="3709" spans="10:12" x14ac:dyDescent="0.3">
      <c r="J3709"/>
      <c r="L3709" s="4"/>
    </row>
    <row r="3710" spans="10:12" x14ac:dyDescent="0.3">
      <c r="J3710"/>
      <c r="L3710" s="4"/>
    </row>
    <row r="3711" spans="10:12" x14ac:dyDescent="0.3">
      <c r="J3711"/>
      <c r="L3711" s="4"/>
    </row>
    <row r="3712" spans="10:12" x14ac:dyDescent="0.3">
      <c r="J3712"/>
      <c r="L3712" s="4"/>
    </row>
    <row r="3713" spans="10:12" x14ac:dyDescent="0.3">
      <c r="J3713"/>
      <c r="L3713" s="4"/>
    </row>
    <row r="3714" spans="10:12" x14ac:dyDescent="0.3">
      <c r="J3714"/>
      <c r="L3714" s="4"/>
    </row>
    <row r="3715" spans="10:12" x14ac:dyDescent="0.3">
      <c r="J3715"/>
      <c r="L3715" s="4"/>
    </row>
    <row r="3716" spans="10:12" x14ac:dyDescent="0.3">
      <c r="J3716"/>
      <c r="L3716" s="4"/>
    </row>
    <row r="3717" spans="10:12" x14ac:dyDescent="0.3">
      <c r="J3717"/>
      <c r="L3717" s="4"/>
    </row>
    <row r="3718" spans="10:12" x14ac:dyDescent="0.3">
      <c r="J3718"/>
      <c r="L3718" s="4"/>
    </row>
    <row r="3719" spans="10:12" x14ac:dyDescent="0.3">
      <c r="J3719"/>
      <c r="L3719" s="4"/>
    </row>
    <row r="3720" spans="10:12" x14ac:dyDescent="0.3">
      <c r="J3720"/>
      <c r="L3720" s="4"/>
    </row>
    <row r="3721" spans="10:12" x14ac:dyDescent="0.3">
      <c r="J3721"/>
      <c r="L3721" s="4"/>
    </row>
    <row r="3722" spans="10:12" x14ac:dyDescent="0.3">
      <c r="J3722"/>
      <c r="L3722" s="4"/>
    </row>
    <row r="3723" spans="10:12" x14ac:dyDescent="0.3">
      <c r="J3723"/>
      <c r="L3723" s="4"/>
    </row>
    <row r="3724" spans="10:12" x14ac:dyDescent="0.3">
      <c r="J3724"/>
      <c r="L3724" s="4"/>
    </row>
    <row r="3725" spans="10:12" x14ac:dyDescent="0.3">
      <c r="J3725"/>
      <c r="L3725" s="4"/>
    </row>
    <row r="3726" spans="10:12" x14ac:dyDescent="0.3">
      <c r="J3726"/>
      <c r="L3726" s="4"/>
    </row>
    <row r="3727" spans="10:12" x14ac:dyDescent="0.3">
      <c r="J3727"/>
      <c r="L3727" s="4"/>
    </row>
    <row r="3728" spans="10:12" x14ac:dyDescent="0.3">
      <c r="J3728"/>
      <c r="L3728" s="4"/>
    </row>
    <row r="3729" spans="10:12" x14ac:dyDescent="0.3">
      <c r="J3729"/>
      <c r="L3729" s="4"/>
    </row>
    <row r="3730" spans="10:12" x14ac:dyDescent="0.3">
      <c r="J3730"/>
      <c r="L3730" s="4"/>
    </row>
    <row r="3731" spans="10:12" x14ac:dyDescent="0.3">
      <c r="J3731"/>
      <c r="L3731" s="4"/>
    </row>
    <row r="3732" spans="10:12" x14ac:dyDescent="0.3">
      <c r="J3732"/>
      <c r="L3732" s="4"/>
    </row>
    <row r="3733" spans="10:12" x14ac:dyDescent="0.3">
      <c r="J3733"/>
      <c r="L3733" s="4"/>
    </row>
    <row r="3734" spans="10:12" x14ac:dyDescent="0.3">
      <c r="J3734"/>
      <c r="L3734" s="4"/>
    </row>
    <row r="3735" spans="10:12" x14ac:dyDescent="0.3">
      <c r="J3735"/>
      <c r="L3735" s="4"/>
    </row>
    <row r="3736" spans="10:12" x14ac:dyDescent="0.3">
      <c r="J3736"/>
      <c r="L3736" s="4"/>
    </row>
    <row r="3737" spans="10:12" x14ac:dyDescent="0.3">
      <c r="J3737"/>
      <c r="L3737" s="4"/>
    </row>
    <row r="3738" spans="10:12" x14ac:dyDescent="0.3">
      <c r="J3738"/>
      <c r="L3738" s="4"/>
    </row>
    <row r="3739" spans="10:12" x14ac:dyDescent="0.3">
      <c r="J3739"/>
      <c r="L3739" s="4"/>
    </row>
    <row r="3740" spans="10:12" x14ac:dyDescent="0.3">
      <c r="J3740"/>
      <c r="L3740" s="4"/>
    </row>
    <row r="3741" spans="10:12" x14ac:dyDescent="0.3">
      <c r="J3741"/>
      <c r="L3741" s="4"/>
    </row>
    <row r="3742" spans="10:12" x14ac:dyDescent="0.3">
      <c r="J3742"/>
      <c r="L3742" s="4"/>
    </row>
    <row r="3743" spans="10:12" x14ac:dyDescent="0.3">
      <c r="J3743"/>
      <c r="L3743" s="4"/>
    </row>
    <row r="3744" spans="10:12" x14ac:dyDescent="0.3">
      <c r="J3744"/>
      <c r="L3744" s="4"/>
    </row>
    <row r="3745" spans="10:12" x14ac:dyDescent="0.3">
      <c r="J3745"/>
      <c r="L3745" s="4"/>
    </row>
    <row r="3746" spans="10:12" x14ac:dyDescent="0.3">
      <c r="J3746"/>
      <c r="L3746" s="4"/>
    </row>
    <row r="3747" spans="10:12" x14ac:dyDescent="0.3">
      <c r="J3747"/>
      <c r="L3747" s="4"/>
    </row>
    <row r="3748" spans="10:12" x14ac:dyDescent="0.3">
      <c r="J3748"/>
      <c r="L3748" s="4"/>
    </row>
    <row r="3749" spans="10:12" x14ac:dyDescent="0.3">
      <c r="J3749"/>
      <c r="L3749" s="4"/>
    </row>
    <row r="3750" spans="10:12" x14ac:dyDescent="0.3">
      <c r="J3750"/>
      <c r="L3750" s="4"/>
    </row>
    <row r="3751" spans="10:12" x14ac:dyDescent="0.3">
      <c r="J3751"/>
      <c r="L3751" s="4"/>
    </row>
    <row r="3752" spans="10:12" x14ac:dyDescent="0.3">
      <c r="J3752"/>
      <c r="L3752" s="4"/>
    </row>
    <row r="3753" spans="10:12" x14ac:dyDescent="0.3">
      <c r="J3753"/>
      <c r="L3753" s="4"/>
    </row>
    <row r="3754" spans="10:12" x14ac:dyDescent="0.3">
      <c r="J3754"/>
      <c r="L3754" s="4"/>
    </row>
    <row r="3755" spans="10:12" x14ac:dyDescent="0.3">
      <c r="J3755"/>
      <c r="L3755" s="4"/>
    </row>
    <row r="3756" spans="10:12" x14ac:dyDescent="0.3">
      <c r="J3756"/>
      <c r="L3756" s="4"/>
    </row>
    <row r="3757" spans="10:12" x14ac:dyDescent="0.3">
      <c r="J3757"/>
      <c r="L3757" s="4"/>
    </row>
    <row r="3758" spans="10:12" x14ac:dyDescent="0.3">
      <c r="J3758"/>
      <c r="L3758" s="4"/>
    </row>
    <row r="3759" spans="10:12" x14ac:dyDescent="0.3">
      <c r="J3759"/>
      <c r="L3759" s="4"/>
    </row>
    <row r="3760" spans="10:12" x14ac:dyDescent="0.3">
      <c r="J3760"/>
      <c r="L3760" s="4"/>
    </row>
    <row r="3761" spans="10:12" x14ac:dyDescent="0.3">
      <c r="J3761"/>
      <c r="L3761" s="4"/>
    </row>
    <row r="3762" spans="10:12" x14ac:dyDescent="0.3">
      <c r="J3762"/>
      <c r="L3762" s="4"/>
    </row>
    <row r="3763" spans="10:12" x14ac:dyDescent="0.3">
      <c r="J3763"/>
      <c r="L3763" s="4"/>
    </row>
    <row r="3764" spans="10:12" x14ac:dyDescent="0.3">
      <c r="J3764"/>
      <c r="L3764" s="4"/>
    </row>
    <row r="3765" spans="10:12" x14ac:dyDescent="0.3">
      <c r="J3765"/>
      <c r="L3765" s="4"/>
    </row>
    <row r="3766" spans="10:12" x14ac:dyDescent="0.3">
      <c r="J3766"/>
      <c r="L3766" s="4"/>
    </row>
    <row r="3767" spans="10:12" x14ac:dyDescent="0.3">
      <c r="J3767"/>
      <c r="L3767" s="4"/>
    </row>
    <row r="3768" spans="10:12" x14ac:dyDescent="0.3">
      <c r="J3768"/>
      <c r="L3768" s="4"/>
    </row>
    <row r="3769" spans="10:12" x14ac:dyDescent="0.3">
      <c r="J3769"/>
      <c r="L3769" s="4"/>
    </row>
    <row r="3770" spans="10:12" x14ac:dyDescent="0.3">
      <c r="J3770"/>
      <c r="L3770" s="4"/>
    </row>
    <row r="3771" spans="10:12" x14ac:dyDescent="0.3">
      <c r="J3771"/>
      <c r="L3771" s="4"/>
    </row>
    <row r="3772" spans="10:12" x14ac:dyDescent="0.3">
      <c r="J3772"/>
      <c r="L3772" s="4"/>
    </row>
    <row r="3773" spans="10:12" x14ac:dyDescent="0.3">
      <c r="J3773"/>
      <c r="L3773" s="4"/>
    </row>
    <row r="3774" spans="10:12" x14ac:dyDescent="0.3">
      <c r="J3774"/>
      <c r="L3774" s="4"/>
    </row>
    <row r="3775" spans="10:12" x14ac:dyDescent="0.3">
      <c r="J3775"/>
      <c r="L3775" s="4"/>
    </row>
    <row r="3776" spans="10:12" x14ac:dyDescent="0.3">
      <c r="J3776"/>
      <c r="L3776" s="4"/>
    </row>
    <row r="3777" spans="10:12" x14ac:dyDescent="0.3">
      <c r="J3777"/>
      <c r="L3777" s="4"/>
    </row>
    <row r="3778" spans="10:12" x14ac:dyDescent="0.3">
      <c r="J3778"/>
      <c r="L3778" s="4"/>
    </row>
    <row r="3779" spans="10:12" x14ac:dyDescent="0.3">
      <c r="J3779"/>
      <c r="L3779" s="4"/>
    </row>
    <row r="3780" spans="10:12" x14ac:dyDescent="0.3">
      <c r="J3780"/>
      <c r="L3780" s="4"/>
    </row>
    <row r="3781" spans="10:12" x14ac:dyDescent="0.3">
      <c r="J3781"/>
      <c r="L3781" s="4"/>
    </row>
    <row r="3782" spans="10:12" x14ac:dyDescent="0.3">
      <c r="J3782"/>
      <c r="L3782" s="4"/>
    </row>
    <row r="3783" spans="10:12" x14ac:dyDescent="0.3">
      <c r="J3783"/>
      <c r="L3783" s="4"/>
    </row>
    <row r="3784" spans="10:12" x14ac:dyDescent="0.3">
      <c r="J3784"/>
      <c r="L3784" s="4"/>
    </row>
    <row r="3785" spans="10:12" x14ac:dyDescent="0.3">
      <c r="J3785"/>
      <c r="L3785" s="4"/>
    </row>
    <row r="3786" spans="10:12" x14ac:dyDescent="0.3">
      <c r="J3786"/>
      <c r="L3786" s="4"/>
    </row>
    <row r="3787" spans="10:12" x14ac:dyDescent="0.3">
      <c r="J3787"/>
      <c r="L3787" s="4"/>
    </row>
    <row r="3788" spans="10:12" x14ac:dyDescent="0.3">
      <c r="J3788"/>
      <c r="L3788" s="4"/>
    </row>
    <row r="3789" spans="10:12" x14ac:dyDescent="0.3">
      <c r="J3789"/>
      <c r="L3789" s="4"/>
    </row>
    <row r="3790" spans="10:12" x14ac:dyDescent="0.3">
      <c r="J3790"/>
      <c r="L3790" s="4"/>
    </row>
    <row r="3791" spans="10:12" x14ac:dyDescent="0.3">
      <c r="J3791"/>
      <c r="L3791" s="4"/>
    </row>
    <row r="3792" spans="10:12" x14ac:dyDescent="0.3">
      <c r="J3792"/>
      <c r="L3792" s="4"/>
    </row>
    <row r="3793" spans="10:12" x14ac:dyDescent="0.3">
      <c r="J3793"/>
      <c r="L3793" s="4"/>
    </row>
    <row r="3794" spans="10:12" x14ac:dyDescent="0.3">
      <c r="J3794"/>
      <c r="L3794" s="4"/>
    </row>
    <row r="3795" spans="10:12" x14ac:dyDescent="0.3">
      <c r="J3795"/>
      <c r="L3795" s="4"/>
    </row>
    <row r="3796" spans="10:12" x14ac:dyDescent="0.3">
      <c r="J3796"/>
      <c r="L3796" s="4"/>
    </row>
    <row r="3797" spans="10:12" x14ac:dyDescent="0.3">
      <c r="J3797"/>
      <c r="L3797" s="4"/>
    </row>
    <row r="3798" spans="10:12" x14ac:dyDescent="0.3">
      <c r="J3798"/>
      <c r="L3798" s="4"/>
    </row>
    <row r="3799" spans="10:12" x14ac:dyDescent="0.3">
      <c r="J3799"/>
      <c r="L3799" s="4"/>
    </row>
    <row r="3800" spans="10:12" x14ac:dyDescent="0.3">
      <c r="J3800"/>
      <c r="L3800" s="4"/>
    </row>
    <row r="3801" spans="10:12" x14ac:dyDescent="0.3">
      <c r="J3801"/>
      <c r="L3801" s="4"/>
    </row>
    <row r="3802" spans="10:12" x14ac:dyDescent="0.3">
      <c r="J3802"/>
      <c r="L3802" s="4"/>
    </row>
    <row r="3803" spans="10:12" x14ac:dyDescent="0.3">
      <c r="J3803"/>
      <c r="L3803" s="4"/>
    </row>
    <row r="3804" spans="10:12" x14ac:dyDescent="0.3">
      <c r="J3804"/>
      <c r="L3804" s="4"/>
    </row>
    <row r="3805" spans="10:12" x14ac:dyDescent="0.3">
      <c r="J3805"/>
      <c r="L3805" s="4"/>
    </row>
    <row r="3806" spans="10:12" x14ac:dyDescent="0.3">
      <c r="J3806"/>
      <c r="L3806" s="4"/>
    </row>
    <row r="3807" spans="10:12" x14ac:dyDescent="0.3">
      <c r="J3807"/>
      <c r="L3807" s="4"/>
    </row>
    <row r="3808" spans="10:12" x14ac:dyDescent="0.3">
      <c r="J3808"/>
      <c r="L3808" s="4"/>
    </row>
    <row r="3809" spans="10:12" x14ac:dyDescent="0.3">
      <c r="J3809"/>
      <c r="L3809" s="4"/>
    </row>
    <row r="3810" spans="10:12" x14ac:dyDescent="0.3">
      <c r="J3810"/>
      <c r="L3810" s="4"/>
    </row>
    <row r="3811" spans="10:12" x14ac:dyDescent="0.3">
      <c r="J3811"/>
      <c r="L3811" s="4"/>
    </row>
    <row r="3812" spans="10:12" x14ac:dyDescent="0.3">
      <c r="J3812"/>
      <c r="L3812" s="4"/>
    </row>
    <row r="3813" spans="10:12" x14ac:dyDescent="0.3">
      <c r="J3813"/>
      <c r="L3813" s="4"/>
    </row>
    <row r="3814" spans="10:12" x14ac:dyDescent="0.3">
      <c r="J3814"/>
      <c r="L3814" s="4"/>
    </row>
    <row r="3815" spans="10:12" x14ac:dyDescent="0.3">
      <c r="J3815"/>
      <c r="L3815" s="4"/>
    </row>
    <row r="3816" spans="10:12" x14ac:dyDescent="0.3">
      <c r="J3816"/>
      <c r="L3816" s="4"/>
    </row>
    <row r="3817" spans="10:12" x14ac:dyDescent="0.3">
      <c r="J3817"/>
      <c r="L3817" s="4"/>
    </row>
    <row r="3818" spans="10:12" x14ac:dyDescent="0.3">
      <c r="J3818"/>
      <c r="L3818" s="4"/>
    </row>
    <row r="3819" spans="10:12" x14ac:dyDescent="0.3">
      <c r="J3819"/>
      <c r="L3819" s="4"/>
    </row>
    <row r="3820" spans="10:12" x14ac:dyDescent="0.3">
      <c r="J3820"/>
      <c r="L3820" s="4"/>
    </row>
    <row r="3821" spans="10:12" x14ac:dyDescent="0.3">
      <c r="J3821"/>
      <c r="L3821" s="4"/>
    </row>
    <row r="3822" spans="10:12" x14ac:dyDescent="0.3">
      <c r="J3822"/>
      <c r="L3822" s="4"/>
    </row>
    <row r="3823" spans="10:12" x14ac:dyDescent="0.3">
      <c r="J3823"/>
      <c r="L3823" s="4"/>
    </row>
    <row r="3824" spans="10:12" x14ac:dyDescent="0.3">
      <c r="J3824"/>
      <c r="L3824" s="4"/>
    </row>
    <row r="3825" spans="10:12" x14ac:dyDescent="0.3">
      <c r="J3825"/>
      <c r="L3825" s="4"/>
    </row>
    <row r="3826" spans="10:12" x14ac:dyDescent="0.3">
      <c r="J3826"/>
      <c r="L3826" s="4"/>
    </row>
    <row r="3827" spans="10:12" x14ac:dyDescent="0.3">
      <c r="J3827"/>
      <c r="L3827" s="4"/>
    </row>
    <row r="3828" spans="10:12" x14ac:dyDescent="0.3">
      <c r="J3828"/>
      <c r="L3828" s="4"/>
    </row>
    <row r="3829" spans="10:12" x14ac:dyDescent="0.3">
      <c r="J3829"/>
      <c r="L3829" s="4"/>
    </row>
    <row r="3830" spans="10:12" x14ac:dyDescent="0.3">
      <c r="J3830"/>
      <c r="L3830" s="4"/>
    </row>
    <row r="3831" spans="10:12" x14ac:dyDescent="0.3">
      <c r="J3831"/>
      <c r="L3831" s="4"/>
    </row>
    <row r="3832" spans="10:12" x14ac:dyDescent="0.3">
      <c r="J3832"/>
      <c r="L3832" s="4"/>
    </row>
    <row r="3833" spans="10:12" x14ac:dyDescent="0.3">
      <c r="J3833"/>
      <c r="L3833" s="4"/>
    </row>
    <row r="3834" spans="10:12" x14ac:dyDescent="0.3">
      <c r="J3834"/>
      <c r="L3834" s="4"/>
    </row>
    <row r="3835" spans="10:12" x14ac:dyDescent="0.3">
      <c r="J3835"/>
      <c r="L3835" s="4"/>
    </row>
    <row r="3836" spans="10:12" x14ac:dyDescent="0.3">
      <c r="J3836"/>
      <c r="L3836" s="4"/>
    </row>
    <row r="3837" spans="10:12" x14ac:dyDescent="0.3">
      <c r="J3837"/>
      <c r="L3837" s="4"/>
    </row>
    <row r="3838" spans="10:12" x14ac:dyDescent="0.3">
      <c r="J3838"/>
      <c r="L3838" s="4"/>
    </row>
    <row r="3839" spans="10:12" x14ac:dyDescent="0.3">
      <c r="J3839"/>
      <c r="L3839" s="4"/>
    </row>
    <row r="3840" spans="10:12" x14ac:dyDescent="0.3">
      <c r="J3840"/>
      <c r="L3840" s="4"/>
    </row>
    <row r="3841" spans="10:12" x14ac:dyDescent="0.3">
      <c r="J3841"/>
      <c r="L3841" s="4"/>
    </row>
    <row r="3842" spans="10:12" x14ac:dyDescent="0.3">
      <c r="J3842"/>
      <c r="L3842" s="4"/>
    </row>
    <row r="3843" spans="10:12" x14ac:dyDescent="0.3">
      <c r="J3843"/>
      <c r="L3843" s="4"/>
    </row>
    <row r="3844" spans="10:12" x14ac:dyDescent="0.3">
      <c r="J3844"/>
      <c r="L3844" s="4"/>
    </row>
    <row r="3845" spans="10:12" x14ac:dyDescent="0.3">
      <c r="J3845"/>
      <c r="L3845" s="4"/>
    </row>
    <row r="3846" spans="10:12" x14ac:dyDescent="0.3">
      <c r="J3846"/>
      <c r="L3846" s="4"/>
    </row>
    <row r="3847" spans="10:12" x14ac:dyDescent="0.3">
      <c r="J3847"/>
      <c r="L3847" s="4"/>
    </row>
    <row r="3848" spans="10:12" x14ac:dyDescent="0.3">
      <c r="J3848"/>
      <c r="L3848" s="4"/>
    </row>
    <row r="3849" spans="10:12" x14ac:dyDescent="0.3">
      <c r="J3849"/>
      <c r="L3849" s="4"/>
    </row>
    <row r="3850" spans="10:12" x14ac:dyDescent="0.3">
      <c r="J3850"/>
      <c r="L3850" s="4"/>
    </row>
    <row r="3851" spans="10:12" x14ac:dyDescent="0.3">
      <c r="J3851"/>
      <c r="L3851" s="4"/>
    </row>
    <row r="3852" spans="10:12" x14ac:dyDescent="0.3">
      <c r="J3852"/>
      <c r="L3852" s="4"/>
    </row>
    <row r="3853" spans="10:12" x14ac:dyDescent="0.3">
      <c r="J3853"/>
      <c r="L3853" s="4"/>
    </row>
    <row r="3854" spans="10:12" x14ac:dyDescent="0.3">
      <c r="J3854"/>
      <c r="L3854" s="4"/>
    </row>
    <row r="3855" spans="10:12" x14ac:dyDescent="0.3">
      <c r="J3855"/>
      <c r="L3855" s="4"/>
    </row>
    <row r="3856" spans="10:12" x14ac:dyDescent="0.3">
      <c r="J3856"/>
      <c r="L3856" s="4"/>
    </row>
    <row r="3857" spans="10:12" x14ac:dyDescent="0.3">
      <c r="J3857"/>
      <c r="L3857" s="4"/>
    </row>
    <row r="3858" spans="10:12" x14ac:dyDescent="0.3">
      <c r="J3858"/>
      <c r="L3858" s="4"/>
    </row>
    <row r="3859" spans="10:12" x14ac:dyDescent="0.3">
      <c r="J3859"/>
      <c r="L3859" s="4"/>
    </row>
    <row r="3860" spans="10:12" x14ac:dyDescent="0.3">
      <c r="J3860"/>
      <c r="L3860" s="4"/>
    </row>
    <row r="3861" spans="10:12" x14ac:dyDescent="0.3">
      <c r="J3861"/>
      <c r="L3861" s="4"/>
    </row>
    <row r="3862" spans="10:12" x14ac:dyDescent="0.3">
      <c r="J3862"/>
      <c r="L3862" s="4"/>
    </row>
    <row r="3863" spans="10:12" x14ac:dyDescent="0.3">
      <c r="J3863"/>
      <c r="L3863" s="4"/>
    </row>
    <row r="3864" spans="10:12" x14ac:dyDescent="0.3">
      <c r="J3864"/>
      <c r="L3864" s="4"/>
    </row>
    <row r="3865" spans="10:12" x14ac:dyDescent="0.3">
      <c r="J3865"/>
      <c r="L3865" s="4"/>
    </row>
    <row r="3866" spans="10:12" x14ac:dyDescent="0.3">
      <c r="J3866"/>
      <c r="L3866" s="4"/>
    </row>
    <row r="3867" spans="10:12" x14ac:dyDescent="0.3">
      <c r="J3867"/>
      <c r="L3867" s="4"/>
    </row>
    <row r="3868" spans="10:12" x14ac:dyDescent="0.3">
      <c r="J3868"/>
      <c r="L3868" s="4"/>
    </row>
    <row r="3869" spans="10:12" x14ac:dyDescent="0.3">
      <c r="J3869"/>
      <c r="L3869" s="4"/>
    </row>
    <row r="3870" spans="10:12" x14ac:dyDescent="0.3">
      <c r="J3870"/>
      <c r="L3870" s="4"/>
    </row>
    <row r="3871" spans="10:12" x14ac:dyDescent="0.3">
      <c r="J3871"/>
      <c r="L3871" s="4"/>
    </row>
    <row r="3872" spans="10:12" x14ac:dyDescent="0.3">
      <c r="J3872"/>
      <c r="L3872" s="4"/>
    </row>
    <row r="3873" spans="10:12" x14ac:dyDescent="0.3">
      <c r="J3873"/>
      <c r="L3873" s="4"/>
    </row>
    <row r="3874" spans="10:12" x14ac:dyDescent="0.3">
      <c r="J3874"/>
      <c r="L3874" s="4"/>
    </row>
    <row r="3875" spans="10:12" x14ac:dyDescent="0.3">
      <c r="J3875"/>
      <c r="L3875" s="4"/>
    </row>
    <row r="3876" spans="10:12" x14ac:dyDescent="0.3">
      <c r="J3876"/>
      <c r="L3876" s="4"/>
    </row>
    <row r="3877" spans="10:12" x14ac:dyDescent="0.3">
      <c r="J3877"/>
      <c r="L3877" s="4"/>
    </row>
    <row r="3878" spans="10:12" x14ac:dyDescent="0.3">
      <c r="J3878"/>
      <c r="L3878" s="4"/>
    </row>
    <row r="3879" spans="10:12" x14ac:dyDescent="0.3">
      <c r="J3879"/>
      <c r="L3879" s="4"/>
    </row>
    <row r="3880" spans="10:12" x14ac:dyDescent="0.3">
      <c r="J3880"/>
      <c r="L3880" s="4"/>
    </row>
    <row r="3881" spans="10:12" x14ac:dyDescent="0.3">
      <c r="J3881"/>
      <c r="L3881" s="4"/>
    </row>
    <row r="3882" spans="10:12" x14ac:dyDescent="0.3">
      <c r="J3882"/>
      <c r="L3882" s="4"/>
    </row>
    <row r="3883" spans="10:12" x14ac:dyDescent="0.3">
      <c r="J3883"/>
      <c r="L3883" s="4"/>
    </row>
    <row r="3884" spans="10:12" x14ac:dyDescent="0.3">
      <c r="J3884"/>
      <c r="L3884" s="4"/>
    </row>
    <row r="3885" spans="10:12" x14ac:dyDescent="0.3">
      <c r="J3885"/>
      <c r="L3885" s="4"/>
    </row>
    <row r="3886" spans="10:12" x14ac:dyDescent="0.3">
      <c r="J3886"/>
      <c r="L3886" s="4"/>
    </row>
    <row r="3887" spans="10:12" x14ac:dyDescent="0.3">
      <c r="J3887"/>
      <c r="L3887" s="4"/>
    </row>
    <row r="3888" spans="10:12" x14ac:dyDescent="0.3">
      <c r="J3888"/>
      <c r="L3888" s="4"/>
    </row>
    <row r="3889" spans="10:12" x14ac:dyDescent="0.3">
      <c r="J3889"/>
      <c r="L3889" s="4"/>
    </row>
    <row r="3890" spans="10:12" x14ac:dyDescent="0.3">
      <c r="J3890"/>
      <c r="L3890" s="4"/>
    </row>
    <row r="3891" spans="10:12" x14ac:dyDescent="0.3">
      <c r="J3891"/>
      <c r="L3891" s="4"/>
    </row>
    <row r="3892" spans="10:12" x14ac:dyDescent="0.3">
      <c r="J3892"/>
      <c r="L3892" s="4"/>
    </row>
    <row r="3893" spans="10:12" x14ac:dyDescent="0.3">
      <c r="J3893"/>
      <c r="L3893" s="4"/>
    </row>
    <row r="3894" spans="10:12" x14ac:dyDescent="0.3">
      <c r="J3894"/>
      <c r="L3894" s="4"/>
    </row>
    <row r="3895" spans="10:12" x14ac:dyDescent="0.3">
      <c r="J3895"/>
      <c r="L3895" s="4"/>
    </row>
    <row r="3896" spans="10:12" x14ac:dyDescent="0.3">
      <c r="J3896"/>
      <c r="L3896" s="4"/>
    </row>
    <row r="3897" spans="10:12" x14ac:dyDescent="0.3">
      <c r="J3897"/>
      <c r="L3897" s="4"/>
    </row>
    <row r="3898" spans="10:12" x14ac:dyDescent="0.3">
      <c r="J3898"/>
      <c r="L3898" s="4"/>
    </row>
    <row r="3899" spans="10:12" x14ac:dyDescent="0.3">
      <c r="J3899"/>
      <c r="L3899" s="4"/>
    </row>
    <row r="3900" spans="10:12" x14ac:dyDescent="0.3">
      <c r="J3900"/>
      <c r="L3900" s="4"/>
    </row>
    <row r="3901" spans="10:12" x14ac:dyDescent="0.3">
      <c r="J3901"/>
      <c r="L3901" s="4"/>
    </row>
    <row r="3902" spans="10:12" x14ac:dyDescent="0.3">
      <c r="J3902"/>
      <c r="L3902" s="4"/>
    </row>
    <row r="3903" spans="10:12" x14ac:dyDescent="0.3">
      <c r="J3903"/>
      <c r="L3903" s="4"/>
    </row>
    <row r="3904" spans="10:12" x14ac:dyDescent="0.3">
      <c r="J3904"/>
      <c r="L3904" s="4"/>
    </row>
    <row r="3905" spans="10:12" x14ac:dyDescent="0.3">
      <c r="J3905"/>
      <c r="L3905" s="4"/>
    </row>
    <row r="3906" spans="10:12" x14ac:dyDescent="0.3">
      <c r="J3906"/>
      <c r="L3906" s="4"/>
    </row>
    <row r="3907" spans="10:12" x14ac:dyDescent="0.3">
      <c r="J3907"/>
      <c r="L3907" s="4"/>
    </row>
    <row r="3908" spans="10:12" x14ac:dyDescent="0.3">
      <c r="J3908"/>
      <c r="L3908" s="4"/>
    </row>
    <row r="3909" spans="10:12" x14ac:dyDescent="0.3">
      <c r="J3909"/>
      <c r="L3909" s="4"/>
    </row>
    <row r="3910" spans="10:12" x14ac:dyDescent="0.3">
      <c r="J3910"/>
      <c r="L3910" s="4"/>
    </row>
    <row r="3911" spans="10:12" x14ac:dyDescent="0.3">
      <c r="J3911"/>
      <c r="L3911" s="4"/>
    </row>
    <row r="3912" spans="10:12" x14ac:dyDescent="0.3">
      <c r="J3912"/>
      <c r="L3912" s="4"/>
    </row>
    <row r="3913" spans="10:12" x14ac:dyDescent="0.3">
      <c r="J3913"/>
      <c r="L3913" s="4"/>
    </row>
    <row r="3914" spans="10:12" x14ac:dyDescent="0.3">
      <c r="J3914"/>
      <c r="L3914" s="4"/>
    </row>
    <row r="3915" spans="10:12" x14ac:dyDescent="0.3">
      <c r="J3915"/>
      <c r="L3915" s="4"/>
    </row>
    <row r="3916" spans="10:12" x14ac:dyDescent="0.3">
      <c r="J3916"/>
      <c r="L3916" s="4"/>
    </row>
    <row r="3917" spans="10:12" x14ac:dyDescent="0.3">
      <c r="J3917"/>
      <c r="L3917" s="4"/>
    </row>
    <row r="3918" spans="10:12" x14ac:dyDescent="0.3">
      <c r="J3918"/>
      <c r="L3918" s="4"/>
    </row>
    <row r="3919" spans="10:12" x14ac:dyDescent="0.3">
      <c r="J3919"/>
      <c r="L3919" s="4"/>
    </row>
    <row r="3920" spans="10:12" x14ac:dyDescent="0.3">
      <c r="J3920"/>
      <c r="L3920" s="4"/>
    </row>
    <row r="3921" spans="10:12" x14ac:dyDescent="0.3">
      <c r="J3921"/>
      <c r="L3921" s="4"/>
    </row>
    <row r="3922" spans="10:12" x14ac:dyDescent="0.3">
      <c r="J3922"/>
      <c r="L3922" s="4"/>
    </row>
    <row r="3923" spans="10:12" x14ac:dyDescent="0.3">
      <c r="J3923"/>
      <c r="L3923" s="4"/>
    </row>
    <row r="3924" spans="10:12" x14ac:dyDescent="0.3">
      <c r="J3924"/>
      <c r="L3924" s="4"/>
    </row>
    <row r="3925" spans="10:12" x14ac:dyDescent="0.3">
      <c r="J3925"/>
      <c r="L3925" s="4"/>
    </row>
    <row r="3926" spans="10:12" x14ac:dyDescent="0.3">
      <c r="J3926"/>
      <c r="L3926" s="4"/>
    </row>
    <row r="3927" spans="10:12" x14ac:dyDescent="0.3">
      <c r="J3927"/>
      <c r="L3927" s="4"/>
    </row>
    <row r="3928" spans="10:12" x14ac:dyDescent="0.3">
      <c r="J3928"/>
      <c r="L3928" s="4"/>
    </row>
    <row r="3929" spans="10:12" x14ac:dyDescent="0.3">
      <c r="J3929"/>
      <c r="L3929" s="4"/>
    </row>
    <row r="3930" spans="10:12" x14ac:dyDescent="0.3">
      <c r="J3930"/>
      <c r="L3930" s="4"/>
    </row>
    <row r="3931" spans="10:12" x14ac:dyDescent="0.3">
      <c r="J3931"/>
      <c r="L3931" s="4"/>
    </row>
    <row r="3932" spans="10:12" x14ac:dyDescent="0.3">
      <c r="J3932"/>
      <c r="L3932" s="4"/>
    </row>
    <row r="3933" spans="10:12" x14ac:dyDescent="0.3">
      <c r="J3933"/>
      <c r="L3933" s="4"/>
    </row>
    <row r="3934" spans="10:12" x14ac:dyDescent="0.3">
      <c r="J3934"/>
      <c r="L3934" s="4"/>
    </row>
    <row r="3935" spans="10:12" x14ac:dyDescent="0.3">
      <c r="J3935"/>
      <c r="L3935" s="4"/>
    </row>
    <row r="3936" spans="10:12" x14ac:dyDescent="0.3">
      <c r="J3936"/>
      <c r="L3936" s="4"/>
    </row>
    <row r="3937" spans="10:12" x14ac:dyDescent="0.3">
      <c r="J3937"/>
      <c r="L3937" s="4"/>
    </row>
    <row r="3938" spans="10:12" x14ac:dyDescent="0.3">
      <c r="J3938"/>
      <c r="L3938" s="4"/>
    </row>
    <row r="3939" spans="10:12" x14ac:dyDescent="0.3">
      <c r="J3939"/>
      <c r="L3939" s="4"/>
    </row>
    <row r="3940" spans="10:12" x14ac:dyDescent="0.3">
      <c r="J3940"/>
      <c r="L3940" s="4"/>
    </row>
    <row r="3941" spans="10:12" x14ac:dyDescent="0.3">
      <c r="J3941"/>
      <c r="L3941" s="4"/>
    </row>
    <row r="3942" spans="10:12" x14ac:dyDescent="0.3">
      <c r="J3942"/>
      <c r="L3942" s="4"/>
    </row>
    <row r="3943" spans="10:12" x14ac:dyDescent="0.3">
      <c r="J3943"/>
      <c r="L3943" s="4"/>
    </row>
    <row r="3944" spans="10:12" x14ac:dyDescent="0.3">
      <c r="J3944"/>
      <c r="L3944" s="4"/>
    </row>
    <row r="3945" spans="10:12" x14ac:dyDescent="0.3">
      <c r="J3945"/>
      <c r="L3945" s="4"/>
    </row>
    <row r="3946" spans="10:12" x14ac:dyDescent="0.3">
      <c r="J3946"/>
      <c r="L3946" s="4"/>
    </row>
    <row r="3947" spans="10:12" x14ac:dyDescent="0.3">
      <c r="J3947"/>
      <c r="L3947" s="4"/>
    </row>
    <row r="3948" spans="10:12" x14ac:dyDescent="0.3">
      <c r="J3948"/>
      <c r="L3948" s="4"/>
    </row>
    <row r="3949" spans="10:12" x14ac:dyDescent="0.3">
      <c r="J3949"/>
      <c r="L3949" s="4"/>
    </row>
    <row r="3950" spans="10:12" x14ac:dyDescent="0.3">
      <c r="J3950"/>
      <c r="L3950" s="4"/>
    </row>
    <row r="3951" spans="10:12" x14ac:dyDescent="0.3">
      <c r="J3951"/>
      <c r="L3951" s="4"/>
    </row>
    <row r="3952" spans="10:12" x14ac:dyDescent="0.3">
      <c r="J3952"/>
      <c r="L3952" s="4"/>
    </row>
    <row r="3953" spans="10:12" x14ac:dyDescent="0.3">
      <c r="J3953"/>
      <c r="L3953" s="4"/>
    </row>
    <row r="3954" spans="10:12" x14ac:dyDescent="0.3">
      <c r="J3954"/>
      <c r="L3954" s="4"/>
    </row>
    <row r="3955" spans="10:12" x14ac:dyDescent="0.3">
      <c r="J3955"/>
      <c r="L3955" s="4"/>
    </row>
    <row r="3956" spans="10:12" x14ac:dyDescent="0.3">
      <c r="J3956"/>
      <c r="L3956" s="4"/>
    </row>
    <row r="3957" spans="10:12" x14ac:dyDescent="0.3">
      <c r="J3957"/>
      <c r="L3957" s="4"/>
    </row>
    <row r="3958" spans="10:12" x14ac:dyDescent="0.3">
      <c r="J3958"/>
      <c r="L3958" s="4"/>
    </row>
    <row r="3959" spans="10:12" x14ac:dyDescent="0.3">
      <c r="J3959"/>
      <c r="L3959" s="4"/>
    </row>
    <row r="3960" spans="10:12" x14ac:dyDescent="0.3">
      <c r="J3960"/>
      <c r="L3960" s="4"/>
    </row>
    <row r="3961" spans="10:12" x14ac:dyDescent="0.3">
      <c r="J3961"/>
      <c r="L3961" s="4"/>
    </row>
    <row r="3962" spans="10:12" x14ac:dyDescent="0.3">
      <c r="J3962"/>
      <c r="L3962" s="4"/>
    </row>
    <row r="3963" spans="10:12" x14ac:dyDescent="0.3">
      <c r="J3963"/>
      <c r="L3963" s="4"/>
    </row>
    <row r="3964" spans="10:12" x14ac:dyDescent="0.3">
      <c r="J3964"/>
      <c r="L3964" s="4"/>
    </row>
    <row r="3965" spans="10:12" x14ac:dyDescent="0.3">
      <c r="J3965"/>
      <c r="L3965" s="4"/>
    </row>
    <row r="3966" spans="10:12" x14ac:dyDescent="0.3">
      <c r="J3966"/>
      <c r="L3966" s="4"/>
    </row>
    <row r="3967" spans="10:12" x14ac:dyDescent="0.3">
      <c r="J3967"/>
      <c r="L3967" s="4"/>
    </row>
    <row r="3968" spans="10:12" x14ac:dyDescent="0.3">
      <c r="J3968"/>
      <c r="L3968" s="4"/>
    </row>
    <row r="3969" spans="10:12" x14ac:dyDescent="0.3">
      <c r="J3969"/>
      <c r="L3969" s="4"/>
    </row>
    <row r="3970" spans="10:12" x14ac:dyDescent="0.3">
      <c r="J3970"/>
      <c r="L3970" s="4"/>
    </row>
    <row r="3971" spans="10:12" x14ac:dyDescent="0.3">
      <c r="J3971"/>
      <c r="L3971" s="4"/>
    </row>
    <row r="3972" spans="10:12" x14ac:dyDescent="0.3">
      <c r="J3972"/>
      <c r="L3972" s="4"/>
    </row>
    <row r="3973" spans="10:12" x14ac:dyDescent="0.3">
      <c r="J3973"/>
      <c r="L3973" s="4"/>
    </row>
    <row r="3974" spans="10:12" x14ac:dyDescent="0.3">
      <c r="J3974"/>
      <c r="L3974" s="4"/>
    </row>
    <row r="3975" spans="10:12" x14ac:dyDescent="0.3">
      <c r="J3975"/>
      <c r="L3975" s="4"/>
    </row>
    <row r="3976" spans="10:12" x14ac:dyDescent="0.3">
      <c r="J3976"/>
      <c r="L3976" s="4"/>
    </row>
    <row r="3977" spans="10:12" x14ac:dyDescent="0.3">
      <c r="J3977"/>
      <c r="L3977" s="4"/>
    </row>
    <row r="3978" spans="10:12" x14ac:dyDescent="0.3">
      <c r="J3978"/>
      <c r="L3978" s="4"/>
    </row>
    <row r="3979" spans="10:12" x14ac:dyDescent="0.3">
      <c r="J3979"/>
      <c r="L3979" s="4"/>
    </row>
    <row r="3980" spans="10:12" x14ac:dyDescent="0.3">
      <c r="J3980"/>
      <c r="L3980" s="4"/>
    </row>
    <row r="3981" spans="10:12" x14ac:dyDescent="0.3">
      <c r="J3981"/>
      <c r="L3981" s="4"/>
    </row>
    <row r="3982" spans="10:12" x14ac:dyDescent="0.3">
      <c r="J3982"/>
      <c r="L3982" s="4"/>
    </row>
    <row r="3983" spans="10:12" x14ac:dyDescent="0.3">
      <c r="J3983"/>
      <c r="L3983" s="4"/>
    </row>
    <row r="3984" spans="10:12" x14ac:dyDescent="0.3">
      <c r="J3984"/>
      <c r="L3984" s="4"/>
    </row>
    <row r="3985" spans="10:12" x14ac:dyDescent="0.3">
      <c r="J3985"/>
      <c r="L3985" s="4"/>
    </row>
    <row r="3986" spans="10:12" x14ac:dyDescent="0.3">
      <c r="J3986"/>
      <c r="L3986" s="4"/>
    </row>
    <row r="3987" spans="10:12" x14ac:dyDescent="0.3">
      <c r="J3987"/>
      <c r="L3987" s="4"/>
    </row>
    <row r="3988" spans="10:12" x14ac:dyDescent="0.3">
      <c r="J3988"/>
      <c r="L3988" s="4"/>
    </row>
    <row r="3989" spans="10:12" x14ac:dyDescent="0.3">
      <c r="J3989"/>
      <c r="L3989" s="4"/>
    </row>
    <row r="3990" spans="10:12" x14ac:dyDescent="0.3">
      <c r="J3990"/>
      <c r="L3990" s="4"/>
    </row>
    <row r="3991" spans="10:12" x14ac:dyDescent="0.3">
      <c r="J3991"/>
      <c r="L3991" s="4"/>
    </row>
    <row r="3992" spans="10:12" x14ac:dyDescent="0.3">
      <c r="J3992"/>
      <c r="L3992" s="4"/>
    </row>
    <row r="3993" spans="10:12" x14ac:dyDescent="0.3">
      <c r="J3993"/>
      <c r="L3993" s="4"/>
    </row>
    <row r="3994" spans="10:12" x14ac:dyDescent="0.3">
      <c r="J3994"/>
      <c r="L3994" s="4"/>
    </row>
    <row r="3995" spans="10:12" x14ac:dyDescent="0.3">
      <c r="J3995"/>
      <c r="L3995" s="4"/>
    </row>
    <row r="3996" spans="10:12" x14ac:dyDescent="0.3">
      <c r="J3996"/>
      <c r="L3996" s="4"/>
    </row>
    <row r="3997" spans="10:12" x14ac:dyDescent="0.3">
      <c r="J3997"/>
      <c r="L3997" s="4"/>
    </row>
    <row r="3998" spans="10:12" x14ac:dyDescent="0.3">
      <c r="J3998"/>
      <c r="L3998" s="4"/>
    </row>
    <row r="3999" spans="10:12" x14ac:dyDescent="0.3">
      <c r="J3999"/>
      <c r="L3999" s="4"/>
    </row>
    <row r="4000" spans="10:12" x14ac:dyDescent="0.3">
      <c r="J4000"/>
      <c r="L4000" s="4"/>
    </row>
    <row r="4001" spans="10:12" x14ac:dyDescent="0.3">
      <c r="J4001"/>
      <c r="L4001" s="4"/>
    </row>
    <row r="4002" spans="10:12" x14ac:dyDescent="0.3">
      <c r="J4002"/>
      <c r="L4002" s="4"/>
    </row>
    <row r="4003" spans="10:12" x14ac:dyDescent="0.3">
      <c r="J4003"/>
      <c r="L4003" s="4"/>
    </row>
    <row r="4004" spans="10:12" x14ac:dyDescent="0.3">
      <c r="J4004"/>
      <c r="L4004" s="4"/>
    </row>
    <row r="4005" spans="10:12" x14ac:dyDescent="0.3">
      <c r="J4005"/>
      <c r="L4005" s="4"/>
    </row>
    <row r="4006" spans="10:12" x14ac:dyDescent="0.3">
      <c r="J4006"/>
      <c r="L4006" s="4"/>
    </row>
    <row r="4007" spans="10:12" x14ac:dyDescent="0.3">
      <c r="J4007"/>
      <c r="L4007" s="4"/>
    </row>
    <row r="4008" spans="10:12" x14ac:dyDescent="0.3">
      <c r="J4008"/>
      <c r="L4008" s="4"/>
    </row>
    <row r="4009" spans="10:12" x14ac:dyDescent="0.3">
      <c r="J4009"/>
      <c r="L4009" s="4"/>
    </row>
    <row r="4010" spans="10:12" x14ac:dyDescent="0.3">
      <c r="J4010"/>
      <c r="L4010" s="4"/>
    </row>
    <row r="4011" spans="10:12" x14ac:dyDescent="0.3">
      <c r="J4011"/>
      <c r="L4011" s="4"/>
    </row>
    <row r="4012" spans="10:12" x14ac:dyDescent="0.3">
      <c r="J4012"/>
      <c r="L4012" s="4"/>
    </row>
    <row r="4013" spans="10:12" x14ac:dyDescent="0.3">
      <c r="J4013"/>
      <c r="L4013" s="4"/>
    </row>
    <row r="4014" spans="10:12" x14ac:dyDescent="0.3">
      <c r="J4014"/>
      <c r="L4014" s="4"/>
    </row>
    <row r="4015" spans="10:12" x14ac:dyDescent="0.3">
      <c r="J4015"/>
      <c r="L4015" s="4"/>
    </row>
    <row r="4016" spans="10:12" x14ac:dyDescent="0.3">
      <c r="J4016"/>
      <c r="L4016" s="4"/>
    </row>
    <row r="4017" spans="10:12" x14ac:dyDescent="0.3">
      <c r="J4017"/>
      <c r="L4017" s="4"/>
    </row>
    <row r="4018" spans="10:12" x14ac:dyDescent="0.3">
      <c r="J4018"/>
      <c r="L4018" s="4"/>
    </row>
    <row r="4019" spans="10:12" x14ac:dyDescent="0.3">
      <c r="J4019"/>
      <c r="L4019" s="4"/>
    </row>
    <row r="4020" spans="10:12" x14ac:dyDescent="0.3">
      <c r="J4020"/>
      <c r="L4020" s="4"/>
    </row>
    <row r="4021" spans="10:12" x14ac:dyDescent="0.3">
      <c r="J4021"/>
      <c r="L4021" s="4"/>
    </row>
    <row r="4022" spans="10:12" x14ac:dyDescent="0.3">
      <c r="J4022"/>
      <c r="L4022" s="4"/>
    </row>
    <row r="4023" spans="10:12" x14ac:dyDescent="0.3">
      <c r="J4023"/>
      <c r="L4023" s="4"/>
    </row>
    <row r="4024" spans="10:12" x14ac:dyDescent="0.3">
      <c r="J4024"/>
      <c r="L4024" s="4"/>
    </row>
    <row r="4025" spans="10:12" x14ac:dyDescent="0.3">
      <c r="J4025"/>
      <c r="L4025" s="4"/>
    </row>
    <row r="4026" spans="10:12" x14ac:dyDescent="0.3">
      <c r="J4026"/>
      <c r="L4026" s="4"/>
    </row>
    <row r="4027" spans="10:12" x14ac:dyDescent="0.3">
      <c r="J4027"/>
      <c r="L4027" s="4"/>
    </row>
    <row r="4028" spans="10:12" x14ac:dyDescent="0.3">
      <c r="J4028"/>
      <c r="L4028" s="4"/>
    </row>
    <row r="4029" spans="10:12" x14ac:dyDescent="0.3">
      <c r="J4029"/>
      <c r="L4029" s="4"/>
    </row>
    <row r="4030" spans="10:12" x14ac:dyDescent="0.3">
      <c r="J4030"/>
      <c r="L4030" s="4"/>
    </row>
    <row r="4031" spans="10:12" x14ac:dyDescent="0.3">
      <c r="J4031"/>
      <c r="L4031" s="4"/>
    </row>
    <row r="4032" spans="10:12" x14ac:dyDescent="0.3">
      <c r="J4032"/>
      <c r="L4032" s="4"/>
    </row>
    <row r="4033" spans="10:12" x14ac:dyDescent="0.3">
      <c r="J4033"/>
      <c r="L4033" s="4"/>
    </row>
    <row r="4034" spans="10:12" x14ac:dyDescent="0.3">
      <c r="J4034"/>
      <c r="L4034" s="4"/>
    </row>
    <row r="4035" spans="10:12" x14ac:dyDescent="0.3">
      <c r="J4035"/>
      <c r="L4035" s="4"/>
    </row>
    <row r="4036" spans="10:12" x14ac:dyDescent="0.3">
      <c r="J4036"/>
      <c r="L4036" s="4"/>
    </row>
    <row r="4037" spans="10:12" x14ac:dyDescent="0.3">
      <c r="J4037"/>
      <c r="L4037" s="4"/>
    </row>
    <row r="4038" spans="10:12" x14ac:dyDescent="0.3">
      <c r="J4038"/>
      <c r="L4038" s="4"/>
    </row>
    <row r="4039" spans="10:12" x14ac:dyDescent="0.3">
      <c r="J4039"/>
      <c r="L4039" s="4"/>
    </row>
    <row r="4040" spans="10:12" x14ac:dyDescent="0.3">
      <c r="J4040"/>
      <c r="L4040" s="4"/>
    </row>
    <row r="4041" spans="10:12" x14ac:dyDescent="0.3">
      <c r="J4041"/>
      <c r="L4041" s="4"/>
    </row>
    <row r="4042" spans="10:12" x14ac:dyDescent="0.3">
      <c r="J4042"/>
      <c r="L4042" s="4"/>
    </row>
    <row r="4043" spans="10:12" x14ac:dyDescent="0.3">
      <c r="J4043"/>
      <c r="L4043" s="4"/>
    </row>
    <row r="4044" spans="10:12" x14ac:dyDescent="0.3">
      <c r="J4044"/>
      <c r="L4044" s="4"/>
    </row>
    <row r="4045" spans="10:12" x14ac:dyDescent="0.3">
      <c r="J4045"/>
      <c r="L4045" s="4"/>
    </row>
    <row r="4046" spans="10:12" x14ac:dyDescent="0.3">
      <c r="J4046"/>
      <c r="L4046" s="4"/>
    </row>
    <row r="4047" spans="10:12" x14ac:dyDescent="0.3">
      <c r="J4047"/>
      <c r="L4047" s="4"/>
    </row>
    <row r="4048" spans="10:12" x14ac:dyDescent="0.3">
      <c r="J4048"/>
      <c r="L4048" s="4"/>
    </row>
    <row r="4049" spans="10:12" x14ac:dyDescent="0.3">
      <c r="J4049"/>
      <c r="L4049" s="4"/>
    </row>
    <row r="4050" spans="10:12" x14ac:dyDescent="0.3">
      <c r="J4050"/>
      <c r="L4050" s="4"/>
    </row>
    <row r="4051" spans="10:12" x14ac:dyDescent="0.3">
      <c r="J4051"/>
      <c r="L4051" s="4"/>
    </row>
    <row r="4052" spans="10:12" x14ac:dyDescent="0.3">
      <c r="J4052"/>
      <c r="L4052" s="4"/>
    </row>
    <row r="4053" spans="10:12" x14ac:dyDescent="0.3">
      <c r="J4053"/>
      <c r="L4053" s="4"/>
    </row>
    <row r="4054" spans="10:12" x14ac:dyDescent="0.3">
      <c r="J4054"/>
      <c r="L4054" s="4"/>
    </row>
    <row r="4055" spans="10:12" x14ac:dyDescent="0.3">
      <c r="J4055"/>
      <c r="L4055" s="4"/>
    </row>
    <row r="4056" spans="10:12" x14ac:dyDescent="0.3">
      <c r="J4056"/>
      <c r="L4056" s="4"/>
    </row>
    <row r="4057" spans="10:12" x14ac:dyDescent="0.3">
      <c r="J4057"/>
      <c r="L4057" s="4"/>
    </row>
    <row r="4058" spans="10:12" x14ac:dyDescent="0.3">
      <c r="J4058"/>
      <c r="L4058" s="4"/>
    </row>
    <row r="4059" spans="10:12" x14ac:dyDescent="0.3">
      <c r="J4059"/>
      <c r="L4059" s="4"/>
    </row>
    <row r="4060" spans="10:12" x14ac:dyDescent="0.3">
      <c r="J4060"/>
      <c r="L4060" s="4"/>
    </row>
    <row r="4061" spans="10:12" x14ac:dyDescent="0.3">
      <c r="J4061"/>
      <c r="L4061" s="4"/>
    </row>
    <row r="4062" spans="10:12" x14ac:dyDescent="0.3">
      <c r="J4062"/>
      <c r="L4062" s="4"/>
    </row>
    <row r="4063" spans="10:12" x14ac:dyDescent="0.3">
      <c r="J4063"/>
      <c r="L4063" s="4"/>
    </row>
    <row r="4064" spans="10:12" x14ac:dyDescent="0.3">
      <c r="J4064"/>
      <c r="L4064" s="4"/>
    </row>
    <row r="4065" spans="10:12" x14ac:dyDescent="0.3">
      <c r="J4065"/>
      <c r="L4065" s="4"/>
    </row>
    <row r="4066" spans="10:12" x14ac:dyDescent="0.3">
      <c r="J4066"/>
      <c r="L4066" s="4"/>
    </row>
    <row r="4067" spans="10:12" x14ac:dyDescent="0.3">
      <c r="J4067"/>
      <c r="L4067" s="4"/>
    </row>
    <row r="4068" spans="10:12" x14ac:dyDescent="0.3">
      <c r="J4068"/>
      <c r="L4068" s="4"/>
    </row>
    <row r="4069" spans="10:12" x14ac:dyDescent="0.3">
      <c r="J4069"/>
      <c r="L4069" s="4"/>
    </row>
    <row r="4070" spans="10:12" x14ac:dyDescent="0.3">
      <c r="J4070"/>
      <c r="L4070" s="4"/>
    </row>
    <row r="4071" spans="10:12" x14ac:dyDescent="0.3">
      <c r="J4071"/>
      <c r="L4071" s="4"/>
    </row>
    <row r="4072" spans="10:12" x14ac:dyDescent="0.3">
      <c r="J4072"/>
      <c r="L4072" s="4"/>
    </row>
    <row r="4073" spans="10:12" x14ac:dyDescent="0.3">
      <c r="J4073"/>
      <c r="L4073" s="4"/>
    </row>
    <row r="4074" spans="10:12" x14ac:dyDescent="0.3">
      <c r="J4074"/>
      <c r="L4074" s="4"/>
    </row>
    <row r="4075" spans="10:12" x14ac:dyDescent="0.3">
      <c r="J4075"/>
      <c r="L4075" s="4"/>
    </row>
    <row r="4076" spans="10:12" x14ac:dyDescent="0.3">
      <c r="J4076"/>
      <c r="L4076" s="4"/>
    </row>
    <row r="4077" spans="10:12" x14ac:dyDescent="0.3">
      <c r="J4077"/>
      <c r="L4077" s="4"/>
    </row>
    <row r="4078" spans="10:12" x14ac:dyDescent="0.3">
      <c r="J4078"/>
      <c r="L4078" s="4"/>
    </row>
    <row r="4079" spans="10:12" x14ac:dyDescent="0.3">
      <c r="J4079"/>
      <c r="L4079" s="4"/>
    </row>
    <row r="4080" spans="10:12" x14ac:dyDescent="0.3">
      <c r="J4080"/>
      <c r="L4080" s="4"/>
    </row>
    <row r="4081" spans="10:12" x14ac:dyDescent="0.3">
      <c r="J4081"/>
      <c r="L4081" s="4"/>
    </row>
    <row r="4082" spans="10:12" x14ac:dyDescent="0.3">
      <c r="J4082"/>
      <c r="L4082" s="4"/>
    </row>
    <row r="4083" spans="10:12" x14ac:dyDescent="0.3">
      <c r="J4083"/>
      <c r="L4083" s="4"/>
    </row>
    <row r="4084" spans="10:12" x14ac:dyDescent="0.3">
      <c r="J4084"/>
      <c r="L4084" s="4"/>
    </row>
    <row r="4085" spans="10:12" x14ac:dyDescent="0.3">
      <c r="J4085"/>
      <c r="L4085" s="4"/>
    </row>
    <row r="4086" spans="10:12" x14ac:dyDescent="0.3">
      <c r="J4086"/>
      <c r="L4086" s="4"/>
    </row>
    <row r="4087" spans="10:12" x14ac:dyDescent="0.3">
      <c r="J4087"/>
      <c r="L4087" s="4"/>
    </row>
    <row r="4088" spans="10:12" x14ac:dyDescent="0.3">
      <c r="J4088"/>
      <c r="L4088" s="4"/>
    </row>
    <row r="4089" spans="10:12" x14ac:dyDescent="0.3">
      <c r="J4089"/>
      <c r="L4089" s="4"/>
    </row>
    <row r="4090" spans="10:12" x14ac:dyDescent="0.3">
      <c r="J4090"/>
      <c r="L4090" s="4"/>
    </row>
    <row r="4091" spans="10:12" x14ac:dyDescent="0.3">
      <c r="J4091"/>
      <c r="L4091" s="4"/>
    </row>
    <row r="4092" spans="10:12" x14ac:dyDescent="0.3">
      <c r="J4092"/>
      <c r="L4092" s="4"/>
    </row>
    <row r="4093" spans="10:12" x14ac:dyDescent="0.3">
      <c r="J4093"/>
      <c r="L4093" s="4"/>
    </row>
    <row r="4094" spans="10:12" x14ac:dyDescent="0.3">
      <c r="J4094"/>
      <c r="L4094" s="4"/>
    </row>
    <row r="4095" spans="10:12" x14ac:dyDescent="0.3">
      <c r="J4095"/>
      <c r="L4095" s="4"/>
    </row>
    <row r="4096" spans="10:12" x14ac:dyDescent="0.3">
      <c r="J4096"/>
      <c r="L4096" s="4"/>
    </row>
    <row r="4097" spans="10:12" x14ac:dyDescent="0.3">
      <c r="J4097"/>
      <c r="L4097" s="4"/>
    </row>
    <row r="4098" spans="10:12" x14ac:dyDescent="0.3">
      <c r="J4098"/>
      <c r="L4098" s="4"/>
    </row>
    <row r="4099" spans="10:12" x14ac:dyDescent="0.3">
      <c r="J4099"/>
      <c r="L4099" s="4"/>
    </row>
    <row r="4100" spans="10:12" x14ac:dyDescent="0.3">
      <c r="J4100"/>
      <c r="L4100" s="4"/>
    </row>
    <row r="4101" spans="10:12" x14ac:dyDescent="0.3">
      <c r="J4101"/>
      <c r="L4101" s="4"/>
    </row>
    <row r="4102" spans="10:12" x14ac:dyDescent="0.3">
      <c r="J4102"/>
      <c r="L4102" s="4"/>
    </row>
    <row r="4103" spans="10:12" x14ac:dyDescent="0.3">
      <c r="J4103"/>
      <c r="L4103" s="4"/>
    </row>
    <row r="4104" spans="10:12" x14ac:dyDescent="0.3">
      <c r="J4104"/>
      <c r="L4104" s="4"/>
    </row>
    <row r="4105" spans="10:12" x14ac:dyDescent="0.3">
      <c r="J4105"/>
      <c r="L4105" s="4"/>
    </row>
    <row r="4106" spans="10:12" x14ac:dyDescent="0.3">
      <c r="J4106"/>
      <c r="L4106" s="4"/>
    </row>
    <row r="4107" spans="10:12" x14ac:dyDescent="0.3">
      <c r="J4107"/>
      <c r="L4107" s="4"/>
    </row>
    <row r="4108" spans="10:12" x14ac:dyDescent="0.3">
      <c r="J4108"/>
      <c r="L4108" s="4"/>
    </row>
    <row r="4109" spans="10:12" x14ac:dyDescent="0.3">
      <c r="J4109"/>
      <c r="L4109" s="4"/>
    </row>
    <row r="4110" spans="10:12" x14ac:dyDescent="0.3">
      <c r="J4110"/>
      <c r="L4110" s="4"/>
    </row>
    <row r="4111" spans="10:12" x14ac:dyDescent="0.3">
      <c r="J4111"/>
      <c r="L4111" s="4"/>
    </row>
    <row r="4112" spans="10:12" x14ac:dyDescent="0.3">
      <c r="J4112"/>
      <c r="L4112" s="4"/>
    </row>
    <row r="4113" spans="10:12" x14ac:dyDescent="0.3">
      <c r="J4113"/>
      <c r="L4113" s="4"/>
    </row>
    <row r="4114" spans="10:12" x14ac:dyDescent="0.3">
      <c r="J4114"/>
      <c r="L4114" s="4"/>
    </row>
    <row r="4115" spans="10:12" x14ac:dyDescent="0.3">
      <c r="J4115"/>
      <c r="L4115" s="4"/>
    </row>
    <row r="4116" spans="10:12" x14ac:dyDescent="0.3">
      <c r="J4116"/>
      <c r="L4116" s="4"/>
    </row>
    <row r="4117" spans="10:12" x14ac:dyDescent="0.3">
      <c r="J4117"/>
      <c r="L4117" s="4"/>
    </row>
    <row r="4118" spans="10:12" x14ac:dyDescent="0.3">
      <c r="J4118"/>
      <c r="L4118" s="4"/>
    </row>
    <row r="4119" spans="10:12" x14ac:dyDescent="0.3">
      <c r="J4119"/>
      <c r="L4119" s="4"/>
    </row>
    <row r="4120" spans="10:12" x14ac:dyDescent="0.3">
      <c r="J4120"/>
      <c r="L4120" s="4"/>
    </row>
    <row r="4121" spans="10:12" x14ac:dyDescent="0.3">
      <c r="J4121"/>
      <c r="L4121" s="4"/>
    </row>
    <row r="4122" spans="10:12" x14ac:dyDescent="0.3">
      <c r="J4122"/>
      <c r="L4122" s="4"/>
    </row>
    <row r="4123" spans="10:12" x14ac:dyDescent="0.3">
      <c r="J4123"/>
      <c r="L4123" s="4"/>
    </row>
    <row r="4124" spans="10:12" x14ac:dyDescent="0.3">
      <c r="J4124"/>
      <c r="L4124" s="4"/>
    </row>
    <row r="4125" spans="10:12" x14ac:dyDescent="0.3">
      <c r="J4125"/>
      <c r="L4125" s="4"/>
    </row>
    <row r="4126" spans="10:12" x14ac:dyDescent="0.3">
      <c r="J4126"/>
      <c r="L4126" s="4"/>
    </row>
    <row r="4127" spans="10:12" x14ac:dyDescent="0.3">
      <c r="J4127"/>
      <c r="L4127" s="4"/>
    </row>
    <row r="4128" spans="10:12" x14ac:dyDescent="0.3">
      <c r="J4128"/>
      <c r="L4128" s="4"/>
    </row>
    <row r="4129" spans="10:12" x14ac:dyDescent="0.3">
      <c r="J4129"/>
      <c r="L4129" s="4"/>
    </row>
    <row r="4130" spans="10:12" x14ac:dyDescent="0.3">
      <c r="J4130"/>
      <c r="L4130" s="4"/>
    </row>
    <row r="4131" spans="10:12" x14ac:dyDescent="0.3">
      <c r="J4131"/>
      <c r="L4131" s="4"/>
    </row>
    <row r="4132" spans="10:12" x14ac:dyDescent="0.3">
      <c r="J4132"/>
      <c r="L4132" s="4"/>
    </row>
    <row r="4133" spans="10:12" x14ac:dyDescent="0.3">
      <c r="J4133"/>
      <c r="L4133" s="4"/>
    </row>
    <row r="4134" spans="10:12" x14ac:dyDescent="0.3">
      <c r="J4134"/>
      <c r="L4134" s="4"/>
    </row>
    <row r="4135" spans="10:12" x14ac:dyDescent="0.3">
      <c r="J4135"/>
      <c r="L4135" s="4"/>
    </row>
    <row r="4136" spans="10:12" x14ac:dyDescent="0.3">
      <c r="J4136"/>
      <c r="L4136" s="4"/>
    </row>
    <row r="4137" spans="10:12" x14ac:dyDescent="0.3">
      <c r="J4137"/>
      <c r="L4137" s="4"/>
    </row>
    <row r="4138" spans="10:12" x14ac:dyDescent="0.3">
      <c r="J4138"/>
      <c r="L4138" s="4"/>
    </row>
    <row r="4139" spans="10:12" x14ac:dyDescent="0.3">
      <c r="J4139"/>
      <c r="L4139" s="4"/>
    </row>
    <row r="4140" spans="10:12" x14ac:dyDescent="0.3">
      <c r="J4140"/>
      <c r="L4140" s="4"/>
    </row>
    <row r="4141" spans="10:12" x14ac:dyDescent="0.3">
      <c r="J4141"/>
      <c r="L4141" s="4"/>
    </row>
    <row r="4142" spans="10:12" x14ac:dyDescent="0.3">
      <c r="J4142"/>
      <c r="L4142" s="4"/>
    </row>
    <row r="4143" spans="10:12" x14ac:dyDescent="0.3">
      <c r="J4143"/>
      <c r="L4143" s="4"/>
    </row>
    <row r="4144" spans="10:12" x14ac:dyDescent="0.3">
      <c r="J4144"/>
      <c r="L4144" s="4"/>
    </row>
    <row r="4145" spans="10:12" x14ac:dyDescent="0.3">
      <c r="J4145"/>
      <c r="L4145" s="4"/>
    </row>
    <row r="4146" spans="10:12" x14ac:dyDescent="0.3">
      <c r="J4146"/>
      <c r="L4146" s="4"/>
    </row>
    <row r="4147" spans="10:12" x14ac:dyDescent="0.3">
      <c r="J4147"/>
      <c r="L4147" s="4"/>
    </row>
    <row r="4148" spans="10:12" x14ac:dyDescent="0.3">
      <c r="J4148"/>
      <c r="L4148" s="4"/>
    </row>
    <row r="4149" spans="10:12" x14ac:dyDescent="0.3">
      <c r="J4149"/>
      <c r="L4149" s="4"/>
    </row>
    <row r="4150" spans="10:12" x14ac:dyDescent="0.3">
      <c r="J4150"/>
      <c r="L4150" s="4"/>
    </row>
    <row r="4151" spans="10:12" x14ac:dyDescent="0.3">
      <c r="J4151"/>
      <c r="L4151" s="4"/>
    </row>
    <row r="4152" spans="10:12" x14ac:dyDescent="0.3">
      <c r="J4152"/>
      <c r="L4152" s="4"/>
    </row>
    <row r="4153" spans="10:12" x14ac:dyDescent="0.3">
      <c r="J4153"/>
      <c r="L4153" s="4"/>
    </row>
    <row r="4154" spans="10:12" x14ac:dyDescent="0.3">
      <c r="J4154"/>
      <c r="L4154" s="4"/>
    </row>
    <row r="4155" spans="10:12" x14ac:dyDescent="0.3">
      <c r="J4155"/>
      <c r="L4155" s="4"/>
    </row>
    <row r="4156" spans="10:12" x14ac:dyDescent="0.3">
      <c r="J4156"/>
      <c r="L4156" s="4"/>
    </row>
    <row r="4157" spans="10:12" x14ac:dyDescent="0.3">
      <c r="J4157"/>
      <c r="L4157" s="4"/>
    </row>
    <row r="4158" spans="10:12" x14ac:dyDescent="0.3">
      <c r="J4158"/>
      <c r="L4158" s="4"/>
    </row>
    <row r="4159" spans="10:12" x14ac:dyDescent="0.3">
      <c r="J4159"/>
      <c r="L4159" s="4"/>
    </row>
    <row r="4160" spans="10:12" x14ac:dyDescent="0.3">
      <c r="J4160"/>
      <c r="L4160" s="4"/>
    </row>
    <row r="4161" spans="10:12" x14ac:dyDescent="0.3">
      <c r="J4161"/>
      <c r="L4161" s="4"/>
    </row>
    <row r="4162" spans="10:12" x14ac:dyDescent="0.3">
      <c r="J4162"/>
      <c r="L4162" s="4"/>
    </row>
    <row r="4163" spans="10:12" x14ac:dyDescent="0.3">
      <c r="J4163"/>
      <c r="L4163" s="4"/>
    </row>
    <row r="4164" spans="10:12" x14ac:dyDescent="0.3">
      <c r="J4164"/>
      <c r="L4164" s="4"/>
    </row>
    <row r="4165" spans="10:12" x14ac:dyDescent="0.3">
      <c r="J4165"/>
      <c r="L4165" s="4"/>
    </row>
    <row r="4166" spans="10:12" x14ac:dyDescent="0.3">
      <c r="J4166"/>
      <c r="L4166" s="4"/>
    </row>
    <row r="4167" spans="10:12" x14ac:dyDescent="0.3">
      <c r="J4167"/>
      <c r="L4167" s="4"/>
    </row>
    <row r="4168" spans="10:12" x14ac:dyDescent="0.3">
      <c r="J4168"/>
      <c r="L4168" s="4"/>
    </row>
    <row r="4169" spans="10:12" x14ac:dyDescent="0.3">
      <c r="J4169"/>
      <c r="L4169" s="4"/>
    </row>
    <row r="4170" spans="10:12" x14ac:dyDescent="0.3">
      <c r="J4170"/>
      <c r="L4170" s="4"/>
    </row>
    <row r="4171" spans="10:12" x14ac:dyDescent="0.3">
      <c r="J4171"/>
      <c r="L4171" s="4"/>
    </row>
    <row r="4172" spans="10:12" x14ac:dyDescent="0.3">
      <c r="J4172"/>
      <c r="L4172" s="4"/>
    </row>
    <row r="4173" spans="10:12" x14ac:dyDescent="0.3">
      <c r="J4173"/>
      <c r="L4173" s="4"/>
    </row>
    <row r="4174" spans="10:12" x14ac:dyDescent="0.3">
      <c r="J4174"/>
      <c r="L4174" s="4"/>
    </row>
    <row r="4175" spans="10:12" x14ac:dyDescent="0.3">
      <c r="J4175"/>
      <c r="L4175" s="4"/>
    </row>
    <row r="4176" spans="10:12" x14ac:dyDescent="0.3">
      <c r="J4176"/>
      <c r="L4176" s="4"/>
    </row>
    <row r="4177" spans="10:12" x14ac:dyDescent="0.3">
      <c r="J4177"/>
      <c r="L4177" s="4"/>
    </row>
    <row r="4178" spans="10:12" x14ac:dyDescent="0.3">
      <c r="J4178"/>
      <c r="L4178" s="4"/>
    </row>
    <row r="4179" spans="10:12" x14ac:dyDescent="0.3">
      <c r="J4179"/>
      <c r="L4179" s="4"/>
    </row>
    <row r="4180" spans="10:12" x14ac:dyDescent="0.3">
      <c r="J4180"/>
      <c r="L4180" s="4"/>
    </row>
    <row r="4181" spans="10:12" x14ac:dyDescent="0.3">
      <c r="J4181"/>
      <c r="L4181" s="4"/>
    </row>
    <row r="4182" spans="10:12" x14ac:dyDescent="0.3">
      <c r="J4182"/>
      <c r="L4182" s="4"/>
    </row>
    <row r="4183" spans="10:12" x14ac:dyDescent="0.3">
      <c r="J4183"/>
      <c r="L4183" s="4"/>
    </row>
    <row r="4184" spans="10:12" x14ac:dyDescent="0.3">
      <c r="J4184"/>
      <c r="L4184" s="4"/>
    </row>
    <row r="4185" spans="10:12" x14ac:dyDescent="0.3">
      <c r="J4185"/>
      <c r="L4185" s="4"/>
    </row>
    <row r="4186" spans="10:12" x14ac:dyDescent="0.3">
      <c r="J4186"/>
      <c r="L4186" s="4"/>
    </row>
    <row r="4187" spans="10:12" x14ac:dyDescent="0.3">
      <c r="J4187"/>
      <c r="L4187" s="4"/>
    </row>
    <row r="4188" spans="10:12" x14ac:dyDescent="0.3">
      <c r="J4188"/>
      <c r="L4188" s="4"/>
    </row>
    <row r="4189" spans="10:12" x14ac:dyDescent="0.3">
      <c r="J4189"/>
      <c r="L4189" s="4"/>
    </row>
    <row r="4190" spans="10:12" x14ac:dyDescent="0.3">
      <c r="J4190"/>
      <c r="L4190" s="4"/>
    </row>
    <row r="4191" spans="10:12" x14ac:dyDescent="0.3">
      <c r="J4191"/>
      <c r="L4191" s="4"/>
    </row>
    <row r="4192" spans="10:12" x14ac:dyDescent="0.3">
      <c r="J4192"/>
      <c r="L4192" s="4"/>
    </row>
    <row r="4193" spans="10:12" x14ac:dyDescent="0.3">
      <c r="J4193"/>
      <c r="L4193" s="4"/>
    </row>
    <row r="4194" spans="10:12" x14ac:dyDescent="0.3">
      <c r="J4194"/>
      <c r="L4194" s="4"/>
    </row>
    <row r="4195" spans="10:12" x14ac:dyDescent="0.3">
      <c r="J4195"/>
      <c r="L4195" s="4"/>
    </row>
    <row r="4196" spans="10:12" x14ac:dyDescent="0.3">
      <c r="J4196"/>
      <c r="L4196" s="4"/>
    </row>
    <row r="4197" spans="10:12" x14ac:dyDescent="0.3">
      <c r="J4197"/>
      <c r="L4197" s="4"/>
    </row>
    <row r="4198" spans="10:12" x14ac:dyDescent="0.3">
      <c r="J4198"/>
      <c r="L4198" s="4"/>
    </row>
    <row r="4199" spans="10:12" x14ac:dyDescent="0.3">
      <c r="J4199"/>
      <c r="L4199" s="4"/>
    </row>
    <row r="4200" spans="10:12" x14ac:dyDescent="0.3">
      <c r="J4200"/>
      <c r="L4200" s="4"/>
    </row>
    <row r="4201" spans="10:12" x14ac:dyDescent="0.3">
      <c r="J4201"/>
      <c r="L4201" s="4"/>
    </row>
    <row r="4202" spans="10:12" x14ac:dyDescent="0.3">
      <c r="J4202"/>
      <c r="L4202" s="4"/>
    </row>
    <row r="4203" spans="10:12" x14ac:dyDescent="0.3">
      <c r="J4203"/>
      <c r="L4203" s="4"/>
    </row>
    <row r="4204" spans="10:12" x14ac:dyDescent="0.3">
      <c r="J4204"/>
      <c r="L4204" s="4"/>
    </row>
    <row r="4205" spans="10:12" x14ac:dyDescent="0.3">
      <c r="J4205"/>
      <c r="L4205" s="4"/>
    </row>
    <row r="4206" spans="10:12" x14ac:dyDescent="0.3">
      <c r="J4206"/>
      <c r="L4206" s="4"/>
    </row>
    <row r="4207" spans="10:12" x14ac:dyDescent="0.3">
      <c r="J4207"/>
      <c r="L4207" s="4"/>
    </row>
    <row r="4208" spans="10:12" x14ac:dyDescent="0.3">
      <c r="J4208"/>
      <c r="L4208" s="4"/>
    </row>
    <row r="4209" spans="10:12" x14ac:dyDescent="0.3">
      <c r="J4209"/>
      <c r="L4209" s="4"/>
    </row>
    <row r="4210" spans="10:12" x14ac:dyDescent="0.3">
      <c r="J4210"/>
      <c r="L4210" s="4"/>
    </row>
    <row r="4211" spans="10:12" x14ac:dyDescent="0.3">
      <c r="J4211"/>
      <c r="L4211" s="4"/>
    </row>
    <row r="4212" spans="10:12" x14ac:dyDescent="0.3">
      <c r="J4212"/>
      <c r="L4212" s="4"/>
    </row>
    <row r="4213" spans="10:12" x14ac:dyDescent="0.3">
      <c r="J4213"/>
      <c r="L4213" s="4"/>
    </row>
    <row r="4214" spans="10:12" x14ac:dyDescent="0.3">
      <c r="J4214"/>
      <c r="L4214" s="4"/>
    </row>
    <row r="4215" spans="10:12" x14ac:dyDescent="0.3">
      <c r="J4215"/>
      <c r="L4215" s="4"/>
    </row>
    <row r="4216" spans="10:12" x14ac:dyDescent="0.3">
      <c r="J4216"/>
      <c r="L4216" s="4"/>
    </row>
    <row r="4217" spans="10:12" x14ac:dyDescent="0.3">
      <c r="J4217"/>
      <c r="L4217" s="4"/>
    </row>
    <row r="4218" spans="10:12" x14ac:dyDescent="0.3">
      <c r="J4218"/>
      <c r="L4218" s="4"/>
    </row>
    <row r="4219" spans="10:12" x14ac:dyDescent="0.3">
      <c r="J4219"/>
      <c r="L4219" s="4"/>
    </row>
    <row r="4220" spans="10:12" x14ac:dyDescent="0.3">
      <c r="J4220"/>
      <c r="L4220" s="4"/>
    </row>
    <row r="4221" spans="10:12" x14ac:dyDescent="0.3">
      <c r="J4221"/>
      <c r="L4221" s="4"/>
    </row>
    <row r="4222" spans="10:12" x14ac:dyDescent="0.3">
      <c r="J4222"/>
      <c r="L4222" s="4"/>
    </row>
    <row r="4223" spans="10:12" x14ac:dyDescent="0.3">
      <c r="J4223"/>
      <c r="L4223" s="4"/>
    </row>
    <row r="4224" spans="10:12" x14ac:dyDescent="0.3">
      <c r="J4224"/>
      <c r="L4224" s="4"/>
    </row>
    <row r="4225" spans="10:12" x14ac:dyDescent="0.3">
      <c r="J4225"/>
      <c r="L4225" s="4"/>
    </row>
    <row r="4226" spans="10:12" x14ac:dyDescent="0.3">
      <c r="J4226"/>
      <c r="L4226" s="4"/>
    </row>
    <row r="4227" spans="10:12" x14ac:dyDescent="0.3">
      <c r="J4227"/>
      <c r="L4227" s="4"/>
    </row>
    <row r="4228" spans="10:12" x14ac:dyDescent="0.3">
      <c r="J4228"/>
      <c r="L4228" s="4"/>
    </row>
    <row r="4229" spans="10:12" x14ac:dyDescent="0.3">
      <c r="J4229"/>
      <c r="L4229" s="4"/>
    </row>
    <row r="4230" spans="10:12" x14ac:dyDescent="0.3">
      <c r="J4230"/>
      <c r="L4230" s="4"/>
    </row>
    <row r="4231" spans="10:12" x14ac:dyDescent="0.3">
      <c r="J4231"/>
      <c r="L4231" s="4"/>
    </row>
    <row r="4232" spans="10:12" x14ac:dyDescent="0.3">
      <c r="J4232"/>
      <c r="L4232" s="4"/>
    </row>
    <row r="4233" spans="10:12" x14ac:dyDescent="0.3">
      <c r="J4233"/>
      <c r="L4233" s="4"/>
    </row>
    <row r="4234" spans="10:12" x14ac:dyDescent="0.3">
      <c r="J4234"/>
      <c r="L4234" s="4"/>
    </row>
    <row r="4235" spans="10:12" x14ac:dyDescent="0.3">
      <c r="J4235"/>
      <c r="L4235" s="4"/>
    </row>
    <row r="4236" spans="10:12" x14ac:dyDescent="0.3">
      <c r="J4236"/>
      <c r="L4236" s="4"/>
    </row>
    <row r="4237" spans="10:12" x14ac:dyDescent="0.3">
      <c r="J4237"/>
      <c r="L4237" s="4"/>
    </row>
    <row r="4238" spans="10:12" x14ac:dyDescent="0.3">
      <c r="J4238"/>
      <c r="L4238" s="4"/>
    </row>
    <row r="4239" spans="10:12" x14ac:dyDescent="0.3">
      <c r="J4239"/>
      <c r="L4239" s="4"/>
    </row>
    <row r="4240" spans="10:12" x14ac:dyDescent="0.3">
      <c r="J4240"/>
      <c r="L4240" s="4"/>
    </row>
    <row r="4241" spans="10:12" x14ac:dyDescent="0.3">
      <c r="J4241"/>
      <c r="L4241" s="4"/>
    </row>
    <row r="4242" spans="10:12" x14ac:dyDescent="0.3">
      <c r="J4242"/>
      <c r="L4242" s="4"/>
    </row>
    <row r="4243" spans="10:12" x14ac:dyDescent="0.3">
      <c r="J4243"/>
      <c r="L4243" s="4"/>
    </row>
    <row r="4244" spans="10:12" x14ac:dyDescent="0.3">
      <c r="J4244"/>
      <c r="L4244" s="4"/>
    </row>
    <row r="4245" spans="10:12" x14ac:dyDescent="0.3">
      <c r="J4245"/>
      <c r="L4245" s="4"/>
    </row>
    <row r="4246" spans="10:12" x14ac:dyDescent="0.3">
      <c r="J4246"/>
      <c r="L4246" s="4"/>
    </row>
    <row r="4247" spans="10:12" x14ac:dyDescent="0.3">
      <c r="J4247"/>
      <c r="L4247" s="4"/>
    </row>
    <row r="4248" spans="10:12" x14ac:dyDescent="0.3">
      <c r="J4248"/>
      <c r="L4248" s="4"/>
    </row>
    <row r="4249" spans="10:12" x14ac:dyDescent="0.3">
      <c r="J4249"/>
      <c r="L4249" s="4"/>
    </row>
    <row r="4250" spans="10:12" x14ac:dyDescent="0.3">
      <c r="J4250"/>
      <c r="L4250" s="4"/>
    </row>
    <row r="4251" spans="10:12" x14ac:dyDescent="0.3">
      <c r="J4251"/>
      <c r="L4251" s="4"/>
    </row>
    <row r="4252" spans="10:12" x14ac:dyDescent="0.3">
      <c r="J4252"/>
      <c r="L4252" s="4"/>
    </row>
    <row r="4253" spans="10:12" x14ac:dyDescent="0.3">
      <c r="J4253"/>
      <c r="L4253" s="4"/>
    </row>
    <row r="4254" spans="10:12" x14ac:dyDescent="0.3">
      <c r="J4254"/>
      <c r="L4254" s="4"/>
    </row>
    <row r="4255" spans="10:12" x14ac:dyDescent="0.3">
      <c r="J4255"/>
      <c r="L4255" s="4"/>
    </row>
    <row r="4256" spans="10:12" x14ac:dyDescent="0.3">
      <c r="J4256"/>
      <c r="L4256" s="4"/>
    </row>
    <row r="4257" spans="10:12" x14ac:dyDescent="0.3">
      <c r="J4257"/>
      <c r="L4257" s="4"/>
    </row>
    <row r="4258" spans="10:12" x14ac:dyDescent="0.3">
      <c r="J4258"/>
      <c r="L4258" s="4"/>
    </row>
    <row r="4259" spans="10:12" x14ac:dyDescent="0.3">
      <c r="J4259"/>
      <c r="L4259" s="4"/>
    </row>
    <row r="4260" spans="10:12" x14ac:dyDescent="0.3">
      <c r="J4260"/>
      <c r="L4260" s="4"/>
    </row>
    <row r="4261" spans="10:12" x14ac:dyDescent="0.3">
      <c r="J4261"/>
      <c r="L4261" s="4"/>
    </row>
    <row r="4262" spans="10:12" x14ac:dyDescent="0.3">
      <c r="J4262"/>
      <c r="L4262" s="4"/>
    </row>
    <row r="4263" spans="10:12" x14ac:dyDescent="0.3">
      <c r="J4263"/>
      <c r="L4263" s="4"/>
    </row>
    <row r="4264" spans="10:12" x14ac:dyDescent="0.3">
      <c r="J4264"/>
      <c r="L4264" s="4"/>
    </row>
    <row r="4265" spans="10:12" x14ac:dyDescent="0.3">
      <c r="J4265"/>
      <c r="L4265" s="4"/>
    </row>
    <row r="4266" spans="10:12" x14ac:dyDescent="0.3">
      <c r="J4266"/>
      <c r="L4266" s="4"/>
    </row>
    <row r="4267" spans="10:12" x14ac:dyDescent="0.3">
      <c r="J4267"/>
      <c r="L4267" s="4"/>
    </row>
    <row r="4268" spans="10:12" x14ac:dyDescent="0.3">
      <c r="J4268"/>
      <c r="L4268" s="4"/>
    </row>
    <row r="4269" spans="10:12" x14ac:dyDescent="0.3">
      <c r="J4269"/>
      <c r="L4269" s="4"/>
    </row>
    <row r="4270" spans="10:12" x14ac:dyDescent="0.3">
      <c r="J4270"/>
      <c r="L4270" s="4"/>
    </row>
    <row r="4271" spans="10:12" x14ac:dyDescent="0.3">
      <c r="J4271"/>
      <c r="L4271" s="4"/>
    </row>
    <row r="4272" spans="10:12" x14ac:dyDescent="0.3">
      <c r="J4272"/>
      <c r="L4272" s="4"/>
    </row>
    <row r="4273" spans="10:12" x14ac:dyDescent="0.3">
      <c r="J4273"/>
      <c r="L4273" s="4"/>
    </row>
    <row r="4274" spans="10:12" x14ac:dyDescent="0.3">
      <c r="J4274"/>
      <c r="L4274" s="4"/>
    </row>
    <row r="4275" spans="10:12" x14ac:dyDescent="0.3">
      <c r="J4275"/>
      <c r="L4275" s="4"/>
    </row>
    <row r="4276" spans="10:12" x14ac:dyDescent="0.3">
      <c r="J4276"/>
      <c r="L4276" s="4"/>
    </row>
    <row r="4277" spans="10:12" x14ac:dyDescent="0.3">
      <c r="J4277"/>
      <c r="L4277" s="4"/>
    </row>
    <row r="4278" spans="10:12" x14ac:dyDescent="0.3">
      <c r="J4278"/>
      <c r="L4278" s="4"/>
    </row>
    <row r="4279" spans="10:12" x14ac:dyDescent="0.3">
      <c r="J4279"/>
      <c r="L4279" s="4"/>
    </row>
    <row r="4280" spans="10:12" x14ac:dyDescent="0.3">
      <c r="J4280"/>
      <c r="L4280" s="4"/>
    </row>
    <row r="4281" spans="10:12" x14ac:dyDescent="0.3">
      <c r="J4281"/>
      <c r="L4281" s="4"/>
    </row>
    <row r="4282" spans="10:12" x14ac:dyDescent="0.3">
      <c r="J4282"/>
      <c r="L4282" s="4"/>
    </row>
    <row r="4283" spans="10:12" x14ac:dyDescent="0.3">
      <c r="J4283"/>
      <c r="L4283" s="4"/>
    </row>
    <row r="4284" spans="10:12" x14ac:dyDescent="0.3">
      <c r="J4284"/>
      <c r="L4284" s="4"/>
    </row>
    <row r="4285" spans="10:12" x14ac:dyDescent="0.3">
      <c r="J4285"/>
      <c r="L4285" s="4"/>
    </row>
    <row r="4286" spans="10:12" x14ac:dyDescent="0.3">
      <c r="J4286"/>
      <c r="L4286" s="4"/>
    </row>
    <row r="4287" spans="10:12" x14ac:dyDescent="0.3">
      <c r="J4287"/>
      <c r="L4287" s="4"/>
    </row>
    <row r="4288" spans="10:12" x14ac:dyDescent="0.3">
      <c r="J4288"/>
      <c r="L4288" s="4"/>
    </row>
    <row r="4289" spans="10:12" x14ac:dyDescent="0.3">
      <c r="J4289"/>
      <c r="L4289" s="4"/>
    </row>
    <row r="4290" spans="10:12" x14ac:dyDescent="0.3">
      <c r="J4290"/>
      <c r="L4290" s="4"/>
    </row>
    <row r="4291" spans="10:12" x14ac:dyDescent="0.3">
      <c r="J4291"/>
      <c r="L4291" s="4"/>
    </row>
    <row r="4292" spans="10:12" x14ac:dyDescent="0.3">
      <c r="J4292"/>
      <c r="L4292" s="4"/>
    </row>
    <row r="4293" spans="10:12" x14ac:dyDescent="0.3">
      <c r="J4293"/>
      <c r="L4293" s="4"/>
    </row>
    <row r="4294" spans="10:12" x14ac:dyDescent="0.3">
      <c r="J4294"/>
      <c r="L4294" s="4"/>
    </row>
    <row r="4295" spans="10:12" x14ac:dyDescent="0.3">
      <c r="J4295"/>
      <c r="L4295" s="4"/>
    </row>
    <row r="4296" spans="10:12" x14ac:dyDescent="0.3">
      <c r="J4296"/>
      <c r="L4296" s="4"/>
    </row>
    <row r="4297" spans="10:12" x14ac:dyDescent="0.3">
      <c r="J4297"/>
      <c r="L4297" s="4"/>
    </row>
    <row r="4298" spans="10:12" x14ac:dyDescent="0.3">
      <c r="J4298"/>
      <c r="L4298" s="4"/>
    </row>
    <row r="4299" spans="10:12" x14ac:dyDescent="0.3">
      <c r="J4299"/>
      <c r="L4299" s="4"/>
    </row>
    <row r="4300" spans="10:12" x14ac:dyDescent="0.3">
      <c r="J4300"/>
      <c r="L4300" s="4"/>
    </row>
    <row r="4301" spans="10:12" x14ac:dyDescent="0.3">
      <c r="J4301"/>
      <c r="L4301" s="4"/>
    </row>
    <row r="4302" spans="10:12" x14ac:dyDescent="0.3">
      <c r="J4302"/>
      <c r="L4302" s="4"/>
    </row>
    <row r="4303" spans="10:12" x14ac:dyDescent="0.3">
      <c r="J4303"/>
      <c r="L4303" s="4"/>
    </row>
    <row r="4304" spans="10:12" x14ac:dyDescent="0.3">
      <c r="J4304"/>
      <c r="L4304" s="4"/>
    </row>
    <row r="4305" spans="10:12" x14ac:dyDescent="0.3">
      <c r="J4305"/>
      <c r="L4305" s="4"/>
    </row>
    <row r="4306" spans="10:12" x14ac:dyDescent="0.3">
      <c r="J4306"/>
      <c r="L4306" s="4"/>
    </row>
    <row r="4307" spans="10:12" x14ac:dyDescent="0.3">
      <c r="J4307"/>
      <c r="L4307" s="4"/>
    </row>
    <row r="4308" spans="10:12" x14ac:dyDescent="0.3">
      <c r="J4308"/>
      <c r="L4308" s="4"/>
    </row>
    <row r="4309" spans="10:12" x14ac:dyDescent="0.3">
      <c r="J4309"/>
      <c r="L4309" s="4"/>
    </row>
    <row r="4310" spans="10:12" x14ac:dyDescent="0.3">
      <c r="J4310"/>
      <c r="L4310" s="4"/>
    </row>
    <row r="4311" spans="10:12" x14ac:dyDescent="0.3">
      <c r="J4311"/>
      <c r="L4311" s="4"/>
    </row>
    <row r="4312" spans="10:12" x14ac:dyDescent="0.3">
      <c r="J4312"/>
      <c r="L4312" s="4"/>
    </row>
    <row r="4313" spans="10:12" x14ac:dyDescent="0.3">
      <c r="J4313"/>
      <c r="L4313" s="4"/>
    </row>
    <row r="4314" spans="10:12" x14ac:dyDescent="0.3">
      <c r="J4314"/>
      <c r="L4314" s="4"/>
    </row>
    <row r="4315" spans="10:12" x14ac:dyDescent="0.3">
      <c r="J4315"/>
      <c r="L4315" s="4"/>
    </row>
    <row r="4316" spans="10:12" x14ac:dyDescent="0.3">
      <c r="J4316"/>
      <c r="L4316" s="4"/>
    </row>
    <row r="4317" spans="10:12" x14ac:dyDescent="0.3">
      <c r="J4317"/>
      <c r="L4317" s="4"/>
    </row>
    <row r="4318" spans="10:12" x14ac:dyDescent="0.3">
      <c r="J4318"/>
      <c r="L4318" s="4"/>
    </row>
    <row r="4319" spans="10:12" x14ac:dyDescent="0.3">
      <c r="J4319"/>
      <c r="L4319" s="4"/>
    </row>
    <row r="4320" spans="10:12" x14ac:dyDescent="0.3">
      <c r="J4320"/>
      <c r="L4320" s="4"/>
    </row>
    <row r="4321" spans="10:12" x14ac:dyDescent="0.3">
      <c r="J4321"/>
      <c r="L4321" s="4"/>
    </row>
    <row r="4322" spans="10:12" x14ac:dyDescent="0.3">
      <c r="J4322"/>
      <c r="L4322" s="4"/>
    </row>
    <row r="4323" spans="10:12" x14ac:dyDescent="0.3">
      <c r="J4323"/>
      <c r="L4323" s="4"/>
    </row>
    <row r="4324" spans="10:12" x14ac:dyDescent="0.3">
      <c r="J4324"/>
      <c r="L4324" s="4"/>
    </row>
    <row r="4325" spans="10:12" x14ac:dyDescent="0.3">
      <c r="J4325"/>
      <c r="L4325" s="4"/>
    </row>
    <row r="4326" spans="10:12" x14ac:dyDescent="0.3">
      <c r="J4326"/>
      <c r="L4326" s="4"/>
    </row>
    <row r="4327" spans="10:12" x14ac:dyDescent="0.3">
      <c r="J4327"/>
      <c r="L4327" s="4"/>
    </row>
    <row r="4328" spans="10:12" x14ac:dyDescent="0.3">
      <c r="J4328"/>
      <c r="L4328" s="4"/>
    </row>
    <row r="4329" spans="10:12" x14ac:dyDescent="0.3">
      <c r="J4329"/>
      <c r="L4329" s="4"/>
    </row>
    <row r="4330" spans="10:12" x14ac:dyDescent="0.3">
      <c r="J4330"/>
      <c r="L4330" s="4"/>
    </row>
    <row r="4331" spans="10:12" x14ac:dyDescent="0.3">
      <c r="J4331"/>
      <c r="L4331" s="4"/>
    </row>
    <row r="4332" spans="10:12" x14ac:dyDescent="0.3">
      <c r="J4332"/>
      <c r="L4332" s="4"/>
    </row>
    <row r="4333" spans="10:12" x14ac:dyDescent="0.3">
      <c r="J4333"/>
      <c r="L4333" s="4"/>
    </row>
    <row r="4334" spans="10:12" x14ac:dyDescent="0.3">
      <c r="J4334"/>
      <c r="L4334" s="4"/>
    </row>
    <row r="4335" spans="10:12" x14ac:dyDescent="0.3">
      <c r="J4335"/>
      <c r="L4335" s="4"/>
    </row>
    <row r="4336" spans="10:12" x14ac:dyDescent="0.3">
      <c r="J4336"/>
      <c r="L4336" s="4"/>
    </row>
    <row r="4337" spans="10:12" x14ac:dyDescent="0.3">
      <c r="J4337"/>
      <c r="L4337" s="4"/>
    </row>
    <row r="4338" spans="10:12" x14ac:dyDescent="0.3">
      <c r="J4338"/>
      <c r="L4338" s="4"/>
    </row>
    <row r="4339" spans="10:12" x14ac:dyDescent="0.3">
      <c r="J4339"/>
      <c r="L4339" s="4"/>
    </row>
    <row r="4340" spans="10:12" x14ac:dyDescent="0.3">
      <c r="J4340"/>
      <c r="L4340" s="4"/>
    </row>
    <row r="4341" spans="10:12" x14ac:dyDescent="0.3">
      <c r="J4341"/>
      <c r="L4341" s="4"/>
    </row>
    <row r="4342" spans="10:12" x14ac:dyDescent="0.3">
      <c r="J4342"/>
      <c r="L4342" s="4"/>
    </row>
    <row r="4343" spans="10:12" x14ac:dyDescent="0.3">
      <c r="J4343"/>
      <c r="L4343" s="4"/>
    </row>
    <row r="4344" spans="10:12" x14ac:dyDescent="0.3">
      <c r="J4344"/>
      <c r="L4344" s="4"/>
    </row>
    <row r="4345" spans="10:12" x14ac:dyDescent="0.3">
      <c r="J4345"/>
      <c r="L4345" s="4"/>
    </row>
    <row r="4346" spans="10:12" x14ac:dyDescent="0.3">
      <c r="J4346"/>
      <c r="L4346" s="4"/>
    </row>
    <row r="4347" spans="10:12" x14ac:dyDescent="0.3">
      <c r="J4347"/>
      <c r="L4347" s="4"/>
    </row>
    <row r="4348" spans="10:12" x14ac:dyDescent="0.3">
      <c r="J4348"/>
      <c r="L4348" s="4"/>
    </row>
    <row r="4349" spans="10:12" x14ac:dyDescent="0.3">
      <c r="J4349"/>
      <c r="L4349" s="4"/>
    </row>
    <row r="4350" spans="10:12" x14ac:dyDescent="0.3">
      <c r="J4350"/>
      <c r="L4350" s="4"/>
    </row>
    <row r="4351" spans="10:12" x14ac:dyDescent="0.3">
      <c r="J4351"/>
      <c r="L4351" s="4"/>
    </row>
    <row r="4352" spans="10:12" x14ac:dyDescent="0.3">
      <c r="J4352"/>
      <c r="L4352" s="4"/>
    </row>
    <row r="4353" spans="10:12" x14ac:dyDescent="0.3">
      <c r="J4353"/>
      <c r="L4353" s="4"/>
    </row>
    <row r="4354" spans="10:12" x14ac:dyDescent="0.3">
      <c r="J4354"/>
      <c r="L4354" s="4"/>
    </row>
    <row r="4355" spans="10:12" x14ac:dyDescent="0.3">
      <c r="J4355"/>
      <c r="L4355" s="4"/>
    </row>
    <row r="4356" spans="10:12" x14ac:dyDescent="0.3">
      <c r="J4356"/>
      <c r="L4356" s="4"/>
    </row>
    <row r="4357" spans="10:12" x14ac:dyDescent="0.3">
      <c r="J4357"/>
      <c r="L4357" s="4"/>
    </row>
    <row r="4358" spans="10:12" x14ac:dyDescent="0.3">
      <c r="J4358"/>
      <c r="L4358" s="4"/>
    </row>
    <row r="4359" spans="10:12" x14ac:dyDescent="0.3">
      <c r="J4359"/>
      <c r="L4359" s="4"/>
    </row>
    <row r="4360" spans="10:12" x14ac:dyDescent="0.3">
      <c r="J4360"/>
      <c r="L4360" s="4"/>
    </row>
    <row r="4361" spans="10:12" x14ac:dyDescent="0.3">
      <c r="J4361"/>
      <c r="L4361" s="4"/>
    </row>
    <row r="4362" spans="10:12" x14ac:dyDescent="0.3">
      <c r="J4362"/>
      <c r="L4362" s="4"/>
    </row>
    <row r="4363" spans="10:12" x14ac:dyDescent="0.3">
      <c r="J4363"/>
      <c r="L4363" s="4"/>
    </row>
    <row r="4364" spans="10:12" x14ac:dyDescent="0.3">
      <c r="J4364"/>
      <c r="L4364" s="4"/>
    </row>
    <row r="4365" spans="10:12" x14ac:dyDescent="0.3">
      <c r="J4365"/>
      <c r="L4365" s="4"/>
    </row>
    <row r="4366" spans="10:12" x14ac:dyDescent="0.3">
      <c r="J4366"/>
      <c r="L4366" s="4"/>
    </row>
    <row r="4367" spans="10:12" x14ac:dyDescent="0.3">
      <c r="J4367"/>
      <c r="L4367" s="4"/>
    </row>
    <row r="4368" spans="10:12" x14ac:dyDescent="0.3">
      <c r="J4368"/>
      <c r="L4368" s="4"/>
    </row>
    <row r="4369" spans="10:12" x14ac:dyDescent="0.3">
      <c r="J4369"/>
      <c r="L4369" s="4"/>
    </row>
    <row r="4370" spans="10:12" x14ac:dyDescent="0.3">
      <c r="J4370"/>
      <c r="L4370" s="4"/>
    </row>
    <row r="4371" spans="10:12" x14ac:dyDescent="0.3">
      <c r="J4371"/>
      <c r="L4371" s="4"/>
    </row>
    <row r="4372" spans="10:12" x14ac:dyDescent="0.3">
      <c r="J4372"/>
      <c r="L4372" s="4"/>
    </row>
    <row r="4373" spans="10:12" x14ac:dyDescent="0.3">
      <c r="J4373"/>
      <c r="L4373" s="4"/>
    </row>
    <row r="4374" spans="10:12" x14ac:dyDescent="0.3">
      <c r="J4374"/>
      <c r="L4374" s="4"/>
    </row>
    <row r="4375" spans="10:12" x14ac:dyDescent="0.3">
      <c r="J4375"/>
      <c r="L4375" s="4"/>
    </row>
    <row r="4376" spans="10:12" x14ac:dyDescent="0.3">
      <c r="J4376"/>
      <c r="L4376" s="4"/>
    </row>
    <row r="4377" spans="10:12" x14ac:dyDescent="0.3">
      <c r="J4377"/>
      <c r="L4377" s="4"/>
    </row>
    <row r="4378" spans="10:12" x14ac:dyDescent="0.3">
      <c r="J4378"/>
      <c r="L4378" s="4"/>
    </row>
    <row r="4379" spans="10:12" x14ac:dyDescent="0.3">
      <c r="J4379"/>
      <c r="L4379" s="4"/>
    </row>
    <row r="4380" spans="10:12" x14ac:dyDescent="0.3">
      <c r="J4380"/>
      <c r="L4380" s="4"/>
    </row>
    <row r="4381" spans="10:12" x14ac:dyDescent="0.3">
      <c r="J4381"/>
      <c r="L4381" s="4"/>
    </row>
    <row r="4382" spans="10:12" x14ac:dyDescent="0.3">
      <c r="J4382"/>
      <c r="L4382" s="4"/>
    </row>
    <row r="4383" spans="10:12" x14ac:dyDescent="0.3">
      <c r="J4383"/>
      <c r="L4383" s="4"/>
    </row>
    <row r="4384" spans="10:12" x14ac:dyDescent="0.3">
      <c r="J4384"/>
      <c r="L4384" s="4"/>
    </row>
    <row r="4385" spans="10:12" x14ac:dyDescent="0.3">
      <c r="J4385"/>
      <c r="L4385" s="4"/>
    </row>
    <row r="4386" spans="10:12" x14ac:dyDescent="0.3">
      <c r="J4386"/>
      <c r="L4386" s="4"/>
    </row>
    <row r="4387" spans="10:12" x14ac:dyDescent="0.3">
      <c r="J4387"/>
      <c r="L4387" s="4"/>
    </row>
    <row r="4388" spans="10:12" x14ac:dyDescent="0.3">
      <c r="J4388"/>
      <c r="L4388" s="4"/>
    </row>
    <row r="4389" spans="10:12" x14ac:dyDescent="0.3">
      <c r="J4389"/>
      <c r="L4389" s="4"/>
    </row>
    <row r="4390" spans="10:12" x14ac:dyDescent="0.3">
      <c r="J4390"/>
      <c r="L4390" s="4"/>
    </row>
    <row r="4391" spans="10:12" x14ac:dyDescent="0.3">
      <c r="J4391"/>
      <c r="L4391" s="4"/>
    </row>
    <row r="4392" spans="10:12" x14ac:dyDescent="0.3">
      <c r="J4392"/>
      <c r="L4392" s="4"/>
    </row>
    <row r="4393" spans="10:12" x14ac:dyDescent="0.3">
      <c r="J4393"/>
      <c r="L4393" s="4"/>
    </row>
    <row r="4394" spans="10:12" x14ac:dyDescent="0.3">
      <c r="J4394"/>
      <c r="L4394" s="4"/>
    </row>
    <row r="4395" spans="10:12" x14ac:dyDescent="0.3">
      <c r="J4395"/>
      <c r="L4395" s="4"/>
    </row>
    <row r="4396" spans="10:12" x14ac:dyDescent="0.3">
      <c r="J4396"/>
      <c r="L4396" s="4"/>
    </row>
    <row r="4397" spans="10:12" x14ac:dyDescent="0.3">
      <c r="J4397"/>
      <c r="L4397" s="4"/>
    </row>
    <row r="4398" spans="10:12" x14ac:dyDescent="0.3">
      <c r="J4398"/>
      <c r="L4398" s="4"/>
    </row>
    <row r="4399" spans="10:12" x14ac:dyDescent="0.3">
      <c r="J4399"/>
      <c r="L4399" s="4"/>
    </row>
    <row r="4400" spans="10:12" x14ac:dyDescent="0.3">
      <c r="J4400"/>
      <c r="L4400" s="4"/>
    </row>
    <row r="4401" spans="10:12" x14ac:dyDescent="0.3">
      <c r="J4401"/>
      <c r="L4401" s="4"/>
    </row>
    <row r="4402" spans="10:12" x14ac:dyDescent="0.3">
      <c r="J4402"/>
      <c r="L4402" s="4"/>
    </row>
    <row r="4403" spans="10:12" x14ac:dyDescent="0.3">
      <c r="J4403"/>
      <c r="L4403" s="4"/>
    </row>
    <row r="4404" spans="10:12" x14ac:dyDescent="0.3">
      <c r="J4404"/>
      <c r="L4404" s="4"/>
    </row>
    <row r="4405" spans="10:12" x14ac:dyDescent="0.3">
      <c r="J4405"/>
      <c r="L4405" s="4"/>
    </row>
    <row r="4406" spans="10:12" x14ac:dyDescent="0.3">
      <c r="J4406"/>
      <c r="L4406" s="4"/>
    </row>
    <row r="4407" spans="10:12" x14ac:dyDescent="0.3">
      <c r="J4407"/>
      <c r="L4407" s="4"/>
    </row>
    <row r="4408" spans="10:12" x14ac:dyDescent="0.3">
      <c r="J4408"/>
      <c r="L4408" s="4"/>
    </row>
    <row r="4409" spans="10:12" x14ac:dyDescent="0.3">
      <c r="J4409"/>
      <c r="L4409" s="4"/>
    </row>
    <row r="4410" spans="10:12" x14ac:dyDescent="0.3">
      <c r="J4410"/>
      <c r="L4410" s="4"/>
    </row>
    <row r="4411" spans="10:12" x14ac:dyDescent="0.3">
      <c r="J4411"/>
      <c r="L4411" s="4"/>
    </row>
    <row r="4412" spans="10:12" x14ac:dyDescent="0.3">
      <c r="J4412"/>
      <c r="L4412" s="4"/>
    </row>
    <row r="4413" spans="10:12" x14ac:dyDescent="0.3">
      <c r="J4413"/>
      <c r="L4413" s="4"/>
    </row>
    <row r="4414" spans="10:12" x14ac:dyDescent="0.3">
      <c r="J4414"/>
      <c r="L4414" s="4"/>
    </row>
    <row r="4415" spans="10:12" x14ac:dyDescent="0.3">
      <c r="J4415"/>
      <c r="L4415" s="4"/>
    </row>
    <row r="4416" spans="10:12" x14ac:dyDescent="0.3">
      <c r="J4416"/>
      <c r="L4416" s="4"/>
    </row>
    <row r="4417" spans="10:12" x14ac:dyDescent="0.3">
      <c r="J4417"/>
      <c r="L4417" s="4"/>
    </row>
    <row r="4418" spans="10:12" x14ac:dyDescent="0.3">
      <c r="J4418"/>
      <c r="L4418" s="4"/>
    </row>
    <row r="4419" spans="10:12" x14ac:dyDescent="0.3">
      <c r="J4419"/>
      <c r="L4419" s="4"/>
    </row>
    <row r="4420" spans="10:12" x14ac:dyDescent="0.3">
      <c r="J4420"/>
      <c r="L4420" s="4"/>
    </row>
    <row r="4421" spans="10:12" x14ac:dyDescent="0.3">
      <c r="J4421"/>
      <c r="L4421" s="4"/>
    </row>
    <row r="4422" spans="10:12" x14ac:dyDescent="0.3">
      <c r="J4422"/>
      <c r="L4422" s="4"/>
    </row>
    <row r="4423" spans="10:12" x14ac:dyDescent="0.3">
      <c r="J4423"/>
      <c r="L4423" s="4"/>
    </row>
    <row r="4424" spans="10:12" x14ac:dyDescent="0.3">
      <c r="J4424"/>
      <c r="L4424" s="4"/>
    </row>
    <row r="4425" spans="10:12" x14ac:dyDescent="0.3">
      <c r="J4425"/>
      <c r="L4425" s="4"/>
    </row>
    <row r="4426" spans="10:12" x14ac:dyDescent="0.3">
      <c r="J4426"/>
      <c r="L4426" s="4"/>
    </row>
    <row r="4427" spans="10:12" x14ac:dyDescent="0.3">
      <c r="J4427"/>
      <c r="L4427" s="4"/>
    </row>
    <row r="4428" spans="10:12" x14ac:dyDescent="0.3">
      <c r="J4428"/>
      <c r="L4428" s="4"/>
    </row>
    <row r="4429" spans="10:12" x14ac:dyDescent="0.3">
      <c r="J4429"/>
      <c r="L4429" s="4"/>
    </row>
    <row r="4430" spans="10:12" x14ac:dyDescent="0.3">
      <c r="J4430"/>
      <c r="L4430" s="4"/>
    </row>
    <row r="4431" spans="10:12" x14ac:dyDescent="0.3">
      <c r="J4431"/>
      <c r="L4431" s="4"/>
    </row>
    <row r="4432" spans="10:12" x14ac:dyDescent="0.3">
      <c r="J4432"/>
      <c r="L4432" s="4"/>
    </row>
    <row r="4433" spans="10:12" x14ac:dyDescent="0.3">
      <c r="J4433"/>
      <c r="L4433" s="4"/>
    </row>
    <row r="4434" spans="10:12" x14ac:dyDescent="0.3">
      <c r="J4434"/>
      <c r="L4434" s="4"/>
    </row>
    <row r="4435" spans="10:12" x14ac:dyDescent="0.3">
      <c r="J4435"/>
      <c r="L4435" s="4"/>
    </row>
    <row r="4436" spans="10:12" x14ac:dyDescent="0.3">
      <c r="J4436"/>
      <c r="L4436" s="4"/>
    </row>
    <row r="4437" spans="10:12" x14ac:dyDescent="0.3">
      <c r="J4437"/>
      <c r="L4437" s="4"/>
    </row>
    <row r="4438" spans="10:12" x14ac:dyDescent="0.3">
      <c r="J4438"/>
      <c r="L4438" s="4"/>
    </row>
    <row r="4439" spans="10:12" x14ac:dyDescent="0.3">
      <c r="J4439"/>
      <c r="L4439" s="4"/>
    </row>
    <row r="4440" spans="10:12" x14ac:dyDescent="0.3">
      <c r="J4440"/>
      <c r="L4440" s="4"/>
    </row>
    <row r="4441" spans="10:12" x14ac:dyDescent="0.3">
      <c r="J4441"/>
      <c r="L4441" s="4"/>
    </row>
    <row r="4442" spans="10:12" x14ac:dyDescent="0.3">
      <c r="J4442"/>
      <c r="L4442" s="4"/>
    </row>
    <row r="4443" spans="10:12" x14ac:dyDescent="0.3">
      <c r="J4443"/>
      <c r="L4443" s="4"/>
    </row>
    <row r="4444" spans="10:12" x14ac:dyDescent="0.3">
      <c r="J4444"/>
      <c r="L4444" s="4"/>
    </row>
    <row r="4445" spans="10:12" x14ac:dyDescent="0.3">
      <c r="J4445"/>
      <c r="L4445" s="4"/>
    </row>
    <row r="4446" spans="10:12" x14ac:dyDescent="0.3">
      <c r="J4446"/>
      <c r="L4446" s="4"/>
    </row>
    <row r="4447" spans="10:12" x14ac:dyDescent="0.3">
      <c r="J4447"/>
      <c r="L4447" s="4"/>
    </row>
    <row r="4448" spans="10:12" x14ac:dyDescent="0.3">
      <c r="J4448"/>
      <c r="L4448" s="4"/>
    </row>
    <row r="4449" spans="10:12" x14ac:dyDescent="0.3">
      <c r="J4449"/>
      <c r="L4449" s="4"/>
    </row>
    <row r="4450" spans="10:12" x14ac:dyDescent="0.3">
      <c r="J4450"/>
      <c r="L4450" s="4"/>
    </row>
    <row r="4451" spans="10:12" x14ac:dyDescent="0.3">
      <c r="J4451"/>
      <c r="L4451" s="4"/>
    </row>
    <row r="4452" spans="10:12" x14ac:dyDescent="0.3">
      <c r="J4452"/>
      <c r="L4452" s="4"/>
    </row>
    <row r="4453" spans="10:12" x14ac:dyDescent="0.3">
      <c r="J4453"/>
      <c r="L4453" s="4"/>
    </row>
    <row r="4454" spans="10:12" x14ac:dyDescent="0.3">
      <c r="J4454"/>
      <c r="L4454" s="4"/>
    </row>
    <row r="4455" spans="10:12" x14ac:dyDescent="0.3">
      <c r="J4455"/>
      <c r="L4455" s="4"/>
    </row>
    <row r="4456" spans="10:12" x14ac:dyDescent="0.3">
      <c r="J4456"/>
      <c r="L4456" s="4"/>
    </row>
    <row r="4457" spans="10:12" x14ac:dyDescent="0.3">
      <c r="J4457"/>
      <c r="L4457" s="4"/>
    </row>
    <row r="4458" spans="10:12" x14ac:dyDescent="0.3">
      <c r="J4458"/>
      <c r="L4458" s="4"/>
    </row>
    <row r="4459" spans="10:12" x14ac:dyDescent="0.3">
      <c r="J4459"/>
      <c r="L4459" s="4"/>
    </row>
    <row r="4460" spans="10:12" x14ac:dyDescent="0.3">
      <c r="J4460"/>
      <c r="L4460" s="4"/>
    </row>
    <row r="4461" spans="10:12" x14ac:dyDescent="0.3">
      <c r="J4461"/>
      <c r="L4461" s="4"/>
    </row>
    <row r="4462" spans="10:12" x14ac:dyDescent="0.3">
      <c r="J4462"/>
      <c r="L4462" s="4"/>
    </row>
    <row r="4463" spans="10:12" x14ac:dyDescent="0.3">
      <c r="J4463"/>
      <c r="L4463" s="4"/>
    </row>
    <row r="4464" spans="10:12" x14ac:dyDescent="0.3">
      <c r="J4464"/>
      <c r="L4464" s="4"/>
    </row>
    <row r="4465" spans="10:12" x14ac:dyDescent="0.3">
      <c r="J4465"/>
      <c r="L4465" s="4"/>
    </row>
    <row r="4466" spans="10:12" x14ac:dyDescent="0.3">
      <c r="J4466"/>
      <c r="L4466" s="4"/>
    </row>
    <row r="4467" spans="10:12" x14ac:dyDescent="0.3">
      <c r="J4467"/>
      <c r="L4467" s="4"/>
    </row>
    <row r="4468" spans="10:12" x14ac:dyDescent="0.3">
      <c r="J4468"/>
      <c r="L4468" s="4"/>
    </row>
    <row r="4469" spans="10:12" x14ac:dyDescent="0.3">
      <c r="J4469"/>
      <c r="L4469" s="4"/>
    </row>
    <row r="4470" spans="10:12" x14ac:dyDescent="0.3">
      <c r="J4470"/>
      <c r="L4470" s="4"/>
    </row>
    <row r="4471" spans="10:12" x14ac:dyDescent="0.3">
      <c r="J4471"/>
      <c r="L4471" s="4"/>
    </row>
    <row r="4472" spans="10:12" x14ac:dyDescent="0.3">
      <c r="J4472"/>
      <c r="L4472" s="4"/>
    </row>
    <row r="4473" spans="10:12" x14ac:dyDescent="0.3">
      <c r="J4473"/>
      <c r="L4473" s="4"/>
    </row>
    <row r="4474" spans="10:12" x14ac:dyDescent="0.3">
      <c r="J4474"/>
      <c r="L4474" s="4"/>
    </row>
    <row r="4475" spans="10:12" x14ac:dyDescent="0.3">
      <c r="J4475"/>
      <c r="L4475" s="4"/>
    </row>
    <row r="4476" spans="10:12" x14ac:dyDescent="0.3">
      <c r="J4476"/>
      <c r="L4476" s="4"/>
    </row>
    <row r="4477" spans="10:12" x14ac:dyDescent="0.3">
      <c r="J4477"/>
      <c r="L4477" s="4"/>
    </row>
    <row r="4478" spans="10:12" x14ac:dyDescent="0.3">
      <c r="J4478"/>
      <c r="L4478" s="4"/>
    </row>
    <row r="4479" spans="10:12" x14ac:dyDescent="0.3">
      <c r="J4479"/>
      <c r="L4479" s="4"/>
    </row>
    <row r="4480" spans="10:12" x14ac:dyDescent="0.3">
      <c r="J4480"/>
      <c r="L4480" s="4"/>
    </row>
    <row r="4481" spans="10:12" x14ac:dyDescent="0.3">
      <c r="J4481"/>
      <c r="L4481" s="4"/>
    </row>
    <row r="4482" spans="10:12" x14ac:dyDescent="0.3">
      <c r="J4482"/>
      <c r="L4482" s="4"/>
    </row>
    <row r="4483" spans="10:12" x14ac:dyDescent="0.3">
      <c r="J4483"/>
      <c r="L4483" s="4"/>
    </row>
    <row r="4484" spans="10:12" x14ac:dyDescent="0.3">
      <c r="J4484"/>
      <c r="L4484" s="4"/>
    </row>
    <row r="4485" spans="10:12" x14ac:dyDescent="0.3">
      <c r="J4485"/>
      <c r="L4485" s="4"/>
    </row>
    <row r="4486" spans="10:12" x14ac:dyDescent="0.3">
      <c r="J4486"/>
      <c r="L4486" s="4"/>
    </row>
    <row r="4487" spans="10:12" x14ac:dyDescent="0.3">
      <c r="J4487"/>
      <c r="L4487" s="4"/>
    </row>
    <row r="4488" spans="10:12" x14ac:dyDescent="0.3">
      <c r="J4488"/>
      <c r="L4488" s="4"/>
    </row>
    <row r="4489" spans="10:12" x14ac:dyDescent="0.3">
      <c r="J4489"/>
      <c r="L4489" s="4"/>
    </row>
    <row r="4490" spans="10:12" x14ac:dyDescent="0.3">
      <c r="J4490"/>
      <c r="L4490" s="4"/>
    </row>
    <row r="4491" spans="10:12" x14ac:dyDescent="0.3">
      <c r="J4491"/>
      <c r="L4491" s="4"/>
    </row>
    <row r="4492" spans="10:12" x14ac:dyDescent="0.3">
      <c r="J4492"/>
      <c r="L4492" s="4"/>
    </row>
    <row r="4493" spans="10:12" x14ac:dyDescent="0.3">
      <c r="J4493"/>
      <c r="L4493" s="4"/>
    </row>
    <row r="4494" spans="10:12" x14ac:dyDescent="0.3">
      <c r="J4494"/>
      <c r="L4494" s="4"/>
    </row>
    <row r="4495" spans="10:12" x14ac:dyDescent="0.3">
      <c r="J4495"/>
      <c r="L4495" s="4"/>
    </row>
    <row r="4496" spans="10:12" x14ac:dyDescent="0.3">
      <c r="J4496"/>
      <c r="L4496" s="4"/>
    </row>
    <row r="4497" spans="10:12" x14ac:dyDescent="0.3">
      <c r="J4497"/>
      <c r="L4497" s="4"/>
    </row>
    <row r="4498" spans="10:12" x14ac:dyDescent="0.3">
      <c r="J4498"/>
      <c r="L4498" s="4"/>
    </row>
    <row r="4499" spans="10:12" x14ac:dyDescent="0.3">
      <c r="J4499"/>
      <c r="L4499" s="4"/>
    </row>
    <row r="4500" spans="10:12" x14ac:dyDescent="0.3">
      <c r="J4500"/>
      <c r="L4500" s="4"/>
    </row>
    <row r="4501" spans="10:12" x14ac:dyDescent="0.3">
      <c r="J4501"/>
      <c r="L4501" s="4"/>
    </row>
    <row r="4502" spans="10:12" x14ac:dyDescent="0.3">
      <c r="J4502"/>
      <c r="L4502" s="4"/>
    </row>
    <row r="4503" spans="10:12" x14ac:dyDescent="0.3">
      <c r="J4503"/>
      <c r="L4503" s="4"/>
    </row>
    <row r="4504" spans="10:12" x14ac:dyDescent="0.3">
      <c r="J4504"/>
      <c r="L4504" s="4"/>
    </row>
    <row r="4505" spans="10:12" x14ac:dyDescent="0.3">
      <c r="J4505"/>
      <c r="L4505" s="4"/>
    </row>
    <row r="4506" spans="10:12" x14ac:dyDescent="0.3">
      <c r="J4506"/>
      <c r="L4506" s="4"/>
    </row>
    <row r="4507" spans="10:12" x14ac:dyDescent="0.3">
      <c r="J4507"/>
      <c r="L4507" s="4"/>
    </row>
    <row r="4508" spans="10:12" x14ac:dyDescent="0.3">
      <c r="J4508"/>
      <c r="L4508" s="4"/>
    </row>
    <row r="4509" spans="10:12" x14ac:dyDescent="0.3">
      <c r="J4509"/>
      <c r="L4509" s="4"/>
    </row>
    <row r="4510" spans="10:12" x14ac:dyDescent="0.3">
      <c r="J4510"/>
      <c r="L4510" s="4"/>
    </row>
    <row r="4511" spans="10:12" x14ac:dyDescent="0.3">
      <c r="J4511"/>
      <c r="L4511" s="4"/>
    </row>
    <row r="4512" spans="10:12" x14ac:dyDescent="0.3">
      <c r="J4512"/>
      <c r="L4512" s="4"/>
    </row>
    <row r="4513" spans="10:12" x14ac:dyDescent="0.3">
      <c r="J4513"/>
      <c r="L4513" s="4"/>
    </row>
    <row r="4514" spans="10:12" x14ac:dyDescent="0.3">
      <c r="J4514"/>
      <c r="L4514" s="4"/>
    </row>
    <row r="4515" spans="10:12" x14ac:dyDescent="0.3">
      <c r="J4515"/>
      <c r="L4515" s="4"/>
    </row>
    <row r="4516" spans="10:12" x14ac:dyDescent="0.3">
      <c r="J4516"/>
      <c r="L4516" s="4"/>
    </row>
    <row r="4517" spans="10:12" x14ac:dyDescent="0.3">
      <c r="J4517"/>
      <c r="L4517" s="4"/>
    </row>
    <row r="4518" spans="10:12" x14ac:dyDescent="0.3">
      <c r="J4518"/>
      <c r="L4518" s="4"/>
    </row>
    <row r="4519" spans="10:12" x14ac:dyDescent="0.3">
      <c r="J4519"/>
      <c r="L4519" s="4"/>
    </row>
    <row r="4520" spans="10:12" x14ac:dyDescent="0.3">
      <c r="J4520"/>
      <c r="L4520" s="4"/>
    </row>
    <row r="4521" spans="10:12" x14ac:dyDescent="0.3">
      <c r="J4521"/>
      <c r="L4521" s="4"/>
    </row>
    <row r="4522" spans="10:12" x14ac:dyDescent="0.3">
      <c r="J4522"/>
      <c r="L4522" s="4"/>
    </row>
    <row r="4523" spans="10:12" x14ac:dyDescent="0.3">
      <c r="J4523"/>
      <c r="L4523" s="4"/>
    </row>
    <row r="4524" spans="10:12" x14ac:dyDescent="0.3">
      <c r="J4524"/>
      <c r="L4524" s="4"/>
    </row>
    <row r="4525" spans="10:12" x14ac:dyDescent="0.3">
      <c r="J4525"/>
      <c r="L4525" s="4"/>
    </row>
    <row r="4526" spans="10:12" x14ac:dyDescent="0.3">
      <c r="J4526"/>
      <c r="L4526" s="4"/>
    </row>
    <row r="4527" spans="10:12" x14ac:dyDescent="0.3">
      <c r="J4527"/>
      <c r="L4527" s="4"/>
    </row>
    <row r="4528" spans="10:12" x14ac:dyDescent="0.3">
      <c r="J4528"/>
      <c r="L4528" s="4"/>
    </row>
    <row r="4529" spans="10:12" x14ac:dyDescent="0.3">
      <c r="J4529"/>
      <c r="L4529" s="4"/>
    </row>
    <row r="4530" spans="10:12" x14ac:dyDescent="0.3">
      <c r="J4530"/>
      <c r="L4530" s="4"/>
    </row>
    <row r="4531" spans="10:12" x14ac:dyDescent="0.3">
      <c r="J4531"/>
      <c r="L4531" s="4"/>
    </row>
    <row r="4532" spans="10:12" x14ac:dyDescent="0.3">
      <c r="J4532"/>
      <c r="L4532" s="4"/>
    </row>
    <row r="4533" spans="10:12" x14ac:dyDescent="0.3">
      <c r="J4533"/>
      <c r="L4533" s="4"/>
    </row>
    <row r="4534" spans="10:12" x14ac:dyDescent="0.3">
      <c r="J4534"/>
      <c r="L4534" s="4"/>
    </row>
    <row r="4535" spans="10:12" x14ac:dyDescent="0.3">
      <c r="J4535"/>
      <c r="L4535" s="4"/>
    </row>
    <row r="4536" spans="10:12" x14ac:dyDescent="0.3">
      <c r="J4536"/>
      <c r="L4536" s="4"/>
    </row>
    <row r="4537" spans="10:12" x14ac:dyDescent="0.3">
      <c r="J4537"/>
      <c r="L4537" s="4"/>
    </row>
    <row r="4538" spans="10:12" x14ac:dyDescent="0.3">
      <c r="J4538"/>
      <c r="L4538" s="4"/>
    </row>
    <row r="4539" spans="10:12" x14ac:dyDescent="0.3">
      <c r="J4539"/>
      <c r="L4539" s="4"/>
    </row>
    <row r="4540" spans="10:12" x14ac:dyDescent="0.3">
      <c r="J4540"/>
      <c r="L4540" s="4"/>
    </row>
    <row r="4541" spans="10:12" x14ac:dyDescent="0.3">
      <c r="J4541"/>
      <c r="L4541" s="4"/>
    </row>
    <row r="4542" spans="10:12" x14ac:dyDescent="0.3">
      <c r="J4542"/>
      <c r="L4542" s="4"/>
    </row>
    <row r="4543" spans="10:12" x14ac:dyDescent="0.3">
      <c r="J4543"/>
      <c r="L4543" s="4"/>
    </row>
    <row r="4544" spans="10:12" x14ac:dyDescent="0.3">
      <c r="J4544"/>
      <c r="L4544" s="4"/>
    </row>
    <row r="4545" spans="10:12" x14ac:dyDescent="0.3">
      <c r="J4545"/>
      <c r="L4545" s="4"/>
    </row>
    <row r="4546" spans="10:12" x14ac:dyDescent="0.3">
      <c r="J4546"/>
      <c r="L4546" s="4"/>
    </row>
    <row r="4547" spans="10:12" x14ac:dyDescent="0.3">
      <c r="J4547"/>
      <c r="L4547" s="4"/>
    </row>
    <row r="4548" spans="10:12" x14ac:dyDescent="0.3">
      <c r="J4548"/>
      <c r="L4548" s="4"/>
    </row>
    <row r="4549" spans="10:12" x14ac:dyDescent="0.3">
      <c r="J4549"/>
      <c r="L4549" s="4"/>
    </row>
    <row r="4550" spans="10:12" x14ac:dyDescent="0.3">
      <c r="J4550"/>
      <c r="L4550" s="4"/>
    </row>
    <row r="4551" spans="10:12" x14ac:dyDescent="0.3">
      <c r="J4551"/>
      <c r="L4551" s="4"/>
    </row>
    <row r="4552" spans="10:12" x14ac:dyDescent="0.3">
      <c r="J4552"/>
      <c r="L4552" s="4"/>
    </row>
    <row r="4553" spans="10:12" x14ac:dyDescent="0.3">
      <c r="J4553"/>
      <c r="L4553" s="4"/>
    </row>
    <row r="4554" spans="10:12" x14ac:dyDescent="0.3">
      <c r="J4554"/>
      <c r="L4554" s="4"/>
    </row>
    <row r="4555" spans="10:12" x14ac:dyDescent="0.3">
      <c r="J4555"/>
      <c r="L4555" s="4"/>
    </row>
    <row r="4556" spans="10:12" x14ac:dyDescent="0.3">
      <c r="J4556"/>
      <c r="L4556" s="4"/>
    </row>
    <row r="4557" spans="10:12" x14ac:dyDescent="0.3">
      <c r="J4557"/>
      <c r="L4557" s="4"/>
    </row>
    <row r="4558" spans="10:12" x14ac:dyDescent="0.3">
      <c r="J4558"/>
      <c r="L4558" s="4"/>
    </row>
    <row r="4559" spans="10:12" x14ac:dyDescent="0.3">
      <c r="J4559"/>
      <c r="L4559" s="4"/>
    </row>
    <row r="4560" spans="10:12" x14ac:dyDescent="0.3">
      <c r="J4560"/>
      <c r="L4560" s="4"/>
    </row>
    <row r="4561" spans="10:12" x14ac:dyDescent="0.3">
      <c r="J4561"/>
      <c r="L4561" s="4"/>
    </row>
    <row r="4562" spans="10:12" x14ac:dyDescent="0.3">
      <c r="J4562"/>
      <c r="L4562" s="4"/>
    </row>
    <row r="4563" spans="10:12" x14ac:dyDescent="0.3">
      <c r="J4563"/>
      <c r="L4563" s="4"/>
    </row>
    <row r="4564" spans="10:12" x14ac:dyDescent="0.3">
      <c r="J4564"/>
      <c r="L4564" s="4"/>
    </row>
    <row r="4565" spans="10:12" x14ac:dyDescent="0.3">
      <c r="J4565"/>
      <c r="L4565" s="4"/>
    </row>
    <row r="4566" spans="10:12" x14ac:dyDescent="0.3">
      <c r="J4566"/>
      <c r="L4566" s="4"/>
    </row>
    <row r="4567" spans="10:12" x14ac:dyDescent="0.3">
      <c r="J4567"/>
      <c r="L4567" s="4"/>
    </row>
    <row r="4568" spans="10:12" x14ac:dyDescent="0.3">
      <c r="J4568"/>
      <c r="L4568" s="4"/>
    </row>
    <row r="4569" spans="10:12" x14ac:dyDescent="0.3">
      <c r="J4569"/>
      <c r="L4569" s="4"/>
    </row>
    <row r="4570" spans="10:12" x14ac:dyDescent="0.3">
      <c r="J4570"/>
      <c r="L4570" s="4"/>
    </row>
    <row r="4571" spans="10:12" x14ac:dyDescent="0.3">
      <c r="J4571"/>
      <c r="L4571" s="4"/>
    </row>
    <row r="4572" spans="10:12" x14ac:dyDescent="0.3">
      <c r="J4572"/>
      <c r="L4572" s="4"/>
    </row>
    <row r="4573" spans="10:12" x14ac:dyDescent="0.3">
      <c r="J4573"/>
      <c r="L4573" s="4"/>
    </row>
    <row r="4574" spans="10:12" x14ac:dyDescent="0.3">
      <c r="J4574"/>
      <c r="L4574" s="4"/>
    </row>
    <row r="4575" spans="10:12" x14ac:dyDescent="0.3">
      <c r="J4575"/>
      <c r="L4575" s="4"/>
    </row>
    <row r="4576" spans="10:12" x14ac:dyDescent="0.3">
      <c r="J4576"/>
      <c r="L4576" s="4"/>
    </row>
    <row r="4577" spans="10:12" x14ac:dyDescent="0.3">
      <c r="J4577"/>
      <c r="L4577" s="4"/>
    </row>
    <row r="4578" spans="10:12" x14ac:dyDescent="0.3">
      <c r="J4578"/>
      <c r="L4578" s="4"/>
    </row>
    <row r="4579" spans="10:12" x14ac:dyDescent="0.3">
      <c r="J4579"/>
      <c r="L4579" s="4"/>
    </row>
    <row r="4580" spans="10:12" x14ac:dyDescent="0.3">
      <c r="J4580"/>
      <c r="L4580" s="4"/>
    </row>
    <row r="4581" spans="10:12" x14ac:dyDescent="0.3">
      <c r="J4581"/>
      <c r="L4581" s="4"/>
    </row>
    <row r="4582" spans="10:12" x14ac:dyDescent="0.3">
      <c r="J4582"/>
      <c r="L4582" s="4"/>
    </row>
    <row r="4583" spans="10:12" x14ac:dyDescent="0.3">
      <c r="J4583"/>
      <c r="L4583" s="4"/>
    </row>
    <row r="4584" spans="10:12" x14ac:dyDescent="0.3">
      <c r="J4584"/>
      <c r="L4584" s="4"/>
    </row>
    <row r="4585" spans="10:12" x14ac:dyDescent="0.3">
      <c r="J4585"/>
      <c r="L4585" s="4"/>
    </row>
    <row r="4586" spans="10:12" x14ac:dyDescent="0.3">
      <c r="J4586"/>
      <c r="L4586" s="4"/>
    </row>
    <row r="4587" spans="10:12" x14ac:dyDescent="0.3">
      <c r="J4587"/>
      <c r="L4587" s="4"/>
    </row>
    <row r="4588" spans="10:12" x14ac:dyDescent="0.3">
      <c r="J4588"/>
      <c r="L4588" s="4"/>
    </row>
    <row r="4589" spans="10:12" x14ac:dyDescent="0.3">
      <c r="J4589"/>
      <c r="L4589" s="4"/>
    </row>
    <row r="4590" spans="10:12" x14ac:dyDescent="0.3">
      <c r="J4590"/>
      <c r="L4590" s="4"/>
    </row>
    <row r="4591" spans="10:12" x14ac:dyDescent="0.3">
      <c r="J4591"/>
      <c r="L4591" s="4"/>
    </row>
    <row r="4592" spans="10:12" x14ac:dyDescent="0.3">
      <c r="J4592"/>
      <c r="L4592" s="4"/>
    </row>
    <row r="4593" spans="10:12" x14ac:dyDescent="0.3">
      <c r="J4593"/>
      <c r="L4593" s="4"/>
    </row>
    <row r="4594" spans="10:12" x14ac:dyDescent="0.3">
      <c r="J4594"/>
      <c r="L4594" s="4"/>
    </row>
    <row r="4595" spans="10:12" x14ac:dyDescent="0.3">
      <c r="J4595"/>
      <c r="L4595" s="4"/>
    </row>
    <row r="4596" spans="10:12" x14ac:dyDescent="0.3">
      <c r="J4596"/>
      <c r="L4596" s="4"/>
    </row>
    <row r="4597" spans="10:12" x14ac:dyDescent="0.3">
      <c r="J4597"/>
      <c r="L4597" s="4"/>
    </row>
    <row r="4598" spans="10:12" x14ac:dyDescent="0.3">
      <c r="J4598"/>
      <c r="L4598" s="4"/>
    </row>
    <row r="4599" spans="10:12" x14ac:dyDescent="0.3">
      <c r="J4599"/>
      <c r="L4599" s="4"/>
    </row>
    <row r="4600" spans="10:12" x14ac:dyDescent="0.3">
      <c r="J4600"/>
      <c r="L4600" s="4"/>
    </row>
    <row r="4601" spans="10:12" x14ac:dyDescent="0.3">
      <c r="J4601"/>
      <c r="L4601" s="4"/>
    </row>
    <row r="4602" spans="10:12" x14ac:dyDescent="0.3">
      <c r="J4602"/>
      <c r="L4602" s="4"/>
    </row>
    <row r="4603" spans="10:12" x14ac:dyDescent="0.3">
      <c r="J4603"/>
      <c r="L4603" s="4"/>
    </row>
    <row r="4604" spans="10:12" x14ac:dyDescent="0.3">
      <c r="J4604"/>
      <c r="L4604" s="4"/>
    </row>
    <row r="4605" spans="10:12" x14ac:dyDescent="0.3">
      <c r="J4605"/>
      <c r="L4605" s="4"/>
    </row>
    <row r="4606" spans="10:12" x14ac:dyDescent="0.3">
      <c r="J4606"/>
      <c r="L4606" s="4"/>
    </row>
    <row r="4607" spans="10:12" x14ac:dyDescent="0.3">
      <c r="J4607"/>
      <c r="L4607" s="4"/>
    </row>
    <row r="4608" spans="10:12" x14ac:dyDescent="0.3">
      <c r="J4608"/>
      <c r="L4608" s="4"/>
    </row>
    <row r="4609" spans="10:12" x14ac:dyDescent="0.3">
      <c r="J4609"/>
      <c r="L4609" s="4"/>
    </row>
    <row r="4610" spans="10:12" x14ac:dyDescent="0.3">
      <c r="J4610"/>
      <c r="L4610" s="4"/>
    </row>
    <row r="4611" spans="10:12" x14ac:dyDescent="0.3">
      <c r="J4611"/>
      <c r="L4611" s="4"/>
    </row>
    <row r="4612" spans="10:12" x14ac:dyDescent="0.3">
      <c r="J4612"/>
      <c r="L4612" s="4"/>
    </row>
    <row r="4613" spans="10:12" x14ac:dyDescent="0.3">
      <c r="J4613"/>
      <c r="L4613" s="4"/>
    </row>
    <row r="4614" spans="10:12" x14ac:dyDescent="0.3">
      <c r="J4614"/>
      <c r="L4614" s="4"/>
    </row>
    <row r="4615" spans="10:12" x14ac:dyDescent="0.3">
      <c r="J4615"/>
      <c r="L4615" s="4"/>
    </row>
    <row r="4616" spans="10:12" x14ac:dyDescent="0.3">
      <c r="J4616"/>
      <c r="L4616" s="4"/>
    </row>
    <row r="4617" spans="10:12" x14ac:dyDescent="0.3">
      <c r="J4617"/>
      <c r="L4617" s="4"/>
    </row>
    <row r="4618" spans="10:12" x14ac:dyDescent="0.3">
      <c r="J4618"/>
      <c r="L4618" s="4"/>
    </row>
    <row r="4619" spans="10:12" x14ac:dyDescent="0.3">
      <c r="J4619"/>
      <c r="L4619" s="4"/>
    </row>
    <row r="4620" spans="10:12" x14ac:dyDescent="0.3">
      <c r="J4620"/>
      <c r="L4620" s="4"/>
    </row>
    <row r="4621" spans="10:12" x14ac:dyDescent="0.3">
      <c r="J4621"/>
      <c r="L4621" s="4"/>
    </row>
    <row r="4622" spans="10:12" x14ac:dyDescent="0.3">
      <c r="J4622"/>
      <c r="L4622" s="4"/>
    </row>
    <row r="4623" spans="10:12" x14ac:dyDescent="0.3">
      <c r="J4623"/>
      <c r="L4623" s="4"/>
    </row>
    <row r="4624" spans="10:12" x14ac:dyDescent="0.3">
      <c r="J4624"/>
      <c r="L4624" s="4"/>
    </row>
    <row r="4625" spans="10:12" x14ac:dyDescent="0.3">
      <c r="J4625"/>
      <c r="L4625" s="4"/>
    </row>
    <row r="4626" spans="10:12" x14ac:dyDescent="0.3">
      <c r="J4626"/>
      <c r="L4626" s="4"/>
    </row>
    <row r="4627" spans="10:12" x14ac:dyDescent="0.3">
      <c r="J4627"/>
      <c r="L4627" s="4"/>
    </row>
    <row r="4628" spans="10:12" x14ac:dyDescent="0.3">
      <c r="J4628"/>
      <c r="L4628" s="4"/>
    </row>
    <row r="4629" spans="10:12" x14ac:dyDescent="0.3">
      <c r="J4629"/>
      <c r="L4629" s="4"/>
    </row>
    <row r="4630" spans="10:12" x14ac:dyDescent="0.3">
      <c r="J4630"/>
      <c r="L4630" s="4"/>
    </row>
    <row r="4631" spans="10:12" x14ac:dyDescent="0.3">
      <c r="J4631"/>
      <c r="L4631" s="4"/>
    </row>
    <row r="4632" spans="10:12" x14ac:dyDescent="0.3">
      <c r="J4632"/>
      <c r="L4632" s="4"/>
    </row>
    <row r="4633" spans="10:12" x14ac:dyDescent="0.3">
      <c r="J4633"/>
      <c r="L4633" s="4"/>
    </row>
    <row r="4634" spans="10:12" x14ac:dyDescent="0.3">
      <c r="J4634"/>
      <c r="L4634" s="4"/>
    </row>
    <row r="4635" spans="10:12" x14ac:dyDescent="0.3">
      <c r="J4635"/>
      <c r="L4635" s="4"/>
    </row>
    <row r="4636" spans="10:12" x14ac:dyDescent="0.3">
      <c r="J4636"/>
      <c r="L4636" s="4"/>
    </row>
    <row r="4637" spans="10:12" x14ac:dyDescent="0.3">
      <c r="J4637"/>
      <c r="L4637" s="4"/>
    </row>
    <row r="4638" spans="10:12" x14ac:dyDescent="0.3">
      <c r="J4638"/>
      <c r="L4638" s="4"/>
    </row>
    <row r="4639" spans="10:12" x14ac:dyDescent="0.3">
      <c r="J4639"/>
      <c r="L4639" s="4"/>
    </row>
    <row r="4640" spans="10:12" x14ac:dyDescent="0.3">
      <c r="J4640"/>
      <c r="L4640" s="4"/>
    </row>
    <row r="4641" spans="10:12" x14ac:dyDescent="0.3">
      <c r="J4641"/>
      <c r="L4641" s="4"/>
    </row>
    <row r="4642" spans="10:12" x14ac:dyDescent="0.3">
      <c r="J4642"/>
      <c r="L4642" s="4"/>
    </row>
    <row r="4643" spans="10:12" x14ac:dyDescent="0.3">
      <c r="J4643"/>
      <c r="L4643" s="4"/>
    </row>
    <row r="4644" spans="10:12" x14ac:dyDescent="0.3">
      <c r="J4644"/>
      <c r="L4644" s="4"/>
    </row>
    <row r="4645" spans="10:12" x14ac:dyDescent="0.3">
      <c r="J4645"/>
      <c r="L4645" s="4"/>
    </row>
    <row r="4646" spans="10:12" x14ac:dyDescent="0.3">
      <c r="J4646"/>
      <c r="L4646" s="4"/>
    </row>
    <row r="4647" spans="10:12" x14ac:dyDescent="0.3">
      <c r="J4647"/>
      <c r="L4647" s="4"/>
    </row>
    <row r="4648" spans="10:12" x14ac:dyDescent="0.3">
      <c r="J4648"/>
      <c r="L4648" s="4"/>
    </row>
    <row r="4649" spans="10:12" x14ac:dyDescent="0.3">
      <c r="J4649"/>
      <c r="L4649" s="4"/>
    </row>
    <row r="4650" spans="10:12" x14ac:dyDescent="0.3">
      <c r="J4650"/>
      <c r="L4650" s="4"/>
    </row>
    <row r="4651" spans="10:12" x14ac:dyDescent="0.3">
      <c r="J4651"/>
      <c r="L4651" s="4"/>
    </row>
    <row r="4652" spans="10:12" x14ac:dyDescent="0.3">
      <c r="J4652"/>
      <c r="L4652" s="4"/>
    </row>
    <row r="4653" spans="10:12" x14ac:dyDescent="0.3">
      <c r="J4653"/>
      <c r="L4653" s="4"/>
    </row>
    <row r="4654" spans="10:12" x14ac:dyDescent="0.3">
      <c r="J4654"/>
      <c r="L4654" s="4"/>
    </row>
    <row r="4655" spans="10:12" x14ac:dyDescent="0.3">
      <c r="J4655"/>
      <c r="L4655" s="4"/>
    </row>
    <row r="4656" spans="10:12" x14ac:dyDescent="0.3">
      <c r="J4656"/>
      <c r="L4656" s="4"/>
    </row>
    <row r="4657" spans="10:12" x14ac:dyDescent="0.3">
      <c r="J4657"/>
      <c r="L4657" s="4"/>
    </row>
    <row r="4658" spans="10:12" x14ac:dyDescent="0.3">
      <c r="J4658"/>
      <c r="L4658" s="4"/>
    </row>
    <row r="4659" spans="10:12" x14ac:dyDescent="0.3">
      <c r="J4659"/>
      <c r="L4659" s="4"/>
    </row>
    <row r="4660" spans="10:12" x14ac:dyDescent="0.3">
      <c r="J4660"/>
      <c r="L4660" s="4"/>
    </row>
    <row r="4661" spans="10:12" x14ac:dyDescent="0.3">
      <c r="J4661"/>
      <c r="L4661" s="4"/>
    </row>
    <row r="4662" spans="10:12" x14ac:dyDescent="0.3">
      <c r="J4662"/>
      <c r="L4662" s="4"/>
    </row>
    <row r="4663" spans="10:12" x14ac:dyDescent="0.3">
      <c r="J4663"/>
      <c r="L4663" s="4"/>
    </row>
    <row r="4664" spans="10:12" x14ac:dyDescent="0.3">
      <c r="J4664"/>
      <c r="L4664" s="4"/>
    </row>
    <row r="4665" spans="10:12" x14ac:dyDescent="0.3">
      <c r="J4665"/>
      <c r="L4665" s="4"/>
    </row>
    <row r="4666" spans="10:12" x14ac:dyDescent="0.3">
      <c r="J4666"/>
      <c r="L4666" s="4"/>
    </row>
    <row r="4667" spans="10:12" x14ac:dyDescent="0.3">
      <c r="J4667"/>
      <c r="L4667" s="4"/>
    </row>
    <row r="4668" spans="10:12" x14ac:dyDescent="0.3">
      <c r="J4668"/>
      <c r="L4668" s="4"/>
    </row>
    <row r="4669" spans="10:12" x14ac:dyDescent="0.3">
      <c r="J4669"/>
      <c r="L4669" s="4"/>
    </row>
    <row r="4670" spans="10:12" x14ac:dyDescent="0.3">
      <c r="J4670"/>
      <c r="L4670" s="4"/>
    </row>
    <row r="4671" spans="10:12" x14ac:dyDescent="0.3">
      <c r="J4671"/>
      <c r="L4671" s="4"/>
    </row>
    <row r="4672" spans="10:12" x14ac:dyDescent="0.3">
      <c r="J4672"/>
      <c r="L4672" s="4"/>
    </row>
    <row r="4673" spans="10:12" x14ac:dyDescent="0.3">
      <c r="J4673"/>
      <c r="L4673" s="4"/>
    </row>
    <row r="4674" spans="10:12" x14ac:dyDescent="0.3">
      <c r="J4674"/>
      <c r="L4674" s="4"/>
    </row>
    <row r="4675" spans="10:12" x14ac:dyDescent="0.3">
      <c r="J4675"/>
      <c r="L4675" s="4"/>
    </row>
    <row r="4676" spans="10:12" x14ac:dyDescent="0.3">
      <c r="J4676"/>
      <c r="L4676" s="4"/>
    </row>
    <row r="4677" spans="10:12" x14ac:dyDescent="0.3">
      <c r="J4677"/>
      <c r="L4677" s="4"/>
    </row>
    <row r="4678" spans="10:12" x14ac:dyDescent="0.3">
      <c r="J4678"/>
      <c r="L4678" s="4"/>
    </row>
    <row r="4679" spans="10:12" x14ac:dyDescent="0.3">
      <c r="J4679"/>
      <c r="L4679" s="4"/>
    </row>
    <row r="4680" spans="10:12" x14ac:dyDescent="0.3">
      <c r="J4680"/>
      <c r="L4680" s="4"/>
    </row>
    <row r="4681" spans="10:12" x14ac:dyDescent="0.3">
      <c r="J4681"/>
      <c r="L4681" s="4"/>
    </row>
    <row r="4682" spans="10:12" x14ac:dyDescent="0.3">
      <c r="J4682"/>
      <c r="L4682" s="4"/>
    </row>
    <row r="4683" spans="10:12" x14ac:dyDescent="0.3">
      <c r="J4683"/>
      <c r="L4683" s="4"/>
    </row>
    <row r="4684" spans="10:12" x14ac:dyDescent="0.3">
      <c r="J4684"/>
      <c r="L4684" s="4"/>
    </row>
    <row r="4685" spans="10:12" x14ac:dyDescent="0.3">
      <c r="J4685"/>
      <c r="L4685" s="4"/>
    </row>
    <row r="4686" spans="10:12" x14ac:dyDescent="0.3">
      <c r="J4686"/>
      <c r="L4686" s="4"/>
    </row>
    <row r="4687" spans="10:12" x14ac:dyDescent="0.3">
      <c r="J4687"/>
      <c r="L4687" s="4"/>
    </row>
    <row r="4688" spans="10:12" x14ac:dyDescent="0.3">
      <c r="J4688"/>
      <c r="L4688" s="4"/>
    </row>
    <row r="4689" spans="10:12" x14ac:dyDescent="0.3">
      <c r="J4689"/>
      <c r="L4689" s="4"/>
    </row>
    <row r="4690" spans="10:12" x14ac:dyDescent="0.3">
      <c r="J4690"/>
      <c r="L4690" s="4"/>
    </row>
    <row r="4691" spans="10:12" x14ac:dyDescent="0.3">
      <c r="J4691"/>
      <c r="L4691" s="4"/>
    </row>
    <row r="4692" spans="10:12" x14ac:dyDescent="0.3">
      <c r="J4692"/>
      <c r="L4692" s="4"/>
    </row>
    <row r="4693" spans="10:12" x14ac:dyDescent="0.3">
      <c r="J4693"/>
      <c r="L4693" s="4"/>
    </row>
    <row r="4694" spans="10:12" x14ac:dyDescent="0.3">
      <c r="J4694"/>
      <c r="L4694" s="4"/>
    </row>
    <row r="4695" spans="10:12" x14ac:dyDescent="0.3">
      <c r="J4695"/>
      <c r="L4695" s="4"/>
    </row>
    <row r="4696" spans="10:12" x14ac:dyDescent="0.3">
      <c r="J4696"/>
      <c r="L4696" s="4"/>
    </row>
    <row r="4697" spans="10:12" x14ac:dyDescent="0.3">
      <c r="J4697"/>
      <c r="L4697" s="4"/>
    </row>
    <row r="4698" spans="10:12" x14ac:dyDescent="0.3">
      <c r="J4698"/>
      <c r="L4698" s="4"/>
    </row>
    <row r="4699" spans="10:12" x14ac:dyDescent="0.3">
      <c r="J4699"/>
      <c r="L4699" s="4"/>
    </row>
    <row r="4700" spans="10:12" x14ac:dyDescent="0.3">
      <c r="J4700"/>
      <c r="L4700" s="4"/>
    </row>
    <row r="4701" spans="10:12" x14ac:dyDescent="0.3">
      <c r="J4701"/>
      <c r="L4701" s="4"/>
    </row>
    <row r="4702" spans="10:12" x14ac:dyDescent="0.3">
      <c r="J4702"/>
      <c r="L4702" s="4"/>
    </row>
    <row r="4703" spans="10:12" x14ac:dyDescent="0.3">
      <c r="J4703"/>
      <c r="L4703" s="4"/>
    </row>
    <row r="4704" spans="10:12" x14ac:dyDescent="0.3">
      <c r="J4704"/>
      <c r="L4704" s="4"/>
    </row>
    <row r="4705" spans="10:12" x14ac:dyDescent="0.3">
      <c r="J4705"/>
      <c r="L4705" s="4"/>
    </row>
    <row r="4706" spans="10:12" x14ac:dyDescent="0.3">
      <c r="J4706"/>
      <c r="L4706" s="4"/>
    </row>
    <row r="4707" spans="10:12" x14ac:dyDescent="0.3">
      <c r="J4707"/>
      <c r="L4707" s="4"/>
    </row>
    <row r="4708" spans="10:12" x14ac:dyDescent="0.3">
      <c r="J4708"/>
      <c r="L4708" s="4"/>
    </row>
    <row r="4709" spans="10:12" x14ac:dyDescent="0.3">
      <c r="J4709"/>
      <c r="L4709" s="4"/>
    </row>
    <row r="4710" spans="10:12" x14ac:dyDescent="0.3">
      <c r="J4710"/>
      <c r="L4710" s="4"/>
    </row>
    <row r="4711" spans="10:12" x14ac:dyDescent="0.3">
      <c r="J4711"/>
      <c r="L4711" s="4"/>
    </row>
    <row r="4712" spans="10:12" x14ac:dyDescent="0.3">
      <c r="J4712"/>
      <c r="L4712" s="4"/>
    </row>
    <row r="4713" spans="10:12" x14ac:dyDescent="0.3">
      <c r="J4713"/>
      <c r="L4713" s="4"/>
    </row>
    <row r="4714" spans="10:12" x14ac:dyDescent="0.3">
      <c r="J4714"/>
      <c r="L4714" s="4"/>
    </row>
    <row r="4715" spans="10:12" x14ac:dyDescent="0.3">
      <c r="J4715"/>
      <c r="L4715" s="4"/>
    </row>
    <row r="4716" spans="10:12" x14ac:dyDescent="0.3">
      <c r="J4716"/>
      <c r="L4716" s="4"/>
    </row>
    <row r="4717" spans="10:12" x14ac:dyDescent="0.3">
      <c r="J4717"/>
      <c r="L4717" s="4"/>
    </row>
    <row r="4718" spans="10:12" x14ac:dyDescent="0.3">
      <c r="J4718"/>
      <c r="L4718" s="4"/>
    </row>
    <row r="4719" spans="10:12" x14ac:dyDescent="0.3">
      <c r="J4719"/>
      <c r="L4719" s="4"/>
    </row>
    <row r="4720" spans="10:12" x14ac:dyDescent="0.3">
      <c r="J4720"/>
      <c r="L4720" s="4"/>
    </row>
    <row r="4721" spans="10:12" x14ac:dyDescent="0.3">
      <c r="J4721"/>
      <c r="L4721" s="4"/>
    </row>
    <row r="4722" spans="10:12" x14ac:dyDescent="0.3">
      <c r="J4722"/>
      <c r="L4722" s="4"/>
    </row>
    <row r="4723" spans="10:12" x14ac:dyDescent="0.3">
      <c r="J4723"/>
      <c r="L4723" s="4"/>
    </row>
    <row r="4724" spans="10:12" x14ac:dyDescent="0.3">
      <c r="J4724"/>
      <c r="L4724" s="4"/>
    </row>
    <row r="4725" spans="10:12" x14ac:dyDescent="0.3">
      <c r="J4725"/>
      <c r="L4725" s="4"/>
    </row>
    <row r="4726" spans="10:12" x14ac:dyDescent="0.3">
      <c r="J4726"/>
      <c r="L4726" s="4"/>
    </row>
    <row r="4727" spans="10:12" x14ac:dyDescent="0.3">
      <c r="J4727"/>
      <c r="L4727" s="4"/>
    </row>
    <row r="4728" spans="10:12" x14ac:dyDescent="0.3">
      <c r="J4728"/>
      <c r="L4728" s="4"/>
    </row>
    <row r="4729" spans="10:12" x14ac:dyDescent="0.3">
      <c r="J4729"/>
      <c r="L4729" s="4"/>
    </row>
    <row r="4730" spans="10:12" x14ac:dyDescent="0.3">
      <c r="J4730"/>
      <c r="L4730" s="4"/>
    </row>
    <row r="4731" spans="10:12" x14ac:dyDescent="0.3">
      <c r="J4731"/>
      <c r="L4731" s="4"/>
    </row>
    <row r="4732" spans="10:12" x14ac:dyDescent="0.3">
      <c r="J4732"/>
      <c r="L4732" s="4"/>
    </row>
    <row r="4733" spans="10:12" x14ac:dyDescent="0.3">
      <c r="J4733"/>
      <c r="L4733" s="4"/>
    </row>
    <row r="4734" spans="10:12" x14ac:dyDescent="0.3">
      <c r="J4734"/>
      <c r="L4734" s="4"/>
    </row>
    <row r="4735" spans="10:12" x14ac:dyDescent="0.3">
      <c r="J4735"/>
      <c r="L4735" s="4"/>
    </row>
    <row r="4736" spans="10:12" x14ac:dyDescent="0.3">
      <c r="J4736"/>
      <c r="L4736" s="4"/>
    </row>
    <row r="4737" spans="10:12" x14ac:dyDescent="0.3">
      <c r="J4737"/>
      <c r="L4737" s="4"/>
    </row>
    <row r="4738" spans="10:12" x14ac:dyDescent="0.3">
      <c r="J4738"/>
      <c r="L4738" s="4"/>
    </row>
    <row r="4739" spans="10:12" x14ac:dyDescent="0.3">
      <c r="J4739"/>
      <c r="L4739" s="4"/>
    </row>
    <row r="4740" spans="10:12" x14ac:dyDescent="0.3">
      <c r="J4740"/>
      <c r="L4740" s="4"/>
    </row>
    <row r="4741" spans="10:12" x14ac:dyDescent="0.3">
      <c r="J4741"/>
      <c r="L4741" s="4"/>
    </row>
    <row r="4742" spans="10:12" x14ac:dyDescent="0.3">
      <c r="J4742"/>
      <c r="L4742" s="4"/>
    </row>
    <row r="4743" spans="10:12" x14ac:dyDescent="0.3">
      <c r="J4743"/>
      <c r="L4743" s="4"/>
    </row>
    <row r="4744" spans="10:12" x14ac:dyDescent="0.3">
      <c r="J4744"/>
      <c r="L4744" s="4"/>
    </row>
    <row r="4745" spans="10:12" x14ac:dyDescent="0.3">
      <c r="J4745"/>
      <c r="L4745" s="4"/>
    </row>
    <row r="4746" spans="10:12" x14ac:dyDescent="0.3">
      <c r="J4746"/>
      <c r="L4746" s="4"/>
    </row>
    <row r="4747" spans="10:12" x14ac:dyDescent="0.3">
      <c r="J4747"/>
      <c r="L4747" s="4"/>
    </row>
    <row r="4748" spans="10:12" x14ac:dyDescent="0.3">
      <c r="J4748"/>
      <c r="L4748" s="4"/>
    </row>
    <row r="4749" spans="10:12" x14ac:dyDescent="0.3">
      <c r="J4749"/>
      <c r="L4749" s="4"/>
    </row>
    <row r="4750" spans="10:12" x14ac:dyDescent="0.3">
      <c r="J4750"/>
      <c r="L4750" s="4"/>
    </row>
    <row r="4751" spans="10:12" x14ac:dyDescent="0.3">
      <c r="J4751"/>
      <c r="L4751" s="4"/>
    </row>
    <row r="4752" spans="10:12" x14ac:dyDescent="0.3">
      <c r="J4752"/>
      <c r="L4752" s="4"/>
    </row>
    <row r="4753" spans="10:12" x14ac:dyDescent="0.3">
      <c r="J4753"/>
      <c r="L4753" s="4"/>
    </row>
    <row r="4754" spans="10:12" x14ac:dyDescent="0.3">
      <c r="J4754"/>
      <c r="L4754" s="4"/>
    </row>
    <row r="4755" spans="10:12" x14ac:dyDescent="0.3">
      <c r="J4755"/>
      <c r="L4755" s="4"/>
    </row>
    <row r="4756" spans="10:12" x14ac:dyDescent="0.3">
      <c r="J4756"/>
      <c r="L4756" s="4"/>
    </row>
    <row r="4757" spans="10:12" x14ac:dyDescent="0.3">
      <c r="J4757"/>
      <c r="L4757" s="4"/>
    </row>
    <row r="4758" spans="10:12" x14ac:dyDescent="0.3">
      <c r="J4758"/>
      <c r="L4758" s="4"/>
    </row>
    <row r="4759" spans="10:12" x14ac:dyDescent="0.3">
      <c r="J4759"/>
      <c r="L4759" s="4"/>
    </row>
    <row r="4760" spans="10:12" x14ac:dyDescent="0.3">
      <c r="J4760"/>
      <c r="L4760" s="4"/>
    </row>
    <row r="4761" spans="10:12" x14ac:dyDescent="0.3">
      <c r="J4761"/>
      <c r="L4761" s="4"/>
    </row>
    <row r="4762" spans="10:12" x14ac:dyDescent="0.3">
      <c r="J4762"/>
      <c r="L4762" s="4"/>
    </row>
    <row r="4763" spans="10:12" x14ac:dyDescent="0.3">
      <c r="J4763"/>
      <c r="L4763" s="4"/>
    </row>
    <row r="4764" spans="10:12" x14ac:dyDescent="0.3">
      <c r="J4764"/>
      <c r="L4764" s="4"/>
    </row>
    <row r="4765" spans="10:12" x14ac:dyDescent="0.3">
      <c r="J4765"/>
      <c r="L4765" s="4"/>
    </row>
    <row r="4766" spans="10:12" x14ac:dyDescent="0.3">
      <c r="J4766"/>
      <c r="L4766" s="4"/>
    </row>
    <row r="4767" spans="10:12" x14ac:dyDescent="0.3">
      <c r="J4767"/>
      <c r="L4767" s="4"/>
    </row>
    <row r="4768" spans="10:12" x14ac:dyDescent="0.3">
      <c r="J4768"/>
      <c r="L4768" s="4"/>
    </row>
    <row r="4769" spans="10:12" x14ac:dyDescent="0.3">
      <c r="J4769"/>
      <c r="L4769" s="4"/>
    </row>
    <row r="4770" spans="10:12" x14ac:dyDescent="0.3">
      <c r="J4770"/>
      <c r="L4770" s="4"/>
    </row>
    <row r="4771" spans="10:12" x14ac:dyDescent="0.3">
      <c r="J4771"/>
      <c r="L4771" s="4"/>
    </row>
    <row r="4772" spans="10:12" x14ac:dyDescent="0.3">
      <c r="J4772"/>
      <c r="L4772" s="4"/>
    </row>
    <row r="4773" spans="10:12" x14ac:dyDescent="0.3">
      <c r="J4773"/>
      <c r="L4773" s="4"/>
    </row>
    <row r="4774" spans="10:12" x14ac:dyDescent="0.3">
      <c r="J4774"/>
      <c r="L4774" s="4"/>
    </row>
    <row r="4775" spans="10:12" x14ac:dyDescent="0.3">
      <c r="J4775"/>
      <c r="L4775" s="4"/>
    </row>
    <row r="4776" spans="10:12" x14ac:dyDescent="0.3">
      <c r="J4776"/>
      <c r="L4776" s="4"/>
    </row>
    <row r="4777" spans="10:12" x14ac:dyDescent="0.3">
      <c r="J4777"/>
      <c r="L4777" s="4"/>
    </row>
    <row r="4778" spans="10:12" x14ac:dyDescent="0.3">
      <c r="J4778"/>
      <c r="L4778" s="4"/>
    </row>
    <row r="4779" spans="10:12" x14ac:dyDescent="0.3">
      <c r="J4779"/>
      <c r="L4779" s="4"/>
    </row>
    <row r="4780" spans="10:12" x14ac:dyDescent="0.3">
      <c r="J4780"/>
      <c r="L4780" s="4"/>
    </row>
    <row r="4781" spans="10:12" x14ac:dyDescent="0.3">
      <c r="J4781"/>
      <c r="L4781" s="4"/>
    </row>
    <row r="4782" spans="10:12" x14ac:dyDescent="0.3">
      <c r="J4782"/>
      <c r="L4782" s="4"/>
    </row>
    <row r="4783" spans="10:12" x14ac:dyDescent="0.3">
      <c r="J4783"/>
      <c r="L4783" s="4"/>
    </row>
    <row r="4784" spans="10:12" x14ac:dyDescent="0.3">
      <c r="J4784"/>
      <c r="L4784" s="4"/>
    </row>
    <row r="4785" spans="10:12" x14ac:dyDescent="0.3">
      <c r="J4785"/>
      <c r="L4785" s="4"/>
    </row>
    <row r="4786" spans="10:12" x14ac:dyDescent="0.3">
      <c r="J4786"/>
      <c r="L4786" s="4"/>
    </row>
    <row r="4787" spans="10:12" x14ac:dyDescent="0.3">
      <c r="J4787"/>
      <c r="L4787" s="4"/>
    </row>
    <row r="4788" spans="10:12" x14ac:dyDescent="0.3">
      <c r="J4788"/>
      <c r="L4788" s="4"/>
    </row>
    <row r="4789" spans="10:12" x14ac:dyDescent="0.3">
      <c r="J4789"/>
      <c r="L4789" s="4"/>
    </row>
    <row r="4790" spans="10:12" x14ac:dyDescent="0.3">
      <c r="J4790"/>
      <c r="L4790" s="4"/>
    </row>
    <row r="4791" spans="10:12" x14ac:dyDescent="0.3">
      <c r="J4791"/>
      <c r="L4791" s="4"/>
    </row>
    <row r="4792" spans="10:12" x14ac:dyDescent="0.3">
      <c r="J4792"/>
      <c r="L4792" s="4"/>
    </row>
    <row r="4793" spans="10:12" x14ac:dyDescent="0.3">
      <c r="J4793"/>
      <c r="L4793" s="4"/>
    </row>
    <row r="4794" spans="10:12" x14ac:dyDescent="0.3">
      <c r="J4794"/>
      <c r="L4794" s="4"/>
    </row>
    <row r="4795" spans="10:12" x14ac:dyDescent="0.3">
      <c r="J4795"/>
      <c r="L4795" s="4"/>
    </row>
    <row r="4796" spans="10:12" x14ac:dyDescent="0.3">
      <c r="J4796"/>
      <c r="L4796" s="4"/>
    </row>
    <row r="4797" spans="10:12" x14ac:dyDescent="0.3">
      <c r="J4797"/>
      <c r="L4797" s="4"/>
    </row>
    <row r="4798" spans="10:12" x14ac:dyDescent="0.3">
      <c r="J4798"/>
      <c r="L4798" s="4"/>
    </row>
    <row r="4799" spans="10:12" x14ac:dyDescent="0.3">
      <c r="J4799"/>
      <c r="L4799" s="4"/>
    </row>
    <row r="4800" spans="10:12" x14ac:dyDescent="0.3">
      <c r="J4800"/>
      <c r="L4800" s="4"/>
    </row>
    <row r="4801" spans="10:12" x14ac:dyDescent="0.3">
      <c r="J4801"/>
      <c r="L4801" s="4"/>
    </row>
    <row r="4802" spans="10:12" x14ac:dyDescent="0.3">
      <c r="J4802"/>
      <c r="L4802" s="4"/>
    </row>
    <row r="4803" spans="10:12" x14ac:dyDescent="0.3">
      <c r="J4803"/>
      <c r="L4803" s="4"/>
    </row>
    <row r="4804" spans="10:12" x14ac:dyDescent="0.3">
      <c r="J4804"/>
      <c r="L4804" s="4"/>
    </row>
    <row r="4805" spans="10:12" x14ac:dyDescent="0.3">
      <c r="J4805"/>
      <c r="L4805" s="4"/>
    </row>
    <row r="4806" spans="10:12" x14ac:dyDescent="0.3">
      <c r="J4806"/>
      <c r="L4806" s="4"/>
    </row>
    <row r="4807" spans="10:12" x14ac:dyDescent="0.3">
      <c r="J4807"/>
      <c r="L4807" s="4"/>
    </row>
    <row r="4808" spans="10:12" x14ac:dyDescent="0.3">
      <c r="J4808"/>
      <c r="L4808" s="4"/>
    </row>
    <row r="4809" spans="10:12" x14ac:dyDescent="0.3">
      <c r="J4809"/>
      <c r="L4809" s="4"/>
    </row>
    <row r="4810" spans="10:12" x14ac:dyDescent="0.3">
      <c r="J4810"/>
      <c r="L4810" s="4"/>
    </row>
    <row r="4811" spans="10:12" x14ac:dyDescent="0.3">
      <c r="J4811"/>
      <c r="L4811" s="4"/>
    </row>
    <row r="4812" spans="10:12" x14ac:dyDescent="0.3">
      <c r="J4812"/>
      <c r="L4812" s="4"/>
    </row>
    <row r="4813" spans="10:12" x14ac:dyDescent="0.3">
      <c r="J4813"/>
      <c r="L4813" s="4"/>
    </row>
    <row r="4814" spans="10:12" x14ac:dyDescent="0.3">
      <c r="J4814"/>
      <c r="L4814" s="4"/>
    </row>
    <row r="4815" spans="10:12" x14ac:dyDescent="0.3">
      <c r="J4815"/>
      <c r="L4815" s="4"/>
    </row>
    <row r="4816" spans="10:12" x14ac:dyDescent="0.3">
      <c r="J4816"/>
      <c r="L4816" s="4"/>
    </row>
    <row r="4817" spans="10:12" x14ac:dyDescent="0.3">
      <c r="J4817"/>
      <c r="L4817" s="4"/>
    </row>
    <row r="4818" spans="10:12" x14ac:dyDescent="0.3">
      <c r="J4818"/>
      <c r="L4818" s="4"/>
    </row>
    <row r="4819" spans="10:12" x14ac:dyDescent="0.3">
      <c r="J4819"/>
      <c r="L4819" s="4"/>
    </row>
    <row r="4820" spans="10:12" x14ac:dyDescent="0.3">
      <c r="J4820"/>
      <c r="L4820" s="4"/>
    </row>
    <row r="4821" spans="10:12" x14ac:dyDescent="0.3">
      <c r="J4821"/>
      <c r="L4821" s="4"/>
    </row>
    <row r="4822" spans="10:12" x14ac:dyDescent="0.3">
      <c r="J4822"/>
      <c r="L4822" s="4"/>
    </row>
    <row r="4823" spans="10:12" x14ac:dyDescent="0.3">
      <c r="J4823"/>
      <c r="L4823" s="4"/>
    </row>
    <row r="4824" spans="10:12" x14ac:dyDescent="0.3">
      <c r="J4824"/>
      <c r="L4824" s="4"/>
    </row>
    <row r="4825" spans="10:12" x14ac:dyDescent="0.3">
      <c r="J4825"/>
      <c r="L4825" s="4"/>
    </row>
    <row r="4826" spans="10:12" x14ac:dyDescent="0.3">
      <c r="J4826"/>
      <c r="L4826" s="4"/>
    </row>
    <row r="4827" spans="10:12" x14ac:dyDescent="0.3">
      <c r="J4827"/>
      <c r="L4827" s="4"/>
    </row>
    <row r="4828" spans="10:12" x14ac:dyDescent="0.3">
      <c r="J4828"/>
      <c r="L4828" s="4"/>
    </row>
    <row r="4829" spans="10:12" x14ac:dyDescent="0.3">
      <c r="J4829"/>
      <c r="L4829" s="4"/>
    </row>
    <row r="4830" spans="10:12" x14ac:dyDescent="0.3">
      <c r="J4830"/>
      <c r="L4830" s="4"/>
    </row>
    <row r="4831" spans="10:12" x14ac:dyDescent="0.3">
      <c r="J4831"/>
      <c r="L4831" s="4"/>
    </row>
    <row r="4832" spans="10:12" x14ac:dyDescent="0.3">
      <c r="J4832"/>
      <c r="L4832" s="4"/>
    </row>
    <row r="4833" spans="10:12" x14ac:dyDescent="0.3">
      <c r="J4833"/>
      <c r="L4833" s="4"/>
    </row>
    <row r="4834" spans="10:12" x14ac:dyDescent="0.3">
      <c r="J4834"/>
      <c r="L4834" s="4"/>
    </row>
    <row r="4835" spans="10:12" x14ac:dyDescent="0.3">
      <c r="J4835"/>
      <c r="L4835" s="4"/>
    </row>
    <row r="4836" spans="10:12" x14ac:dyDescent="0.3">
      <c r="J4836"/>
      <c r="L4836" s="4"/>
    </row>
    <row r="4837" spans="10:12" x14ac:dyDescent="0.3">
      <c r="J4837"/>
      <c r="L4837" s="4"/>
    </row>
    <row r="4838" spans="10:12" x14ac:dyDescent="0.3">
      <c r="J4838"/>
      <c r="L4838" s="4"/>
    </row>
    <row r="4839" spans="10:12" x14ac:dyDescent="0.3">
      <c r="J4839"/>
      <c r="L4839" s="4"/>
    </row>
    <row r="4840" spans="10:12" x14ac:dyDescent="0.3">
      <c r="J4840"/>
      <c r="L4840" s="4"/>
    </row>
    <row r="4841" spans="10:12" x14ac:dyDescent="0.3">
      <c r="J4841"/>
      <c r="L4841" s="4"/>
    </row>
    <row r="4842" spans="10:12" x14ac:dyDescent="0.3">
      <c r="J4842"/>
      <c r="L4842" s="4"/>
    </row>
    <row r="4843" spans="10:12" x14ac:dyDescent="0.3">
      <c r="J4843"/>
      <c r="L4843" s="4"/>
    </row>
    <row r="4844" spans="10:12" x14ac:dyDescent="0.3">
      <c r="J4844"/>
      <c r="L4844" s="4"/>
    </row>
    <row r="4845" spans="10:12" x14ac:dyDescent="0.3">
      <c r="J4845"/>
      <c r="L4845" s="4"/>
    </row>
    <row r="4846" spans="10:12" x14ac:dyDescent="0.3">
      <c r="J4846"/>
      <c r="L4846" s="4"/>
    </row>
    <row r="4847" spans="10:12" x14ac:dyDescent="0.3">
      <c r="J4847"/>
      <c r="L4847" s="4"/>
    </row>
    <row r="4848" spans="10:12" x14ac:dyDescent="0.3">
      <c r="J4848"/>
      <c r="L4848" s="4"/>
    </row>
    <row r="4849" spans="10:12" x14ac:dyDescent="0.3">
      <c r="J4849"/>
      <c r="L4849" s="4"/>
    </row>
    <row r="4850" spans="10:12" x14ac:dyDescent="0.3">
      <c r="J4850"/>
      <c r="L4850" s="4"/>
    </row>
    <row r="4851" spans="10:12" x14ac:dyDescent="0.3">
      <c r="J4851"/>
      <c r="L4851" s="4"/>
    </row>
    <row r="4852" spans="10:12" x14ac:dyDescent="0.3">
      <c r="J4852"/>
      <c r="L4852" s="4"/>
    </row>
    <row r="4853" spans="10:12" x14ac:dyDescent="0.3">
      <c r="J4853"/>
      <c r="L4853" s="4"/>
    </row>
    <row r="4854" spans="10:12" x14ac:dyDescent="0.3">
      <c r="J4854"/>
      <c r="L4854" s="4"/>
    </row>
    <row r="4855" spans="10:12" x14ac:dyDescent="0.3">
      <c r="J4855"/>
      <c r="L4855" s="4"/>
    </row>
    <row r="4856" spans="10:12" x14ac:dyDescent="0.3">
      <c r="J4856"/>
      <c r="L4856" s="4"/>
    </row>
    <row r="4857" spans="10:12" x14ac:dyDescent="0.3">
      <c r="J4857"/>
      <c r="L4857" s="4"/>
    </row>
    <row r="4858" spans="10:12" x14ac:dyDescent="0.3">
      <c r="J4858"/>
      <c r="L4858" s="4"/>
    </row>
    <row r="4859" spans="10:12" x14ac:dyDescent="0.3">
      <c r="J4859"/>
      <c r="L4859" s="4"/>
    </row>
    <row r="4860" spans="10:12" x14ac:dyDescent="0.3">
      <c r="J4860"/>
      <c r="L4860" s="4"/>
    </row>
    <row r="4861" spans="10:12" x14ac:dyDescent="0.3">
      <c r="J4861"/>
      <c r="L4861" s="4"/>
    </row>
    <row r="4862" spans="10:12" x14ac:dyDescent="0.3">
      <c r="J4862"/>
      <c r="L4862" s="4"/>
    </row>
    <row r="4863" spans="10:12" x14ac:dyDescent="0.3">
      <c r="J4863"/>
      <c r="L4863" s="4"/>
    </row>
    <row r="4864" spans="10:12" x14ac:dyDescent="0.3">
      <c r="J4864"/>
      <c r="L4864" s="4"/>
    </row>
    <row r="4865" spans="10:12" x14ac:dyDescent="0.3">
      <c r="J4865"/>
      <c r="L4865" s="4"/>
    </row>
    <row r="4866" spans="10:12" x14ac:dyDescent="0.3">
      <c r="J4866"/>
      <c r="L4866" s="4"/>
    </row>
    <row r="4867" spans="10:12" x14ac:dyDescent="0.3">
      <c r="J4867"/>
      <c r="L4867" s="4"/>
    </row>
    <row r="4868" spans="10:12" x14ac:dyDescent="0.3">
      <c r="J4868"/>
      <c r="L4868" s="4"/>
    </row>
    <row r="4869" spans="10:12" x14ac:dyDescent="0.3">
      <c r="J4869"/>
      <c r="L4869" s="4"/>
    </row>
    <row r="4870" spans="10:12" x14ac:dyDescent="0.3">
      <c r="J4870"/>
      <c r="L4870" s="4"/>
    </row>
    <row r="4871" spans="10:12" x14ac:dyDescent="0.3">
      <c r="J4871"/>
      <c r="L4871" s="4"/>
    </row>
    <row r="4872" spans="10:12" x14ac:dyDescent="0.3">
      <c r="J4872"/>
      <c r="L4872" s="4"/>
    </row>
    <row r="4873" spans="10:12" x14ac:dyDescent="0.3">
      <c r="J4873"/>
      <c r="L4873" s="4"/>
    </row>
    <row r="4874" spans="10:12" x14ac:dyDescent="0.3">
      <c r="J4874"/>
      <c r="L4874" s="4"/>
    </row>
    <row r="4875" spans="10:12" x14ac:dyDescent="0.3">
      <c r="J4875"/>
      <c r="L4875" s="4"/>
    </row>
    <row r="4876" spans="10:12" x14ac:dyDescent="0.3">
      <c r="J4876"/>
      <c r="L4876" s="4"/>
    </row>
    <row r="4877" spans="10:12" x14ac:dyDescent="0.3">
      <c r="J4877"/>
      <c r="L4877" s="4"/>
    </row>
    <row r="4878" spans="10:12" x14ac:dyDescent="0.3">
      <c r="J4878"/>
      <c r="L4878" s="4"/>
    </row>
    <row r="4879" spans="10:12" x14ac:dyDescent="0.3">
      <c r="J4879"/>
      <c r="L4879" s="4"/>
    </row>
    <row r="4880" spans="10:12" x14ac:dyDescent="0.3">
      <c r="J4880"/>
      <c r="L4880" s="4"/>
    </row>
    <row r="4881" spans="10:12" x14ac:dyDescent="0.3">
      <c r="J4881"/>
      <c r="L4881" s="4"/>
    </row>
    <row r="4882" spans="10:12" x14ac:dyDescent="0.3">
      <c r="J4882"/>
      <c r="L4882" s="4"/>
    </row>
    <row r="4883" spans="10:12" x14ac:dyDescent="0.3">
      <c r="J4883"/>
      <c r="L4883" s="4"/>
    </row>
    <row r="4884" spans="10:12" x14ac:dyDescent="0.3">
      <c r="J4884"/>
      <c r="L4884" s="4"/>
    </row>
    <row r="4885" spans="10:12" x14ac:dyDescent="0.3">
      <c r="J4885"/>
      <c r="L4885" s="4"/>
    </row>
    <row r="4886" spans="10:12" x14ac:dyDescent="0.3">
      <c r="J4886"/>
      <c r="L4886" s="4"/>
    </row>
    <row r="4887" spans="10:12" x14ac:dyDescent="0.3">
      <c r="J4887"/>
      <c r="L4887" s="4"/>
    </row>
    <row r="4888" spans="10:12" x14ac:dyDescent="0.3">
      <c r="J4888"/>
      <c r="L4888" s="4"/>
    </row>
    <row r="4889" spans="10:12" x14ac:dyDescent="0.3">
      <c r="J4889"/>
      <c r="L4889" s="4"/>
    </row>
    <row r="4890" spans="10:12" x14ac:dyDescent="0.3">
      <c r="J4890"/>
      <c r="L4890" s="4"/>
    </row>
    <row r="4891" spans="10:12" x14ac:dyDescent="0.3">
      <c r="J4891"/>
      <c r="L4891" s="4"/>
    </row>
    <row r="4892" spans="10:12" x14ac:dyDescent="0.3">
      <c r="J4892"/>
      <c r="L4892" s="4"/>
    </row>
    <row r="4893" spans="10:12" x14ac:dyDescent="0.3">
      <c r="J4893"/>
      <c r="L4893" s="4"/>
    </row>
    <row r="4894" spans="10:12" x14ac:dyDescent="0.3">
      <c r="J4894"/>
      <c r="L4894" s="4"/>
    </row>
    <row r="4895" spans="10:12" x14ac:dyDescent="0.3">
      <c r="J4895"/>
      <c r="L4895" s="4"/>
    </row>
    <row r="4896" spans="10:12" x14ac:dyDescent="0.3">
      <c r="J4896"/>
      <c r="L4896" s="4"/>
    </row>
    <row r="4897" spans="10:12" x14ac:dyDescent="0.3">
      <c r="J4897"/>
      <c r="L4897" s="4"/>
    </row>
    <row r="4898" spans="10:12" x14ac:dyDescent="0.3">
      <c r="J4898"/>
      <c r="L4898" s="4"/>
    </row>
    <row r="4899" spans="10:12" x14ac:dyDescent="0.3">
      <c r="J4899"/>
      <c r="L4899" s="4"/>
    </row>
    <row r="4900" spans="10:12" x14ac:dyDescent="0.3">
      <c r="J4900"/>
      <c r="L4900" s="4"/>
    </row>
    <row r="4901" spans="10:12" x14ac:dyDescent="0.3">
      <c r="J4901"/>
      <c r="L4901" s="4"/>
    </row>
    <row r="4902" spans="10:12" x14ac:dyDescent="0.3">
      <c r="J4902"/>
      <c r="L4902" s="4"/>
    </row>
    <row r="4903" spans="10:12" x14ac:dyDescent="0.3">
      <c r="J4903"/>
      <c r="L4903" s="4"/>
    </row>
    <row r="4904" spans="10:12" x14ac:dyDescent="0.3">
      <c r="J4904"/>
      <c r="L4904" s="4"/>
    </row>
    <row r="4905" spans="10:12" x14ac:dyDescent="0.3">
      <c r="J4905"/>
      <c r="L4905" s="4"/>
    </row>
    <row r="4906" spans="10:12" x14ac:dyDescent="0.3">
      <c r="J4906"/>
      <c r="L4906" s="4"/>
    </row>
    <row r="4907" spans="10:12" x14ac:dyDescent="0.3">
      <c r="J4907"/>
      <c r="L4907" s="4"/>
    </row>
    <row r="4908" spans="10:12" x14ac:dyDescent="0.3">
      <c r="J4908"/>
      <c r="L4908" s="4"/>
    </row>
    <row r="4909" spans="10:12" x14ac:dyDescent="0.3">
      <c r="J4909"/>
      <c r="L4909" s="4"/>
    </row>
    <row r="4910" spans="10:12" x14ac:dyDescent="0.3">
      <c r="J4910"/>
      <c r="L4910" s="4"/>
    </row>
    <row r="4911" spans="10:12" x14ac:dyDescent="0.3">
      <c r="J4911"/>
      <c r="L4911" s="4"/>
    </row>
    <row r="4912" spans="10:12" x14ac:dyDescent="0.3">
      <c r="J4912"/>
      <c r="L4912" s="4"/>
    </row>
    <row r="4913" spans="10:12" x14ac:dyDescent="0.3">
      <c r="J4913"/>
      <c r="L4913" s="4"/>
    </row>
    <row r="4914" spans="10:12" x14ac:dyDescent="0.3">
      <c r="J4914"/>
      <c r="L4914" s="4"/>
    </row>
    <row r="4915" spans="10:12" x14ac:dyDescent="0.3">
      <c r="J4915"/>
      <c r="L4915" s="4"/>
    </row>
    <row r="4916" spans="10:12" x14ac:dyDescent="0.3">
      <c r="J4916"/>
      <c r="L4916" s="4"/>
    </row>
    <row r="4917" spans="10:12" x14ac:dyDescent="0.3">
      <c r="J4917"/>
      <c r="L4917" s="4"/>
    </row>
    <row r="4918" spans="10:12" x14ac:dyDescent="0.3">
      <c r="J4918"/>
      <c r="L4918" s="4"/>
    </row>
    <row r="4919" spans="10:12" x14ac:dyDescent="0.3">
      <c r="J4919"/>
      <c r="L4919" s="4"/>
    </row>
    <row r="4920" spans="10:12" x14ac:dyDescent="0.3">
      <c r="J4920"/>
      <c r="L4920" s="4"/>
    </row>
    <row r="4921" spans="10:12" x14ac:dyDescent="0.3">
      <c r="J4921"/>
      <c r="L4921" s="4"/>
    </row>
    <row r="4922" spans="10:12" x14ac:dyDescent="0.3">
      <c r="J4922"/>
      <c r="L4922" s="4"/>
    </row>
    <row r="4923" spans="10:12" x14ac:dyDescent="0.3">
      <c r="J4923"/>
      <c r="L4923" s="4"/>
    </row>
    <row r="4924" spans="10:12" x14ac:dyDescent="0.3">
      <c r="J4924"/>
      <c r="L4924" s="4"/>
    </row>
    <row r="4925" spans="10:12" x14ac:dyDescent="0.3">
      <c r="J4925"/>
      <c r="L4925" s="4"/>
    </row>
    <row r="4926" spans="10:12" x14ac:dyDescent="0.3">
      <c r="J4926"/>
      <c r="L4926" s="4"/>
    </row>
    <row r="4927" spans="10:12" x14ac:dyDescent="0.3">
      <c r="J4927"/>
      <c r="L4927" s="4"/>
    </row>
    <row r="4928" spans="10:12" x14ac:dyDescent="0.3">
      <c r="J4928"/>
      <c r="L4928" s="4"/>
    </row>
    <row r="4929" spans="10:12" x14ac:dyDescent="0.3">
      <c r="J4929"/>
      <c r="L4929" s="4"/>
    </row>
    <row r="4930" spans="10:12" x14ac:dyDescent="0.3">
      <c r="J4930"/>
      <c r="L4930" s="4"/>
    </row>
    <row r="4931" spans="10:12" x14ac:dyDescent="0.3">
      <c r="J4931"/>
      <c r="L4931" s="4"/>
    </row>
    <row r="4932" spans="10:12" x14ac:dyDescent="0.3">
      <c r="J4932"/>
      <c r="L4932" s="4"/>
    </row>
    <row r="4933" spans="10:12" x14ac:dyDescent="0.3">
      <c r="J4933"/>
      <c r="L4933" s="4"/>
    </row>
    <row r="4934" spans="10:12" x14ac:dyDescent="0.3">
      <c r="J4934"/>
      <c r="L4934" s="4"/>
    </row>
    <row r="4935" spans="10:12" x14ac:dyDescent="0.3">
      <c r="J4935"/>
      <c r="L4935" s="4"/>
    </row>
    <row r="4936" spans="10:12" x14ac:dyDescent="0.3">
      <c r="J4936"/>
      <c r="L4936" s="4"/>
    </row>
    <row r="4937" spans="10:12" x14ac:dyDescent="0.3">
      <c r="J4937"/>
      <c r="L4937" s="4"/>
    </row>
    <row r="4938" spans="10:12" x14ac:dyDescent="0.3">
      <c r="J4938"/>
      <c r="L4938" s="4"/>
    </row>
    <row r="4939" spans="10:12" x14ac:dyDescent="0.3">
      <c r="J4939"/>
      <c r="L4939" s="4"/>
    </row>
    <row r="4940" spans="10:12" x14ac:dyDescent="0.3">
      <c r="J4940"/>
      <c r="L4940" s="4"/>
    </row>
    <row r="4941" spans="10:12" x14ac:dyDescent="0.3">
      <c r="J4941"/>
      <c r="L4941" s="4"/>
    </row>
    <row r="4942" spans="10:12" x14ac:dyDescent="0.3">
      <c r="J4942"/>
      <c r="L4942" s="4"/>
    </row>
    <row r="4943" spans="10:12" x14ac:dyDescent="0.3">
      <c r="J4943"/>
      <c r="L4943" s="4"/>
    </row>
    <row r="4944" spans="10:12" x14ac:dyDescent="0.3">
      <c r="J4944"/>
      <c r="L4944" s="4"/>
    </row>
    <row r="4945" spans="10:12" x14ac:dyDescent="0.3">
      <c r="J4945"/>
      <c r="L4945" s="4"/>
    </row>
    <row r="4946" spans="10:12" x14ac:dyDescent="0.3">
      <c r="J4946"/>
      <c r="L4946" s="4"/>
    </row>
    <row r="4947" spans="10:12" x14ac:dyDescent="0.3">
      <c r="J4947"/>
      <c r="L4947" s="4"/>
    </row>
    <row r="4948" spans="10:12" x14ac:dyDescent="0.3">
      <c r="J4948"/>
      <c r="L4948" s="4"/>
    </row>
    <row r="4949" spans="10:12" x14ac:dyDescent="0.3">
      <c r="J4949"/>
      <c r="L4949" s="4"/>
    </row>
    <row r="4950" spans="10:12" x14ac:dyDescent="0.3">
      <c r="J4950"/>
      <c r="L4950" s="4"/>
    </row>
    <row r="4951" spans="10:12" x14ac:dyDescent="0.3">
      <c r="J4951"/>
      <c r="L4951" s="4"/>
    </row>
    <row r="4952" spans="10:12" x14ac:dyDescent="0.3">
      <c r="J4952"/>
      <c r="L4952" s="4"/>
    </row>
    <row r="4953" spans="10:12" x14ac:dyDescent="0.3">
      <c r="J4953"/>
      <c r="L4953" s="4"/>
    </row>
    <row r="4954" spans="10:12" x14ac:dyDescent="0.3">
      <c r="J4954"/>
      <c r="L4954" s="4"/>
    </row>
    <row r="4955" spans="10:12" x14ac:dyDescent="0.3">
      <c r="J4955"/>
      <c r="L4955" s="4"/>
    </row>
    <row r="4956" spans="10:12" x14ac:dyDescent="0.3">
      <c r="J4956"/>
      <c r="L4956" s="4"/>
    </row>
    <row r="4957" spans="10:12" x14ac:dyDescent="0.3">
      <c r="J4957"/>
      <c r="L4957" s="4"/>
    </row>
    <row r="4958" spans="10:12" x14ac:dyDescent="0.3">
      <c r="J4958"/>
      <c r="L4958" s="4"/>
    </row>
    <row r="4959" spans="10:12" x14ac:dyDescent="0.3">
      <c r="J4959"/>
      <c r="L4959" s="4"/>
    </row>
    <row r="4960" spans="10:12" x14ac:dyDescent="0.3">
      <c r="J4960"/>
      <c r="L4960" s="4"/>
    </row>
    <row r="4961" spans="10:12" x14ac:dyDescent="0.3">
      <c r="J4961"/>
      <c r="L4961" s="4"/>
    </row>
    <row r="4962" spans="10:12" x14ac:dyDescent="0.3">
      <c r="J4962"/>
      <c r="L4962" s="4"/>
    </row>
    <row r="4963" spans="10:12" x14ac:dyDescent="0.3">
      <c r="J4963"/>
      <c r="L4963" s="4"/>
    </row>
    <row r="4964" spans="10:12" x14ac:dyDescent="0.3">
      <c r="J4964"/>
      <c r="L4964" s="4"/>
    </row>
    <row r="4965" spans="10:12" x14ac:dyDescent="0.3">
      <c r="J4965"/>
      <c r="L4965" s="4"/>
    </row>
    <row r="4966" spans="10:12" x14ac:dyDescent="0.3">
      <c r="J4966"/>
      <c r="L4966" s="4"/>
    </row>
    <row r="4967" spans="10:12" x14ac:dyDescent="0.3">
      <c r="J4967"/>
      <c r="L4967" s="4"/>
    </row>
    <row r="4968" spans="10:12" x14ac:dyDescent="0.3">
      <c r="J4968"/>
      <c r="L4968" s="4"/>
    </row>
    <row r="4969" spans="10:12" x14ac:dyDescent="0.3">
      <c r="J4969"/>
      <c r="L4969" s="4"/>
    </row>
    <row r="4970" spans="10:12" x14ac:dyDescent="0.3">
      <c r="J4970"/>
      <c r="L4970" s="4"/>
    </row>
    <row r="4971" spans="10:12" x14ac:dyDescent="0.3">
      <c r="J4971"/>
      <c r="L4971" s="4"/>
    </row>
    <row r="4972" spans="10:12" x14ac:dyDescent="0.3">
      <c r="J4972"/>
      <c r="L4972" s="4"/>
    </row>
    <row r="4973" spans="10:12" x14ac:dyDescent="0.3">
      <c r="J4973"/>
      <c r="L4973" s="4"/>
    </row>
    <row r="4974" spans="10:12" x14ac:dyDescent="0.3">
      <c r="J4974"/>
      <c r="L4974" s="4"/>
    </row>
    <row r="4975" spans="10:12" x14ac:dyDescent="0.3">
      <c r="J4975"/>
      <c r="L4975" s="4"/>
    </row>
    <row r="4976" spans="10:12" x14ac:dyDescent="0.3">
      <c r="J4976"/>
      <c r="L4976" s="4"/>
    </row>
    <row r="4977" spans="10:12" x14ac:dyDescent="0.3">
      <c r="J4977"/>
      <c r="L4977" s="4"/>
    </row>
    <row r="4978" spans="10:12" x14ac:dyDescent="0.3">
      <c r="J4978"/>
      <c r="L4978" s="4"/>
    </row>
    <row r="4979" spans="10:12" x14ac:dyDescent="0.3">
      <c r="J4979"/>
      <c r="L4979" s="4"/>
    </row>
    <row r="4980" spans="10:12" x14ac:dyDescent="0.3">
      <c r="J4980"/>
      <c r="L4980" s="4"/>
    </row>
    <row r="4981" spans="10:12" x14ac:dyDescent="0.3">
      <c r="J4981"/>
      <c r="L4981" s="4"/>
    </row>
    <row r="4982" spans="10:12" x14ac:dyDescent="0.3">
      <c r="J4982"/>
      <c r="L4982" s="4"/>
    </row>
    <row r="4983" spans="10:12" x14ac:dyDescent="0.3">
      <c r="J4983"/>
      <c r="L4983" s="4"/>
    </row>
    <row r="4984" spans="10:12" x14ac:dyDescent="0.3">
      <c r="J4984"/>
      <c r="L4984" s="4"/>
    </row>
    <row r="4985" spans="10:12" x14ac:dyDescent="0.3">
      <c r="J4985"/>
      <c r="L4985" s="4"/>
    </row>
    <row r="4986" spans="10:12" x14ac:dyDescent="0.3">
      <c r="J4986"/>
      <c r="L4986" s="4"/>
    </row>
    <row r="4987" spans="10:12" x14ac:dyDescent="0.3">
      <c r="J4987"/>
      <c r="L4987" s="4"/>
    </row>
    <row r="4988" spans="10:12" x14ac:dyDescent="0.3">
      <c r="J4988"/>
      <c r="L4988" s="4"/>
    </row>
    <row r="4989" spans="10:12" x14ac:dyDescent="0.3">
      <c r="J4989"/>
      <c r="L4989" s="4"/>
    </row>
    <row r="4990" spans="10:12" x14ac:dyDescent="0.3">
      <c r="J4990"/>
      <c r="L4990" s="4"/>
    </row>
    <row r="4991" spans="10:12" x14ac:dyDescent="0.3">
      <c r="J4991"/>
      <c r="L4991" s="4"/>
    </row>
    <row r="4992" spans="10:12" x14ac:dyDescent="0.3">
      <c r="J4992"/>
      <c r="L4992" s="4"/>
    </row>
    <row r="4993" spans="10:12" x14ac:dyDescent="0.3">
      <c r="J4993"/>
      <c r="L4993" s="4"/>
    </row>
    <row r="4994" spans="10:12" x14ac:dyDescent="0.3">
      <c r="J4994"/>
      <c r="L4994" s="4"/>
    </row>
    <row r="4995" spans="10:12" x14ac:dyDescent="0.3">
      <c r="J4995"/>
      <c r="L4995" s="4"/>
    </row>
    <row r="4996" spans="10:12" x14ac:dyDescent="0.3">
      <c r="J4996"/>
      <c r="L4996" s="4"/>
    </row>
    <row r="4997" spans="10:12" x14ac:dyDescent="0.3">
      <c r="J4997"/>
      <c r="L4997" s="4"/>
    </row>
    <row r="4998" spans="10:12" x14ac:dyDescent="0.3">
      <c r="J4998"/>
      <c r="L4998" s="4"/>
    </row>
    <row r="4999" spans="10:12" x14ac:dyDescent="0.3">
      <c r="J4999"/>
      <c r="L4999" s="4"/>
    </row>
    <row r="5000" spans="10:12" x14ac:dyDescent="0.3">
      <c r="J5000"/>
      <c r="L5000" s="4"/>
    </row>
    <row r="5001" spans="10:12" x14ac:dyDescent="0.3">
      <c r="J5001"/>
      <c r="L5001" s="4"/>
    </row>
    <row r="5002" spans="10:12" x14ac:dyDescent="0.3">
      <c r="J5002"/>
      <c r="L5002" s="4"/>
    </row>
    <row r="5003" spans="10:12" x14ac:dyDescent="0.3">
      <c r="J5003"/>
      <c r="L5003" s="4"/>
    </row>
    <row r="5004" spans="10:12" x14ac:dyDescent="0.3">
      <c r="J5004"/>
      <c r="L5004" s="4"/>
    </row>
    <row r="5005" spans="10:12" x14ac:dyDescent="0.3">
      <c r="J5005"/>
      <c r="L5005" s="4"/>
    </row>
    <row r="5006" spans="10:12" x14ac:dyDescent="0.3">
      <c r="J5006"/>
      <c r="L5006" s="4"/>
    </row>
    <row r="5007" spans="10:12" x14ac:dyDescent="0.3">
      <c r="J5007"/>
      <c r="L5007" s="4"/>
    </row>
    <row r="5008" spans="10:12" x14ac:dyDescent="0.3">
      <c r="J5008"/>
      <c r="L5008" s="4"/>
    </row>
    <row r="5009" spans="10:12" x14ac:dyDescent="0.3">
      <c r="J5009"/>
      <c r="L5009" s="4"/>
    </row>
    <row r="5010" spans="10:12" x14ac:dyDescent="0.3">
      <c r="J5010"/>
      <c r="L5010" s="4"/>
    </row>
    <row r="5011" spans="10:12" x14ac:dyDescent="0.3">
      <c r="J5011"/>
      <c r="L5011" s="4"/>
    </row>
    <row r="5012" spans="10:12" x14ac:dyDescent="0.3">
      <c r="J5012"/>
      <c r="L5012" s="4"/>
    </row>
    <row r="5013" spans="10:12" x14ac:dyDescent="0.3">
      <c r="J5013"/>
      <c r="L5013" s="4"/>
    </row>
    <row r="5014" spans="10:12" x14ac:dyDescent="0.3">
      <c r="J5014"/>
      <c r="L5014" s="4"/>
    </row>
    <row r="5015" spans="10:12" x14ac:dyDescent="0.3">
      <c r="J5015"/>
      <c r="L5015" s="4"/>
    </row>
    <row r="5016" spans="10:12" x14ac:dyDescent="0.3">
      <c r="J5016"/>
      <c r="L5016" s="4"/>
    </row>
    <row r="5017" spans="10:12" x14ac:dyDescent="0.3">
      <c r="J5017"/>
      <c r="L5017" s="4"/>
    </row>
    <row r="5018" spans="10:12" x14ac:dyDescent="0.3">
      <c r="J5018"/>
      <c r="L5018" s="4"/>
    </row>
    <row r="5019" spans="10:12" x14ac:dyDescent="0.3">
      <c r="J5019"/>
      <c r="L5019" s="4"/>
    </row>
    <row r="5020" spans="10:12" x14ac:dyDescent="0.3">
      <c r="J5020"/>
      <c r="L5020" s="4"/>
    </row>
    <row r="5021" spans="10:12" x14ac:dyDescent="0.3">
      <c r="J5021"/>
      <c r="L5021" s="4"/>
    </row>
    <row r="5022" spans="10:12" x14ac:dyDescent="0.3">
      <c r="J5022"/>
      <c r="L5022" s="4"/>
    </row>
    <row r="5023" spans="10:12" x14ac:dyDescent="0.3">
      <c r="J5023"/>
      <c r="L5023" s="4"/>
    </row>
    <row r="5024" spans="10:12" x14ac:dyDescent="0.3">
      <c r="J5024"/>
      <c r="L5024" s="4"/>
    </row>
    <row r="5025" spans="10:12" x14ac:dyDescent="0.3">
      <c r="J5025"/>
      <c r="L5025" s="4"/>
    </row>
    <row r="5026" spans="10:12" x14ac:dyDescent="0.3">
      <c r="J5026"/>
      <c r="L5026" s="4"/>
    </row>
    <row r="5027" spans="10:12" x14ac:dyDescent="0.3">
      <c r="J5027"/>
      <c r="L5027" s="4"/>
    </row>
    <row r="5028" spans="10:12" x14ac:dyDescent="0.3">
      <c r="J5028"/>
      <c r="L5028" s="4"/>
    </row>
    <row r="5029" spans="10:12" x14ac:dyDescent="0.3">
      <c r="J5029"/>
      <c r="L5029" s="4"/>
    </row>
    <row r="5030" spans="10:12" x14ac:dyDescent="0.3">
      <c r="J5030"/>
      <c r="L5030" s="4"/>
    </row>
    <row r="5031" spans="10:12" x14ac:dyDescent="0.3">
      <c r="J5031"/>
      <c r="L5031" s="4"/>
    </row>
    <row r="5032" spans="10:12" x14ac:dyDescent="0.3">
      <c r="J5032"/>
      <c r="L5032" s="4"/>
    </row>
    <row r="5033" spans="10:12" x14ac:dyDescent="0.3">
      <c r="J5033"/>
      <c r="L5033" s="4"/>
    </row>
    <row r="5034" spans="10:12" x14ac:dyDescent="0.3">
      <c r="J5034"/>
      <c r="L5034" s="4"/>
    </row>
    <row r="5035" spans="10:12" x14ac:dyDescent="0.3">
      <c r="J5035"/>
      <c r="L5035" s="4"/>
    </row>
    <row r="5036" spans="10:12" x14ac:dyDescent="0.3">
      <c r="J5036"/>
      <c r="L5036" s="4"/>
    </row>
    <row r="5037" spans="10:12" x14ac:dyDescent="0.3">
      <c r="J5037"/>
      <c r="L5037" s="4"/>
    </row>
    <row r="5038" spans="10:12" x14ac:dyDescent="0.3">
      <c r="J5038"/>
      <c r="L5038" s="4"/>
    </row>
    <row r="5039" spans="10:12" x14ac:dyDescent="0.3">
      <c r="J5039"/>
      <c r="L5039" s="4"/>
    </row>
    <row r="5040" spans="10:12" x14ac:dyDescent="0.3">
      <c r="J5040"/>
      <c r="L5040" s="4"/>
    </row>
    <row r="5041" spans="10:12" x14ac:dyDescent="0.3">
      <c r="J5041"/>
      <c r="L5041" s="4"/>
    </row>
    <row r="5042" spans="10:12" x14ac:dyDescent="0.3">
      <c r="J5042"/>
      <c r="L5042" s="4"/>
    </row>
    <row r="5043" spans="10:12" x14ac:dyDescent="0.3">
      <c r="J5043"/>
      <c r="L5043" s="4"/>
    </row>
    <row r="5044" spans="10:12" x14ac:dyDescent="0.3">
      <c r="J5044"/>
      <c r="L5044" s="4"/>
    </row>
    <row r="5045" spans="10:12" x14ac:dyDescent="0.3">
      <c r="J5045"/>
      <c r="L5045" s="4"/>
    </row>
    <row r="5046" spans="10:12" x14ac:dyDescent="0.3">
      <c r="J5046"/>
      <c r="L5046" s="4"/>
    </row>
    <row r="5047" spans="10:12" x14ac:dyDescent="0.3">
      <c r="J5047"/>
      <c r="L5047" s="4"/>
    </row>
    <row r="5048" spans="10:12" x14ac:dyDescent="0.3">
      <c r="J5048"/>
      <c r="L5048" s="4"/>
    </row>
    <row r="5049" spans="10:12" x14ac:dyDescent="0.3">
      <c r="J5049"/>
      <c r="L5049" s="4"/>
    </row>
    <row r="5050" spans="10:12" x14ac:dyDescent="0.3">
      <c r="J5050"/>
      <c r="L5050" s="4"/>
    </row>
    <row r="5051" spans="10:12" x14ac:dyDescent="0.3">
      <c r="J5051"/>
      <c r="L5051" s="4"/>
    </row>
    <row r="5052" spans="10:12" x14ac:dyDescent="0.3">
      <c r="J5052"/>
      <c r="L5052" s="4"/>
    </row>
    <row r="5053" spans="10:12" x14ac:dyDescent="0.3">
      <c r="J5053"/>
      <c r="L5053" s="4"/>
    </row>
    <row r="5054" spans="10:12" x14ac:dyDescent="0.3">
      <c r="J5054"/>
      <c r="L5054" s="4"/>
    </row>
    <row r="5055" spans="10:12" x14ac:dyDescent="0.3">
      <c r="J5055"/>
      <c r="L5055" s="4"/>
    </row>
    <row r="5056" spans="10:12" x14ac:dyDescent="0.3">
      <c r="J5056"/>
      <c r="L5056" s="4"/>
    </row>
    <row r="5057" spans="10:12" x14ac:dyDescent="0.3">
      <c r="J5057"/>
      <c r="L5057" s="4"/>
    </row>
    <row r="5058" spans="10:12" x14ac:dyDescent="0.3">
      <c r="J5058"/>
      <c r="L5058" s="4"/>
    </row>
    <row r="5059" spans="10:12" x14ac:dyDescent="0.3">
      <c r="J5059"/>
      <c r="L5059" s="4"/>
    </row>
    <row r="5060" spans="10:12" x14ac:dyDescent="0.3">
      <c r="J5060"/>
      <c r="L5060" s="4"/>
    </row>
    <row r="5061" spans="10:12" x14ac:dyDescent="0.3">
      <c r="J5061"/>
      <c r="L5061" s="4"/>
    </row>
    <row r="5062" spans="10:12" x14ac:dyDescent="0.3">
      <c r="J5062"/>
      <c r="L5062" s="4"/>
    </row>
    <row r="5063" spans="10:12" x14ac:dyDescent="0.3">
      <c r="J5063"/>
      <c r="L5063" s="4"/>
    </row>
    <row r="5064" spans="10:12" x14ac:dyDescent="0.3">
      <c r="J5064"/>
      <c r="L5064" s="4"/>
    </row>
    <row r="5065" spans="10:12" x14ac:dyDescent="0.3">
      <c r="J5065"/>
      <c r="L5065" s="4"/>
    </row>
    <row r="5066" spans="10:12" x14ac:dyDescent="0.3">
      <c r="J5066"/>
      <c r="L5066" s="4"/>
    </row>
    <row r="5067" spans="10:12" x14ac:dyDescent="0.3">
      <c r="J5067"/>
      <c r="L5067" s="4"/>
    </row>
    <row r="5068" spans="10:12" x14ac:dyDescent="0.3">
      <c r="J5068"/>
      <c r="L5068" s="4"/>
    </row>
    <row r="5069" spans="10:12" x14ac:dyDescent="0.3">
      <c r="J5069"/>
      <c r="L5069" s="4"/>
    </row>
    <row r="5070" spans="10:12" x14ac:dyDescent="0.3">
      <c r="J5070"/>
      <c r="L5070" s="4"/>
    </row>
    <row r="5071" spans="10:12" x14ac:dyDescent="0.3">
      <c r="J5071"/>
      <c r="L5071" s="4"/>
    </row>
    <row r="5072" spans="10:12" x14ac:dyDescent="0.3">
      <c r="J5072"/>
      <c r="L5072" s="4"/>
    </row>
    <row r="5073" spans="10:12" x14ac:dyDescent="0.3">
      <c r="J5073"/>
      <c r="L5073" s="4"/>
    </row>
    <row r="5074" spans="10:12" x14ac:dyDescent="0.3">
      <c r="J5074"/>
      <c r="L5074" s="4"/>
    </row>
    <row r="5075" spans="10:12" x14ac:dyDescent="0.3">
      <c r="J5075"/>
      <c r="L5075" s="4"/>
    </row>
    <row r="5076" spans="10:12" x14ac:dyDescent="0.3">
      <c r="J5076"/>
      <c r="L5076" s="4"/>
    </row>
    <row r="5077" spans="10:12" x14ac:dyDescent="0.3">
      <c r="J5077"/>
      <c r="L5077" s="4"/>
    </row>
    <row r="5078" spans="10:12" x14ac:dyDescent="0.3">
      <c r="J5078"/>
      <c r="L5078" s="4"/>
    </row>
    <row r="5079" spans="10:12" x14ac:dyDescent="0.3">
      <c r="J5079"/>
      <c r="L5079" s="4"/>
    </row>
    <row r="5080" spans="10:12" x14ac:dyDescent="0.3">
      <c r="J5080"/>
      <c r="L5080" s="4"/>
    </row>
    <row r="5081" spans="10:12" x14ac:dyDescent="0.3">
      <c r="J5081"/>
      <c r="L5081" s="4"/>
    </row>
    <row r="5082" spans="10:12" x14ac:dyDescent="0.3">
      <c r="J5082"/>
      <c r="L5082" s="4"/>
    </row>
    <row r="5083" spans="10:12" x14ac:dyDescent="0.3">
      <c r="J5083"/>
      <c r="L5083" s="4"/>
    </row>
    <row r="5084" spans="10:12" x14ac:dyDescent="0.3">
      <c r="J5084"/>
      <c r="L5084" s="4"/>
    </row>
    <row r="5085" spans="10:12" x14ac:dyDescent="0.3">
      <c r="J5085"/>
      <c r="L5085" s="4"/>
    </row>
    <row r="5086" spans="10:12" x14ac:dyDescent="0.3">
      <c r="J5086"/>
      <c r="L5086" s="4"/>
    </row>
    <row r="5087" spans="10:12" x14ac:dyDescent="0.3">
      <c r="J5087"/>
      <c r="L5087" s="4"/>
    </row>
    <row r="5088" spans="10:12" x14ac:dyDescent="0.3">
      <c r="J5088"/>
      <c r="L5088" s="4"/>
    </row>
    <row r="5089" spans="10:12" x14ac:dyDescent="0.3">
      <c r="J5089"/>
      <c r="L5089" s="4"/>
    </row>
    <row r="5090" spans="10:12" x14ac:dyDescent="0.3">
      <c r="J5090"/>
      <c r="L5090" s="4"/>
    </row>
    <row r="5091" spans="10:12" x14ac:dyDescent="0.3">
      <c r="J5091"/>
      <c r="L5091" s="4"/>
    </row>
    <row r="5092" spans="10:12" x14ac:dyDescent="0.3">
      <c r="J5092"/>
      <c r="L5092" s="4"/>
    </row>
    <row r="5093" spans="10:12" x14ac:dyDescent="0.3">
      <c r="J5093"/>
      <c r="L5093" s="4"/>
    </row>
    <row r="5094" spans="10:12" x14ac:dyDescent="0.3">
      <c r="J5094"/>
      <c r="L5094" s="4"/>
    </row>
    <row r="5095" spans="10:12" x14ac:dyDescent="0.3">
      <c r="J5095"/>
      <c r="L5095" s="4"/>
    </row>
    <row r="5096" spans="10:12" x14ac:dyDescent="0.3">
      <c r="J5096"/>
      <c r="L5096" s="4"/>
    </row>
    <row r="5097" spans="10:12" x14ac:dyDescent="0.3">
      <c r="J5097"/>
      <c r="L5097" s="4"/>
    </row>
    <row r="5098" spans="10:12" x14ac:dyDescent="0.3">
      <c r="J5098"/>
      <c r="L5098" s="4"/>
    </row>
    <row r="5099" spans="10:12" x14ac:dyDescent="0.3">
      <c r="J5099"/>
      <c r="L5099" s="4"/>
    </row>
    <row r="5100" spans="10:12" x14ac:dyDescent="0.3">
      <c r="J5100"/>
      <c r="L5100" s="4"/>
    </row>
    <row r="5101" spans="10:12" x14ac:dyDescent="0.3">
      <c r="J5101"/>
      <c r="L5101" s="4"/>
    </row>
    <row r="5102" spans="10:12" x14ac:dyDescent="0.3">
      <c r="J5102"/>
      <c r="L5102" s="4"/>
    </row>
    <row r="5103" spans="10:12" x14ac:dyDescent="0.3">
      <c r="J5103"/>
      <c r="L5103" s="4"/>
    </row>
    <row r="5104" spans="10:12" x14ac:dyDescent="0.3">
      <c r="J5104"/>
      <c r="L5104" s="4"/>
    </row>
    <row r="5105" spans="10:12" x14ac:dyDescent="0.3">
      <c r="J5105"/>
      <c r="L5105" s="4"/>
    </row>
    <row r="5106" spans="10:12" x14ac:dyDescent="0.3">
      <c r="J5106"/>
      <c r="L5106" s="4"/>
    </row>
    <row r="5107" spans="10:12" x14ac:dyDescent="0.3">
      <c r="J5107"/>
      <c r="L5107" s="4"/>
    </row>
    <row r="5108" spans="10:12" x14ac:dyDescent="0.3">
      <c r="J5108"/>
      <c r="L5108" s="4"/>
    </row>
    <row r="5109" spans="10:12" x14ac:dyDescent="0.3">
      <c r="J5109"/>
      <c r="L5109" s="4"/>
    </row>
    <row r="5110" spans="10:12" x14ac:dyDescent="0.3">
      <c r="J5110"/>
      <c r="L5110" s="4"/>
    </row>
    <row r="5111" spans="10:12" x14ac:dyDescent="0.3">
      <c r="J5111"/>
      <c r="L5111" s="4"/>
    </row>
    <row r="5112" spans="10:12" x14ac:dyDescent="0.3">
      <c r="J5112"/>
      <c r="L5112" s="4"/>
    </row>
    <row r="5113" spans="10:12" x14ac:dyDescent="0.3">
      <c r="J5113"/>
      <c r="L5113" s="4"/>
    </row>
    <row r="5114" spans="10:12" x14ac:dyDescent="0.3">
      <c r="J5114"/>
      <c r="L5114" s="4"/>
    </row>
    <row r="5115" spans="10:12" x14ac:dyDescent="0.3">
      <c r="J5115"/>
      <c r="L5115" s="4"/>
    </row>
    <row r="5116" spans="10:12" x14ac:dyDescent="0.3">
      <c r="J5116"/>
      <c r="L5116" s="4"/>
    </row>
    <row r="5117" spans="10:12" x14ac:dyDescent="0.3">
      <c r="J5117"/>
      <c r="L5117" s="4"/>
    </row>
    <row r="5118" spans="10:12" x14ac:dyDescent="0.3">
      <c r="J5118"/>
      <c r="L5118" s="4"/>
    </row>
    <row r="5119" spans="10:12" x14ac:dyDescent="0.3">
      <c r="J5119"/>
      <c r="L5119" s="4"/>
    </row>
    <row r="5120" spans="10:12" x14ac:dyDescent="0.3">
      <c r="J5120"/>
      <c r="L5120" s="4"/>
    </row>
    <row r="5121" spans="10:12" x14ac:dyDescent="0.3">
      <c r="J5121"/>
      <c r="L5121" s="4"/>
    </row>
    <row r="5122" spans="10:12" x14ac:dyDescent="0.3">
      <c r="J5122"/>
      <c r="L5122" s="4"/>
    </row>
    <row r="5123" spans="10:12" x14ac:dyDescent="0.3">
      <c r="J5123"/>
      <c r="L5123" s="4"/>
    </row>
    <row r="5124" spans="10:12" x14ac:dyDescent="0.3">
      <c r="J5124"/>
      <c r="L5124" s="4"/>
    </row>
    <row r="5125" spans="10:12" x14ac:dyDescent="0.3">
      <c r="J5125"/>
      <c r="L5125" s="4"/>
    </row>
    <row r="5126" spans="10:12" x14ac:dyDescent="0.3">
      <c r="J5126"/>
      <c r="L5126" s="4"/>
    </row>
    <row r="5127" spans="10:12" x14ac:dyDescent="0.3">
      <c r="J5127"/>
      <c r="L5127" s="4"/>
    </row>
    <row r="5128" spans="10:12" x14ac:dyDescent="0.3">
      <c r="J5128"/>
      <c r="L5128" s="4"/>
    </row>
    <row r="5129" spans="10:12" x14ac:dyDescent="0.3">
      <c r="J5129"/>
      <c r="L5129" s="4"/>
    </row>
    <row r="5130" spans="10:12" x14ac:dyDescent="0.3">
      <c r="J5130"/>
      <c r="L5130" s="4"/>
    </row>
    <row r="5131" spans="10:12" x14ac:dyDescent="0.3">
      <c r="J5131"/>
      <c r="L5131" s="4"/>
    </row>
    <row r="5132" spans="10:12" x14ac:dyDescent="0.3">
      <c r="J5132"/>
      <c r="L5132" s="4"/>
    </row>
    <row r="5133" spans="10:12" x14ac:dyDescent="0.3">
      <c r="J5133"/>
      <c r="L5133" s="4"/>
    </row>
    <row r="5134" spans="10:12" x14ac:dyDescent="0.3">
      <c r="J5134"/>
      <c r="L5134" s="4"/>
    </row>
    <row r="5135" spans="10:12" x14ac:dyDescent="0.3">
      <c r="J5135"/>
      <c r="L5135" s="4"/>
    </row>
    <row r="5136" spans="10:12" x14ac:dyDescent="0.3">
      <c r="J5136"/>
      <c r="L5136" s="4"/>
    </row>
    <row r="5137" spans="10:12" x14ac:dyDescent="0.3">
      <c r="J5137"/>
      <c r="L5137" s="4"/>
    </row>
    <row r="5138" spans="10:12" x14ac:dyDescent="0.3">
      <c r="J5138"/>
      <c r="L5138" s="4"/>
    </row>
    <row r="5139" spans="10:12" x14ac:dyDescent="0.3">
      <c r="J5139"/>
      <c r="L5139" s="4"/>
    </row>
    <row r="5140" spans="10:12" x14ac:dyDescent="0.3">
      <c r="J5140"/>
      <c r="L5140" s="4"/>
    </row>
    <row r="5141" spans="10:12" x14ac:dyDescent="0.3">
      <c r="J5141"/>
      <c r="L5141" s="4"/>
    </row>
    <row r="5142" spans="10:12" x14ac:dyDescent="0.3">
      <c r="J5142"/>
      <c r="L5142" s="4"/>
    </row>
    <row r="5143" spans="10:12" x14ac:dyDescent="0.3">
      <c r="J5143"/>
      <c r="L5143" s="4"/>
    </row>
    <row r="5144" spans="10:12" x14ac:dyDescent="0.3">
      <c r="J5144"/>
      <c r="L5144" s="4"/>
    </row>
    <row r="5145" spans="10:12" x14ac:dyDescent="0.3">
      <c r="J5145"/>
      <c r="L5145" s="4"/>
    </row>
    <row r="5146" spans="10:12" x14ac:dyDescent="0.3">
      <c r="J5146"/>
      <c r="L5146" s="4"/>
    </row>
    <row r="5147" spans="10:12" x14ac:dyDescent="0.3">
      <c r="J5147"/>
      <c r="L5147" s="4"/>
    </row>
    <row r="5148" spans="10:12" x14ac:dyDescent="0.3">
      <c r="J5148"/>
      <c r="L5148" s="4"/>
    </row>
    <row r="5149" spans="10:12" x14ac:dyDescent="0.3">
      <c r="J5149"/>
      <c r="L5149" s="4"/>
    </row>
    <row r="5150" spans="10:12" x14ac:dyDescent="0.3">
      <c r="J5150"/>
      <c r="L5150" s="4"/>
    </row>
    <row r="5151" spans="10:12" x14ac:dyDescent="0.3">
      <c r="J5151"/>
      <c r="L5151" s="4"/>
    </row>
    <row r="5152" spans="10:12" x14ac:dyDescent="0.3">
      <c r="J5152"/>
      <c r="L5152" s="4"/>
    </row>
    <row r="5153" spans="10:12" x14ac:dyDescent="0.3">
      <c r="J5153"/>
      <c r="L5153" s="4"/>
    </row>
    <row r="5154" spans="10:12" x14ac:dyDescent="0.3">
      <c r="J5154"/>
      <c r="L5154" s="4"/>
    </row>
    <row r="5155" spans="10:12" x14ac:dyDescent="0.3">
      <c r="J5155"/>
      <c r="L5155" s="4"/>
    </row>
    <row r="5156" spans="10:12" x14ac:dyDescent="0.3">
      <c r="J5156"/>
      <c r="L5156" s="4"/>
    </row>
    <row r="5157" spans="10:12" x14ac:dyDescent="0.3">
      <c r="J5157"/>
      <c r="L5157" s="4"/>
    </row>
    <row r="5158" spans="10:12" x14ac:dyDescent="0.3">
      <c r="J5158"/>
      <c r="L5158" s="4"/>
    </row>
    <row r="5159" spans="10:12" x14ac:dyDescent="0.3">
      <c r="J5159"/>
      <c r="L5159" s="4"/>
    </row>
    <row r="5160" spans="10:12" x14ac:dyDescent="0.3">
      <c r="J5160"/>
      <c r="L5160" s="4"/>
    </row>
    <row r="5161" spans="10:12" x14ac:dyDescent="0.3">
      <c r="J5161"/>
      <c r="L5161" s="4"/>
    </row>
    <row r="5162" spans="10:12" x14ac:dyDescent="0.3">
      <c r="J5162"/>
      <c r="L5162" s="4"/>
    </row>
    <row r="5163" spans="10:12" x14ac:dyDescent="0.3">
      <c r="J5163"/>
      <c r="L5163" s="4"/>
    </row>
    <row r="5164" spans="10:12" x14ac:dyDescent="0.3">
      <c r="J5164"/>
      <c r="L5164" s="4"/>
    </row>
    <row r="5165" spans="10:12" x14ac:dyDescent="0.3">
      <c r="J5165"/>
      <c r="L5165" s="4"/>
    </row>
    <row r="5166" spans="10:12" x14ac:dyDescent="0.3">
      <c r="J5166"/>
      <c r="L5166" s="4"/>
    </row>
    <row r="5167" spans="10:12" x14ac:dyDescent="0.3">
      <c r="J5167"/>
      <c r="L5167" s="4"/>
    </row>
    <row r="5168" spans="10:12" x14ac:dyDescent="0.3">
      <c r="J5168"/>
      <c r="L5168" s="4"/>
    </row>
    <row r="5169" spans="10:12" x14ac:dyDescent="0.3">
      <c r="J5169"/>
      <c r="L5169" s="4"/>
    </row>
    <row r="5170" spans="10:12" x14ac:dyDescent="0.3">
      <c r="J5170"/>
      <c r="L5170" s="4"/>
    </row>
    <row r="5171" spans="10:12" x14ac:dyDescent="0.3">
      <c r="J5171"/>
      <c r="L5171" s="4"/>
    </row>
    <row r="5172" spans="10:12" x14ac:dyDescent="0.3">
      <c r="J5172"/>
      <c r="L5172" s="4"/>
    </row>
    <row r="5173" spans="10:12" x14ac:dyDescent="0.3">
      <c r="J5173"/>
      <c r="L5173" s="4"/>
    </row>
    <row r="5174" spans="10:12" x14ac:dyDescent="0.3">
      <c r="J5174"/>
      <c r="L5174" s="4"/>
    </row>
    <row r="5175" spans="10:12" x14ac:dyDescent="0.3">
      <c r="J5175"/>
      <c r="L5175" s="4"/>
    </row>
    <row r="5176" spans="10:12" x14ac:dyDescent="0.3">
      <c r="J5176"/>
      <c r="L5176" s="4"/>
    </row>
    <row r="5177" spans="10:12" x14ac:dyDescent="0.3">
      <c r="J5177"/>
      <c r="L5177" s="4"/>
    </row>
    <row r="5178" spans="10:12" x14ac:dyDescent="0.3">
      <c r="J5178"/>
      <c r="L5178" s="4"/>
    </row>
    <row r="5179" spans="10:12" x14ac:dyDescent="0.3">
      <c r="J5179"/>
      <c r="L5179" s="4"/>
    </row>
    <row r="5180" spans="10:12" x14ac:dyDescent="0.3">
      <c r="J5180"/>
      <c r="L5180" s="4"/>
    </row>
    <row r="5181" spans="10:12" x14ac:dyDescent="0.3">
      <c r="J5181"/>
      <c r="L5181" s="4"/>
    </row>
    <row r="5182" spans="10:12" x14ac:dyDescent="0.3">
      <c r="J5182"/>
      <c r="L5182" s="4"/>
    </row>
    <row r="5183" spans="10:12" x14ac:dyDescent="0.3">
      <c r="J5183"/>
      <c r="L5183" s="4"/>
    </row>
    <row r="5184" spans="10:12" x14ac:dyDescent="0.3">
      <c r="J5184"/>
      <c r="L5184" s="4"/>
    </row>
    <row r="5185" spans="10:12" x14ac:dyDescent="0.3">
      <c r="J5185"/>
      <c r="L5185" s="4"/>
    </row>
    <row r="5186" spans="10:12" x14ac:dyDescent="0.3">
      <c r="J5186"/>
      <c r="L5186" s="4"/>
    </row>
    <row r="5187" spans="10:12" x14ac:dyDescent="0.3">
      <c r="J5187"/>
      <c r="L5187" s="4"/>
    </row>
    <row r="5188" spans="10:12" x14ac:dyDescent="0.3">
      <c r="J5188"/>
      <c r="L5188" s="4"/>
    </row>
    <row r="5189" spans="10:12" x14ac:dyDescent="0.3">
      <c r="J5189"/>
      <c r="L5189" s="4"/>
    </row>
    <row r="5190" spans="10:12" x14ac:dyDescent="0.3">
      <c r="J5190"/>
      <c r="L5190" s="4"/>
    </row>
    <row r="5191" spans="10:12" x14ac:dyDescent="0.3">
      <c r="J5191"/>
      <c r="L5191" s="4"/>
    </row>
    <row r="5192" spans="10:12" x14ac:dyDescent="0.3">
      <c r="J5192"/>
      <c r="L5192" s="4"/>
    </row>
    <row r="5193" spans="10:12" x14ac:dyDescent="0.3">
      <c r="J5193"/>
      <c r="L5193" s="4"/>
    </row>
    <row r="5194" spans="10:12" x14ac:dyDescent="0.3">
      <c r="J5194"/>
      <c r="L5194" s="4"/>
    </row>
    <row r="5195" spans="10:12" x14ac:dyDescent="0.3">
      <c r="J5195"/>
      <c r="L5195" s="4"/>
    </row>
    <row r="5196" spans="10:12" x14ac:dyDescent="0.3">
      <c r="J5196"/>
      <c r="L5196" s="4"/>
    </row>
    <row r="5197" spans="10:12" x14ac:dyDescent="0.3">
      <c r="J5197"/>
      <c r="L5197" s="4"/>
    </row>
    <row r="5198" spans="10:12" x14ac:dyDescent="0.3">
      <c r="J5198"/>
      <c r="L5198" s="4"/>
    </row>
    <row r="5199" spans="10:12" x14ac:dyDescent="0.3">
      <c r="J5199"/>
      <c r="L5199" s="4"/>
    </row>
    <row r="5200" spans="10:12" x14ac:dyDescent="0.3">
      <c r="J5200"/>
      <c r="L5200" s="4"/>
    </row>
    <row r="5201" spans="10:12" x14ac:dyDescent="0.3">
      <c r="J5201"/>
      <c r="L5201" s="4"/>
    </row>
    <row r="5202" spans="10:12" x14ac:dyDescent="0.3">
      <c r="J5202"/>
      <c r="L5202" s="4"/>
    </row>
    <row r="5203" spans="10:12" x14ac:dyDescent="0.3">
      <c r="J5203"/>
      <c r="L5203" s="4"/>
    </row>
    <row r="5204" spans="10:12" x14ac:dyDescent="0.3">
      <c r="J5204"/>
      <c r="L5204" s="4"/>
    </row>
    <row r="5205" spans="10:12" x14ac:dyDescent="0.3">
      <c r="J5205"/>
      <c r="L5205" s="4"/>
    </row>
    <row r="5206" spans="10:12" x14ac:dyDescent="0.3">
      <c r="J5206"/>
      <c r="L5206" s="4"/>
    </row>
    <row r="5207" spans="10:12" x14ac:dyDescent="0.3">
      <c r="J5207"/>
      <c r="L5207" s="4"/>
    </row>
    <row r="5208" spans="10:12" x14ac:dyDescent="0.3">
      <c r="J5208"/>
      <c r="L5208" s="4"/>
    </row>
    <row r="5209" spans="10:12" x14ac:dyDescent="0.3">
      <c r="J5209"/>
      <c r="L5209" s="4"/>
    </row>
    <row r="5210" spans="10:12" x14ac:dyDescent="0.3">
      <c r="J5210"/>
      <c r="L5210" s="4"/>
    </row>
    <row r="5211" spans="10:12" x14ac:dyDescent="0.3">
      <c r="J5211"/>
      <c r="L5211" s="4"/>
    </row>
    <row r="5212" spans="10:12" x14ac:dyDescent="0.3">
      <c r="J5212"/>
      <c r="L5212" s="4"/>
    </row>
    <row r="5213" spans="10:12" x14ac:dyDescent="0.3">
      <c r="J5213"/>
      <c r="L5213" s="4"/>
    </row>
    <row r="5214" spans="10:12" x14ac:dyDescent="0.3">
      <c r="J5214"/>
      <c r="L5214" s="4"/>
    </row>
    <row r="5215" spans="10:12" x14ac:dyDescent="0.3">
      <c r="J5215"/>
      <c r="L5215" s="4"/>
    </row>
    <row r="5216" spans="10:12" x14ac:dyDescent="0.3">
      <c r="J5216"/>
      <c r="L5216" s="4"/>
    </row>
    <row r="5217" spans="10:12" x14ac:dyDescent="0.3">
      <c r="J5217"/>
      <c r="L5217" s="4"/>
    </row>
    <row r="5218" spans="10:12" x14ac:dyDescent="0.3">
      <c r="J5218"/>
      <c r="L5218" s="4"/>
    </row>
    <row r="5219" spans="10:12" x14ac:dyDescent="0.3">
      <c r="J5219"/>
      <c r="L5219" s="4"/>
    </row>
    <row r="5220" spans="10:12" x14ac:dyDescent="0.3">
      <c r="J5220"/>
      <c r="L5220" s="4"/>
    </row>
    <row r="5221" spans="10:12" x14ac:dyDescent="0.3">
      <c r="J5221"/>
      <c r="L5221" s="4"/>
    </row>
    <row r="5222" spans="10:12" x14ac:dyDescent="0.3">
      <c r="J5222"/>
      <c r="L5222" s="4"/>
    </row>
    <row r="5223" spans="10:12" x14ac:dyDescent="0.3">
      <c r="J5223"/>
      <c r="L5223" s="4"/>
    </row>
    <row r="5224" spans="10:12" x14ac:dyDescent="0.3">
      <c r="J5224"/>
      <c r="L5224" s="4"/>
    </row>
    <row r="5225" spans="10:12" x14ac:dyDescent="0.3">
      <c r="J5225"/>
      <c r="L5225" s="4"/>
    </row>
    <row r="5226" spans="10:12" x14ac:dyDescent="0.3">
      <c r="J5226"/>
      <c r="L5226" s="4"/>
    </row>
    <row r="5227" spans="10:12" x14ac:dyDescent="0.3">
      <c r="J5227"/>
      <c r="L5227" s="4"/>
    </row>
    <row r="5228" spans="10:12" x14ac:dyDescent="0.3">
      <c r="J5228"/>
      <c r="L5228" s="4"/>
    </row>
    <row r="5229" spans="10:12" x14ac:dyDescent="0.3">
      <c r="J5229"/>
      <c r="L5229" s="4"/>
    </row>
    <row r="5230" spans="10:12" x14ac:dyDescent="0.3">
      <c r="J5230"/>
      <c r="L5230" s="4"/>
    </row>
    <row r="5231" spans="10:12" x14ac:dyDescent="0.3">
      <c r="J5231"/>
      <c r="L5231" s="4"/>
    </row>
    <row r="5232" spans="10:12" x14ac:dyDescent="0.3">
      <c r="J5232"/>
      <c r="L5232" s="4"/>
    </row>
    <row r="5233" spans="10:12" x14ac:dyDescent="0.3">
      <c r="J5233"/>
      <c r="L5233" s="4"/>
    </row>
    <row r="5234" spans="10:12" x14ac:dyDescent="0.3">
      <c r="J5234"/>
      <c r="L5234" s="4"/>
    </row>
    <row r="5235" spans="10:12" x14ac:dyDescent="0.3">
      <c r="J5235"/>
      <c r="L5235" s="4"/>
    </row>
    <row r="5236" spans="10:12" x14ac:dyDescent="0.3">
      <c r="J5236"/>
      <c r="L5236" s="4"/>
    </row>
    <row r="5237" spans="10:12" x14ac:dyDescent="0.3">
      <c r="J5237"/>
      <c r="L5237" s="4"/>
    </row>
    <row r="5238" spans="10:12" x14ac:dyDescent="0.3">
      <c r="J5238"/>
      <c r="L5238" s="4"/>
    </row>
    <row r="5239" spans="10:12" x14ac:dyDescent="0.3">
      <c r="J5239"/>
      <c r="L5239" s="4"/>
    </row>
    <row r="5240" spans="10:12" x14ac:dyDescent="0.3">
      <c r="J5240"/>
      <c r="L5240" s="4"/>
    </row>
    <row r="5241" spans="10:12" x14ac:dyDescent="0.3">
      <c r="J5241"/>
      <c r="L5241" s="4"/>
    </row>
    <row r="5242" spans="10:12" x14ac:dyDescent="0.3">
      <c r="J5242"/>
      <c r="L5242" s="4"/>
    </row>
    <row r="5243" spans="10:12" x14ac:dyDescent="0.3">
      <c r="J5243"/>
      <c r="L5243" s="4"/>
    </row>
    <row r="5244" spans="10:12" x14ac:dyDescent="0.3">
      <c r="J5244"/>
      <c r="L5244" s="4"/>
    </row>
    <row r="5245" spans="10:12" x14ac:dyDescent="0.3">
      <c r="J5245"/>
      <c r="L5245" s="4"/>
    </row>
    <row r="5246" spans="10:12" x14ac:dyDescent="0.3">
      <c r="J5246"/>
      <c r="L5246" s="4"/>
    </row>
    <row r="5247" spans="10:12" x14ac:dyDescent="0.3">
      <c r="J5247"/>
      <c r="L5247" s="4"/>
    </row>
    <row r="5248" spans="10:12" x14ac:dyDescent="0.3">
      <c r="J5248"/>
      <c r="L5248" s="4"/>
    </row>
    <row r="5249" spans="10:12" x14ac:dyDescent="0.3">
      <c r="J5249"/>
      <c r="L5249" s="4"/>
    </row>
    <row r="5250" spans="10:12" x14ac:dyDescent="0.3">
      <c r="J5250"/>
      <c r="L5250" s="4"/>
    </row>
    <row r="5251" spans="10:12" x14ac:dyDescent="0.3">
      <c r="J5251"/>
      <c r="L5251" s="4"/>
    </row>
    <row r="5252" spans="10:12" x14ac:dyDescent="0.3">
      <c r="J5252"/>
      <c r="L5252" s="4"/>
    </row>
    <row r="5253" spans="10:12" x14ac:dyDescent="0.3">
      <c r="J5253"/>
      <c r="L5253" s="4"/>
    </row>
    <row r="5254" spans="10:12" x14ac:dyDescent="0.3">
      <c r="J5254"/>
      <c r="L5254" s="4"/>
    </row>
    <row r="5255" spans="10:12" x14ac:dyDescent="0.3">
      <c r="J5255"/>
      <c r="L5255" s="4"/>
    </row>
    <row r="5256" spans="10:12" x14ac:dyDescent="0.3">
      <c r="J5256"/>
      <c r="L5256" s="4"/>
    </row>
    <row r="5257" spans="10:12" x14ac:dyDescent="0.3">
      <c r="J5257"/>
      <c r="L5257" s="4"/>
    </row>
    <row r="5258" spans="10:12" x14ac:dyDescent="0.3">
      <c r="J5258"/>
      <c r="L5258" s="4"/>
    </row>
    <row r="5259" spans="10:12" x14ac:dyDescent="0.3">
      <c r="J5259"/>
      <c r="L5259" s="4"/>
    </row>
    <row r="5260" spans="10:12" x14ac:dyDescent="0.3">
      <c r="J5260"/>
      <c r="L5260" s="4"/>
    </row>
    <row r="5261" spans="10:12" x14ac:dyDescent="0.3">
      <c r="J5261"/>
      <c r="L5261" s="4"/>
    </row>
    <row r="5262" spans="10:12" x14ac:dyDescent="0.3">
      <c r="J5262"/>
      <c r="L5262" s="4"/>
    </row>
    <row r="5263" spans="10:12" x14ac:dyDescent="0.3">
      <c r="J5263"/>
      <c r="L5263" s="4"/>
    </row>
    <row r="5264" spans="10:12" x14ac:dyDescent="0.3">
      <c r="J5264"/>
      <c r="L5264" s="4"/>
    </row>
    <row r="5265" spans="10:12" x14ac:dyDescent="0.3">
      <c r="J5265"/>
      <c r="L5265" s="4"/>
    </row>
    <row r="5266" spans="10:12" x14ac:dyDescent="0.3">
      <c r="J5266"/>
      <c r="L5266" s="4"/>
    </row>
    <row r="5267" spans="10:12" x14ac:dyDescent="0.3">
      <c r="J5267"/>
      <c r="L5267" s="4"/>
    </row>
    <row r="5268" spans="10:12" x14ac:dyDescent="0.3">
      <c r="J5268"/>
      <c r="L5268" s="4"/>
    </row>
    <row r="5269" spans="10:12" x14ac:dyDescent="0.3">
      <c r="J5269"/>
      <c r="L5269" s="4"/>
    </row>
    <row r="5270" spans="10:12" x14ac:dyDescent="0.3">
      <c r="J5270"/>
      <c r="L5270" s="4"/>
    </row>
    <row r="5271" spans="10:12" x14ac:dyDescent="0.3">
      <c r="J5271"/>
      <c r="L5271" s="4"/>
    </row>
    <row r="5272" spans="10:12" x14ac:dyDescent="0.3">
      <c r="J5272"/>
      <c r="L5272" s="4"/>
    </row>
    <row r="5273" spans="10:12" x14ac:dyDescent="0.3">
      <c r="J5273"/>
      <c r="L5273" s="4"/>
    </row>
    <row r="5274" spans="10:12" x14ac:dyDescent="0.3">
      <c r="J5274"/>
      <c r="L5274" s="4"/>
    </row>
    <row r="5275" spans="10:12" x14ac:dyDescent="0.3">
      <c r="J5275"/>
      <c r="L5275" s="4"/>
    </row>
    <row r="5276" spans="10:12" x14ac:dyDescent="0.3">
      <c r="J5276"/>
      <c r="L5276" s="4"/>
    </row>
    <row r="5277" spans="10:12" x14ac:dyDescent="0.3">
      <c r="J5277"/>
      <c r="L5277" s="4"/>
    </row>
    <row r="5278" spans="10:12" x14ac:dyDescent="0.3">
      <c r="J5278"/>
      <c r="L5278" s="4"/>
    </row>
    <row r="5279" spans="10:12" x14ac:dyDescent="0.3">
      <c r="J5279"/>
      <c r="L5279" s="4"/>
    </row>
    <row r="5280" spans="10:12" x14ac:dyDescent="0.3">
      <c r="J5280"/>
      <c r="L5280" s="4"/>
    </row>
    <row r="5281" spans="10:12" x14ac:dyDescent="0.3">
      <c r="J5281"/>
      <c r="L5281" s="4"/>
    </row>
    <row r="5282" spans="10:12" x14ac:dyDescent="0.3">
      <c r="J5282"/>
      <c r="L5282" s="4"/>
    </row>
    <row r="5283" spans="10:12" x14ac:dyDescent="0.3">
      <c r="J5283"/>
      <c r="L5283" s="4"/>
    </row>
    <row r="5284" spans="10:12" x14ac:dyDescent="0.3">
      <c r="J5284"/>
      <c r="L5284" s="4"/>
    </row>
    <row r="5285" spans="10:12" x14ac:dyDescent="0.3">
      <c r="J5285"/>
      <c r="L5285" s="4"/>
    </row>
    <row r="5286" spans="10:12" x14ac:dyDescent="0.3">
      <c r="J5286"/>
      <c r="L5286" s="4"/>
    </row>
    <row r="5287" spans="10:12" x14ac:dyDescent="0.3">
      <c r="J5287"/>
      <c r="L5287" s="4"/>
    </row>
    <row r="5288" spans="10:12" x14ac:dyDescent="0.3">
      <c r="J5288"/>
      <c r="L5288" s="4"/>
    </row>
    <row r="5289" spans="10:12" x14ac:dyDescent="0.3">
      <c r="J5289"/>
      <c r="L5289" s="4"/>
    </row>
    <row r="5290" spans="10:12" x14ac:dyDescent="0.3">
      <c r="J5290"/>
      <c r="L5290" s="4"/>
    </row>
    <row r="5291" spans="10:12" x14ac:dyDescent="0.3">
      <c r="J5291"/>
      <c r="L5291" s="4"/>
    </row>
    <row r="5292" spans="10:12" x14ac:dyDescent="0.3">
      <c r="J5292"/>
      <c r="L5292" s="4"/>
    </row>
    <row r="5293" spans="10:12" x14ac:dyDescent="0.3">
      <c r="J5293"/>
      <c r="L5293" s="4"/>
    </row>
    <row r="5294" spans="10:12" x14ac:dyDescent="0.3">
      <c r="J5294"/>
      <c r="L5294" s="4"/>
    </row>
    <row r="5295" spans="10:12" x14ac:dyDescent="0.3">
      <c r="J5295"/>
      <c r="L5295" s="4"/>
    </row>
    <row r="5296" spans="10:12" x14ac:dyDescent="0.3">
      <c r="J5296"/>
      <c r="L5296" s="4"/>
    </row>
    <row r="5297" spans="10:12" x14ac:dyDescent="0.3">
      <c r="J5297"/>
      <c r="L5297" s="4"/>
    </row>
    <row r="5298" spans="10:12" x14ac:dyDescent="0.3">
      <c r="J5298"/>
      <c r="L5298" s="4"/>
    </row>
    <row r="5299" spans="10:12" x14ac:dyDescent="0.3">
      <c r="J5299"/>
      <c r="L5299" s="4"/>
    </row>
    <row r="5300" spans="10:12" x14ac:dyDescent="0.3">
      <c r="J5300"/>
      <c r="L5300" s="4"/>
    </row>
    <row r="5301" spans="10:12" x14ac:dyDescent="0.3">
      <c r="J5301"/>
      <c r="L5301" s="4"/>
    </row>
    <row r="5302" spans="10:12" x14ac:dyDescent="0.3">
      <c r="J5302"/>
      <c r="L5302" s="4"/>
    </row>
    <row r="5303" spans="10:12" x14ac:dyDescent="0.3">
      <c r="J5303"/>
      <c r="L5303" s="4"/>
    </row>
    <row r="5304" spans="10:12" x14ac:dyDescent="0.3">
      <c r="J5304"/>
      <c r="L5304" s="4"/>
    </row>
    <row r="5305" spans="10:12" x14ac:dyDescent="0.3">
      <c r="J5305"/>
      <c r="L5305" s="4"/>
    </row>
    <row r="5306" spans="10:12" x14ac:dyDescent="0.3">
      <c r="J5306"/>
      <c r="L5306" s="4"/>
    </row>
    <row r="5307" spans="10:12" x14ac:dyDescent="0.3">
      <c r="J5307"/>
      <c r="L5307" s="4"/>
    </row>
    <row r="5308" spans="10:12" x14ac:dyDescent="0.3">
      <c r="J5308"/>
      <c r="L5308" s="4"/>
    </row>
    <row r="5309" spans="10:12" x14ac:dyDescent="0.3">
      <c r="J5309"/>
      <c r="L5309" s="4"/>
    </row>
    <row r="5310" spans="10:12" x14ac:dyDescent="0.3">
      <c r="J5310"/>
      <c r="L5310" s="4"/>
    </row>
    <row r="5311" spans="10:12" x14ac:dyDescent="0.3">
      <c r="J5311"/>
      <c r="L5311" s="4"/>
    </row>
    <row r="5312" spans="10:12" x14ac:dyDescent="0.3">
      <c r="J5312"/>
      <c r="L5312" s="4"/>
    </row>
    <row r="5313" spans="10:12" x14ac:dyDescent="0.3">
      <c r="J5313"/>
      <c r="L5313" s="4"/>
    </row>
    <row r="5314" spans="10:12" x14ac:dyDescent="0.3">
      <c r="J5314"/>
      <c r="L5314" s="4"/>
    </row>
    <row r="5315" spans="10:12" x14ac:dyDescent="0.3">
      <c r="J5315"/>
      <c r="L5315" s="4"/>
    </row>
    <row r="5316" spans="10:12" x14ac:dyDescent="0.3">
      <c r="J5316"/>
      <c r="L5316" s="4"/>
    </row>
    <row r="5317" spans="10:12" x14ac:dyDescent="0.3">
      <c r="J5317"/>
      <c r="L5317" s="4"/>
    </row>
    <row r="5318" spans="10:12" x14ac:dyDescent="0.3">
      <c r="J5318"/>
      <c r="L5318" s="4"/>
    </row>
    <row r="5319" spans="10:12" x14ac:dyDescent="0.3">
      <c r="J5319"/>
      <c r="L5319" s="4"/>
    </row>
    <row r="5320" spans="10:12" x14ac:dyDescent="0.3">
      <c r="J5320"/>
      <c r="L5320" s="4"/>
    </row>
    <row r="5321" spans="10:12" x14ac:dyDescent="0.3">
      <c r="J5321"/>
      <c r="L5321" s="4"/>
    </row>
    <row r="5322" spans="10:12" x14ac:dyDescent="0.3">
      <c r="J5322"/>
      <c r="L5322" s="4"/>
    </row>
    <row r="5323" spans="10:12" x14ac:dyDescent="0.3">
      <c r="J5323"/>
      <c r="L5323" s="4"/>
    </row>
    <row r="5324" spans="10:12" x14ac:dyDescent="0.3">
      <c r="J5324"/>
      <c r="L5324" s="4"/>
    </row>
    <row r="5325" spans="10:12" x14ac:dyDescent="0.3">
      <c r="J5325"/>
      <c r="L5325" s="4"/>
    </row>
    <row r="5326" spans="10:12" x14ac:dyDescent="0.3">
      <c r="J5326"/>
      <c r="L5326" s="4"/>
    </row>
    <row r="5327" spans="10:12" x14ac:dyDescent="0.3">
      <c r="J5327"/>
      <c r="L5327" s="4"/>
    </row>
    <row r="5328" spans="10:12" x14ac:dyDescent="0.3">
      <c r="J5328"/>
      <c r="L5328" s="4"/>
    </row>
    <row r="5329" spans="10:12" x14ac:dyDescent="0.3">
      <c r="J5329"/>
      <c r="L5329" s="4"/>
    </row>
    <row r="5330" spans="10:12" x14ac:dyDescent="0.3">
      <c r="J5330"/>
      <c r="L5330" s="4"/>
    </row>
    <row r="5331" spans="10:12" x14ac:dyDescent="0.3">
      <c r="J5331"/>
      <c r="L5331" s="4"/>
    </row>
    <row r="5332" spans="10:12" x14ac:dyDescent="0.3">
      <c r="J5332"/>
      <c r="L5332" s="4"/>
    </row>
    <row r="5333" spans="10:12" x14ac:dyDescent="0.3">
      <c r="J5333"/>
      <c r="L5333" s="4"/>
    </row>
    <row r="5334" spans="10:12" x14ac:dyDescent="0.3">
      <c r="J5334"/>
      <c r="L5334" s="4"/>
    </row>
    <row r="5335" spans="10:12" x14ac:dyDescent="0.3">
      <c r="J5335"/>
      <c r="L5335" s="4"/>
    </row>
    <row r="5336" spans="10:12" x14ac:dyDescent="0.3">
      <c r="J5336"/>
      <c r="L5336" s="4"/>
    </row>
    <row r="5337" spans="10:12" x14ac:dyDescent="0.3">
      <c r="J5337"/>
      <c r="L5337" s="4"/>
    </row>
    <row r="5338" spans="10:12" x14ac:dyDescent="0.3">
      <c r="J5338"/>
      <c r="L5338" s="4"/>
    </row>
    <row r="5339" spans="10:12" x14ac:dyDescent="0.3">
      <c r="J5339"/>
      <c r="L5339" s="4"/>
    </row>
    <row r="5340" spans="10:12" x14ac:dyDescent="0.3">
      <c r="J5340"/>
      <c r="L5340" s="4"/>
    </row>
    <row r="5341" spans="10:12" x14ac:dyDescent="0.3">
      <c r="J5341"/>
      <c r="L5341" s="4"/>
    </row>
    <row r="5342" spans="10:12" x14ac:dyDescent="0.3">
      <c r="J5342"/>
      <c r="L5342" s="4"/>
    </row>
    <row r="5343" spans="10:12" x14ac:dyDescent="0.3">
      <c r="J5343"/>
      <c r="L5343" s="4"/>
    </row>
    <row r="5344" spans="10:12" x14ac:dyDescent="0.3">
      <c r="J5344"/>
      <c r="L5344" s="4"/>
    </row>
    <row r="5345" spans="10:12" x14ac:dyDescent="0.3">
      <c r="J5345"/>
      <c r="L5345" s="4"/>
    </row>
    <row r="5346" spans="10:12" x14ac:dyDescent="0.3">
      <c r="J5346"/>
      <c r="L5346" s="4"/>
    </row>
    <row r="5347" spans="10:12" x14ac:dyDescent="0.3">
      <c r="J5347"/>
      <c r="L5347" s="4"/>
    </row>
    <row r="5348" spans="10:12" x14ac:dyDescent="0.3">
      <c r="J5348"/>
      <c r="L5348" s="4"/>
    </row>
    <row r="5349" spans="10:12" x14ac:dyDescent="0.3">
      <c r="J5349"/>
      <c r="L5349" s="4"/>
    </row>
    <row r="5350" spans="10:12" x14ac:dyDescent="0.3">
      <c r="J5350"/>
      <c r="L5350" s="4"/>
    </row>
    <row r="5351" spans="10:12" x14ac:dyDescent="0.3">
      <c r="J5351"/>
      <c r="L5351" s="4"/>
    </row>
    <row r="5352" spans="10:12" x14ac:dyDescent="0.3">
      <c r="J5352"/>
      <c r="L5352" s="4"/>
    </row>
    <row r="5353" spans="10:12" x14ac:dyDescent="0.3">
      <c r="J5353"/>
      <c r="L5353" s="4"/>
    </row>
    <row r="5354" spans="10:12" x14ac:dyDescent="0.3">
      <c r="J5354"/>
      <c r="L5354" s="4"/>
    </row>
    <row r="5355" spans="10:12" x14ac:dyDescent="0.3">
      <c r="J5355"/>
      <c r="L5355" s="4"/>
    </row>
    <row r="5356" spans="10:12" x14ac:dyDescent="0.3">
      <c r="J5356"/>
      <c r="L5356" s="4"/>
    </row>
    <row r="5357" spans="10:12" x14ac:dyDescent="0.3">
      <c r="J5357"/>
      <c r="L5357" s="4"/>
    </row>
    <row r="5358" spans="10:12" x14ac:dyDescent="0.3">
      <c r="J5358"/>
      <c r="L5358" s="4"/>
    </row>
    <row r="5359" spans="10:12" x14ac:dyDescent="0.3">
      <c r="J5359"/>
      <c r="L5359" s="4"/>
    </row>
    <row r="5360" spans="10:12" x14ac:dyDescent="0.3">
      <c r="J5360"/>
      <c r="L5360" s="4"/>
    </row>
    <row r="5361" spans="10:12" x14ac:dyDescent="0.3">
      <c r="J5361"/>
      <c r="L5361" s="4"/>
    </row>
    <row r="5362" spans="10:12" x14ac:dyDescent="0.3">
      <c r="J5362"/>
      <c r="L5362" s="4"/>
    </row>
    <row r="5363" spans="10:12" x14ac:dyDescent="0.3">
      <c r="J5363"/>
      <c r="L5363" s="4"/>
    </row>
    <row r="5364" spans="10:12" x14ac:dyDescent="0.3">
      <c r="J5364"/>
      <c r="L5364" s="4"/>
    </row>
    <row r="5365" spans="10:12" x14ac:dyDescent="0.3">
      <c r="J5365"/>
      <c r="L5365" s="4"/>
    </row>
    <row r="5366" spans="10:12" x14ac:dyDescent="0.3">
      <c r="J5366"/>
      <c r="L5366" s="4"/>
    </row>
    <row r="5367" spans="10:12" x14ac:dyDescent="0.3">
      <c r="J5367"/>
      <c r="L5367" s="4"/>
    </row>
    <row r="5368" spans="10:12" x14ac:dyDescent="0.3">
      <c r="J5368"/>
      <c r="L5368" s="4"/>
    </row>
    <row r="5369" spans="10:12" x14ac:dyDescent="0.3">
      <c r="J5369"/>
      <c r="L5369" s="4"/>
    </row>
    <row r="5370" spans="10:12" x14ac:dyDescent="0.3">
      <c r="J5370"/>
      <c r="L5370" s="4"/>
    </row>
    <row r="5371" spans="10:12" x14ac:dyDescent="0.3">
      <c r="J5371"/>
      <c r="L5371" s="4"/>
    </row>
    <row r="5372" spans="10:12" x14ac:dyDescent="0.3">
      <c r="J5372"/>
      <c r="L5372" s="4"/>
    </row>
    <row r="5373" spans="10:12" x14ac:dyDescent="0.3">
      <c r="J5373"/>
      <c r="L5373" s="4"/>
    </row>
    <row r="5374" spans="10:12" x14ac:dyDescent="0.3">
      <c r="J5374"/>
      <c r="L5374" s="4"/>
    </row>
    <row r="5375" spans="10:12" x14ac:dyDescent="0.3">
      <c r="J5375"/>
      <c r="L5375" s="4"/>
    </row>
    <row r="5376" spans="10:12" x14ac:dyDescent="0.3">
      <c r="J5376"/>
      <c r="L5376" s="4"/>
    </row>
    <row r="5377" spans="10:12" x14ac:dyDescent="0.3">
      <c r="J5377"/>
      <c r="L5377" s="4"/>
    </row>
    <row r="5378" spans="10:12" x14ac:dyDescent="0.3">
      <c r="J5378"/>
      <c r="L5378" s="4"/>
    </row>
    <row r="5379" spans="10:12" x14ac:dyDescent="0.3">
      <c r="J5379"/>
      <c r="L5379" s="4"/>
    </row>
    <row r="5380" spans="10:12" x14ac:dyDescent="0.3">
      <c r="J5380"/>
      <c r="L5380" s="4"/>
    </row>
    <row r="5381" spans="10:12" x14ac:dyDescent="0.3">
      <c r="J5381"/>
      <c r="L5381" s="4"/>
    </row>
    <row r="5382" spans="10:12" x14ac:dyDescent="0.3">
      <c r="J5382"/>
      <c r="L5382" s="4"/>
    </row>
    <row r="5383" spans="10:12" x14ac:dyDescent="0.3">
      <c r="J5383"/>
      <c r="L5383" s="4"/>
    </row>
    <row r="5384" spans="10:12" x14ac:dyDescent="0.3">
      <c r="J5384"/>
      <c r="L5384" s="4"/>
    </row>
    <row r="5385" spans="10:12" x14ac:dyDescent="0.3">
      <c r="J5385"/>
      <c r="L5385" s="4"/>
    </row>
    <row r="5386" spans="10:12" x14ac:dyDescent="0.3">
      <c r="J5386"/>
      <c r="L5386" s="4"/>
    </row>
    <row r="5387" spans="10:12" x14ac:dyDescent="0.3">
      <c r="J5387"/>
      <c r="L5387" s="4"/>
    </row>
    <row r="5388" spans="10:12" x14ac:dyDescent="0.3">
      <c r="J5388"/>
      <c r="L5388" s="4"/>
    </row>
    <row r="5389" spans="10:12" x14ac:dyDescent="0.3">
      <c r="J5389"/>
      <c r="L5389" s="4"/>
    </row>
    <row r="5390" spans="10:12" x14ac:dyDescent="0.3">
      <c r="J5390"/>
      <c r="L5390" s="4"/>
    </row>
    <row r="5391" spans="10:12" x14ac:dyDescent="0.3">
      <c r="J5391"/>
      <c r="L5391" s="4"/>
    </row>
    <row r="5392" spans="10:12" x14ac:dyDescent="0.3">
      <c r="J5392"/>
      <c r="L5392" s="4"/>
    </row>
    <row r="5393" spans="10:12" x14ac:dyDescent="0.3">
      <c r="J5393"/>
      <c r="L5393" s="4"/>
    </row>
    <row r="5394" spans="10:12" x14ac:dyDescent="0.3">
      <c r="J5394"/>
      <c r="L5394" s="4"/>
    </row>
    <row r="5395" spans="10:12" x14ac:dyDescent="0.3">
      <c r="J5395"/>
      <c r="L5395" s="4"/>
    </row>
    <row r="5396" spans="10:12" x14ac:dyDescent="0.3">
      <c r="J5396"/>
      <c r="L5396" s="4"/>
    </row>
    <row r="5397" spans="10:12" x14ac:dyDescent="0.3">
      <c r="J5397"/>
      <c r="L5397" s="4"/>
    </row>
    <row r="5398" spans="10:12" x14ac:dyDescent="0.3">
      <c r="J5398"/>
      <c r="L5398" s="4"/>
    </row>
    <row r="5399" spans="10:12" x14ac:dyDescent="0.3">
      <c r="J5399"/>
      <c r="L5399" s="4"/>
    </row>
    <row r="5400" spans="10:12" x14ac:dyDescent="0.3">
      <c r="J5400"/>
      <c r="L5400" s="4"/>
    </row>
    <row r="5401" spans="10:12" x14ac:dyDescent="0.3">
      <c r="J5401"/>
      <c r="L5401" s="4"/>
    </row>
    <row r="5402" spans="10:12" x14ac:dyDescent="0.3">
      <c r="J5402"/>
      <c r="L5402" s="4"/>
    </row>
    <row r="5403" spans="10:12" x14ac:dyDescent="0.3">
      <c r="J5403"/>
      <c r="L5403" s="4"/>
    </row>
    <row r="5404" spans="10:12" x14ac:dyDescent="0.3">
      <c r="J5404"/>
      <c r="L5404" s="4"/>
    </row>
    <row r="5405" spans="10:12" x14ac:dyDescent="0.3">
      <c r="J5405"/>
      <c r="L5405" s="4"/>
    </row>
    <row r="5406" spans="10:12" x14ac:dyDescent="0.3">
      <c r="J5406"/>
      <c r="L5406" s="4"/>
    </row>
    <row r="5407" spans="10:12" x14ac:dyDescent="0.3">
      <c r="J5407"/>
      <c r="L5407" s="4"/>
    </row>
    <row r="5408" spans="10:12" x14ac:dyDescent="0.3">
      <c r="J5408"/>
      <c r="L5408" s="4"/>
    </row>
    <row r="5409" spans="10:12" x14ac:dyDescent="0.3">
      <c r="J5409"/>
      <c r="L5409" s="4"/>
    </row>
    <row r="5410" spans="10:12" x14ac:dyDescent="0.3">
      <c r="J5410"/>
      <c r="L5410" s="4"/>
    </row>
    <row r="5411" spans="10:12" x14ac:dyDescent="0.3">
      <c r="J5411"/>
      <c r="L5411" s="4"/>
    </row>
    <row r="5412" spans="10:12" x14ac:dyDescent="0.3">
      <c r="J5412"/>
      <c r="L5412" s="4"/>
    </row>
    <row r="5413" spans="10:12" x14ac:dyDescent="0.3">
      <c r="J5413"/>
      <c r="L5413" s="4"/>
    </row>
    <row r="5414" spans="10:12" x14ac:dyDescent="0.3">
      <c r="J5414"/>
      <c r="L5414" s="4"/>
    </row>
    <row r="5415" spans="10:12" x14ac:dyDescent="0.3">
      <c r="J5415"/>
      <c r="L5415" s="4"/>
    </row>
    <row r="5416" spans="10:12" x14ac:dyDescent="0.3">
      <c r="J5416"/>
      <c r="L5416" s="4"/>
    </row>
    <row r="5417" spans="10:12" x14ac:dyDescent="0.3">
      <c r="J5417"/>
      <c r="L5417" s="4"/>
    </row>
    <row r="5418" spans="10:12" x14ac:dyDescent="0.3">
      <c r="J5418"/>
      <c r="L5418" s="4"/>
    </row>
    <row r="5419" spans="10:12" x14ac:dyDescent="0.3">
      <c r="J5419"/>
      <c r="L5419" s="4"/>
    </row>
    <row r="5420" spans="10:12" x14ac:dyDescent="0.3">
      <c r="J5420"/>
      <c r="L5420" s="4"/>
    </row>
    <row r="5421" spans="10:12" x14ac:dyDescent="0.3">
      <c r="J5421"/>
      <c r="L5421" s="4"/>
    </row>
    <row r="5422" spans="10:12" x14ac:dyDescent="0.3">
      <c r="J5422"/>
      <c r="L5422" s="4"/>
    </row>
    <row r="5423" spans="10:12" x14ac:dyDescent="0.3">
      <c r="J5423"/>
      <c r="L5423" s="4"/>
    </row>
    <row r="5424" spans="10:12" x14ac:dyDescent="0.3">
      <c r="J5424"/>
      <c r="L5424" s="4"/>
    </row>
    <row r="5425" spans="10:12" x14ac:dyDescent="0.3">
      <c r="J5425"/>
      <c r="L5425" s="4"/>
    </row>
    <row r="5426" spans="10:12" x14ac:dyDescent="0.3">
      <c r="J5426"/>
      <c r="L5426" s="4"/>
    </row>
    <row r="5427" spans="10:12" x14ac:dyDescent="0.3">
      <c r="J5427"/>
      <c r="L5427" s="4"/>
    </row>
    <row r="5428" spans="10:12" x14ac:dyDescent="0.3">
      <c r="J5428"/>
      <c r="L5428" s="4"/>
    </row>
    <row r="5429" spans="10:12" x14ac:dyDescent="0.3">
      <c r="J5429"/>
      <c r="L5429" s="4"/>
    </row>
    <row r="5430" spans="10:12" x14ac:dyDescent="0.3">
      <c r="J5430"/>
      <c r="L5430" s="4"/>
    </row>
    <row r="5431" spans="10:12" x14ac:dyDescent="0.3">
      <c r="J5431"/>
      <c r="L5431" s="4"/>
    </row>
    <row r="5432" spans="10:12" x14ac:dyDescent="0.3">
      <c r="J5432"/>
      <c r="L5432" s="4"/>
    </row>
    <row r="5433" spans="10:12" x14ac:dyDescent="0.3">
      <c r="J5433"/>
      <c r="L5433" s="4"/>
    </row>
    <row r="5434" spans="10:12" x14ac:dyDescent="0.3">
      <c r="J5434"/>
      <c r="L5434" s="4"/>
    </row>
    <row r="5435" spans="10:12" x14ac:dyDescent="0.3">
      <c r="J5435"/>
      <c r="L5435" s="4"/>
    </row>
    <row r="5436" spans="10:12" x14ac:dyDescent="0.3">
      <c r="J5436"/>
      <c r="L5436" s="4"/>
    </row>
    <row r="5437" spans="10:12" x14ac:dyDescent="0.3">
      <c r="J5437"/>
      <c r="L5437" s="4"/>
    </row>
    <row r="5438" spans="10:12" x14ac:dyDescent="0.3">
      <c r="J5438"/>
      <c r="L5438" s="4"/>
    </row>
    <row r="5439" spans="10:12" x14ac:dyDescent="0.3">
      <c r="J5439"/>
      <c r="L5439" s="4"/>
    </row>
    <row r="5440" spans="10:12" x14ac:dyDescent="0.3">
      <c r="J5440"/>
      <c r="L5440" s="4"/>
    </row>
    <row r="5441" spans="10:12" x14ac:dyDescent="0.3">
      <c r="J5441"/>
      <c r="L5441" s="4"/>
    </row>
    <row r="5442" spans="10:12" x14ac:dyDescent="0.3">
      <c r="J5442"/>
      <c r="L5442" s="4"/>
    </row>
    <row r="5443" spans="10:12" x14ac:dyDescent="0.3">
      <c r="J5443"/>
      <c r="L5443" s="4"/>
    </row>
    <row r="5444" spans="10:12" x14ac:dyDescent="0.3">
      <c r="J5444"/>
      <c r="L5444" s="4"/>
    </row>
    <row r="5445" spans="10:12" x14ac:dyDescent="0.3">
      <c r="J5445"/>
      <c r="L5445" s="4"/>
    </row>
    <row r="5446" spans="10:12" x14ac:dyDescent="0.3">
      <c r="J5446"/>
      <c r="L5446" s="4"/>
    </row>
    <row r="5447" spans="10:12" x14ac:dyDescent="0.3">
      <c r="J5447"/>
      <c r="L5447" s="4"/>
    </row>
    <row r="5448" spans="10:12" x14ac:dyDescent="0.3">
      <c r="J5448"/>
      <c r="L5448" s="4"/>
    </row>
    <row r="5449" spans="10:12" x14ac:dyDescent="0.3">
      <c r="J5449"/>
      <c r="L5449" s="4"/>
    </row>
    <row r="5450" spans="10:12" x14ac:dyDescent="0.3">
      <c r="J5450"/>
      <c r="L5450" s="4"/>
    </row>
    <row r="5451" spans="10:12" x14ac:dyDescent="0.3">
      <c r="J5451"/>
      <c r="L5451" s="4"/>
    </row>
    <row r="5452" spans="10:12" x14ac:dyDescent="0.3">
      <c r="J5452"/>
      <c r="L5452" s="4"/>
    </row>
    <row r="5453" spans="10:12" x14ac:dyDescent="0.3">
      <c r="J5453"/>
      <c r="L5453" s="4"/>
    </row>
    <row r="5454" spans="10:12" x14ac:dyDescent="0.3">
      <c r="J5454"/>
      <c r="L5454" s="4"/>
    </row>
    <row r="5455" spans="10:12" x14ac:dyDescent="0.3">
      <c r="J5455"/>
      <c r="L5455" s="4"/>
    </row>
    <row r="5456" spans="10:12" x14ac:dyDescent="0.3">
      <c r="J5456"/>
      <c r="L5456" s="4"/>
    </row>
    <row r="5457" spans="10:12" x14ac:dyDescent="0.3">
      <c r="J5457"/>
      <c r="L5457" s="4"/>
    </row>
    <row r="5458" spans="10:12" x14ac:dyDescent="0.3">
      <c r="J5458"/>
      <c r="L5458" s="4"/>
    </row>
    <row r="5459" spans="10:12" x14ac:dyDescent="0.3">
      <c r="J5459"/>
      <c r="L5459" s="4"/>
    </row>
    <row r="5460" spans="10:12" x14ac:dyDescent="0.3">
      <c r="J5460"/>
      <c r="L5460" s="4"/>
    </row>
    <row r="5461" spans="10:12" x14ac:dyDescent="0.3">
      <c r="J5461"/>
      <c r="L5461" s="4"/>
    </row>
    <row r="5462" spans="10:12" x14ac:dyDescent="0.3">
      <c r="J5462"/>
      <c r="L5462" s="4"/>
    </row>
    <row r="5463" spans="10:12" x14ac:dyDescent="0.3">
      <c r="J5463"/>
      <c r="L5463" s="4"/>
    </row>
    <row r="5464" spans="10:12" x14ac:dyDescent="0.3">
      <c r="J5464"/>
      <c r="L5464" s="4"/>
    </row>
    <row r="5465" spans="10:12" x14ac:dyDescent="0.3">
      <c r="J5465"/>
      <c r="L5465" s="4"/>
    </row>
    <row r="5466" spans="10:12" x14ac:dyDescent="0.3">
      <c r="J5466"/>
      <c r="L5466" s="4"/>
    </row>
    <row r="5467" spans="10:12" x14ac:dyDescent="0.3">
      <c r="J5467"/>
      <c r="L5467" s="4"/>
    </row>
    <row r="5468" spans="10:12" x14ac:dyDescent="0.3">
      <c r="J5468"/>
      <c r="L5468" s="4"/>
    </row>
    <row r="5469" spans="10:12" x14ac:dyDescent="0.3">
      <c r="J5469"/>
      <c r="L5469" s="4"/>
    </row>
    <row r="5470" spans="10:12" x14ac:dyDescent="0.3">
      <c r="J5470"/>
      <c r="L5470" s="4"/>
    </row>
    <row r="5471" spans="10:12" x14ac:dyDescent="0.3">
      <c r="J5471"/>
      <c r="L5471" s="4"/>
    </row>
    <row r="5472" spans="10:12" x14ac:dyDescent="0.3">
      <c r="J5472"/>
      <c r="L5472" s="4"/>
    </row>
    <row r="5473" spans="10:12" x14ac:dyDescent="0.3">
      <c r="J5473"/>
      <c r="L5473" s="4"/>
    </row>
    <row r="5474" spans="10:12" x14ac:dyDescent="0.3">
      <c r="J5474"/>
      <c r="L5474" s="4"/>
    </row>
    <row r="5475" spans="10:12" x14ac:dyDescent="0.3">
      <c r="J5475"/>
      <c r="L5475" s="4"/>
    </row>
    <row r="5476" spans="10:12" x14ac:dyDescent="0.3">
      <c r="J5476"/>
      <c r="L5476" s="4"/>
    </row>
    <row r="5477" spans="10:12" x14ac:dyDescent="0.3">
      <c r="J5477"/>
      <c r="L5477" s="4"/>
    </row>
    <row r="5478" spans="10:12" x14ac:dyDescent="0.3">
      <c r="J5478"/>
      <c r="L5478" s="4"/>
    </row>
    <row r="5479" spans="10:12" x14ac:dyDescent="0.3">
      <c r="J5479"/>
      <c r="L5479" s="4"/>
    </row>
    <row r="5480" spans="10:12" x14ac:dyDescent="0.3">
      <c r="J5480"/>
      <c r="L5480" s="4"/>
    </row>
    <row r="5481" spans="10:12" x14ac:dyDescent="0.3">
      <c r="J5481"/>
      <c r="L5481" s="4"/>
    </row>
    <row r="5482" spans="10:12" x14ac:dyDescent="0.3">
      <c r="J5482"/>
      <c r="L5482" s="4"/>
    </row>
    <row r="5483" spans="10:12" x14ac:dyDescent="0.3">
      <c r="J5483"/>
      <c r="L5483" s="4"/>
    </row>
    <row r="5484" spans="10:12" x14ac:dyDescent="0.3">
      <c r="J5484"/>
      <c r="L5484" s="4"/>
    </row>
    <row r="5485" spans="10:12" x14ac:dyDescent="0.3">
      <c r="J5485"/>
      <c r="L5485" s="4"/>
    </row>
    <row r="5486" spans="10:12" x14ac:dyDescent="0.3">
      <c r="J5486"/>
      <c r="L5486" s="4"/>
    </row>
    <row r="5487" spans="10:12" x14ac:dyDescent="0.3">
      <c r="J5487"/>
      <c r="L5487" s="4"/>
    </row>
    <row r="5488" spans="10:12" x14ac:dyDescent="0.3">
      <c r="J5488"/>
      <c r="L5488" s="4"/>
    </row>
    <row r="5489" spans="10:12" x14ac:dyDescent="0.3">
      <c r="J5489"/>
      <c r="L5489" s="4"/>
    </row>
    <row r="5490" spans="10:12" x14ac:dyDescent="0.3">
      <c r="J5490"/>
      <c r="L5490" s="4"/>
    </row>
    <row r="5491" spans="10:12" x14ac:dyDescent="0.3">
      <c r="J5491"/>
      <c r="L5491" s="4"/>
    </row>
    <row r="5492" spans="10:12" x14ac:dyDescent="0.3">
      <c r="J5492"/>
      <c r="L5492" s="4"/>
    </row>
    <row r="5493" spans="10:12" x14ac:dyDescent="0.3">
      <c r="J5493"/>
      <c r="L5493" s="4"/>
    </row>
    <row r="5494" spans="10:12" x14ac:dyDescent="0.3">
      <c r="J5494"/>
      <c r="L5494" s="4"/>
    </row>
    <row r="5495" spans="10:12" x14ac:dyDescent="0.3">
      <c r="J5495"/>
      <c r="L5495" s="4"/>
    </row>
    <row r="5496" spans="10:12" x14ac:dyDescent="0.3">
      <c r="J5496"/>
      <c r="L5496" s="4"/>
    </row>
    <row r="5497" spans="10:12" x14ac:dyDescent="0.3">
      <c r="J5497"/>
      <c r="L5497" s="4"/>
    </row>
    <row r="5498" spans="10:12" x14ac:dyDescent="0.3">
      <c r="J5498"/>
      <c r="L5498" s="4"/>
    </row>
    <row r="5499" spans="10:12" x14ac:dyDescent="0.3">
      <c r="J5499"/>
      <c r="L5499" s="4"/>
    </row>
    <row r="5500" spans="10:12" x14ac:dyDescent="0.3">
      <c r="J5500"/>
      <c r="L5500" s="4"/>
    </row>
    <row r="5501" spans="10:12" x14ac:dyDescent="0.3">
      <c r="J5501"/>
      <c r="L5501" s="4"/>
    </row>
    <row r="5502" spans="10:12" x14ac:dyDescent="0.3">
      <c r="J5502"/>
      <c r="L5502" s="4"/>
    </row>
    <row r="5503" spans="10:12" x14ac:dyDescent="0.3">
      <c r="J5503"/>
      <c r="L5503" s="4"/>
    </row>
    <row r="5504" spans="10:12" x14ac:dyDescent="0.3">
      <c r="J5504"/>
      <c r="L5504" s="4"/>
    </row>
    <row r="5505" spans="10:12" x14ac:dyDescent="0.3">
      <c r="J5505"/>
      <c r="L5505" s="4"/>
    </row>
    <row r="5506" spans="10:12" x14ac:dyDescent="0.3">
      <c r="J5506"/>
      <c r="L5506" s="4"/>
    </row>
    <row r="5507" spans="10:12" x14ac:dyDescent="0.3">
      <c r="J5507"/>
      <c r="L5507" s="4"/>
    </row>
    <row r="5508" spans="10:12" x14ac:dyDescent="0.3">
      <c r="J5508"/>
      <c r="L5508" s="4"/>
    </row>
    <row r="5509" spans="10:12" x14ac:dyDescent="0.3">
      <c r="J5509"/>
      <c r="L5509" s="4"/>
    </row>
    <row r="5510" spans="10:12" x14ac:dyDescent="0.3">
      <c r="J5510"/>
      <c r="L5510" s="4"/>
    </row>
    <row r="5511" spans="10:12" x14ac:dyDescent="0.3">
      <c r="J5511"/>
      <c r="L5511" s="4"/>
    </row>
    <row r="5512" spans="10:12" x14ac:dyDescent="0.3">
      <c r="J5512"/>
      <c r="L5512" s="4"/>
    </row>
    <row r="5513" spans="10:12" x14ac:dyDescent="0.3">
      <c r="J5513"/>
      <c r="L5513" s="4"/>
    </row>
    <row r="5514" spans="10:12" x14ac:dyDescent="0.3">
      <c r="J5514"/>
      <c r="L5514" s="4"/>
    </row>
    <row r="5515" spans="10:12" x14ac:dyDescent="0.3">
      <c r="J5515"/>
      <c r="L5515" s="4"/>
    </row>
    <row r="5516" spans="10:12" x14ac:dyDescent="0.3">
      <c r="J5516"/>
      <c r="L5516" s="4"/>
    </row>
    <row r="5517" spans="10:12" x14ac:dyDescent="0.3">
      <c r="J5517"/>
      <c r="L5517" s="4"/>
    </row>
    <row r="5518" spans="10:12" x14ac:dyDescent="0.3">
      <c r="J5518"/>
      <c r="L5518" s="4"/>
    </row>
    <row r="5519" spans="10:12" x14ac:dyDescent="0.3">
      <c r="J5519"/>
      <c r="L5519" s="4"/>
    </row>
    <row r="5520" spans="10:12" x14ac:dyDescent="0.3">
      <c r="J5520"/>
      <c r="L5520" s="4"/>
    </row>
    <row r="5521" spans="10:12" x14ac:dyDescent="0.3">
      <c r="J5521"/>
      <c r="L5521" s="4"/>
    </row>
    <row r="5522" spans="10:12" x14ac:dyDescent="0.3">
      <c r="J5522"/>
      <c r="L5522" s="4"/>
    </row>
    <row r="5523" spans="10:12" x14ac:dyDescent="0.3">
      <c r="J5523"/>
      <c r="L5523" s="4"/>
    </row>
    <row r="5524" spans="10:12" x14ac:dyDescent="0.3">
      <c r="J5524"/>
      <c r="L5524" s="4"/>
    </row>
    <row r="5525" spans="10:12" x14ac:dyDescent="0.3">
      <c r="J5525"/>
      <c r="L5525" s="4"/>
    </row>
    <row r="5526" spans="10:12" x14ac:dyDescent="0.3">
      <c r="J5526"/>
      <c r="L5526" s="4"/>
    </row>
    <row r="5527" spans="10:12" x14ac:dyDescent="0.3">
      <c r="J5527"/>
      <c r="L5527" s="4"/>
    </row>
    <row r="5528" spans="10:12" x14ac:dyDescent="0.3">
      <c r="J5528"/>
      <c r="L5528" s="4"/>
    </row>
    <row r="5529" spans="10:12" x14ac:dyDescent="0.3">
      <c r="J5529"/>
      <c r="L5529" s="4"/>
    </row>
    <row r="5530" spans="10:12" x14ac:dyDescent="0.3">
      <c r="J5530"/>
      <c r="L5530" s="4"/>
    </row>
    <row r="5531" spans="10:12" x14ac:dyDescent="0.3">
      <c r="J5531"/>
      <c r="L5531" s="4"/>
    </row>
    <row r="5532" spans="10:12" x14ac:dyDescent="0.3">
      <c r="J5532"/>
      <c r="L5532" s="4"/>
    </row>
    <row r="5533" spans="10:12" x14ac:dyDescent="0.3">
      <c r="J5533"/>
      <c r="L5533" s="4"/>
    </row>
    <row r="5534" spans="10:12" x14ac:dyDescent="0.3">
      <c r="J5534"/>
      <c r="L5534" s="4"/>
    </row>
    <row r="5535" spans="10:12" x14ac:dyDescent="0.3">
      <c r="J5535"/>
      <c r="L5535" s="4"/>
    </row>
    <row r="5536" spans="10:12" x14ac:dyDescent="0.3">
      <c r="J5536"/>
      <c r="L5536" s="4"/>
    </row>
    <row r="5537" spans="10:12" x14ac:dyDescent="0.3">
      <c r="J5537"/>
      <c r="L5537" s="4"/>
    </row>
    <row r="5538" spans="10:12" x14ac:dyDescent="0.3">
      <c r="J5538"/>
      <c r="L5538" s="4"/>
    </row>
    <row r="5539" spans="10:12" x14ac:dyDescent="0.3">
      <c r="J5539"/>
      <c r="L5539" s="4"/>
    </row>
    <row r="5540" spans="10:12" x14ac:dyDescent="0.3">
      <c r="J5540"/>
      <c r="L5540" s="4"/>
    </row>
    <row r="5541" spans="10:12" x14ac:dyDescent="0.3">
      <c r="J5541"/>
      <c r="L5541" s="4"/>
    </row>
    <row r="5542" spans="10:12" x14ac:dyDescent="0.3">
      <c r="J5542"/>
      <c r="L5542" s="4"/>
    </row>
    <row r="5543" spans="10:12" x14ac:dyDescent="0.3">
      <c r="J5543"/>
      <c r="L5543" s="4"/>
    </row>
    <row r="5544" spans="10:12" x14ac:dyDescent="0.3">
      <c r="J5544"/>
      <c r="L5544" s="4"/>
    </row>
    <row r="5545" spans="10:12" x14ac:dyDescent="0.3">
      <c r="J5545"/>
      <c r="L5545" s="4"/>
    </row>
    <row r="5546" spans="10:12" x14ac:dyDescent="0.3">
      <c r="J5546"/>
      <c r="L5546" s="4"/>
    </row>
    <row r="5547" spans="10:12" x14ac:dyDescent="0.3">
      <c r="J5547"/>
      <c r="L5547" s="4"/>
    </row>
    <row r="5548" spans="10:12" x14ac:dyDescent="0.3">
      <c r="J5548"/>
      <c r="L5548" s="4"/>
    </row>
    <row r="5549" spans="10:12" x14ac:dyDescent="0.3">
      <c r="J5549"/>
      <c r="L5549" s="4"/>
    </row>
    <row r="5550" spans="10:12" x14ac:dyDescent="0.3">
      <c r="J5550"/>
      <c r="L5550" s="4"/>
    </row>
    <row r="5551" spans="10:12" x14ac:dyDescent="0.3">
      <c r="J5551"/>
      <c r="L5551" s="4"/>
    </row>
    <row r="5552" spans="10:12" x14ac:dyDescent="0.3">
      <c r="J5552"/>
      <c r="L5552" s="4"/>
    </row>
    <row r="5553" spans="10:12" x14ac:dyDescent="0.3">
      <c r="J5553"/>
      <c r="L5553" s="4"/>
    </row>
    <row r="5554" spans="10:12" x14ac:dyDescent="0.3">
      <c r="J5554"/>
      <c r="L5554" s="4"/>
    </row>
    <row r="5555" spans="10:12" x14ac:dyDescent="0.3">
      <c r="J5555"/>
      <c r="L5555" s="4"/>
    </row>
    <row r="5556" spans="10:12" x14ac:dyDescent="0.3">
      <c r="J5556"/>
      <c r="L5556" s="4"/>
    </row>
    <row r="5557" spans="10:12" x14ac:dyDescent="0.3">
      <c r="J5557"/>
      <c r="L5557" s="4"/>
    </row>
    <row r="5558" spans="10:12" x14ac:dyDescent="0.3">
      <c r="J5558"/>
      <c r="L5558" s="4"/>
    </row>
    <row r="5559" spans="10:12" x14ac:dyDescent="0.3">
      <c r="J5559"/>
      <c r="L5559" s="4"/>
    </row>
    <row r="5560" spans="10:12" x14ac:dyDescent="0.3">
      <c r="J5560"/>
      <c r="L5560" s="4"/>
    </row>
    <row r="5561" spans="10:12" x14ac:dyDescent="0.3">
      <c r="J5561"/>
      <c r="L5561" s="4"/>
    </row>
    <row r="5562" spans="10:12" x14ac:dyDescent="0.3">
      <c r="J5562"/>
      <c r="L5562" s="4"/>
    </row>
    <row r="5563" spans="10:12" x14ac:dyDescent="0.3">
      <c r="J5563"/>
      <c r="L5563" s="4"/>
    </row>
    <row r="5564" spans="10:12" x14ac:dyDescent="0.3">
      <c r="J5564"/>
      <c r="L5564" s="4"/>
    </row>
    <row r="5565" spans="10:12" x14ac:dyDescent="0.3">
      <c r="J5565"/>
      <c r="L5565" s="4"/>
    </row>
    <row r="5566" spans="10:12" x14ac:dyDescent="0.3">
      <c r="J5566"/>
      <c r="L5566" s="4"/>
    </row>
    <row r="5567" spans="10:12" x14ac:dyDescent="0.3">
      <c r="J5567"/>
      <c r="L5567" s="4"/>
    </row>
    <row r="5568" spans="10:12" x14ac:dyDescent="0.3">
      <c r="J5568"/>
      <c r="L5568" s="4"/>
    </row>
    <row r="5569" spans="10:12" x14ac:dyDescent="0.3">
      <c r="J5569"/>
      <c r="L5569" s="4"/>
    </row>
    <row r="5570" spans="10:12" x14ac:dyDescent="0.3">
      <c r="J5570"/>
      <c r="L5570" s="4"/>
    </row>
    <row r="5571" spans="10:12" x14ac:dyDescent="0.3">
      <c r="J5571"/>
      <c r="L5571" s="4"/>
    </row>
    <row r="5572" spans="10:12" x14ac:dyDescent="0.3">
      <c r="J5572"/>
      <c r="L5572" s="4"/>
    </row>
    <row r="5573" spans="10:12" x14ac:dyDescent="0.3">
      <c r="J5573"/>
      <c r="L5573" s="4"/>
    </row>
    <row r="5574" spans="10:12" x14ac:dyDescent="0.3">
      <c r="J5574"/>
      <c r="L5574" s="4"/>
    </row>
    <row r="5575" spans="10:12" x14ac:dyDescent="0.3">
      <c r="J5575"/>
      <c r="L5575" s="4"/>
    </row>
    <row r="5576" spans="10:12" x14ac:dyDescent="0.3">
      <c r="J5576"/>
      <c r="L5576" s="4"/>
    </row>
    <row r="5577" spans="10:12" x14ac:dyDescent="0.3">
      <c r="J5577"/>
      <c r="L5577" s="4"/>
    </row>
    <row r="5578" spans="10:12" x14ac:dyDescent="0.3">
      <c r="J5578"/>
      <c r="L5578" s="4"/>
    </row>
    <row r="5579" spans="10:12" x14ac:dyDescent="0.3">
      <c r="J5579"/>
      <c r="L5579" s="4"/>
    </row>
    <row r="5580" spans="10:12" x14ac:dyDescent="0.3">
      <c r="J5580"/>
      <c r="L5580" s="4"/>
    </row>
    <row r="5581" spans="10:12" x14ac:dyDescent="0.3">
      <c r="J5581"/>
      <c r="L5581" s="4"/>
    </row>
    <row r="5582" spans="10:12" x14ac:dyDescent="0.3">
      <c r="J5582"/>
      <c r="L5582" s="4"/>
    </row>
    <row r="5583" spans="10:12" x14ac:dyDescent="0.3">
      <c r="J5583"/>
      <c r="L5583" s="4"/>
    </row>
    <row r="5584" spans="10:12" x14ac:dyDescent="0.3">
      <c r="J5584"/>
      <c r="L5584" s="4"/>
    </row>
    <row r="5585" spans="10:12" x14ac:dyDescent="0.3">
      <c r="J5585"/>
      <c r="L5585" s="4"/>
    </row>
    <row r="5586" spans="10:12" x14ac:dyDescent="0.3">
      <c r="J5586"/>
      <c r="L5586" s="4"/>
    </row>
    <row r="5587" spans="10:12" x14ac:dyDescent="0.3">
      <c r="J5587"/>
      <c r="L5587" s="4"/>
    </row>
    <row r="5588" spans="10:12" x14ac:dyDescent="0.3">
      <c r="J5588"/>
      <c r="L5588" s="4"/>
    </row>
    <row r="5589" spans="10:12" x14ac:dyDescent="0.3">
      <c r="J5589"/>
      <c r="L5589" s="4"/>
    </row>
    <row r="5590" spans="10:12" x14ac:dyDescent="0.3">
      <c r="J5590"/>
      <c r="L5590" s="4"/>
    </row>
    <row r="5591" spans="10:12" x14ac:dyDescent="0.3">
      <c r="J5591"/>
      <c r="L5591" s="4"/>
    </row>
    <row r="5592" spans="10:12" x14ac:dyDescent="0.3">
      <c r="J5592"/>
      <c r="L5592" s="4"/>
    </row>
    <row r="5593" spans="10:12" x14ac:dyDescent="0.3">
      <c r="J5593"/>
      <c r="L5593" s="4"/>
    </row>
    <row r="5594" spans="10:12" x14ac:dyDescent="0.3">
      <c r="J5594"/>
      <c r="L5594" s="4"/>
    </row>
    <row r="5595" spans="10:12" x14ac:dyDescent="0.3">
      <c r="J5595"/>
      <c r="L5595" s="4"/>
    </row>
    <row r="5596" spans="10:12" x14ac:dyDescent="0.3">
      <c r="J5596"/>
      <c r="L5596" s="4"/>
    </row>
    <row r="5597" spans="10:12" x14ac:dyDescent="0.3">
      <c r="J5597"/>
      <c r="L5597" s="4"/>
    </row>
    <row r="5598" spans="10:12" x14ac:dyDescent="0.3">
      <c r="J5598"/>
      <c r="L5598" s="4"/>
    </row>
    <row r="5599" spans="10:12" x14ac:dyDescent="0.3">
      <c r="J5599"/>
      <c r="L5599" s="4"/>
    </row>
    <row r="5600" spans="10:12" x14ac:dyDescent="0.3">
      <c r="J5600"/>
      <c r="L5600" s="4"/>
    </row>
    <row r="5601" spans="10:12" x14ac:dyDescent="0.3">
      <c r="J5601"/>
      <c r="L5601" s="4"/>
    </row>
    <row r="5602" spans="10:12" x14ac:dyDescent="0.3">
      <c r="J5602"/>
      <c r="L5602" s="4"/>
    </row>
    <row r="5603" spans="10:12" x14ac:dyDescent="0.3">
      <c r="J5603"/>
      <c r="L5603" s="4"/>
    </row>
    <row r="5604" spans="10:12" x14ac:dyDescent="0.3">
      <c r="J5604"/>
      <c r="L5604" s="4"/>
    </row>
    <row r="5605" spans="10:12" x14ac:dyDescent="0.3">
      <c r="J5605"/>
      <c r="L5605" s="4"/>
    </row>
    <row r="5606" spans="10:12" x14ac:dyDescent="0.3">
      <c r="J5606"/>
      <c r="L5606" s="4"/>
    </row>
    <row r="5607" spans="10:12" x14ac:dyDescent="0.3">
      <c r="J5607"/>
      <c r="L5607" s="4"/>
    </row>
    <row r="5608" spans="10:12" x14ac:dyDescent="0.3">
      <c r="J5608"/>
      <c r="L5608" s="4"/>
    </row>
    <row r="5609" spans="10:12" x14ac:dyDescent="0.3">
      <c r="J5609"/>
      <c r="L5609" s="4"/>
    </row>
    <row r="5610" spans="10:12" x14ac:dyDescent="0.3">
      <c r="J5610"/>
      <c r="L5610" s="4"/>
    </row>
    <row r="5611" spans="10:12" x14ac:dyDescent="0.3">
      <c r="J5611"/>
      <c r="L5611" s="4"/>
    </row>
    <row r="5612" spans="10:12" x14ac:dyDescent="0.3">
      <c r="J5612"/>
      <c r="L5612" s="4"/>
    </row>
    <row r="5613" spans="10:12" x14ac:dyDescent="0.3">
      <c r="J5613"/>
      <c r="L5613" s="4"/>
    </row>
    <row r="5614" spans="10:12" x14ac:dyDescent="0.3">
      <c r="J5614"/>
      <c r="L5614" s="4"/>
    </row>
    <row r="5615" spans="10:12" x14ac:dyDescent="0.3">
      <c r="J5615"/>
      <c r="L5615" s="4"/>
    </row>
    <row r="5616" spans="10:12" x14ac:dyDescent="0.3">
      <c r="J5616"/>
      <c r="L5616" s="4"/>
    </row>
    <row r="5617" spans="10:12" x14ac:dyDescent="0.3">
      <c r="J5617"/>
      <c r="L5617" s="4"/>
    </row>
    <row r="5618" spans="10:12" x14ac:dyDescent="0.3">
      <c r="J5618"/>
      <c r="L5618" s="4"/>
    </row>
    <row r="5619" spans="10:12" x14ac:dyDescent="0.3">
      <c r="J5619"/>
      <c r="L5619" s="4"/>
    </row>
    <row r="5620" spans="10:12" x14ac:dyDescent="0.3">
      <c r="J5620"/>
      <c r="L5620" s="4"/>
    </row>
    <row r="5621" spans="10:12" x14ac:dyDescent="0.3">
      <c r="J5621"/>
      <c r="L5621" s="4"/>
    </row>
    <row r="5622" spans="10:12" x14ac:dyDescent="0.3">
      <c r="J5622"/>
      <c r="L5622" s="4"/>
    </row>
    <row r="5623" spans="10:12" x14ac:dyDescent="0.3">
      <c r="J5623"/>
      <c r="L5623" s="4"/>
    </row>
    <row r="5624" spans="10:12" x14ac:dyDescent="0.3">
      <c r="J5624"/>
      <c r="L5624" s="4"/>
    </row>
    <row r="5625" spans="10:12" x14ac:dyDescent="0.3">
      <c r="J5625"/>
      <c r="L5625" s="4"/>
    </row>
    <row r="5626" spans="10:12" x14ac:dyDescent="0.3">
      <c r="J5626"/>
      <c r="L5626" s="4"/>
    </row>
    <row r="5627" spans="10:12" x14ac:dyDescent="0.3">
      <c r="J5627"/>
      <c r="L5627" s="4"/>
    </row>
    <row r="5628" spans="10:12" x14ac:dyDescent="0.3">
      <c r="J5628"/>
      <c r="L5628" s="4"/>
    </row>
    <row r="5629" spans="10:12" x14ac:dyDescent="0.3">
      <c r="J5629"/>
      <c r="L5629" s="4"/>
    </row>
    <row r="5630" spans="10:12" x14ac:dyDescent="0.3">
      <c r="J5630"/>
      <c r="L5630" s="4"/>
    </row>
    <row r="5631" spans="10:12" x14ac:dyDescent="0.3">
      <c r="J5631"/>
      <c r="L5631" s="4"/>
    </row>
    <row r="5632" spans="10:12" x14ac:dyDescent="0.3">
      <c r="J5632"/>
      <c r="L5632" s="4"/>
    </row>
    <row r="5633" spans="10:12" x14ac:dyDescent="0.3">
      <c r="J5633"/>
      <c r="L5633" s="4"/>
    </row>
    <row r="5634" spans="10:12" x14ac:dyDescent="0.3">
      <c r="J5634"/>
      <c r="L5634" s="4"/>
    </row>
    <row r="5635" spans="10:12" x14ac:dyDescent="0.3">
      <c r="J5635"/>
      <c r="L5635" s="4"/>
    </row>
    <row r="5636" spans="10:12" x14ac:dyDescent="0.3">
      <c r="J5636"/>
      <c r="L5636" s="4"/>
    </row>
    <row r="5637" spans="10:12" x14ac:dyDescent="0.3">
      <c r="J5637"/>
      <c r="L5637" s="4"/>
    </row>
    <row r="5638" spans="10:12" x14ac:dyDescent="0.3">
      <c r="J5638"/>
      <c r="L5638" s="4"/>
    </row>
    <row r="5639" spans="10:12" x14ac:dyDescent="0.3">
      <c r="J5639"/>
      <c r="L5639" s="4"/>
    </row>
    <row r="5640" spans="10:12" x14ac:dyDescent="0.3">
      <c r="J5640"/>
      <c r="L5640" s="4"/>
    </row>
    <row r="5641" spans="10:12" x14ac:dyDescent="0.3">
      <c r="J5641"/>
      <c r="L5641" s="4"/>
    </row>
    <row r="5642" spans="10:12" x14ac:dyDescent="0.3">
      <c r="J5642"/>
      <c r="L5642" s="4"/>
    </row>
    <row r="5643" spans="10:12" x14ac:dyDescent="0.3">
      <c r="J5643"/>
      <c r="L5643" s="4"/>
    </row>
    <row r="5644" spans="10:12" x14ac:dyDescent="0.3">
      <c r="J5644"/>
      <c r="L5644" s="4"/>
    </row>
    <row r="5645" spans="10:12" x14ac:dyDescent="0.3">
      <c r="J5645"/>
      <c r="L5645" s="4"/>
    </row>
    <row r="5646" spans="10:12" x14ac:dyDescent="0.3">
      <c r="J5646"/>
      <c r="L5646" s="4"/>
    </row>
    <row r="5647" spans="10:12" x14ac:dyDescent="0.3">
      <c r="J5647"/>
      <c r="L5647" s="4"/>
    </row>
    <row r="5648" spans="10:12" x14ac:dyDescent="0.3">
      <c r="J5648"/>
      <c r="L5648" s="4"/>
    </row>
    <row r="5649" spans="10:12" x14ac:dyDescent="0.3">
      <c r="J5649"/>
      <c r="L5649" s="4"/>
    </row>
    <row r="5650" spans="10:12" x14ac:dyDescent="0.3">
      <c r="J5650"/>
      <c r="L5650" s="4"/>
    </row>
    <row r="5651" spans="10:12" x14ac:dyDescent="0.3">
      <c r="J5651"/>
      <c r="L5651" s="4"/>
    </row>
    <row r="5652" spans="10:12" x14ac:dyDescent="0.3">
      <c r="J5652"/>
      <c r="L5652" s="4"/>
    </row>
    <row r="5653" spans="10:12" x14ac:dyDescent="0.3">
      <c r="J5653"/>
      <c r="L5653" s="4"/>
    </row>
    <row r="5654" spans="10:12" x14ac:dyDescent="0.3">
      <c r="J5654"/>
      <c r="L5654" s="4"/>
    </row>
    <row r="5655" spans="10:12" x14ac:dyDescent="0.3">
      <c r="J5655"/>
      <c r="L5655" s="4"/>
    </row>
    <row r="5656" spans="10:12" x14ac:dyDescent="0.3">
      <c r="J5656"/>
      <c r="L5656" s="4"/>
    </row>
    <row r="5657" spans="10:12" x14ac:dyDescent="0.3">
      <c r="J5657"/>
      <c r="L5657" s="4"/>
    </row>
    <row r="5658" spans="10:12" x14ac:dyDescent="0.3">
      <c r="J5658"/>
      <c r="L5658" s="4"/>
    </row>
    <row r="5659" spans="10:12" x14ac:dyDescent="0.3">
      <c r="J5659"/>
      <c r="L5659" s="4"/>
    </row>
    <row r="5660" spans="10:12" x14ac:dyDescent="0.3">
      <c r="J5660"/>
      <c r="L5660" s="4"/>
    </row>
    <row r="5661" spans="10:12" x14ac:dyDescent="0.3">
      <c r="J5661"/>
      <c r="L5661" s="4"/>
    </row>
    <row r="5662" spans="10:12" x14ac:dyDescent="0.3">
      <c r="J5662"/>
      <c r="L5662" s="4"/>
    </row>
    <row r="5663" spans="10:12" x14ac:dyDescent="0.3">
      <c r="J5663"/>
      <c r="L5663" s="4"/>
    </row>
    <row r="5664" spans="10:12" x14ac:dyDescent="0.3">
      <c r="J5664"/>
      <c r="L5664" s="4"/>
    </row>
    <row r="5665" spans="10:12" x14ac:dyDescent="0.3">
      <c r="J5665"/>
      <c r="L5665" s="4"/>
    </row>
    <row r="5666" spans="10:12" x14ac:dyDescent="0.3">
      <c r="J5666"/>
      <c r="L5666" s="4"/>
    </row>
    <row r="5667" spans="10:12" x14ac:dyDescent="0.3">
      <c r="J5667"/>
      <c r="L5667" s="4"/>
    </row>
    <row r="5668" spans="10:12" x14ac:dyDescent="0.3">
      <c r="J5668"/>
      <c r="L5668" s="4"/>
    </row>
    <row r="5669" spans="10:12" x14ac:dyDescent="0.3">
      <c r="J5669"/>
      <c r="L5669" s="4"/>
    </row>
    <row r="5670" spans="10:12" x14ac:dyDescent="0.3">
      <c r="J5670"/>
      <c r="L5670" s="4"/>
    </row>
    <row r="5671" spans="10:12" x14ac:dyDescent="0.3">
      <c r="J5671"/>
      <c r="L5671" s="4"/>
    </row>
    <row r="5672" spans="10:12" x14ac:dyDescent="0.3">
      <c r="J5672"/>
      <c r="L5672" s="4"/>
    </row>
    <row r="5673" spans="10:12" x14ac:dyDescent="0.3">
      <c r="J5673"/>
      <c r="L5673" s="4"/>
    </row>
    <row r="5674" spans="10:12" x14ac:dyDescent="0.3">
      <c r="J5674"/>
      <c r="L5674" s="4"/>
    </row>
    <row r="5675" spans="10:12" x14ac:dyDescent="0.3">
      <c r="J5675"/>
      <c r="L5675" s="4"/>
    </row>
    <row r="5676" spans="10:12" x14ac:dyDescent="0.3">
      <c r="J5676"/>
      <c r="L5676" s="4"/>
    </row>
    <row r="5677" spans="10:12" x14ac:dyDescent="0.3">
      <c r="J5677"/>
      <c r="L5677" s="4"/>
    </row>
    <row r="5678" spans="10:12" x14ac:dyDescent="0.3">
      <c r="J5678"/>
      <c r="L5678" s="4"/>
    </row>
    <row r="5679" spans="10:12" x14ac:dyDescent="0.3">
      <c r="J5679"/>
      <c r="L5679" s="4"/>
    </row>
    <row r="5680" spans="10:12" x14ac:dyDescent="0.3">
      <c r="J5680"/>
      <c r="L5680" s="4"/>
    </row>
    <row r="5681" spans="10:12" x14ac:dyDescent="0.3">
      <c r="J5681"/>
      <c r="L5681" s="4"/>
    </row>
    <row r="5682" spans="10:12" x14ac:dyDescent="0.3">
      <c r="J5682"/>
      <c r="L5682" s="4"/>
    </row>
    <row r="5683" spans="10:12" x14ac:dyDescent="0.3">
      <c r="J5683"/>
      <c r="L5683" s="4"/>
    </row>
    <row r="5684" spans="10:12" x14ac:dyDescent="0.3">
      <c r="J5684"/>
      <c r="L5684" s="4"/>
    </row>
    <row r="5685" spans="10:12" x14ac:dyDescent="0.3">
      <c r="J5685"/>
      <c r="L5685" s="4"/>
    </row>
    <row r="5686" spans="10:12" x14ac:dyDescent="0.3">
      <c r="J5686"/>
      <c r="L5686" s="4"/>
    </row>
    <row r="5687" spans="10:12" x14ac:dyDescent="0.3">
      <c r="J5687"/>
      <c r="L5687" s="4"/>
    </row>
    <row r="5688" spans="10:12" x14ac:dyDescent="0.3">
      <c r="J5688"/>
      <c r="L5688" s="4"/>
    </row>
    <row r="5689" spans="10:12" x14ac:dyDescent="0.3">
      <c r="J5689"/>
      <c r="L5689" s="4"/>
    </row>
    <row r="5690" spans="10:12" x14ac:dyDescent="0.3">
      <c r="J5690"/>
      <c r="L5690" s="4"/>
    </row>
    <row r="5691" spans="10:12" x14ac:dyDescent="0.3">
      <c r="J5691"/>
      <c r="L5691" s="4"/>
    </row>
    <row r="5692" spans="10:12" x14ac:dyDescent="0.3">
      <c r="J5692"/>
      <c r="L5692" s="4"/>
    </row>
    <row r="5693" spans="10:12" x14ac:dyDescent="0.3">
      <c r="J5693"/>
      <c r="L5693" s="4"/>
    </row>
    <row r="5694" spans="10:12" x14ac:dyDescent="0.3">
      <c r="J5694"/>
      <c r="L5694" s="4"/>
    </row>
    <row r="5695" spans="10:12" x14ac:dyDescent="0.3">
      <c r="J5695"/>
      <c r="L5695" s="4"/>
    </row>
    <row r="5696" spans="10:12" x14ac:dyDescent="0.3">
      <c r="J5696"/>
      <c r="L5696" s="4"/>
    </row>
    <row r="5697" spans="10:12" x14ac:dyDescent="0.3">
      <c r="J5697"/>
      <c r="L5697" s="4"/>
    </row>
    <row r="5698" spans="10:12" x14ac:dyDescent="0.3">
      <c r="J5698"/>
      <c r="L5698" s="4"/>
    </row>
    <row r="5699" spans="10:12" x14ac:dyDescent="0.3">
      <c r="J5699"/>
      <c r="L5699" s="4"/>
    </row>
    <row r="5700" spans="10:12" x14ac:dyDescent="0.3">
      <c r="J5700"/>
      <c r="L5700" s="4"/>
    </row>
    <row r="5701" spans="10:12" x14ac:dyDescent="0.3">
      <c r="J5701"/>
      <c r="L5701" s="4"/>
    </row>
    <row r="5702" spans="10:12" x14ac:dyDescent="0.3">
      <c r="J5702"/>
      <c r="L5702" s="4"/>
    </row>
    <row r="5703" spans="10:12" x14ac:dyDescent="0.3">
      <c r="J5703"/>
      <c r="L5703" s="4"/>
    </row>
    <row r="5704" spans="10:12" x14ac:dyDescent="0.3">
      <c r="J5704"/>
      <c r="L5704" s="4"/>
    </row>
    <row r="5705" spans="10:12" x14ac:dyDescent="0.3">
      <c r="J5705"/>
      <c r="L5705" s="4"/>
    </row>
    <row r="5706" spans="10:12" x14ac:dyDescent="0.3">
      <c r="J5706"/>
      <c r="L5706" s="4"/>
    </row>
    <row r="5707" spans="10:12" x14ac:dyDescent="0.3">
      <c r="J5707"/>
      <c r="L5707" s="4"/>
    </row>
    <row r="5708" spans="10:12" x14ac:dyDescent="0.3">
      <c r="J5708"/>
      <c r="L5708" s="4"/>
    </row>
    <row r="5709" spans="10:12" x14ac:dyDescent="0.3">
      <c r="J5709"/>
      <c r="L5709" s="4"/>
    </row>
    <row r="5710" spans="10:12" x14ac:dyDescent="0.3">
      <c r="J5710"/>
      <c r="L5710" s="4"/>
    </row>
    <row r="5711" spans="10:12" x14ac:dyDescent="0.3">
      <c r="J5711"/>
      <c r="L5711" s="4"/>
    </row>
    <row r="5712" spans="10:12" x14ac:dyDescent="0.3">
      <c r="J5712"/>
      <c r="L5712" s="4"/>
    </row>
    <row r="5713" spans="10:12" x14ac:dyDescent="0.3">
      <c r="J5713"/>
      <c r="L5713" s="4"/>
    </row>
    <row r="5714" spans="10:12" x14ac:dyDescent="0.3">
      <c r="J5714"/>
      <c r="L5714" s="4"/>
    </row>
    <row r="5715" spans="10:12" x14ac:dyDescent="0.3">
      <c r="J5715"/>
      <c r="L5715" s="4"/>
    </row>
    <row r="5716" spans="10:12" x14ac:dyDescent="0.3">
      <c r="J5716"/>
      <c r="L5716" s="4"/>
    </row>
    <row r="5717" spans="10:12" x14ac:dyDescent="0.3">
      <c r="J5717"/>
      <c r="L5717" s="4"/>
    </row>
    <row r="5718" spans="10:12" x14ac:dyDescent="0.3">
      <c r="J5718"/>
      <c r="L5718" s="4"/>
    </row>
    <row r="5719" spans="10:12" x14ac:dyDescent="0.3">
      <c r="J5719"/>
      <c r="L5719" s="4"/>
    </row>
    <row r="5720" spans="10:12" x14ac:dyDescent="0.3">
      <c r="J5720"/>
      <c r="L5720" s="4"/>
    </row>
    <row r="5721" spans="10:12" x14ac:dyDescent="0.3">
      <c r="J5721"/>
      <c r="L5721" s="4"/>
    </row>
    <row r="5722" spans="10:12" x14ac:dyDescent="0.3">
      <c r="J5722"/>
      <c r="L5722" s="4"/>
    </row>
    <row r="5723" spans="10:12" x14ac:dyDescent="0.3">
      <c r="J5723"/>
      <c r="L5723" s="4"/>
    </row>
    <row r="5724" spans="10:12" x14ac:dyDescent="0.3">
      <c r="J5724"/>
      <c r="L5724" s="4"/>
    </row>
    <row r="5725" spans="10:12" x14ac:dyDescent="0.3">
      <c r="J5725"/>
      <c r="L5725" s="4"/>
    </row>
    <row r="5726" spans="10:12" x14ac:dyDescent="0.3">
      <c r="J5726"/>
      <c r="L5726" s="4"/>
    </row>
    <row r="5727" spans="10:12" x14ac:dyDescent="0.3">
      <c r="J5727"/>
      <c r="L5727" s="4"/>
    </row>
    <row r="5728" spans="10:12" x14ac:dyDescent="0.3">
      <c r="J5728"/>
      <c r="L5728" s="4"/>
    </row>
    <row r="5729" spans="10:12" x14ac:dyDescent="0.3">
      <c r="J5729"/>
      <c r="L5729" s="4"/>
    </row>
    <row r="5730" spans="10:12" x14ac:dyDescent="0.3">
      <c r="J5730"/>
      <c r="L5730" s="4"/>
    </row>
    <row r="5731" spans="10:12" x14ac:dyDescent="0.3">
      <c r="J5731"/>
      <c r="L5731" s="4"/>
    </row>
    <row r="5732" spans="10:12" x14ac:dyDescent="0.3">
      <c r="J5732"/>
      <c r="L5732" s="4"/>
    </row>
    <row r="5733" spans="10:12" x14ac:dyDescent="0.3">
      <c r="J5733"/>
      <c r="L5733" s="4"/>
    </row>
    <row r="5734" spans="10:12" x14ac:dyDescent="0.3">
      <c r="J5734"/>
      <c r="L5734" s="4"/>
    </row>
    <row r="5735" spans="10:12" x14ac:dyDescent="0.3">
      <c r="J5735"/>
      <c r="L5735" s="4"/>
    </row>
    <row r="5736" spans="10:12" x14ac:dyDescent="0.3">
      <c r="J5736"/>
      <c r="L5736" s="4"/>
    </row>
    <row r="5737" spans="10:12" x14ac:dyDescent="0.3">
      <c r="J5737"/>
      <c r="L5737" s="4"/>
    </row>
    <row r="5738" spans="10:12" x14ac:dyDescent="0.3">
      <c r="J5738"/>
      <c r="L5738" s="4"/>
    </row>
    <row r="5739" spans="10:12" x14ac:dyDescent="0.3">
      <c r="J5739"/>
      <c r="L5739" s="4"/>
    </row>
    <row r="5740" spans="10:12" x14ac:dyDescent="0.3">
      <c r="J5740"/>
      <c r="L5740" s="4"/>
    </row>
    <row r="5741" spans="10:12" x14ac:dyDescent="0.3">
      <c r="J5741"/>
      <c r="L5741" s="4"/>
    </row>
    <row r="5742" spans="10:12" x14ac:dyDescent="0.3">
      <c r="J5742"/>
      <c r="L5742" s="4"/>
    </row>
    <row r="5743" spans="10:12" x14ac:dyDescent="0.3">
      <c r="J5743"/>
      <c r="L5743" s="4"/>
    </row>
    <row r="5744" spans="10:12" x14ac:dyDescent="0.3">
      <c r="J5744"/>
      <c r="L5744" s="4"/>
    </row>
    <row r="5745" spans="10:12" x14ac:dyDescent="0.3">
      <c r="J5745"/>
      <c r="L5745" s="4"/>
    </row>
    <row r="5746" spans="10:12" x14ac:dyDescent="0.3">
      <c r="J5746"/>
      <c r="L5746" s="4"/>
    </row>
    <row r="5747" spans="10:12" x14ac:dyDescent="0.3">
      <c r="J5747"/>
      <c r="L5747" s="4"/>
    </row>
    <row r="5748" spans="10:12" x14ac:dyDescent="0.3">
      <c r="J5748"/>
      <c r="L5748" s="4"/>
    </row>
    <row r="5749" spans="10:12" x14ac:dyDescent="0.3">
      <c r="J5749"/>
      <c r="L5749" s="4"/>
    </row>
    <row r="5750" spans="10:12" x14ac:dyDescent="0.3">
      <c r="J5750"/>
      <c r="L5750" s="4"/>
    </row>
    <row r="5751" spans="10:12" x14ac:dyDescent="0.3">
      <c r="J5751"/>
      <c r="L5751" s="4"/>
    </row>
    <row r="5752" spans="10:12" x14ac:dyDescent="0.3">
      <c r="J5752"/>
      <c r="L5752" s="4"/>
    </row>
    <row r="5753" spans="10:12" x14ac:dyDescent="0.3">
      <c r="J5753"/>
      <c r="L5753" s="4"/>
    </row>
    <row r="5754" spans="10:12" x14ac:dyDescent="0.3">
      <c r="J5754"/>
      <c r="L5754" s="4"/>
    </row>
    <row r="5755" spans="10:12" x14ac:dyDescent="0.3">
      <c r="J5755"/>
      <c r="L5755" s="4"/>
    </row>
    <row r="5756" spans="10:12" x14ac:dyDescent="0.3">
      <c r="J5756"/>
      <c r="L5756" s="4"/>
    </row>
    <row r="5757" spans="10:12" x14ac:dyDescent="0.3">
      <c r="J5757"/>
      <c r="L5757" s="4"/>
    </row>
    <row r="5758" spans="10:12" x14ac:dyDescent="0.3">
      <c r="J5758"/>
      <c r="L5758" s="4"/>
    </row>
    <row r="5759" spans="10:12" x14ac:dyDescent="0.3">
      <c r="J5759"/>
      <c r="L5759" s="4"/>
    </row>
    <row r="5760" spans="10:12" x14ac:dyDescent="0.3">
      <c r="J5760"/>
      <c r="L5760" s="4"/>
    </row>
    <row r="5761" spans="10:12" x14ac:dyDescent="0.3">
      <c r="J5761"/>
      <c r="L5761" s="4"/>
    </row>
    <row r="5762" spans="10:12" x14ac:dyDescent="0.3">
      <c r="J5762"/>
      <c r="L5762" s="4"/>
    </row>
    <row r="5763" spans="10:12" x14ac:dyDescent="0.3">
      <c r="J5763"/>
      <c r="L5763" s="4"/>
    </row>
    <row r="5764" spans="10:12" x14ac:dyDescent="0.3">
      <c r="J5764"/>
      <c r="L5764" s="4"/>
    </row>
    <row r="5765" spans="10:12" x14ac:dyDescent="0.3">
      <c r="J5765"/>
      <c r="L5765" s="4"/>
    </row>
    <row r="5766" spans="10:12" x14ac:dyDescent="0.3">
      <c r="J5766"/>
      <c r="L5766" s="4"/>
    </row>
    <row r="5767" spans="10:12" x14ac:dyDescent="0.3">
      <c r="J5767"/>
      <c r="L5767" s="4"/>
    </row>
    <row r="5768" spans="10:12" x14ac:dyDescent="0.3">
      <c r="J5768"/>
      <c r="L5768" s="4"/>
    </row>
    <row r="5769" spans="10:12" x14ac:dyDescent="0.3">
      <c r="J5769"/>
      <c r="L5769" s="4"/>
    </row>
    <row r="5770" spans="10:12" x14ac:dyDescent="0.3">
      <c r="J5770"/>
      <c r="L5770" s="4"/>
    </row>
    <row r="5771" spans="10:12" x14ac:dyDescent="0.3">
      <c r="J5771"/>
      <c r="L5771" s="4"/>
    </row>
    <row r="5772" spans="10:12" x14ac:dyDescent="0.3">
      <c r="J5772"/>
      <c r="L5772" s="4"/>
    </row>
    <row r="5773" spans="10:12" x14ac:dyDescent="0.3">
      <c r="J5773"/>
      <c r="L5773" s="4"/>
    </row>
    <row r="5774" spans="10:12" x14ac:dyDescent="0.3">
      <c r="J5774"/>
      <c r="L5774" s="4"/>
    </row>
    <row r="5775" spans="10:12" x14ac:dyDescent="0.3">
      <c r="J5775"/>
      <c r="L5775" s="4"/>
    </row>
    <row r="5776" spans="10:12" x14ac:dyDescent="0.3">
      <c r="J5776"/>
      <c r="L5776" s="4"/>
    </row>
    <row r="5777" spans="10:12" x14ac:dyDescent="0.3">
      <c r="J5777"/>
      <c r="L5777" s="4"/>
    </row>
    <row r="5778" spans="10:12" x14ac:dyDescent="0.3">
      <c r="J5778"/>
      <c r="L5778" s="4"/>
    </row>
    <row r="5779" spans="10:12" x14ac:dyDescent="0.3">
      <c r="J5779"/>
      <c r="L5779" s="4"/>
    </row>
    <row r="5780" spans="10:12" x14ac:dyDescent="0.3">
      <c r="J5780"/>
      <c r="L5780" s="4"/>
    </row>
    <row r="5781" spans="10:12" x14ac:dyDescent="0.3">
      <c r="J5781"/>
      <c r="L5781" s="4"/>
    </row>
    <row r="5782" spans="10:12" x14ac:dyDescent="0.3">
      <c r="J5782"/>
      <c r="L5782" s="4"/>
    </row>
    <row r="5783" spans="10:12" x14ac:dyDescent="0.3">
      <c r="J5783"/>
      <c r="L5783" s="4"/>
    </row>
    <row r="5784" spans="10:12" x14ac:dyDescent="0.3">
      <c r="J5784"/>
      <c r="L5784" s="4"/>
    </row>
    <row r="5785" spans="10:12" x14ac:dyDescent="0.3">
      <c r="J5785"/>
      <c r="L5785" s="4"/>
    </row>
    <row r="5786" spans="10:12" x14ac:dyDescent="0.3">
      <c r="J5786"/>
      <c r="L5786" s="4"/>
    </row>
    <row r="5787" spans="10:12" x14ac:dyDescent="0.3">
      <c r="J5787"/>
      <c r="L5787" s="4"/>
    </row>
    <row r="5788" spans="10:12" x14ac:dyDescent="0.3">
      <c r="J5788"/>
      <c r="L5788" s="4"/>
    </row>
    <row r="5789" spans="10:12" x14ac:dyDescent="0.3">
      <c r="J5789"/>
      <c r="L5789" s="4"/>
    </row>
    <row r="5790" spans="10:12" x14ac:dyDescent="0.3">
      <c r="J5790"/>
      <c r="L5790" s="4"/>
    </row>
    <row r="5791" spans="10:12" x14ac:dyDescent="0.3">
      <c r="J5791"/>
      <c r="L5791" s="4"/>
    </row>
    <row r="5792" spans="10:12" x14ac:dyDescent="0.3">
      <c r="J5792"/>
      <c r="L5792" s="4"/>
    </row>
    <row r="5793" spans="10:12" x14ac:dyDescent="0.3">
      <c r="J5793"/>
      <c r="L5793" s="4"/>
    </row>
    <row r="5794" spans="10:12" x14ac:dyDescent="0.3">
      <c r="J5794"/>
      <c r="L5794" s="4"/>
    </row>
    <row r="5795" spans="10:12" x14ac:dyDescent="0.3">
      <c r="J5795"/>
      <c r="L5795" s="4"/>
    </row>
    <row r="5796" spans="10:12" x14ac:dyDescent="0.3">
      <c r="J5796"/>
      <c r="L5796" s="4"/>
    </row>
    <row r="5797" spans="10:12" x14ac:dyDescent="0.3">
      <c r="J5797"/>
      <c r="L5797" s="4"/>
    </row>
    <row r="5798" spans="10:12" x14ac:dyDescent="0.3">
      <c r="J5798"/>
      <c r="L5798" s="4"/>
    </row>
    <row r="5799" spans="10:12" x14ac:dyDescent="0.3">
      <c r="J5799"/>
      <c r="L5799" s="4"/>
    </row>
    <row r="5800" spans="10:12" x14ac:dyDescent="0.3">
      <c r="J5800"/>
      <c r="L5800" s="4"/>
    </row>
    <row r="5801" spans="10:12" x14ac:dyDescent="0.3">
      <c r="J5801"/>
      <c r="L5801" s="4"/>
    </row>
    <row r="5802" spans="10:12" x14ac:dyDescent="0.3">
      <c r="J5802"/>
      <c r="L5802" s="4"/>
    </row>
    <row r="5803" spans="10:12" x14ac:dyDescent="0.3">
      <c r="J5803"/>
      <c r="L5803" s="4"/>
    </row>
    <row r="5804" spans="10:12" x14ac:dyDescent="0.3">
      <c r="J5804"/>
      <c r="L5804" s="4"/>
    </row>
    <row r="5805" spans="10:12" x14ac:dyDescent="0.3">
      <c r="J5805"/>
      <c r="L5805" s="4"/>
    </row>
    <row r="5806" spans="10:12" x14ac:dyDescent="0.3">
      <c r="J5806"/>
      <c r="L5806" s="4"/>
    </row>
    <row r="5807" spans="10:12" x14ac:dyDescent="0.3">
      <c r="J5807"/>
      <c r="L5807" s="4"/>
    </row>
    <row r="5808" spans="10:12" x14ac:dyDescent="0.3">
      <c r="J5808"/>
      <c r="L5808" s="4"/>
    </row>
    <row r="5809" spans="10:12" x14ac:dyDescent="0.3">
      <c r="J5809"/>
      <c r="L5809" s="4"/>
    </row>
    <row r="5810" spans="10:12" x14ac:dyDescent="0.3">
      <c r="J5810"/>
      <c r="L5810" s="4"/>
    </row>
    <row r="5811" spans="10:12" x14ac:dyDescent="0.3">
      <c r="J5811"/>
      <c r="L5811" s="4"/>
    </row>
    <row r="5812" spans="10:12" x14ac:dyDescent="0.3">
      <c r="J5812"/>
      <c r="L5812" s="4"/>
    </row>
    <row r="5813" spans="10:12" x14ac:dyDescent="0.3">
      <c r="J5813"/>
      <c r="L5813" s="4"/>
    </row>
    <row r="5814" spans="10:12" x14ac:dyDescent="0.3">
      <c r="J5814"/>
      <c r="L5814" s="4"/>
    </row>
    <row r="5815" spans="10:12" x14ac:dyDescent="0.3">
      <c r="J5815"/>
      <c r="L5815" s="4"/>
    </row>
    <row r="5816" spans="10:12" x14ac:dyDescent="0.3">
      <c r="J5816"/>
      <c r="L5816" s="4"/>
    </row>
    <row r="5817" spans="10:12" x14ac:dyDescent="0.3">
      <c r="J5817"/>
      <c r="L5817" s="4"/>
    </row>
    <row r="5818" spans="10:12" x14ac:dyDescent="0.3">
      <c r="J5818"/>
      <c r="L5818" s="4"/>
    </row>
    <row r="5819" spans="10:12" x14ac:dyDescent="0.3">
      <c r="J5819"/>
      <c r="L5819" s="4"/>
    </row>
    <row r="5820" spans="10:12" x14ac:dyDescent="0.3">
      <c r="J5820"/>
      <c r="L5820" s="4"/>
    </row>
    <row r="5821" spans="10:12" x14ac:dyDescent="0.3">
      <c r="J5821"/>
      <c r="L5821" s="4"/>
    </row>
    <row r="5822" spans="10:12" x14ac:dyDescent="0.3">
      <c r="J5822"/>
      <c r="L5822" s="4"/>
    </row>
    <row r="5823" spans="10:12" x14ac:dyDescent="0.3">
      <c r="J5823"/>
      <c r="L5823" s="4"/>
    </row>
    <row r="5824" spans="10:12" x14ac:dyDescent="0.3">
      <c r="J5824"/>
      <c r="L5824" s="4"/>
    </row>
    <row r="5825" spans="10:12" x14ac:dyDescent="0.3">
      <c r="J5825"/>
      <c r="L5825" s="4"/>
    </row>
    <row r="5826" spans="10:12" x14ac:dyDescent="0.3">
      <c r="J5826"/>
      <c r="L5826" s="4"/>
    </row>
    <row r="5827" spans="10:12" x14ac:dyDescent="0.3">
      <c r="J5827"/>
      <c r="L5827" s="4"/>
    </row>
    <row r="5828" spans="10:12" x14ac:dyDescent="0.3">
      <c r="J5828"/>
      <c r="L5828" s="4"/>
    </row>
    <row r="5829" spans="10:12" x14ac:dyDescent="0.3">
      <c r="J5829"/>
      <c r="L5829" s="4"/>
    </row>
    <row r="5830" spans="10:12" x14ac:dyDescent="0.3">
      <c r="J5830"/>
      <c r="L5830" s="4"/>
    </row>
    <row r="5831" spans="10:12" x14ac:dyDescent="0.3">
      <c r="J5831"/>
      <c r="L5831" s="4"/>
    </row>
    <row r="5832" spans="10:12" x14ac:dyDescent="0.3">
      <c r="J5832"/>
      <c r="L5832" s="4"/>
    </row>
    <row r="5833" spans="10:12" x14ac:dyDescent="0.3">
      <c r="J5833"/>
      <c r="L5833" s="4"/>
    </row>
    <row r="5834" spans="10:12" x14ac:dyDescent="0.3">
      <c r="J5834"/>
      <c r="L5834" s="4"/>
    </row>
    <row r="5835" spans="10:12" x14ac:dyDescent="0.3">
      <c r="J5835"/>
      <c r="L5835" s="4"/>
    </row>
    <row r="5836" spans="10:12" x14ac:dyDescent="0.3">
      <c r="J5836"/>
      <c r="L5836" s="4"/>
    </row>
    <row r="5837" spans="10:12" x14ac:dyDescent="0.3">
      <c r="J5837"/>
      <c r="L5837" s="4"/>
    </row>
    <row r="5838" spans="10:12" x14ac:dyDescent="0.3">
      <c r="J5838"/>
      <c r="L5838" s="4"/>
    </row>
    <row r="5839" spans="10:12" x14ac:dyDescent="0.3">
      <c r="J5839"/>
      <c r="L5839" s="4"/>
    </row>
    <row r="5840" spans="10:12" x14ac:dyDescent="0.3">
      <c r="J5840"/>
      <c r="L5840" s="4"/>
    </row>
    <row r="5841" spans="10:12" x14ac:dyDescent="0.3">
      <c r="J5841"/>
      <c r="L5841" s="4"/>
    </row>
    <row r="5842" spans="10:12" x14ac:dyDescent="0.3">
      <c r="J5842"/>
      <c r="L5842" s="4"/>
    </row>
    <row r="5843" spans="10:12" x14ac:dyDescent="0.3">
      <c r="J5843"/>
      <c r="L5843" s="4"/>
    </row>
    <row r="5844" spans="10:12" x14ac:dyDescent="0.3">
      <c r="J5844"/>
      <c r="L5844" s="4"/>
    </row>
    <row r="5845" spans="10:12" x14ac:dyDescent="0.3">
      <c r="J5845"/>
      <c r="L5845" s="4"/>
    </row>
    <row r="5846" spans="10:12" x14ac:dyDescent="0.3">
      <c r="J5846"/>
      <c r="L5846" s="4"/>
    </row>
    <row r="5847" spans="10:12" x14ac:dyDescent="0.3">
      <c r="J5847"/>
      <c r="L5847" s="4"/>
    </row>
    <row r="5848" spans="10:12" x14ac:dyDescent="0.3">
      <c r="J5848"/>
      <c r="L5848" s="4"/>
    </row>
    <row r="5849" spans="10:12" x14ac:dyDescent="0.3">
      <c r="J5849"/>
      <c r="L5849" s="4"/>
    </row>
    <row r="5850" spans="10:12" x14ac:dyDescent="0.3">
      <c r="J5850"/>
      <c r="L5850" s="4"/>
    </row>
    <row r="5851" spans="10:12" x14ac:dyDescent="0.3">
      <c r="J5851"/>
      <c r="L5851" s="4"/>
    </row>
    <row r="5852" spans="10:12" x14ac:dyDescent="0.3">
      <c r="J5852"/>
      <c r="L5852" s="4"/>
    </row>
    <row r="5853" spans="10:12" x14ac:dyDescent="0.3">
      <c r="J5853"/>
      <c r="L5853" s="4"/>
    </row>
    <row r="5854" spans="10:12" x14ac:dyDescent="0.3">
      <c r="J5854"/>
      <c r="L5854" s="4"/>
    </row>
    <row r="5855" spans="10:12" x14ac:dyDescent="0.3">
      <c r="J5855"/>
      <c r="L5855" s="4"/>
    </row>
    <row r="5856" spans="10:12" x14ac:dyDescent="0.3">
      <c r="J5856"/>
      <c r="L5856" s="4"/>
    </row>
    <row r="5857" spans="10:12" x14ac:dyDescent="0.3">
      <c r="J5857"/>
      <c r="L5857" s="4"/>
    </row>
    <row r="5858" spans="10:12" x14ac:dyDescent="0.3">
      <c r="J5858"/>
      <c r="L5858" s="4"/>
    </row>
    <row r="5859" spans="10:12" x14ac:dyDescent="0.3">
      <c r="J5859"/>
      <c r="L5859" s="4"/>
    </row>
    <row r="5860" spans="10:12" x14ac:dyDescent="0.3">
      <c r="J5860"/>
      <c r="L5860" s="4"/>
    </row>
    <row r="5861" spans="10:12" x14ac:dyDescent="0.3">
      <c r="J5861"/>
      <c r="L5861" s="4"/>
    </row>
    <row r="5862" spans="10:12" x14ac:dyDescent="0.3">
      <c r="J5862"/>
      <c r="L5862" s="4"/>
    </row>
    <row r="5863" spans="10:12" x14ac:dyDescent="0.3">
      <c r="J5863"/>
      <c r="L5863" s="4"/>
    </row>
    <row r="5864" spans="10:12" x14ac:dyDescent="0.3">
      <c r="J5864"/>
      <c r="L5864" s="4"/>
    </row>
    <row r="5865" spans="10:12" x14ac:dyDescent="0.3">
      <c r="J5865"/>
      <c r="L5865" s="4"/>
    </row>
    <row r="5866" spans="10:12" x14ac:dyDescent="0.3">
      <c r="J5866"/>
      <c r="L5866" s="4"/>
    </row>
    <row r="5867" spans="10:12" x14ac:dyDescent="0.3">
      <c r="J5867"/>
      <c r="L5867" s="4"/>
    </row>
    <row r="5868" spans="10:12" x14ac:dyDescent="0.3">
      <c r="J5868"/>
      <c r="L5868" s="4"/>
    </row>
    <row r="5869" spans="10:12" x14ac:dyDescent="0.3">
      <c r="J5869"/>
      <c r="L5869" s="4"/>
    </row>
    <row r="5870" spans="10:12" x14ac:dyDescent="0.3">
      <c r="J5870"/>
      <c r="L5870" s="4"/>
    </row>
    <row r="5871" spans="10:12" x14ac:dyDescent="0.3">
      <c r="J5871"/>
      <c r="L5871" s="4"/>
    </row>
    <row r="5872" spans="10:12" x14ac:dyDescent="0.3">
      <c r="J5872"/>
      <c r="L5872" s="4"/>
    </row>
    <row r="5873" spans="10:12" x14ac:dyDescent="0.3">
      <c r="J5873"/>
      <c r="L5873" s="4"/>
    </row>
    <row r="5874" spans="10:12" x14ac:dyDescent="0.3">
      <c r="J5874"/>
      <c r="L5874" s="4"/>
    </row>
    <row r="5875" spans="10:12" x14ac:dyDescent="0.3">
      <c r="J5875"/>
      <c r="L5875" s="4"/>
    </row>
    <row r="5876" spans="10:12" x14ac:dyDescent="0.3">
      <c r="J5876"/>
      <c r="L5876" s="4"/>
    </row>
    <row r="5877" spans="10:12" x14ac:dyDescent="0.3">
      <c r="J5877"/>
      <c r="L5877" s="4"/>
    </row>
    <row r="5878" spans="10:12" x14ac:dyDescent="0.3">
      <c r="J5878"/>
      <c r="L5878" s="4"/>
    </row>
    <row r="5879" spans="10:12" x14ac:dyDescent="0.3">
      <c r="J5879"/>
      <c r="L5879" s="4"/>
    </row>
    <row r="5880" spans="10:12" x14ac:dyDescent="0.3">
      <c r="J5880"/>
      <c r="L5880" s="4"/>
    </row>
    <row r="5881" spans="10:12" x14ac:dyDescent="0.3">
      <c r="J5881"/>
      <c r="L5881" s="4"/>
    </row>
    <row r="5882" spans="10:12" x14ac:dyDescent="0.3">
      <c r="J5882"/>
      <c r="L5882" s="4"/>
    </row>
    <row r="5883" spans="10:12" x14ac:dyDescent="0.3">
      <c r="J5883"/>
      <c r="L5883" s="4"/>
    </row>
    <row r="5884" spans="10:12" x14ac:dyDescent="0.3">
      <c r="J5884"/>
      <c r="L5884" s="4"/>
    </row>
    <row r="5885" spans="10:12" x14ac:dyDescent="0.3">
      <c r="J5885"/>
      <c r="L5885" s="4"/>
    </row>
    <row r="5886" spans="10:12" x14ac:dyDescent="0.3">
      <c r="J5886"/>
      <c r="L5886" s="4"/>
    </row>
    <row r="5887" spans="10:12" x14ac:dyDescent="0.3">
      <c r="J5887"/>
      <c r="L5887" s="4"/>
    </row>
    <row r="5888" spans="10:12" x14ac:dyDescent="0.3">
      <c r="J5888"/>
      <c r="L5888" s="4"/>
    </row>
    <row r="5889" spans="10:12" x14ac:dyDescent="0.3">
      <c r="J5889"/>
      <c r="L5889" s="4"/>
    </row>
    <row r="5890" spans="10:12" x14ac:dyDescent="0.3">
      <c r="J5890"/>
      <c r="L5890" s="4"/>
    </row>
    <row r="5891" spans="10:12" x14ac:dyDescent="0.3">
      <c r="J5891"/>
      <c r="L5891" s="4"/>
    </row>
    <row r="5892" spans="10:12" x14ac:dyDescent="0.3">
      <c r="J5892"/>
      <c r="L5892" s="4"/>
    </row>
    <row r="5893" spans="10:12" x14ac:dyDescent="0.3">
      <c r="J5893"/>
      <c r="L5893" s="4"/>
    </row>
    <row r="5894" spans="10:12" x14ac:dyDescent="0.3">
      <c r="J5894"/>
      <c r="L5894" s="4"/>
    </row>
    <row r="5895" spans="10:12" x14ac:dyDescent="0.3">
      <c r="J5895"/>
      <c r="L5895" s="4"/>
    </row>
    <row r="5896" spans="10:12" x14ac:dyDescent="0.3">
      <c r="J5896"/>
      <c r="L5896" s="4"/>
    </row>
    <row r="5897" spans="10:12" x14ac:dyDescent="0.3">
      <c r="J5897"/>
      <c r="L5897" s="4"/>
    </row>
    <row r="5898" spans="10:12" x14ac:dyDescent="0.3">
      <c r="J5898"/>
      <c r="L5898" s="4"/>
    </row>
    <row r="5899" spans="10:12" x14ac:dyDescent="0.3">
      <c r="J5899"/>
      <c r="L5899" s="4"/>
    </row>
    <row r="5900" spans="10:12" x14ac:dyDescent="0.3">
      <c r="J5900"/>
      <c r="L5900" s="4"/>
    </row>
    <row r="5901" spans="10:12" x14ac:dyDescent="0.3">
      <c r="J5901"/>
      <c r="L5901" s="4"/>
    </row>
    <row r="5902" spans="10:12" x14ac:dyDescent="0.3">
      <c r="J5902"/>
      <c r="L5902" s="4"/>
    </row>
    <row r="5903" spans="10:12" x14ac:dyDescent="0.3">
      <c r="J5903"/>
      <c r="L5903" s="4"/>
    </row>
    <row r="5904" spans="10:12" x14ac:dyDescent="0.3">
      <c r="J5904"/>
      <c r="L5904" s="4"/>
    </row>
    <row r="5905" spans="10:12" x14ac:dyDescent="0.3">
      <c r="J5905"/>
      <c r="L5905" s="4"/>
    </row>
    <row r="5906" spans="10:12" x14ac:dyDescent="0.3">
      <c r="J5906"/>
      <c r="L5906" s="4"/>
    </row>
    <row r="5907" spans="10:12" x14ac:dyDescent="0.3">
      <c r="J5907"/>
      <c r="L5907" s="4"/>
    </row>
    <row r="5908" spans="10:12" x14ac:dyDescent="0.3">
      <c r="J5908"/>
      <c r="L5908" s="4"/>
    </row>
    <row r="5909" spans="10:12" x14ac:dyDescent="0.3">
      <c r="J5909"/>
      <c r="L5909" s="4"/>
    </row>
    <row r="5910" spans="10:12" x14ac:dyDescent="0.3">
      <c r="J5910"/>
      <c r="L5910" s="4"/>
    </row>
    <row r="5911" spans="10:12" x14ac:dyDescent="0.3">
      <c r="J5911"/>
      <c r="L5911" s="4"/>
    </row>
    <row r="5912" spans="10:12" x14ac:dyDescent="0.3">
      <c r="J5912"/>
      <c r="L5912" s="4"/>
    </row>
    <row r="5913" spans="10:12" x14ac:dyDescent="0.3">
      <c r="J5913"/>
      <c r="L5913" s="4"/>
    </row>
    <row r="5914" spans="10:12" x14ac:dyDescent="0.3">
      <c r="J5914"/>
      <c r="L5914" s="4"/>
    </row>
    <row r="5915" spans="10:12" x14ac:dyDescent="0.3">
      <c r="J5915"/>
      <c r="L5915" s="4"/>
    </row>
    <row r="5916" spans="10:12" x14ac:dyDescent="0.3">
      <c r="J5916"/>
      <c r="L5916" s="4"/>
    </row>
    <row r="5917" spans="10:12" x14ac:dyDescent="0.3">
      <c r="J5917"/>
      <c r="L5917" s="4"/>
    </row>
    <row r="5918" spans="10:12" x14ac:dyDescent="0.3">
      <c r="J5918"/>
      <c r="L5918" s="4"/>
    </row>
    <row r="5919" spans="10:12" x14ac:dyDescent="0.3">
      <c r="J5919"/>
      <c r="L5919" s="4"/>
    </row>
    <row r="5920" spans="10:12" x14ac:dyDescent="0.3">
      <c r="J5920"/>
      <c r="L5920" s="4"/>
    </row>
    <row r="5921" spans="10:12" x14ac:dyDescent="0.3">
      <c r="J5921"/>
      <c r="L5921" s="4"/>
    </row>
    <row r="5922" spans="10:12" x14ac:dyDescent="0.3">
      <c r="J5922"/>
      <c r="L5922" s="4"/>
    </row>
    <row r="5923" spans="10:12" x14ac:dyDescent="0.3">
      <c r="J5923"/>
      <c r="L5923" s="4"/>
    </row>
    <row r="5924" spans="10:12" x14ac:dyDescent="0.3">
      <c r="J5924"/>
      <c r="L5924" s="4"/>
    </row>
    <row r="5925" spans="10:12" x14ac:dyDescent="0.3">
      <c r="J5925"/>
      <c r="L5925" s="4"/>
    </row>
    <row r="5926" spans="10:12" x14ac:dyDescent="0.3">
      <c r="J5926"/>
      <c r="L5926" s="4"/>
    </row>
    <row r="5927" spans="10:12" x14ac:dyDescent="0.3">
      <c r="J5927"/>
      <c r="L5927" s="4"/>
    </row>
    <row r="5928" spans="10:12" x14ac:dyDescent="0.3">
      <c r="J5928"/>
      <c r="L5928" s="4"/>
    </row>
    <row r="5929" spans="10:12" x14ac:dyDescent="0.3">
      <c r="J5929"/>
      <c r="L5929" s="4"/>
    </row>
    <row r="5930" spans="10:12" x14ac:dyDescent="0.3">
      <c r="J5930"/>
      <c r="L5930" s="4"/>
    </row>
    <row r="5931" spans="10:12" x14ac:dyDescent="0.3">
      <c r="J5931"/>
      <c r="L5931" s="4"/>
    </row>
    <row r="5932" spans="10:12" x14ac:dyDescent="0.3">
      <c r="J5932"/>
      <c r="L5932" s="4"/>
    </row>
    <row r="5933" spans="10:12" x14ac:dyDescent="0.3">
      <c r="J5933"/>
      <c r="L5933" s="4"/>
    </row>
    <row r="5934" spans="10:12" x14ac:dyDescent="0.3">
      <c r="J5934"/>
      <c r="L5934" s="4"/>
    </row>
    <row r="5935" spans="10:12" x14ac:dyDescent="0.3">
      <c r="J5935"/>
      <c r="L5935" s="4"/>
    </row>
    <row r="5936" spans="10:12" x14ac:dyDescent="0.3">
      <c r="J5936"/>
      <c r="L5936" s="4"/>
    </row>
    <row r="5937" spans="10:12" x14ac:dyDescent="0.3">
      <c r="J5937"/>
      <c r="L5937" s="4"/>
    </row>
    <row r="5938" spans="10:12" x14ac:dyDescent="0.3">
      <c r="J5938"/>
      <c r="L5938" s="4"/>
    </row>
    <row r="5939" spans="10:12" x14ac:dyDescent="0.3">
      <c r="J5939"/>
      <c r="L5939" s="4"/>
    </row>
    <row r="5940" spans="10:12" x14ac:dyDescent="0.3">
      <c r="J5940"/>
      <c r="L5940" s="4"/>
    </row>
    <row r="5941" spans="10:12" x14ac:dyDescent="0.3">
      <c r="J5941"/>
      <c r="L5941" s="4"/>
    </row>
    <row r="5942" spans="10:12" x14ac:dyDescent="0.3">
      <c r="J5942"/>
      <c r="L5942" s="4"/>
    </row>
    <row r="5943" spans="10:12" x14ac:dyDescent="0.3">
      <c r="J5943"/>
      <c r="L5943" s="4"/>
    </row>
    <row r="5944" spans="10:12" x14ac:dyDescent="0.3">
      <c r="J5944"/>
      <c r="L5944" s="4"/>
    </row>
    <row r="5945" spans="10:12" x14ac:dyDescent="0.3">
      <c r="J5945"/>
      <c r="L5945" s="4"/>
    </row>
    <row r="5946" spans="10:12" x14ac:dyDescent="0.3">
      <c r="J5946"/>
      <c r="L5946" s="4"/>
    </row>
    <row r="5947" spans="10:12" x14ac:dyDescent="0.3">
      <c r="J5947"/>
      <c r="L5947" s="4"/>
    </row>
    <row r="5948" spans="10:12" x14ac:dyDescent="0.3">
      <c r="J5948"/>
      <c r="L5948" s="4"/>
    </row>
    <row r="5949" spans="10:12" x14ac:dyDescent="0.3">
      <c r="J5949"/>
      <c r="L5949" s="4"/>
    </row>
    <row r="5950" spans="10:12" x14ac:dyDescent="0.3">
      <c r="J5950"/>
      <c r="L5950" s="4"/>
    </row>
    <row r="5951" spans="10:12" x14ac:dyDescent="0.3">
      <c r="J5951"/>
      <c r="L5951" s="4"/>
    </row>
    <row r="5952" spans="10:12" x14ac:dyDescent="0.3">
      <c r="J5952"/>
      <c r="L5952" s="4"/>
    </row>
    <row r="5953" spans="10:12" x14ac:dyDescent="0.3">
      <c r="J5953"/>
      <c r="L5953" s="4"/>
    </row>
    <row r="5954" spans="10:12" x14ac:dyDescent="0.3">
      <c r="J5954"/>
      <c r="L5954" s="4"/>
    </row>
    <row r="5955" spans="10:12" x14ac:dyDescent="0.3">
      <c r="J5955"/>
      <c r="L5955" s="4"/>
    </row>
    <row r="5956" spans="10:12" x14ac:dyDescent="0.3">
      <c r="J5956"/>
      <c r="L5956" s="4"/>
    </row>
    <row r="5957" spans="10:12" x14ac:dyDescent="0.3">
      <c r="J5957"/>
      <c r="L5957" s="4"/>
    </row>
    <row r="5958" spans="10:12" x14ac:dyDescent="0.3">
      <c r="J5958"/>
      <c r="L5958" s="4"/>
    </row>
    <row r="5959" spans="10:12" x14ac:dyDescent="0.3">
      <c r="J5959"/>
      <c r="L5959" s="4"/>
    </row>
    <row r="5960" spans="10:12" x14ac:dyDescent="0.3">
      <c r="J5960"/>
      <c r="L5960" s="4"/>
    </row>
    <row r="5961" spans="10:12" x14ac:dyDescent="0.3">
      <c r="J5961"/>
      <c r="L5961" s="4"/>
    </row>
    <row r="5962" spans="10:12" x14ac:dyDescent="0.3">
      <c r="J5962"/>
      <c r="L5962" s="4"/>
    </row>
    <row r="5963" spans="10:12" x14ac:dyDescent="0.3">
      <c r="J5963"/>
      <c r="L5963" s="4"/>
    </row>
    <row r="5964" spans="10:12" x14ac:dyDescent="0.3">
      <c r="J5964"/>
      <c r="L5964" s="4"/>
    </row>
    <row r="5965" spans="10:12" x14ac:dyDescent="0.3">
      <c r="J5965"/>
      <c r="L5965" s="4"/>
    </row>
    <row r="5966" spans="10:12" x14ac:dyDescent="0.3">
      <c r="J5966"/>
      <c r="L5966" s="4"/>
    </row>
    <row r="5967" spans="10:12" x14ac:dyDescent="0.3">
      <c r="J5967"/>
      <c r="L5967" s="4"/>
    </row>
    <row r="5968" spans="10:12" x14ac:dyDescent="0.3">
      <c r="J5968"/>
      <c r="L5968" s="4"/>
    </row>
    <row r="5969" spans="10:12" x14ac:dyDescent="0.3">
      <c r="J5969"/>
      <c r="L5969" s="4"/>
    </row>
    <row r="5970" spans="10:12" x14ac:dyDescent="0.3">
      <c r="J5970"/>
      <c r="L5970" s="4"/>
    </row>
    <row r="5971" spans="10:12" x14ac:dyDescent="0.3">
      <c r="J5971"/>
      <c r="L5971" s="4"/>
    </row>
    <row r="5972" spans="10:12" x14ac:dyDescent="0.3">
      <c r="J5972"/>
      <c r="L5972" s="4"/>
    </row>
    <row r="5973" spans="10:12" x14ac:dyDescent="0.3">
      <c r="J5973"/>
      <c r="L5973" s="4"/>
    </row>
    <row r="5974" spans="10:12" x14ac:dyDescent="0.3">
      <c r="J5974"/>
      <c r="L5974" s="4"/>
    </row>
    <row r="5975" spans="10:12" x14ac:dyDescent="0.3">
      <c r="J5975"/>
      <c r="L5975" s="4"/>
    </row>
    <row r="5976" spans="10:12" x14ac:dyDescent="0.3">
      <c r="J5976"/>
      <c r="L5976" s="4"/>
    </row>
    <row r="5977" spans="10:12" x14ac:dyDescent="0.3">
      <c r="J5977"/>
      <c r="L5977" s="4"/>
    </row>
    <row r="5978" spans="10:12" x14ac:dyDescent="0.3">
      <c r="J5978"/>
      <c r="L5978" s="4"/>
    </row>
    <row r="5979" spans="10:12" x14ac:dyDescent="0.3">
      <c r="J5979"/>
      <c r="L5979" s="4"/>
    </row>
    <row r="5980" spans="10:12" x14ac:dyDescent="0.3">
      <c r="J5980"/>
      <c r="L5980" s="4"/>
    </row>
    <row r="5981" spans="10:12" x14ac:dyDescent="0.3">
      <c r="J5981"/>
      <c r="L5981" s="4"/>
    </row>
    <row r="5982" spans="10:12" x14ac:dyDescent="0.3">
      <c r="J5982"/>
      <c r="L5982" s="4"/>
    </row>
    <row r="5983" spans="10:12" x14ac:dyDescent="0.3">
      <c r="J5983"/>
      <c r="L5983" s="4"/>
    </row>
    <row r="5984" spans="10:12" x14ac:dyDescent="0.3">
      <c r="J5984"/>
      <c r="L5984" s="4"/>
    </row>
    <row r="5985" spans="10:12" x14ac:dyDescent="0.3">
      <c r="J5985"/>
      <c r="L5985" s="4"/>
    </row>
    <row r="5986" spans="10:12" x14ac:dyDescent="0.3">
      <c r="J5986"/>
      <c r="L5986" s="4"/>
    </row>
    <row r="5987" spans="10:12" x14ac:dyDescent="0.3">
      <c r="J5987"/>
      <c r="L5987" s="4"/>
    </row>
    <row r="5988" spans="10:12" x14ac:dyDescent="0.3">
      <c r="J5988"/>
      <c r="L5988" s="4"/>
    </row>
    <row r="5989" spans="10:12" x14ac:dyDescent="0.3">
      <c r="J5989"/>
      <c r="L5989" s="4"/>
    </row>
    <row r="5990" spans="10:12" x14ac:dyDescent="0.3">
      <c r="J5990"/>
      <c r="L5990" s="4"/>
    </row>
    <row r="5991" spans="10:12" x14ac:dyDescent="0.3">
      <c r="J5991"/>
      <c r="L5991" s="4"/>
    </row>
    <row r="5992" spans="10:12" x14ac:dyDescent="0.3">
      <c r="J5992"/>
      <c r="L5992" s="4"/>
    </row>
    <row r="5993" spans="10:12" x14ac:dyDescent="0.3">
      <c r="J5993"/>
      <c r="L5993" s="4"/>
    </row>
    <row r="5994" spans="10:12" x14ac:dyDescent="0.3">
      <c r="J5994"/>
      <c r="L5994" s="4"/>
    </row>
    <row r="5995" spans="10:12" x14ac:dyDescent="0.3">
      <c r="J5995"/>
      <c r="L5995" s="4"/>
    </row>
    <row r="5996" spans="10:12" x14ac:dyDescent="0.3">
      <c r="J5996"/>
      <c r="L5996" s="4"/>
    </row>
    <row r="5997" spans="10:12" x14ac:dyDescent="0.3">
      <c r="J5997"/>
      <c r="L5997" s="4"/>
    </row>
    <row r="5998" spans="10:12" x14ac:dyDescent="0.3">
      <c r="J5998"/>
      <c r="L5998" s="4"/>
    </row>
    <row r="5999" spans="10:12" x14ac:dyDescent="0.3">
      <c r="J5999"/>
      <c r="L5999" s="4"/>
    </row>
    <row r="6000" spans="10:12" x14ac:dyDescent="0.3">
      <c r="J6000"/>
      <c r="L6000" s="4"/>
    </row>
    <row r="6001" spans="10:12" x14ac:dyDescent="0.3">
      <c r="J6001"/>
      <c r="L6001" s="4"/>
    </row>
    <row r="6002" spans="10:12" x14ac:dyDescent="0.3">
      <c r="J6002"/>
      <c r="L6002" s="4"/>
    </row>
    <row r="6003" spans="10:12" x14ac:dyDescent="0.3">
      <c r="J6003"/>
      <c r="L6003" s="4"/>
    </row>
    <row r="6004" spans="10:12" x14ac:dyDescent="0.3">
      <c r="J6004"/>
      <c r="L6004" s="4"/>
    </row>
    <row r="6005" spans="10:12" x14ac:dyDescent="0.3">
      <c r="J6005"/>
      <c r="L6005" s="4"/>
    </row>
    <row r="6006" spans="10:12" x14ac:dyDescent="0.3">
      <c r="J6006"/>
      <c r="L6006" s="4"/>
    </row>
    <row r="6007" spans="10:12" x14ac:dyDescent="0.3">
      <c r="J6007"/>
      <c r="L6007" s="4"/>
    </row>
    <row r="6008" spans="10:12" x14ac:dyDescent="0.3">
      <c r="J6008"/>
      <c r="L6008" s="4"/>
    </row>
    <row r="6009" spans="10:12" x14ac:dyDescent="0.3">
      <c r="J6009"/>
      <c r="L6009" s="4"/>
    </row>
    <row r="6010" spans="10:12" x14ac:dyDescent="0.3">
      <c r="J6010"/>
      <c r="L6010" s="4"/>
    </row>
    <row r="6011" spans="10:12" x14ac:dyDescent="0.3">
      <c r="J6011"/>
      <c r="L6011" s="4"/>
    </row>
    <row r="6012" spans="10:12" x14ac:dyDescent="0.3">
      <c r="J6012"/>
      <c r="L6012" s="4"/>
    </row>
    <row r="6013" spans="10:12" x14ac:dyDescent="0.3">
      <c r="J6013"/>
      <c r="L6013" s="4"/>
    </row>
    <row r="6014" spans="10:12" x14ac:dyDescent="0.3">
      <c r="J6014"/>
      <c r="L6014" s="4"/>
    </row>
    <row r="6015" spans="10:12" x14ac:dyDescent="0.3">
      <c r="J6015"/>
      <c r="L6015" s="4"/>
    </row>
    <row r="6016" spans="10:12" x14ac:dyDescent="0.3">
      <c r="J6016"/>
      <c r="L6016" s="4"/>
    </row>
    <row r="6017" spans="10:12" x14ac:dyDescent="0.3">
      <c r="J6017"/>
      <c r="L6017" s="4"/>
    </row>
    <row r="6018" spans="10:12" x14ac:dyDescent="0.3">
      <c r="J6018"/>
      <c r="L6018" s="4"/>
    </row>
    <row r="6019" spans="10:12" x14ac:dyDescent="0.3">
      <c r="J6019"/>
      <c r="L6019" s="4"/>
    </row>
    <row r="6020" spans="10:12" x14ac:dyDescent="0.3">
      <c r="J6020"/>
      <c r="L6020" s="4"/>
    </row>
    <row r="6021" spans="10:12" x14ac:dyDescent="0.3">
      <c r="J6021"/>
      <c r="L6021" s="4"/>
    </row>
    <row r="6022" spans="10:12" x14ac:dyDescent="0.3">
      <c r="J6022"/>
      <c r="L6022" s="4"/>
    </row>
    <row r="6023" spans="10:12" x14ac:dyDescent="0.3">
      <c r="J6023"/>
      <c r="L6023" s="4"/>
    </row>
    <row r="6024" spans="10:12" x14ac:dyDescent="0.3">
      <c r="J6024"/>
      <c r="L6024" s="4"/>
    </row>
    <row r="6025" spans="10:12" x14ac:dyDescent="0.3">
      <c r="J6025"/>
      <c r="L6025" s="4"/>
    </row>
    <row r="6026" spans="10:12" x14ac:dyDescent="0.3">
      <c r="J6026"/>
      <c r="L6026" s="4"/>
    </row>
    <row r="6027" spans="10:12" x14ac:dyDescent="0.3">
      <c r="J6027"/>
      <c r="L6027" s="4"/>
    </row>
    <row r="6028" spans="10:12" x14ac:dyDescent="0.3">
      <c r="J6028"/>
      <c r="L6028" s="4"/>
    </row>
    <row r="6029" spans="10:12" x14ac:dyDescent="0.3">
      <c r="J6029"/>
      <c r="L6029" s="4"/>
    </row>
    <row r="6030" spans="10:12" x14ac:dyDescent="0.3">
      <c r="J6030"/>
      <c r="L6030" s="4"/>
    </row>
    <row r="6031" spans="10:12" x14ac:dyDescent="0.3">
      <c r="J6031"/>
      <c r="L6031" s="4"/>
    </row>
    <row r="6032" spans="10:12" x14ac:dyDescent="0.3">
      <c r="J6032"/>
      <c r="L6032" s="4"/>
    </row>
    <row r="6033" spans="10:12" x14ac:dyDescent="0.3">
      <c r="J6033"/>
      <c r="L6033" s="4"/>
    </row>
    <row r="6034" spans="10:12" x14ac:dyDescent="0.3">
      <c r="J6034"/>
      <c r="L6034" s="4"/>
    </row>
    <row r="6035" spans="10:12" x14ac:dyDescent="0.3">
      <c r="J6035"/>
      <c r="L6035" s="4"/>
    </row>
    <row r="6036" spans="10:12" x14ac:dyDescent="0.3">
      <c r="J6036"/>
      <c r="L6036" s="4"/>
    </row>
    <row r="6037" spans="10:12" x14ac:dyDescent="0.3">
      <c r="J6037"/>
      <c r="L6037" s="4"/>
    </row>
    <row r="6038" spans="10:12" x14ac:dyDescent="0.3">
      <c r="J6038"/>
      <c r="L6038" s="4"/>
    </row>
    <row r="6039" spans="10:12" x14ac:dyDescent="0.3">
      <c r="J6039"/>
      <c r="L6039" s="4"/>
    </row>
    <row r="6040" spans="10:12" x14ac:dyDescent="0.3">
      <c r="J6040"/>
      <c r="L6040" s="4"/>
    </row>
    <row r="6041" spans="10:12" x14ac:dyDescent="0.3">
      <c r="J6041"/>
      <c r="L6041" s="4"/>
    </row>
    <row r="6042" spans="10:12" x14ac:dyDescent="0.3">
      <c r="J6042"/>
      <c r="L6042" s="4"/>
    </row>
    <row r="6043" spans="10:12" x14ac:dyDescent="0.3">
      <c r="J6043"/>
      <c r="L6043" s="4"/>
    </row>
    <row r="6044" spans="10:12" x14ac:dyDescent="0.3">
      <c r="J6044"/>
      <c r="L6044" s="4"/>
    </row>
    <row r="6045" spans="10:12" x14ac:dyDescent="0.3">
      <c r="J6045"/>
      <c r="L6045" s="4"/>
    </row>
    <row r="6046" spans="10:12" x14ac:dyDescent="0.3">
      <c r="J6046"/>
      <c r="L6046" s="4"/>
    </row>
    <row r="6047" spans="10:12" x14ac:dyDescent="0.3">
      <c r="J6047"/>
      <c r="L6047" s="4"/>
    </row>
    <row r="6048" spans="10:12" x14ac:dyDescent="0.3">
      <c r="J6048"/>
      <c r="L6048" s="4"/>
    </row>
    <row r="6049" spans="10:12" x14ac:dyDescent="0.3">
      <c r="J6049"/>
      <c r="L6049" s="4"/>
    </row>
    <row r="6050" spans="10:12" x14ac:dyDescent="0.3">
      <c r="J6050"/>
      <c r="L6050" s="4"/>
    </row>
    <row r="6051" spans="10:12" x14ac:dyDescent="0.3">
      <c r="J6051"/>
      <c r="L6051" s="4"/>
    </row>
    <row r="6052" spans="10:12" x14ac:dyDescent="0.3">
      <c r="J6052"/>
      <c r="L6052" s="4"/>
    </row>
    <row r="6053" spans="10:12" x14ac:dyDescent="0.3">
      <c r="J6053"/>
      <c r="L6053" s="4"/>
    </row>
    <row r="6054" spans="10:12" x14ac:dyDescent="0.3">
      <c r="J6054"/>
      <c r="L6054" s="4"/>
    </row>
    <row r="6055" spans="10:12" x14ac:dyDescent="0.3">
      <c r="J6055"/>
      <c r="L6055" s="4"/>
    </row>
    <row r="6056" spans="10:12" x14ac:dyDescent="0.3">
      <c r="J6056"/>
      <c r="L6056" s="4"/>
    </row>
    <row r="6057" spans="10:12" x14ac:dyDescent="0.3">
      <c r="J6057"/>
      <c r="L6057" s="4"/>
    </row>
    <row r="6058" spans="10:12" x14ac:dyDescent="0.3">
      <c r="J6058"/>
      <c r="L6058" s="4"/>
    </row>
    <row r="6059" spans="10:12" x14ac:dyDescent="0.3">
      <c r="J6059"/>
      <c r="L6059" s="4"/>
    </row>
    <row r="6060" spans="10:12" x14ac:dyDescent="0.3">
      <c r="J6060"/>
      <c r="L6060" s="4"/>
    </row>
    <row r="6061" spans="10:12" x14ac:dyDescent="0.3">
      <c r="J6061"/>
      <c r="L6061" s="4"/>
    </row>
    <row r="6062" spans="10:12" x14ac:dyDescent="0.3">
      <c r="J6062"/>
      <c r="L6062" s="4"/>
    </row>
    <row r="6063" spans="10:12" x14ac:dyDescent="0.3">
      <c r="J6063"/>
      <c r="L6063" s="4"/>
    </row>
    <row r="6064" spans="10:12" x14ac:dyDescent="0.3">
      <c r="J6064"/>
      <c r="L6064" s="4"/>
    </row>
    <row r="6065" spans="10:12" x14ac:dyDescent="0.3">
      <c r="J6065"/>
      <c r="L6065" s="4"/>
    </row>
    <row r="6066" spans="10:12" x14ac:dyDescent="0.3">
      <c r="J6066"/>
      <c r="L6066" s="4"/>
    </row>
    <row r="6067" spans="10:12" x14ac:dyDescent="0.3">
      <c r="J6067"/>
      <c r="L6067" s="4"/>
    </row>
    <row r="6068" spans="10:12" x14ac:dyDescent="0.3">
      <c r="J6068"/>
      <c r="L6068" s="4"/>
    </row>
    <row r="6069" spans="10:12" x14ac:dyDescent="0.3">
      <c r="J6069"/>
      <c r="L6069" s="4"/>
    </row>
    <row r="6070" spans="10:12" x14ac:dyDescent="0.3">
      <c r="J6070"/>
      <c r="L6070" s="4"/>
    </row>
    <row r="6071" spans="10:12" x14ac:dyDescent="0.3">
      <c r="J6071"/>
      <c r="L6071" s="4"/>
    </row>
    <row r="6072" spans="10:12" x14ac:dyDescent="0.3">
      <c r="J6072"/>
      <c r="L6072" s="4"/>
    </row>
    <row r="6073" spans="10:12" x14ac:dyDescent="0.3">
      <c r="J6073"/>
      <c r="L6073" s="4"/>
    </row>
    <row r="6074" spans="10:12" x14ac:dyDescent="0.3">
      <c r="J6074"/>
      <c r="L6074" s="4"/>
    </row>
    <row r="6075" spans="10:12" x14ac:dyDescent="0.3">
      <c r="J6075"/>
      <c r="L6075" s="4"/>
    </row>
    <row r="6076" spans="10:12" x14ac:dyDescent="0.3">
      <c r="J6076"/>
      <c r="L6076" s="4"/>
    </row>
    <row r="6077" spans="10:12" x14ac:dyDescent="0.3">
      <c r="J6077"/>
      <c r="L6077" s="4"/>
    </row>
    <row r="6078" spans="10:12" x14ac:dyDescent="0.3">
      <c r="J6078"/>
      <c r="L6078" s="4"/>
    </row>
    <row r="6079" spans="10:12" x14ac:dyDescent="0.3">
      <c r="J6079"/>
      <c r="L6079" s="4"/>
    </row>
    <row r="6080" spans="10:12" x14ac:dyDescent="0.3">
      <c r="J6080"/>
      <c r="L6080" s="4"/>
    </row>
    <row r="6081" spans="10:12" x14ac:dyDescent="0.3">
      <c r="J6081"/>
      <c r="L6081" s="4"/>
    </row>
    <row r="6082" spans="10:12" x14ac:dyDescent="0.3">
      <c r="J6082"/>
      <c r="L6082" s="4"/>
    </row>
    <row r="6083" spans="10:12" x14ac:dyDescent="0.3">
      <c r="J6083"/>
      <c r="L6083" s="4"/>
    </row>
    <row r="6084" spans="10:12" x14ac:dyDescent="0.3">
      <c r="J6084"/>
      <c r="L6084" s="4"/>
    </row>
    <row r="6085" spans="10:12" x14ac:dyDescent="0.3">
      <c r="J6085"/>
      <c r="L6085" s="4"/>
    </row>
    <row r="6086" spans="10:12" x14ac:dyDescent="0.3">
      <c r="J6086"/>
      <c r="L6086" s="4"/>
    </row>
    <row r="6087" spans="10:12" x14ac:dyDescent="0.3">
      <c r="J6087"/>
      <c r="L6087" s="4"/>
    </row>
    <row r="6088" spans="10:12" x14ac:dyDescent="0.3">
      <c r="J6088"/>
      <c r="L6088" s="4"/>
    </row>
    <row r="6089" spans="10:12" x14ac:dyDescent="0.3">
      <c r="J6089"/>
      <c r="L6089" s="4"/>
    </row>
    <row r="6090" spans="10:12" x14ac:dyDescent="0.3">
      <c r="J6090"/>
      <c r="L6090" s="4"/>
    </row>
    <row r="6091" spans="10:12" x14ac:dyDescent="0.3">
      <c r="J6091"/>
      <c r="L6091" s="4"/>
    </row>
    <row r="6092" spans="10:12" x14ac:dyDescent="0.3">
      <c r="J6092"/>
      <c r="L6092" s="4"/>
    </row>
    <row r="6093" spans="10:12" x14ac:dyDescent="0.3">
      <c r="J6093"/>
      <c r="L6093" s="4"/>
    </row>
    <row r="6094" spans="10:12" x14ac:dyDescent="0.3">
      <c r="J6094"/>
      <c r="L6094" s="4"/>
    </row>
    <row r="6095" spans="10:12" x14ac:dyDescent="0.3">
      <c r="J6095"/>
      <c r="L6095" s="4"/>
    </row>
    <row r="6096" spans="10:12" x14ac:dyDescent="0.3">
      <c r="J6096"/>
      <c r="L6096" s="4"/>
    </row>
    <row r="6097" spans="10:12" x14ac:dyDescent="0.3">
      <c r="J6097"/>
      <c r="L6097" s="4"/>
    </row>
    <row r="6098" spans="10:12" x14ac:dyDescent="0.3">
      <c r="J6098"/>
      <c r="L6098" s="4"/>
    </row>
    <row r="6099" spans="10:12" x14ac:dyDescent="0.3">
      <c r="J6099"/>
      <c r="L6099" s="4"/>
    </row>
    <row r="6100" spans="10:12" x14ac:dyDescent="0.3">
      <c r="J6100"/>
      <c r="L6100" s="4"/>
    </row>
    <row r="6101" spans="10:12" x14ac:dyDescent="0.3">
      <c r="J6101"/>
      <c r="L6101" s="4"/>
    </row>
    <row r="6102" spans="10:12" x14ac:dyDescent="0.3">
      <c r="J6102"/>
      <c r="L6102" s="4"/>
    </row>
    <row r="6103" spans="10:12" x14ac:dyDescent="0.3">
      <c r="J6103"/>
      <c r="L6103" s="4"/>
    </row>
    <row r="6104" spans="10:12" x14ac:dyDescent="0.3">
      <c r="J6104"/>
      <c r="L6104" s="4"/>
    </row>
    <row r="6105" spans="10:12" x14ac:dyDescent="0.3">
      <c r="J6105"/>
      <c r="L6105" s="4"/>
    </row>
    <row r="6106" spans="10:12" x14ac:dyDescent="0.3">
      <c r="J6106"/>
      <c r="L6106" s="4"/>
    </row>
    <row r="6107" spans="10:12" x14ac:dyDescent="0.3">
      <c r="J6107"/>
      <c r="L6107" s="4"/>
    </row>
    <row r="6108" spans="10:12" x14ac:dyDescent="0.3">
      <c r="J6108"/>
      <c r="L6108" s="4"/>
    </row>
    <row r="6109" spans="10:12" x14ac:dyDescent="0.3">
      <c r="J6109"/>
      <c r="L6109" s="4"/>
    </row>
    <row r="6110" spans="10:12" x14ac:dyDescent="0.3">
      <c r="J6110"/>
      <c r="L6110" s="4"/>
    </row>
    <row r="6111" spans="10:12" x14ac:dyDescent="0.3">
      <c r="J6111"/>
      <c r="L6111" s="4"/>
    </row>
    <row r="6112" spans="10:12" x14ac:dyDescent="0.3">
      <c r="J6112"/>
      <c r="L6112" s="4"/>
    </row>
    <row r="6113" spans="10:12" x14ac:dyDescent="0.3">
      <c r="J6113"/>
      <c r="L6113" s="4"/>
    </row>
    <row r="6114" spans="10:12" x14ac:dyDescent="0.3">
      <c r="J6114"/>
      <c r="L6114" s="4"/>
    </row>
    <row r="6115" spans="10:12" x14ac:dyDescent="0.3">
      <c r="J6115"/>
      <c r="L6115" s="4"/>
    </row>
    <row r="6116" spans="10:12" x14ac:dyDescent="0.3">
      <c r="J6116"/>
      <c r="L6116" s="4"/>
    </row>
    <row r="6117" spans="10:12" x14ac:dyDescent="0.3">
      <c r="J6117"/>
      <c r="L6117" s="4"/>
    </row>
    <row r="6118" spans="10:12" x14ac:dyDescent="0.3">
      <c r="J6118"/>
      <c r="L6118" s="4"/>
    </row>
    <row r="6119" spans="10:12" x14ac:dyDescent="0.3">
      <c r="J6119"/>
      <c r="L6119" s="4"/>
    </row>
    <row r="6120" spans="10:12" x14ac:dyDescent="0.3">
      <c r="J6120"/>
      <c r="L6120" s="4"/>
    </row>
    <row r="6121" spans="10:12" x14ac:dyDescent="0.3">
      <c r="J6121"/>
      <c r="L6121" s="4"/>
    </row>
    <row r="6122" spans="10:12" x14ac:dyDescent="0.3">
      <c r="J6122"/>
      <c r="L6122" s="4"/>
    </row>
    <row r="6123" spans="10:12" x14ac:dyDescent="0.3">
      <c r="J6123"/>
      <c r="L6123" s="4"/>
    </row>
    <row r="6124" spans="10:12" x14ac:dyDescent="0.3">
      <c r="J6124"/>
      <c r="L6124" s="4"/>
    </row>
    <row r="6125" spans="10:12" x14ac:dyDescent="0.3">
      <c r="J6125"/>
      <c r="L6125" s="4"/>
    </row>
    <row r="6126" spans="10:12" x14ac:dyDescent="0.3">
      <c r="J6126"/>
      <c r="L6126" s="4"/>
    </row>
    <row r="6127" spans="10:12" x14ac:dyDescent="0.3">
      <c r="J6127"/>
      <c r="L6127" s="4"/>
    </row>
    <row r="6128" spans="10:12" x14ac:dyDescent="0.3">
      <c r="J6128"/>
      <c r="L6128" s="4"/>
    </row>
    <row r="6129" spans="10:12" x14ac:dyDescent="0.3">
      <c r="J6129"/>
      <c r="L6129" s="4"/>
    </row>
    <row r="6130" spans="10:12" x14ac:dyDescent="0.3">
      <c r="J6130"/>
      <c r="L6130" s="4"/>
    </row>
    <row r="6131" spans="10:12" x14ac:dyDescent="0.3">
      <c r="J6131"/>
      <c r="L6131" s="4"/>
    </row>
    <row r="6132" spans="10:12" x14ac:dyDescent="0.3">
      <c r="J6132"/>
      <c r="L6132" s="4"/>
    </row>
    <row r="6133" spans="10:12" x14ac:dyDescent="0.3">
      <c r="J6133"/>
      <c r="L6133" s="4"/>
    </row>
    <row r="6134" spans="10:12" x14ac:dyDescent="0.3">
      <c r="J6134"/>
      <c r="L6134" s="4"/>
    </row>
    <row r="6135" spans="10:12" x14ac:dyDescent="0.3">
      <c r="J6135"/>
      <c r="L6135" s="4"/>
    </row>
    <row r="6136" spans="10:12" x14ac:dyDescent="0.3">
      <c r="J6136"/>
      <c r="L6136" s="4"/>
    </row>
    <row r="6137" spans="10:12" x14ac:dyDescent="0.3">
      <c r="J6137"/>
      <c r="L6137" s="4"/>
    </row>
    <row r="6138" spans="10:12" x14ac:dyDescent="0.3">
      <c r="J6138"/>
      <c r="L6138" s="4"/>
    </row>
    <row r="6139" spans="10:12" x14ac:dyDescent="0.3">
      <c r="J6139"/>
      <c r="L6139" s="4"/>
    </row>
    <row r="6140" spans="10:12" x14ac:dyDescent="0.3">
      <c r="J6140"/>
      <c r="L6140" s="4"/>
    </row>
    <row r="6141" spans="10:12" x14ac:dyDescent="0.3">
      <c r="J6141"/>
      <c r="L6141" s="4"/>
    </row>
    <row r="6142" spans="10:12" x14ac:dyDescent="0.3">
      <c r="J6142"/>
      <c r="L6142" s="4"/>
    </row>
    <row r="6143" spans="10:12" x14ac:dyDescent="0.3">
      <c r="J6143"/>
      <c r="L6143" s="4"/>
    </row>
    <row r="6144" spans="10:12" x14ac:dyDescent="0.3">
      <c r="J6144"/>
      <c r="L6144" s="4"/>
    </row>
    <row r="6145" spans="10:12" x14ac:dyDescent="0.3">
      <c r="J6145"/>
      <c r="L6145" s="4"/>
    </row>
    <row r="6146" spans="10:12" x14ac:dyDescent="0.3">
      <c r="J6146"/>
      <c r="L6146" s="4"/>
    </row>
    <row r="6147" spans="10:12" x14ac:dyDescent="0.3">
      <c r="J6147"/>
      <c r="L6147" s="4"/>
    </row>
    <row r="6148" spans="10:12" x14ac:dyDescent="0.3">
      <c r="J6148"/>
      <c r="L6148" s="4"/>
    </row>
    <row r="6149" spans="10:12" x14ac:dyDescent="0.3">
      <c r="J6149"/>
      <c r="L6149" s="4"/>
    </row>
    <row r="6150" spans="10:12" x14ac:dyDescent="0.3">
      <c r="J6150"/>
      <c r="L6150" s="4"/>
    </row>
    <row r="6151" spans="10:12" x14ac:dyDescent="0.3">
      <c r="J6151"/>
      <c r="L6151" s="4"/>
    </row>
    <row r="6152" spans="10:12" x14ac:dyDescent="0.3">
      <c r="J6152"/>
      <c r="L6152" s="4"/>
    </row>
    <row r="6153" spans="10:12" x14ac:dyDescent="0.3">
      <c r="J6153"/>
      <c r="L6153" s="4"/>
    </row>
    <row r="6154" spans="10:12" x14ac:dyDescent="0.3">
      <c r="J6154"/>
      <c r="L6154" s="4"/>
    </row>
    <row r="6155" spans="10:12" x14ac:dyDescent="0.3">
      <c r="J6155"/>
      <c r="L6155" s="4"/>
    </row>
    <row r="6156" spans="10:12" x14ac:dyDescent="0.3">
      <c r="J6156"/>
      <c r="L6156" s="4"/>
    </row>
    <row r="6157" spans="10:12" x14ac:dyDescent="0.3">
      <c r="J6157"/>
      <c r="L6157" s="4"/>
    </row>
    <row r="6158" spans="10:12" x14ac:dyDescent="0.3">
      <c r="J6158"/>
      <c r="L6158" s="4"/>
    </row>
    <row r="6159" spans="10:12" x14ac:dyDescent="0.3">
      <c r="J6159"/>
      <c r="L6159" s="4"/>
    </row>
    <row r="6160" spans="10:12" x14ac:dyDescent="0.3">
      <c r="J6160"/>
      <c r="L6160" s="4"/>
    </row>
    <row r="6161" spans="10:12" x14ac:dyDescent="0.3">
      <c r="J6161"/>
      <c r="L6161" s="4"/>
    </row>
    <row r="6162" spans="10:12" x14ac:dyDescent="0.3">
      <c r="J6162"/>
      <c r="L6162" s="4"/>
    </row>
    <row r="6163" spans="10:12" x14ac:dyDescent="0.3">
      <c r="J6163"/>
      <c r="L6163" s="4"/>
    </row>
    <row r="6164" spans="10:12" x14ac:dyDescent="0.3">
      <c r="J6164"/>
      <c r="L6164" s="4"/>
    </row>
    <row r="6165" spans="10:12" x14ac:dyDescent="0.3">
      <c r="J6165"/>
      <c r="L6165" s="4"/>
    </row>
    <row r="6166" spans="10:12" x14ac:dyDescent="0.3">
      <c r="J6166"/>
      <c r="L6166" s="4"/>
    </row>
    <row r="6167" spans="10:12" x14ac:dyDescent="0.3">
      <c r="J6167"/>
      <c r="L6167" s="4"/>
    </row>
    <row r="6168" spans="10:12" x14ac:dyDescent="0.3">
      <c r="J6168"/>
      <c r="L6168" s="4"/>
    </row>
    <row r="6169" spans="10:12" x14ac:dyDescent="0.3">
      <c r="J6169"/>
      <c r="L6169" s="4"/>
    </row>
    <row r="6170" spans="10:12" x14ac:dyDescent="0.3">
      <c r="J6170"/>
      <c r="L6170" s="4"/>
    </row>
    <row r="6171" spans="10:12" x14ac:dyDescent="0.3">
      <c r="J6171"/>
      <c r="L6171" s="4"/>
    </row>
    <row r="6172" spans="10:12" x14ac:dyDescent="0.3">
      <c r="J6172"/>
      <c r="L6172" s="4"/>
    </row>
    <row r="6173" spans="10:12" x14ac:dyDescent="0.3">
      <c r="J6173"/>
      <c r="L6173" s="4"/>
    </row>
    <row r="6174" spans="10:12" x14ac:dyDescent="0.3">
      <c r="J6174"/>
      <c r="L6174" s="4"/>
    </row>
    <row r="6175" spans="10:12" x14ac:dyDescent="0.3">
      <c r="J6175"/>
      <c r="L6175" s="4"/>
    </row>
    <row r="6176" spans="10:12" x14ac:dyDescent="0.3">
      <c r="J6176"/>
      <c r="L6176" s="4"/>
    </row>
    <row r="6177" spans="10:12" x14ac:dyDescent="0.3">
      <c r="J6177"/>
      <c r="L6177" s="4"/>
    </row>
    <row r="6178" spans="10:12" x14ac:dyDescent="0.3">
      <c r="J6178"/>
      <c r="L6178" s="4"/>
    </row>
    <row r="6179" spans="10:12" x14ac:dyDescent="0.3">
      <c r="J6179"/>
      <c r="L6179" s="4"/>
    </row>
    <row r="6180" spans="10:12" x14ac:dyDescent="0.3">
      <c r="J6180"/>
      <c r="L6180" s="4"/>
    </row>
    <row r="6181" spans="10:12" x14ac:dyDescent="0.3">
      <c r="J6181"/>
      <c r="L6181" s="4"/>
    </row>
    <row r="6182" spans="10:12" x14ac:dyDescent="0.3">
      <c r="J6182"/>
      <c r="L6182" s="4"/>
    </row>
    <row r="6183" spans="10:12" x14ac:dyDescent="0.3">
      <c r="J6183"/>
      <c r="L6183" s="4"/>
    </row>
    <row r="6184" spans="10:12" x14ac:dyDescent="0.3">
      <c r="J6184"/>
      <c r="L6184" s="4"/>
    </row>
    <row r="6185" spans="10:12" x14ac:dyDescent="0.3">
      <c r="J6185"/>
      <c r="L6185" s="4"/>
    </row>
    <row r="6186" spans="10:12" x14ac:dyDescent="0.3">
      <c r="J6186"/>
      <c r="L6186" s="4"/>
    </row>
    <row r="6187" spans="10:12" x14ac:dyDescent="0.3">
      <c r="J6187"/>
      <c r="L6187" s="4"/>
    </row>
    <row r="6188" spans="10:12" x14ac:dyDescent="0.3">
      <c r="J6188"/>
      <c r="L6188" s="4"/>
    </row>
    <row r="6189" spans="10:12" x14ac:dyDescent="0.3">
      <c r="J6189"/>
      <c r="L6189" s="4"/>
    </row>
    <row r="6190" spans="10:12" x14ac:dyDescent="0.3">
      <c r="J6190"/>
      <c r="L6190" s="4"/>
    </row>
    <row r="6191" spans="10:12" x14ac:dyDescent="0.3">
      <c r="J6191"/>
      <c r="L6191" s="4"/>
    </row>
    <row r="6192" spans="10:12" x14ac:dyDescent="0.3">
      <c r="J6192"/>
      <c r="L6192" s="4"/>
    </row>
    <row r="6193" spans="10:12" x14ac:dyDescent="0.3">
      <c r="J6193"/>
      <c r="L6193" s="4"/>
    </row>
    <row r="6194" spans="10:12" x14ac:dyDescent="0.3">
      <c r="J6194"/>
      <c r="L6194" s="4"/>
    </row>
    <row r="6195" spans="10:12" x14ac:dyDescent="0.3">
      <c r="J6195"/>
      <c r="L6195" s="4"/>
    </row>
    <row r="6196" spans="10:12" x14ac:dyDescent="0.3">
      <c r="J6196"/>
      <c r="L6196" s="4"/>
    </row>
    <row r="6197" spans="10:12" x14ac:dyDescent="0.3">
      <c r="J6197"/>
      <c r="L6197" s="4"/>
    </row>
    <row r="6198" spans="10:12" x14ac:dyDescent="0.3">
      <c r="J6198"/>
      <c r="L6198" s="4"/>
    </row>
    <row r="6199" spans="10:12" x14ac:dyDescent="0.3">
      <c r="J6199"/>
      <c r="L6199" s="4"/>
    </row>
    <row r="6200" spans="10:12" x14ac:dyDescent="0.3">
      <c r="J6200"/>
      <c r="L6200" s="4"/>
    </row>
    <row r="6201" spans="10:12" x14ac:dyDescent="0.3">
      <c r="J6201"/>
      <c r="L6201" s="4"/>
    </row>
    <row r="6202" spans="10:12" x14ac:dyDescent="0.3">
      <c r="J6202"/>
      <c r="L6202" s="4"/>
    </row>
    <row r="6203" spans="10:12" x14ac:dyDescent="0.3">
      <c r="J6203"/>
      <c r="L6203" s="4"/>
    </row>
    <row r="6204" spans="10:12" x14ac:dyDescent="0.3">
      <c r="J6204"/>
      <c r="L6204" s="4"/>
    </row>
    <row r="6205" spans="10:12" x14ac:dyDescent="0.3">
      <c r="J6205"/>
      <c r="L6205" s="4"/>
    </row>
    <row r="6206" spans="10:12" x14ac:dyDescent="0.3">
      <c r="J6206"/>
      <c r="L6206" s="4"/>
    </row>
    <row r="6207" spans="10:12" x14ac:dyDescent="0.3">
      <c r="J6207"/>
      <c r="L6207" s="4"/>
    </row>
    <row r="6208" spans="10:12" x14ac:dyDescent="0.3">
      <c r="J6208"/>
      <c r="L6208" s="4"/>
    </row>
    <row r="6209" spans="10:12" x14ac:dyDescent="0.3">
      <c r="J6209"/>
      <c r="L6209" s="4"/>
    </row>
    <row r="6210" spans="10:12" x14ac:dyDescent="0.3">
      <c r="J6210"/>
      <c r="L6210" s="4"/>
    </row>
    <row r="6211" spans="10:12" x14ac:dyDescent="0.3">
      <c r="J6211"/>
      <c r="L6211" s="4"/>
    </row>
    <row r="6212" spans="10:12" x14ac:dyDescent="0.3">
      <c r="J6212"/>
      <c r="L6212" s="4"/>
    </row>
    <row r="6213" spans="10:12" x14ac:dyDescent="0.3">
      <c r="J6213"/>
      <c r="L6213" s="4"/>
    </row>
    <row r="6214" spans="10:12" x14ac:dyDescent="0.3">
      <c r="J6214"/>
      <c r="L6214" s="4"/>
    </row>
    <row r="6215" spans="10:12" x14ac:dyDescent="0.3">
      <c r="J6215"/>
      <c r="L6215" s="4"/>
    </row>
    <row r="6216" spans="10:12" x14ac:dyDescent="0.3">
      <c r="J6216"/>
      <c r="L6216" s="4"/>
    </row>
    <row r="6217" spans="10:12" x14ac:dyDescent="0.3">
      <c r="J6217"/>
      <c r="L6217" s="4"/>
    </row>
    <row r="6218" spans="10:12" x14ac:dyDescent="0.3">
      <c r="J6218"/>
      <c r="L6218" s="4"/>
    </row>
    <row r="6219" spans="10:12" x14ac:dyDescent="0.3">
      <c r="J6219"/>
      <c r="L6219" s="4"/>
    </row>
    <row r="6220" spans="10:12" x14ac:dyDescent="0.3">
      <c r="J6220"/>
      <c r="L6220" s="4"/>
    </row>
    <row r="6221" spans="10:12" x14ac:dyDescent="0.3">
      <c r="J6221"/>
      <c r="L6221" s="4"/>
    </row>
    <row r="6222" spans="10:12" x14ac:dyDescent="0.3">
      <c r="J6222"/>
      <c r="L6222" s="4"/>
    </row>
    <row r="6223" spans="10:12" x14ac:dyDescent="0.3">
      <c r="J6223"/>
      <c r="L6223" s="4"/>
    </row>
    <row r="6224" spans="10:12" x14ac:dyDescent="0.3">
      <c r="J6224"/>
      <c r="L6224" s="4"/>
    </row>
    <row r="6225" spans="10:12" x14ac:dyDescent="0.3">
      <c r="J6225"/>
      <c r="L6225" s="4"/>
    </row>
    <row r="6226" spans="10:12" x14ac:dyDescent="0.3">
      <c r="J6226"/>
      <c r="L6226" s="4"/>
    </row>
    <row r="6227" spans="10:12" x14ac:dyDescent="0.3">
      <c r="J6227"/>
      <c r="L6227" s="4"/>
    </row>
    <row r="6228" spans="10:12" x14ac:dyDescent="0.3">
      <c r="J6228"/>
      <c r="L6228" s="4"/>
    </row>
    <row r="6229" spans="10:12" x14ac:dyDescent="0.3">
      <c r="J6229"/>
      <c r="L6229" s="4"/>
    </row>
    <row r="6230" spans="10:12" x14ac:dyDescent="0.3">
      <c r="J6230"/>
      <c r="L6230" s="4"/>
    </row>
    <row r="6231" spans="10:12" x14ac:dyDescent="0.3">
      <c r="J6231"/>
      <c r="L6231" s="4"/>
    </row>
    <row r="6232" spans="10:12" x14ac:dyDescent="0.3">
      <c r="J6232"/>
      <c r="L6232" s="4"/>
    </row>
    <row r="6233" spans="10:12" x14ac:dyDescent="0.3">
      <c r="J6233"/>
      <c r="L6233" s="4"/>
    </row>
    <row r="6234" spans="10:12" x14ac:dyDescent="0.3">
      <c r="J6234"/>
      <c r="L6234" s="4"/>
    </row>
    <row r="6235" spans="10:12" x14ac:dyDescent="0.3">
      <c r="J6235"/>
      <c r="L6235" s="4"/>
    </row>
    <row r="6236" spans="10:12" x14ac:dyDescent="0.3">
      <c r="J6236"/>
      <c r="L6236" s="4"/>
    </row>
    <row r="6237" spans="10:12" x14ac:dyDescent="0.3">
      <c r="J6237"/>
      <c r="L6237" s="4"/>
    </row>
    <row r="6238" spans="10:12" x14ac:dyDescent="0.3">
      <c r="J6238"/>
      <c r="L6238" s="4"/>
    </row>
    <row r="6239" spans="10:12" x14ac:dyDescent="0.3">
      <c r="J6239"/>
      <c r="L6239" s="4"/>
    </row>
    <row r="6240" spans="10:12" x14ac:dyDescent="0.3">
      <c r="J6240"/>
      <c r="L6240" s="4"/>
    </row>
    <row r="6241" spans="10:12" x14ac:dyDescent="0.3">
      <c r="J6241"/>
      <c r="L6241" s="4"/>
    </row>
    <row r="6242" spans="10:12" x14ac:dyDescent="0.3">
      <c r="J6242"/>
      <c r="L6242" s="4"/>
    </row>
    <row r="6243" spans="10:12" x14ac:dyDescent="0.3">
      <c r="J6243"/>
      <c r="L6243" s="4"/>
    </row>
    <row r="6244" spans="10:12" x14ac:dyDescent="0.3">
      <c r="J6244"/>
      <c r="L6244" s="4"/>
    </row>
    <row r="6245" spans="10:12" x14ac:dyDescent="0.3">
      <c r="J6245"/>
      <c r="L6245" s="4"/>
    </row>
    <row r="6246" spans="10:12" x14ac:dyDescent="0.3">
      <c r="J6246"/>
      <c r="L6246" s="4"/>
    </row>
    <row r="6247" spans="10:12" x14ac:dyDescent="0.3">
      <c r="J6247"/>
      <c r="L6247" s="4"/>
    </row>
    <row r="6248" spans="10:12" x14ac:dyDescent="0.3">
      <c r="J6248"/>
      <c r="L6248" s="4"/>
    </row>
    <row r="6249" spans="10:12" x14ac:dyDescent="0.3">
      <c r="J6249"/>
      <c r="L6249" s="4"/>
    </row>
    <row r="6250" spans="10:12" x14ac:dyDescent="0.3">
      <c r="J6250"/>
      <c r="L6250" s="4"/>
    </row>
    <row r="6251" spans="10:12" x14ac:dyDescent="0.3">
      <c r="J6251"/>
      <c r="L6251" s="4"/>
    </row>
    <row r="6252" spans="10:12" x14ac:dyDescent="0.3">
      <c r="J6252"/>
      <c r="L6252" s="4"/>
    </row>
    <row r="6253" spans="10:12" x14ac:dyDescent="0.3">
      <c r="J6253"/>
      <c r="L6253" s="4"/>
    </row>
    <row r="6254" spans="10:12" x14ac:dyDescent="0.3">
      <c r="J6254"/>
      <c r="L6254" s="4"/>
    </row>
    <row r="6255" spans="10:12" x14ac:dyDescent="0.3">
      <c r="J6255"/>
      <c r="L6255" s="4"/>
    </row>
    <row r="6256" spans="10:12" x14ac:dyDescent="0.3">
      <c r="J6256"/>
      <c r="L6256" s="4"/>
    </row>
    <row r="6257" spans="10:12" x14ac:dyDescent="0.3">
      <c r="J6257"/>
      <c r="L6257" s="4"/>
    </row>
    <row r="6258" spans="10:12" x14ac:dyDescent="0.3">
      <c r="J6258"/>
      <c r="L6258" s="4"/>
    </row>
    <row r="6259" spans="10:12" x14ac:dyDescent="0.3">
      <c r="J6259"/>
      <c r="L6259" s="4"/>
    </row>
    <row r="6260" spans="10:12" x14ac:dyDescent="0.3">
      <c r="J6260"/>
      <c r="L6260" s="4"/>
    </row>
    <row r="6261" spans="10:12" x14ac:dyDescent="0.3">
      <c r="J6261"/>
      <c r="L6261" s="4"/>
    </row>
    <row r="6262" spans="10:12" x14ac:dyDescent="0.3">
      <c r="J6262"/>
      <c r="L6262" s="4"/>
    </row>
    <row r="6263" spans="10:12" x14ac:dyDescent="0.3">
      <c r="J6263"/>
      <c r="L6263" s="4"/>
    </row>
    <row r="6264" spans="10:12" x14ac:dyDescent="0.3">
      <c r="J6264"/>
      <c r="L6264" s="4"/>
    </row>
    <row r="6265" spans="10:12" x14ac:dyDescent="0.3">
      <c r="J6265"/>
      <c r="L6265" s="4"/>
    </row>
    <row r="6266" spans="10:12" x14ac:dyDescent="0.3">
      <c r="J6266"/>
      <c r="L6266" s="4"/>
    </row>
    <row r="6267" spans="10:12" x14ac:dyDescent="0.3">
      <c r="J6267"/>
      <c r="L6267" s="4"/>
    </row>
    <row r="6268" spans="10:12" x14ac:dyDescent="0.3">
      <c r="J6268"/>
      <c r="L6268" s="4"/>
    </row>
    <row r="6269" spans="10:12" x14ac:dyDescent="0.3">
      <c r="J6269"/>
      <c r="L6269" s="4"/>
    </row>
    <row r="6270" spans="10:12" x14ac:dyDescent="0.3">
      <c r="J6270"/>
      <c r="L6270" s="4"/>
    </row>
    <row r="6271" spans="10:12" x14ac:dyDescent="0.3">
      <c r="J6271"/>
      <c r="L6271" s="4"/>
    </row>
    <row r="6272" spans="10:12" x14ac:dyDescent="0.3">
      <c r="J6272"/>
      <c r="L6272" s="4"/>
    </row>
    <row r="6273" spans="10:12" x14ac:dyDescent="0.3">
      <c r="J6273"/>
      <c r="L6273" s="4"/>
    </row>
    <row r="6274" spans="10:12" x14ac:dyDescent="0.3">
      <c r="J6274"/>
      <c r="L6274" s="4"/>
    </row>
    <row r="6275" spans="10:12" x14ac:dyDescent="0.3">
      <c r="J6275"/>
      <c r="L6275" s="4"/>
    </row>
    <row r="6276" spans="10:12" x14ac:dyDescent="0.3">
      <c r="J6276"/>
      <c r="L6276" s="4"/>
    </row>
    <row r="6277" spans="10:12" x14ac:dyDescent="0.3">
      <c r="J6277"/>
      <c r="L6277" s="4"/>
    </row>
    <row r="6278" spans="10:12" x14ac:dyDescent="0.3">
      <c r="J6278"/>
      <c r="L6278" s="4"/>
    </row>
    <row r="6279" spans="10:12" x14ac:dyDescent="0.3">
      <c r="J6279"/>
      <c r="L6279" s="4"/>
    </row>
    <row r="6280" spans="10:12" x14ac:dyDescent="0.3">
      <c r="J6280"/>
      <c r="L6280" s="4"/>
    </row>
    <row r="6281" spans="10:12" x14ac:dyDescent="0.3">
      <c r="J6281"/>
      <c r="L6281" s="4"/>
    </row>
    <row r="6282" spans="10:12" x14ac:dyDescent="0.3">
      <c r="J6282"/>
      <c r="L6282" s="4"/>
    </row>
    <row r="6283" spans="10:12" x14ac:dyDescent="0.3">
      <c r="J6283"/>
      <c r="L6283" s="4"/>
    </row>
    <row r="6284" spans="10:12" x14ac:dyDescent="0.3">
      <c r="J6284"/>
      <c r="L6284" s="4"/>
    </row>
    <row r="6285" spans="10:12" x14ac:dyDescent="0.3">
      <c r="J6285"/>
      <c r="L6285" s="4"/>
    </row>
    <row r="6286" spans="10:12" x14ac:dyDescent="0.3">
      <c r="J6286"/>
      <c r="L6286" s="4"/>
    </row>
    <row r="6287" spans="10:12" x14ac:dyDescent="0.3">
      <c r="J6287"/>
      <c r="L6287" s="4"/>
    </row>
    <row r="6288" spans="10:12" x14ac:dyDescent="0.3">
      <c r="J6288"/>
      <c r="L6288" s="4"/>
    </row>
    <row r="6289" spans="10:12" x14ac:dyDescent="0.3">
      <c r="J6289"/>
      <c r="L6289" s="4"/>
    </row>
    <row r="6290" spans="10:12" x14ac:dyDescent="0.3">
      <c r="J6290"/>
      <c r="L6290" s="4"/>
    </row>
    <row r="6291" spans="10:12" x14ac:dyDescent="0.3">
      <c r="J6291"/>
      <c r="L6291" s="4"/>
    </row>
    <row r="6292" spans="10:12" x14ac:dyDescent="0.3">
      <c r="J6292"/>
      <c r="L6292" s="4"/>
    </row>
    <row r="6293" spans="10:12" x14ac:dyDescent="0.3">
      <c r="J6293"/>
      <c r="L6293" s="4"/>
    </row>
    <row r="6294" spans="10:12" x14ac:dyDescent="0.3">
      <c r="J6294"/>
      <c r="L6294" s="4"/>
    </row>
    <row r="6295" spans="10:12" x14ac:dyDescent="0.3">
      <c r="J6295"/>
      <c r="L6295" s="4"/>
    </row>
    <row r="6296" spans="10:12" x14ac:dyDescent="0.3">
      <c r="J6296"/>
      <c r="L6296" s="4"/>
    </row>
    <row r="6297" spans="10:12" x14ac:dyDescent="0.3">
      <c r="J6297"/>
      <c r="L6297" s="4"/>
    </row>
    <row r="6298" spans="10:12" x14ac:dyDescent="0.3">
      <c r="J6298"/>
      <c r="L6298" s="4"/>
    </row>
    <row r="6299" spans="10:12" x14ac:dyDescent="0.3">
      <c r="J6299"/>
      <c r="L6299" s="4"/>
    </row>
    <row r="6300" spans="10:12" x14ac:dyDescent="0.3">
      <c r="J6300"/>
      <c r="L6300" s="4"/>
    </row>
    <row r="6301" spans="10:12" x14ac:dyDescent="0.3">
      <c r="J6301"/>
      <c r="L6301" s="4"/>
    </row>
    <row r="6302" spans="10:12" x14ac:dyDescent="0.3">
      <c r="J6302"/>
      <c r="L6302" s="4"/>
    </row>
    <row r="6303" spans="10:12" x14ac:dyDescent="0.3">
      <c r="J6303"/>
      <c r="L6303" s="4"/>
    </row>
    <row r="6304" spans="10:12" x14ac:dyDescent="0.3">
      <c r="J6304"/>
      <c r="L6304" s="4"/>
    </row>
    <row r="6305" spans="10:12" x14ac:dyDescent="0.3">
      <c r="J6305"/>
      <c r="L6305" s="4"/>
    </row>
    <row r="6306" spans="10:12" x14ac:dyDescent="0.3">
      <c r="J6306"/>
      <c r="L6306" s="4"/>
    </row>
    <row r="6307" spans="10:12" x14ac:dyDescent="0.3">
      <c r="J6307"/>
      <c r="L6307" s="4"/>
    </row>
    <row r="6308" spans="10:12" x14ac:dyDescent="0.3">
      <c r="J6308"/>
      <c r="L6308" s="4"/>
    </row>
    <row r="6309" spans="10:12" x14ac:dyDescent="0.3">
      <c r="J6309"/>
      <c r="L6309" s="4"/>
    </row>
    <row r="6310" spans="10:12" x14ac:dyDescent="0.3">
      <c r="J6310"/>
      <c r="L6310" s="4"/>
    </row>
    <row r="6311" spans="10:12" x14ac:dyDescent="0.3">
      <c r="J6311"/>
      <c r="L6311" s="4"/>
    </row>
    <row r="6312" spans="10:12" x14ac:dyDescent="0.3">
      <c r="J6312"/>
      <c r="L6312" s="4"/>
    </row>
    <row r="6313" spans="10:12" x14ac:dyDescent="0.3">
      <c r="J6313"/>
      <c r="L6313" s="4"/>
    </row>
    <row r="6314" spans="10:12" x14ac:dyDescent="0.3">
      <c r="J6314"/>
      <c r="L6314" s="4"/>
    </row>
    <row r="6315" spans="10:12" x14ac:dyDescent="0.3">
      <c r="J6315"/>
      <c r="L6315" s="4"/>
    </row>
    <row r="6316" spans="10:12" x14ac:dyDescent="0.3">
      <c r="J6316"/>
      <c r="L6316" s="4"/>
    </row>
    <row r="6317" spans="10:12" x14ac:dyDescent="0.3">
      <c r="J6317"/>
      <c r="L6317" s="4"/>
    </row>
    <row r="6318" spans="10:12" x14ac:dyDescent="0.3">
      <c r="J6318"/>
      <c r="L6318" s="4"/>
    </row>
    <row r="6319" spans="10:12" x14ac:dyDescent="0.3">
      <c r="J6319"/>
      <c r="L6319" s="4"/>
    </row>
    <row r="6320" spans="10:12" x14ac:dyDescent="0.3">
      <c r="J6320"/>
      <c r="L6320" s="4"/>
    </row>
    <row r="6321" spans="10:12" x14ac:dyDescent="0.3">
      <c r="J6321"/>
      <c r="L6321" s="4"/>
    </row>
    <row r="6322" spans="10:12" x14ac:dyDescent="0.3">
      <c r="J6322"/>
      <c r="L6322" s="4"/>
    </row>
    <row r="6323" spans="10:12" x14ac:dyDescent="0.3">
      <c r="J6323"/>
      <c r="L6323" s="4"/>
    </row>
    <row r="6324" spans="10:12" x14ac:dyDescent="0.3">
      <c r="J6324"/>
      <c r="L6324" s="4"/>
    </row>
    <row r="6325" spans="10:12" x14ac:dyDescent="0.3">
      <c r="J6325"/>
      <c r="L6325" s="4"/>
    </row>
    <row r="6326" spans="10:12" x14ac:dyDescent="0.3">
      <c r="J6326"/>
      <c r="L6326" s="4"/>
    </row>
    <row r="6327" spans="10:12" x14ac:dyDescent="0.3">
      <c r="J6327"/>
      <c r="L6327" s="4"/>
    </row>
    <row r="6328" spans="10:12" x14ac:dyDescent="0.3">
      <c r="J6328"/>
      <c r="L6328" s="4"/>
    </row>
    <row r="6329" spans="10:12" x14ac:dyDescent="0.3">
      <c r="J6329"/>
      <c r="L6329" s="4"/>
    </row>
    <row r="6330" spans="10:12" x14ac:dyDescent="0.3">
      <c r="J6330"/>
      <c r="L6330" s="4"/>
    </row>
    <row r="6331" spans="10:12" x14ac:dyDescent="0.3">
      <c r="J6331"/>
      <c r="L6331" s="4"/>
    </row>
    <row r="6332" spans="10:12" x14ac:dyDescent="0.3">
      <c r="J6332"/>
      <c r="L6332" s="4"/>
    </row>
    <row r="6333" spans="10:12" x14ac:dyDescent="0.3">
      <c r="J6333"/>
      <c r="L6333" s="4"/>
    </row>
    <row r="6334" spans="10:12" x14ac:dyDescent="0.3">
      <c r="J6334"/>
      <c r="L6334" s="4"/>
    </row>
    <row r="6335" spans="10:12" x14ac:dyDescent="0.3">
      <c r="J6335"/>
      <c r="L6335" s="4"/>
    </row>
    <row r="6336" spans="10:12" x14ac:dyDescent="0.3">
      <c r="J6336"/>
      <c r="L6336" s="4"/>
    </row>
    <row r="6337" spans="10:12" x14ac:dyDescent="0.3">
      <c r="J6337"/>
      <c r="L6337" s="4"/>
    </row>
    <row r="6338" spans="10:12" x14ac:dyDescent="0.3">
      <c r="J6338"/>
      <c r="L6338" s="4"/>
    </row>
    <row r="6339" spans="10:12" x14ac:dyDescent="0.3">
      <c r="J6339"/>
      <c r="L6339" s="4"/>
    </row>
    <row r="6340" spans="10:12" x14ac:dyDescent="0.3">
      <c r="J6340"/>
      <c r="L6340" s="4"/>
    </row>
    <row r="6341" spans="10:12" x14ac:dyDescent="0.3">
      <c r="J6341"/>
      <c r="L6341" s="4"/>
    </row>
    <row r="6342" spans="10:12" x14ac:dyDescent="0.3">
      <c r="J6342"/>
      <c r="L6342" s="4"/>
    </row>
    <row r="6343" spans="10:12" x14ac:dyDescent="0.3">
      <c r="J6343"/>
      <c r="L6343" s="4"/>
    </row>
    <row r="6344" spans="10:12" x14ac:dyDescent="0.3">
      <c r="J6344"/>
      <c r="L6344" s="4"/>
    </row>
    <row r="6345" spans="10:12" x14ac:dyDescent="0.3">
      <c r="J6345"/>
      <c r="L6345" s="4"/>
    </row>
    <row r="6346" spans="10:12" x14ac:dyDescent="0.3">
      <c r="J6346"/>
      <c r="L6346" s="4"/>
    </row>
    <row r="6347" spans="10:12" x14ac:dyDescent="0.3">
      <c r="J6347"/>
      <c r="L6347" s="4"/>
    </row>
    <row r="6348" spans="10:12" x14ac:dyDescent="0.3">
      <c r="J6348"/>
      <c r="L6348" s="4"/>
    </row>
    <row r="6349" spans="10:12" x14ac:dyDescent="0.3">
      <c r="J6349"/>
      <c r="L6349" s="4"/>
    </row>
    <row r="6350" spans="10:12" x14ac:dyDescent="0.3">
      <c r="J6350"/>
      <c r="L6350" s="4"/>
    </row>
    <row r="6351" spans="10:12" x14ac:dyDescent="0.3">
      <c r="J6351"/>
      <c r="L6351" s="4"/>
    </row>
    <row r="6352" spans="10:12" x14ac:dyDescent="0.3">
      <c r="J6352"/>
      <c r="L6352" s="4"/>
    </row>
    <row r="6353" spans="10:12" x14ac:dyDescent="0.3">
      <c r="J6353"/>
      <c r="L6353" s="4"/>
    </row>
    <row r="6354" spans="10:12" x14ac:dyDescent="0.3">
      <c r="J6354"/>
      <c r="L6354" s="4"/>
    </row>
    <row r="6355" spans="10:12" x14ac:dyDescent="0.3">
      <c r="J6355"/>
      <c r="L6355" s="4"/>
    </row>
    <row r="6356" spans="10:12" x14ac:dyDescent="0.3">
      <c r="J6356"/>
      <c r="L6356" s="4"/>
    </row>
    <row r="6357" spans="10:12" x14ac:dyDescent="0.3">
      <c r="J6357"/>
      <c r="L6357" s="4"/>
    </row>
    <row r="6358" spans="10:12" x14ac:dyDescent="0.3">
      <c r="J6358"/>
      <c r="L6358" s="4"/>
    </row>
    <row r="6359" spans="10:12" x14ac:dyDescent="0.3">
      <c r="J6359"/>
      <c r="L6359" s="4"/>
    </row>
    <row r="6360" spans="10:12" x14ac:dyDescent="0.3">
      <c r="J6360"/>
      <c r="L6360" s="4"/>
    </row>
    <row r="6361" spans="10:12" x14ac:dyDescent="0.3">
      <c r="J6361"/>
      <c r="L6361" s="4"/>
    </row>
    <row r="6362" spans="10:12" x14ac:dyDescent="0.3">
      <c r="J6362"/>
      <c r="L6362" s="4"/>
    </row>
    <row r="6363" spans="10:12" x14ac:dyDescent="0.3">
      <c r="J6363"/>
      <c r="L6363" s="4"/>
    </row>
    <row r="6364" spans="10:12" x14ac:dyDescent="0.3">
      <c r="J6364"/>
      <c r="L6364" s="4"/>
    </row>
    <row r="6365" spans="10:12" x14ac:dyDescent="0.3">
      <c r="J6365"/>
      <c r="L6365" s="4"/>
    </row>
    <row r="6366" spans="10:12" x14ac:dyDescent="0.3">
      <c r="J6366"/>
      <c r="L6366" s="4"/>
    </row>
    <row r="6367" spans="10:12" x14ac:dyDescent="0.3">
      <c r="J6367"/>
      <c r="L6367" s="4"/>
    </row>
    <row r="6368" spans="10:12" x14ac:dyDescent="0.3">
      <c r="J6368"/>
      <c r="L6368" s="4"/>
    </row>
    <row r="6369" spans="10:12" x14ac:dyDescent="0.3">
      <c r="J6369"/>
      <c r="L6369" s="4"/>
    </row>
    <row r="6370" spans="10:12" x14ac:dyDescent="0.3">
      <c r="J6370"/>
      <c r="L6370" s="4"/>
    </row>
    <row r="6371" spans="10:12" x14ac:dyDescent="0.3">
      <c r="J6371"/>
      <c r="L6371" s="4"/>
    </row>
    <row r="6372" spans="10:12" x14ac:dyDescent="0.3">
      <c r="J6372"/>
      <c r="L6372" s="4"/>
    </row>
    <row r="6373" spans="10:12" x14ac:dyDescent="0.3">
      <c r="J6373"/>
      <c r="L6373" s="4"/>
    </row>
    <row r="6374" spans="10:12" x14ac:dyDescent="0.3">
      <c r="J6374"/>
      <c r="L6374" s="4"/>
    </row>
    <row r="6375" spans="10:12" x14ac:dyDescent="0.3">
      <c r="J6375"/>
      <c r="L6375" s="4"/>
    </row>
    <row r="6376" spans="10:12" x14ac:dyDescent="0.3">
      <c r="J6376"/>
      <c r="L6376" s="4"/>
    </row>
    <row r="6377" spans="10:12" x14ac:dyDescent="0.3">
      <c r="J6377"/>
      <c r="L6377" s="4"/>
    </row>
    <row r="6378" spans="10:12" x14ac:dyDescent="0.3">
      <c r="J6378"/>
      <c r="L6378" s="4"/>
    </row>
    <row r="6379" spans="10:12" x14ac:dyDescent="0.3">
      <c r="J6379"/>
      <c r="L6379" s="4"/>
    </row>
    <row r="6380" spans="10:12" x14ac:dyDescent="0.3">
      <c r="J6380"/>
      <c r="L6380" s="4"/>
    </row>
    <row r="6381" spans="10:12" x14ac:dyDescent="0.3">
      <c r="J6381"/>
      <c r="L6381" s="4"/>
    </row>
    <row r="6382" spans="10:12" x14ac:dyDescent="0.3">
      <c r="J6382"/>
      <c r="L6382" s="4"/>
    </row>
    <row r="6383" spans="10:12" x14ac:dyDescent="0.3">
      <c r="J6383"/>
      <c r="L6383" s="4"/>
    </row>
    <row r="6384" spans="10:12" x14ac:dyDescent="0.3">
      <c r="J6384"/>
      <c r="L6384" s="4"/>
    </row>
    <row r="6385" spans="10:12" x14ac:dyDescent="0.3">
      <c r="J6385"/>
      <c r="L6385" s="4"/>
    </row>
    <row r="6386" spans="10:12" x14ac:dyDescent="0.3">
      <c r="J6386"/>
      <c r="L6386" s="4"/>
    </row>
    <row r="6387" spans="10:12" x14ac:dyDescent="0.3">
      <c r="J6387"/>
      <c r="L6387" s="4"/>
    </row>
    <row r="6388" spans="10:12" x14ac:dyDescent="0.3">
      <c r="J6388"/>
      <c r="L6388" s="4"/>
    </row>
    <row r="6389" spans="10:12" x14ac:dyDescent="0.3">
      <c r="J6389"/>
      <c r="L6389" s="4"/>
    </row>
    <row r="6390" spans="10:12" x14ac:dyDescent="0.3">
      <c r="J6390"/>
      <c r="L6390" s="4"/>
    </row>
    <row r="6391" spans="10:12" x14ac:dyDescent="0.3">
      <c r="J6391"/>
      <c r="L6391" s="4"/>
    </row>
    <row r="6392" spans="10:12" x14ac:dyDescent="0.3">
      <c r="J6392"/>
      <c r="L6392" s="4"/>
    </row>
    <row r="6393" spans="10:12" x14ac:dyDescent="0.3">
      <c r="J6393"/>
      <c r="L6393" s="4"/>
    </row>
    <row r="6394" spans="10:12" x14ac:dyDescent="0.3">
      <c r="J6394"/>
      <c r="L6394" s="4"/>
    </row>
    <row r="6395" spans="10:12" x14ac:dyDescent="0.3">
      <c r="J6395"/>
      <c r="L6395" s="4"/>
    </row>
    <row r="6396" spans="10:12" x14ac:dyDescent="0.3">
      <c r="J6396"/>
      <c r="L6396" s="4"/>
    </row>
    <row r="6397" spans="10:12" x14ac:dyDescent="0.3">
      <c r="J6397"/>
      <c r="L6397" s="4"/>
    </row>
    <row r="6398" spans="10:12" x14ac:dyDescent="0.3">
      <c r="J6398"/>
      <c r="L6398" s="4"/>
    </row>
    <row r="6399" spans="10:12" x14ac:dyDescent="0.3">
      <c r="J6399"/>
      <c r="L6399" s="4"/>
    </row>
    <row r="6400" spans="10:12" x14ac:dyDescent="0.3">
      <c r="J6400"/>
      <c r="L6400" s="4"/>
    </row>
    <row r="6401" spans="10:12" x14ac:dyDescent="0.3">
      <c r="J6401"/>
      <c r="L6401" s="4"/>
    </row>
    <row r="6402" spans="10:12" x14ac:dyDescent="0.3">
      <c r="J6402"/>
      <c r="L6402" s="4"/>
    </row>
    <row r="6403" spans="10:12" x14ac:dyDescent="0.3">
      <c r="J6403"/>
      <c r="L6403" s="4"/>
    </row>
    <row r="6404" spans="10:12" x14ac:dyDescent="0.3">
      <c r="J6404"/>
      <c r="L6404" s="4"/>
    </row>
    <row r="6405" spans="10:12" x14ac:dyDescent="0.3">
      <c r="J6405"/>
      <c r="L6405" s="4"/>
    </row>
  </sheetData>
  <autoFilter ref="A1:K3204" xr:uid="{7506986E-78C0-A24B-869D-B3A7D94FED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93C5-99DF-8945-B2A4-388C39420332}">
  <dimension ref="B3:M1508"/>
  <sheetViews>
    <sheetView zoomScaleNormal="100" workbookViewId="0">
      <selection activeCell="E27" sqref="E27"/>
    </sheetView>
  </sheetViews>
  <sheetFormatPr defaultColWidth="11.5546875" defaultRowHeight="14.4" x14ac:dyDescent="0.3"/>
  <cols>
    <col min="1" max="1" width="5.33203125" customWidth="1"/>
    <col min="2" max="2" width="18.44140625" bestFit="1" customWidth="1"/>
    <col min="3" max="3" width="20.109375" bestFit="1" customWidth="1"/>
    <col min="7" max="7" width="17.21875" bestFit="1" customWidth="1"/>
    <col min="8" max="8" width="19.88671875" bestFit="1" customWidth="1"/>
    <col min="11" max="11" width="19.33203125" bestFit="1" customWidth="1"/>
    <col min="13" max="13" width="84" bestFit="1" customWidth="1"/>
  </cols>
  <sheetData>
    <row r="3" spans="2:13" x14ac:dyDescent="0.3">
      <c r="B3" s="7" t="s">
        <v>2921</v>
      </c>
      <c r="C3" t="s">
        <v>2924</v>
      </c>
      <c r="K3" s="7" t="s">
        <v>2921</v>
      </c>
      <c r="M3" s="7" t="s">
        <v>2921</v>
      </c>
    </row>
    <row r="4" spans="2:13" x14ac:dyDescent="0.3">
      <c r="B4" s="8" t="s">
        <v>2923</v>
      </c>
      <c r="C4" s="11">
        <v>139966.24950000001</v>
      </c>
      <c r="K4" s="8" t="s">
        <v>100</v>
      </c>
      <c r="M4" s="8" t="s">
        <v>2828</v>
      </c>
    </row>
    <row r="5" spans="2:13" x14ac:dyDescent="0.3">
      <c r="B5" s="9" t="s">
        <v>2925</v>
      </c>
      <c r="C5" s="11">
        <v>205.10399999999998</v>
      </c>
      <c r="K5" s="8" t="s">
        <v>306</v>
      </c>
      <c r="M5" s="8" t="s">
        <v>2738</v>
      </c>
    </row>
    <row r="6" spans="2:13" x14ac:dyDescent="0.3">
      <c r="B6" s="10">
        <v>41644</v>
      </c>
      <c r="C6" s="11">
        <v>205.10399999999998</v>
      </c>
      <c r="K6" s="8" t="s">
        <v>2255</v>
      </c>
      <c r="M6" s="8" t="s">
        <v>687</v>
      </c>
    </row>
    <row r="7" spans="2:13" x14ac:dyDescent="0.3">
      <c r="B7" s="9" t="s">
        <v>2926</v>
      </c>
      <c r="C7" s="11">
        <v>31.538000000000004</v>
      </c>
      <c r="K7" s="8" t="s">
        <v>1548</v>
      </c>
      <c r="M7" s="8" t="s">
        <v>1576</v>
      </c>
    </row>
    <row r="8" spans="2:13" x14ac:dyDescent="0.3">
      <c r="B8" s="10">
        <v>41645</v>
      </c>
      <c r="C8" s="11">
        <v>31.538000000000004</v>
      </c>
      <c r="K8" s="8" t="s">
        <v>909</v>
      </c>
      <c r="M8" s="8" t="s">
        <v>758</v>
      </c>
    </row>
    <row r="9" spans="2:13" x14ac:dyDescent="0.3">
      <c r="B9" s="9" t="s">
        <v>2927</v>
      </c>
      <c r="C9" s="11">
        <v>612.45799999999997</v>
      </c>
      <c r="K9" s="8" t="s">
        <v>1095</v>
      </c>
      <c r="M9" s="8" t="s">
        <v>1842</v>
      </c>
    </row>
    <row r="10" spans="2:13" x14ac:dyDescent="0.3">
      <c r="B10" s="10">
        <v>41652</v>
      </c>
      <c r="C10" s="11">
        <v>612.45799999999997</v>
      </c>
      <c r="K10" s="8" t="s">
        <v>2251</v>
      </c>
      <c r="M10" s="8" t="s">
        <v>2846</v>
      </c>
    </row>
    <row r="11" spans="2:13" x14ac:dyDescent="0.3">
      <c r="B11" s="9" t="s">
        <v>2928</v>
      </c>
      <c r="C11" s="11">
        <v>43.66</v>
      </c>
      <c r="K11" s="8" t="s">
        <v>440</v>
      </c>
      <c r="M11" s="8" t="s">
        <v>1787</v>
      </c>
    </row>
    <row r="12" spans="2:13" x14ac:dyDescent="0.3">
      <c r="B12" s="10">
        <v>41662</v>
      </c>
      <c r="C12" s="11">
        <v>43.66</v>
      </c>
      <c r="G12" s="7" t="s">
        <v>2921</v>
      </c>
      <c r="H12" t="s">
        <v>2924</v>
      </c>
      <c r="K12" s="8" t="s">
        <v>2348</v>
      </c>
      <c r="M12" s="8" t="s">
        <v>2190</v>
      </c>
    </row>
    <row r="13" spans="2:13" x14ac:dyDescent="0.3">
      <c r="B13" s="9" t="s">
        <v>2929</v>
      </c>
      <c r="C13" s="11">
        <v>182.72</v>
      </c>
      <c r="G13" s="8" t="s">
        <v>12</v>
      </c>
      <c r="H13" s="18">
        <v>252612.74350000013</v>
      </c>
      <c r="K13" s="8" t="s">
        <v>1226</v>
      </c>
      <c r="M13" s="8" t="s">
        <v>1586</v>
      </c>
    </row>
    <row r="14" spans="2:13" x14ac:dyDescent="0.3">
      <c r="B14" s="10">
        <v>41665</v>
      </c>
      <c r="C14" s="11">
        <v>182.72</v>
      </c>
      <c r="G14" s="8" t="s">
        <v>4</v>
      </c>
      <c r="H14" s="18">
        <v>220853.24899999998</v>
      </c>
      <c r="K14" s="8" t="s">
        <v>2471</v>
      </c>
      <c r="M14" s="8" t="s">
        <v>2732</v>
      </c>
    </row>
    <row r="15" spans="2:13" x14ac:dyDescent="0.3">
      <c r="B15" s="9" t="s">
        <v>2930</v>
      </c>
      <c r="C15" s="11">
        <v>2803.92</v>
      </c>
      <c r="G15" s="8" t="s">
        <v>74</v>
      </c>
      <c r="H15" s="18">
        <v>251991.83199999999</v>
      </c>
      <c r="K15" s="8" t="s">
        <v>978</v>
      </c>
      <c r="M15" s="8" t="s">
        <v>1876</v>
      </c>
    </row>
    <row r="16" spans="2:13" x14ac:dyDescent="0.3">
      <c r="B16" s="10">
        <v>41666</v>
      </c>
      <c r="C16" s="11">
        <v>2803.92</v>
      </c>
      <c r="G16" s="8" t="s">
        <v>2922</v>
      </c>
      <c r="H16" s="18">
        <v>725457.8245000001</v>
      </c>
      <c r="K16" s="8" t="s">
        <v>2392</v>
      </c>
      <c r="M16" s="8" t="s">
        <v>1368</v>
      </c>
    </row>
    <row r="17" spans="2:13" x14ac:dyDescent="0.3">
      <c r="B17" s="9" t="s">
        <v>2931</v>
      </c>
      <c r="C17" s="11">
        <v>2147.3360000000002</v>
      </c>
      <c r="K17" s="8" t="s">
        <v>772</v>
      </c>
      <c r="M17" s="8" t="s">
        <v>2689</v>
      </c>
    </row>
    <row r="18" spans="2:13" x14ac:dyDescent="0.3">
      <c r="B18" s="10">
        <v>41669</v>
      </c>
      <c r="C18" s="11">
        <v>2147.3360000000002</v>
      </c>
      <c r="K18" s="8" t="s">
        <v>468</v>
      </c>
      <c r="M18" s="8" t="s">
        <v>2042</v>
      </c>
    </row>
    <row r="19" spans="2:13" x14ac:dyDescent="0.3">
      <c r="B19" s="9" t="s">
        <v>2932</v>
      </c>
      <c r="C19" s="11">
        <v>149.06399999999999</v>
      </c>
      <c r="K19" s="8" t="s">
        <v>300</v>
      </c>
      <c r="M19" s="8" t="s">
        <v>2860</v>
      </c>
    </row>
    <row r="20" spans="2:13" x14ac:dyDescent="0.3">
      <c r="B20" s="10">
        <v>41673</v>
      </c>
      <c r="C20" s="11">
        <v>149.06399999999999</v>
      </c>
      <c r="K20" s="8" t="s">
        <v>2304</v>
      </c>
      <c r="M20" s="8" t="s">
        <v>2411</v>
      </c>
    </row>
    <row r="21" spans="2:13" x14ac:dyDescent="0.3">
      <c r="B21" s="9" t="s">
        <v>2933</v>
      </c>
      <c r="C21" s="11">
        <v>5.28</v>
      </c>
      <c r="K21" s="8" t="s">
        <v>267</v>
      </c>
      <c r="M21" s="8" t="s">
        <v>1827</v>
      </c>
    </row>
    <row r="22" spans="2:13" x14ac:dyDescent="0.3">
      <c r="B22" s="10">
        <v>41676</v>
      </c>
      <c r="C22" s="11">
        <v>5.28</v>
      </c>
      <c r="K22" s="8" t="s">
        <v>182</v>
      </c>
      <c r="M22" s="8" t="s">
        <v>2393</v>
      </c>
    </row>
    <row r="23" spans="2:13" x14ac:dyDescent="0.3">
      <c r="B23" s="9" t="s">
        <v>2934</v>
      </c>
      <c r="C23" s="11">
        <v>203.92</v>
      </c>
      <c r="K23" s="8" t="s">
        <v>2891</v>
      </c>
      <c r="M23" s="8" t="s">
        <v>1265</v>
      </c>
    </row>
    <row r="24" spans="2:13" x14ac:dyDescent="0.3">
      <c r="B24" s="10">
        <v>41679</v>
      </c>
      <c r="C24" s="11">
        <v>203.92</v>
      </c>
      <c r="K24" s="8" t="s">
        <v>1217</v>
      </c>
      <c r="M24" s="8" t="s">
        <v>16</v>
      </c>
    </row>
    <row r="25" spans="2:13" x14ac:dyDescent="0.3">
      <c r="B25" s="9" t="s">
        <v>2935</v>
      </c>
      <c r="C25" s="11">
        <v>627.48</v>
      </c>
      <c r="K25" s="8" t="s">
        <v>258</v>
      </c>
      <c r="M25" s="8" t="s">
        <v>893</v>
      </c>
    </row>
    <row r="26" spans="2:13" x14ac:dyDescent="0.3">
      <c r="B26" s="10">
        <v>41685</v>
      </c>
      <c r="C26" s="11">
        <v>627.48</v>
      </c>
      <c r="K26" s="8" t="s">
        <v>2735</v>
      </c>
      <c r="M26" s="8" t="s">
        <v>2189</v>
      </c>
    </row>
    <row r="27" spans="2:13" x14ac:dyDescent="0.3">
      <c r="B27" s="9" t="s">
        <v>2936</v>
      </c>
      <c r="C27" s="11">
        <v>124.54999999999998</v>
      </c>
      <c r="K27" s="8" t="s">
        <v>739</v>
      </c>
      <c r="M27" s="8" t="s">
        <v>1610</v>
      </c>
    </row>
    <row r="28" spans="2:13" x14ac:dyDescent="0.3">
      <c r="B28" s="10">
        <v>41686</v>
      </c>
      <c r="C28" s="11">
        <v>124.54999999999998</v>
      </c>
      <c r="K28" s="8" t="s">
        <v>425</v>
      </c>
      <c r="M28" s="8" t="s">
        <v>1264</v>
      </c>
    </row>
    <row r="29" spans="2:13" x14ac:dyDescent="0.3">
      <c r="B29" s="9" t="s">
        <v>2937</v>
      </c>
      <c r="C29" s="11">
        <v>105.84400000000001</v>
      </c>
      <c r="K29" s="8" t="s">
        <v>1105</v>
      </c>
      <c r="M29" s="8" t="s">
        <v>2604</v>
      </c>
    </row>
    <row r="30" spans="2:13" x14ac:dyDescent="0.3">
      <c r="B30" s="10">
        <v>41688</v>
      </c>
      <c r="C30" s="11">
        <v>105.84400000000001</v>
      </c>
      <c r="K30" s="8" t="s">
        <v>825</v>
      </c>
      <c r="M30" s="8" t="s">
        <v>2851</v>
      </c>
    </row>
    <row r="31" spans="2:13" x14ac:dyDescent="0.3">
      <c r="B31" s="9" t="s">
        <v>2938</v>
      </c>
      <c r="C31" s="11">
        <v>49.12</v>
      </c>
      <c r="K31" s="8" t="s">
        <v>1994</v>
      </c>
      <c r="M31" s="8" t="s">
        <v>1231</v>
      </c>
    </row>
    <row r="32" spans="2:13" x14ac:dyDescent="0.3">
      <c r="B32" s="10">
        <v>41691</v>
      </c>
      <c r="C32" s="11">
        <v>49.12</v>
      </c>
      <c r="K32" s="8" t="s">
        <v>1634</v>
      </c>
      <c r="M32" s="8" t="s">
        <v>975</v>
      </c>
    </row>
    <row r="33" spans="2:13" x14ac:dyDescent="0.3">
      <c r="B33" s="9" t="s">
        <v>2939</v>
      </c>
      <c r="C33" s="11">
        <v>538.92000000000007</v>
      </c>
      <c r="K33" s="8" t="s">
        <v>1493</v>
      </c>
      <c r="M33" s="8" t="s">
        <v>2594</v>
      </c>
    </row>
    <row r="34" spans="2:13" x14ac:dyDescent="0.3">
      <c r="B34" s="10">
        <v>41697</v>
      </c>
      <c r="C34" s="11">
        <v>538.92000000000007</v>
      </c>
      <c r="K34" s="8" t="s">
        <v>1248</v>
      </c>
      <c r="M34" s="8" t="s">
        <v>2645</v>
      </c>
    </row>
    <row r="35" spans="2:13" x14ac:dyDescent="0.3">
      <c r="B35" s="9" t="s">
        <v>2940</v>
      </c>
      <c r="C35" s="11">
        <v>200.73600000000002</v>
      </c>
      <c r="K35" s="8" t="s">
        <v>203</v>
      </c>
      <c r="M35" s="8" t="s">
        <v>1912</v>
      </c>
    </row>
    <row r="36" spans="2:13" x14ac:dyDescent="0.3">
      <c r="B36" s="10">
        <v>41699</v>
      </c>
      <c r="C36" s="11">
        <v>200.73600000000002</v>
      </c>
      <c r="K36" s="8" t="s">
        <v>807</v>
      </c>
      <c r="M36" s="8" t="s">
        <v>1829</v>
      </c>
    </row>
    <row r="37" spans="2:13" x14ac:dyDescent="0.3">
      <c r="B37" s="9" t="s">
        <v>2941</v>
      </c>
      <c r="C37" s="11">
        <v>787.53</v>
      </c>
      <c r="K37" s="8" t="s">
        <v>1169</v>
      </c>
      <c r="M37" s="8" t="s">
        <v>1161</v>
      </c>
    </row>
    <row r="38" spans="2:13" x14ac:dyDescent="0.3">
      <c r="B38" s="10">
        <v>41700</v>
      </c>
      <c r="C38" s="11">
        <v>787.53</v>
      </c>
      <c r="K38" s="8" t="s">
        <v>2500</v>
      </c>
      <c r="M38" s="8" t="s">
        <v>2322</v>
      </c>
    </row>
    <row r="39" spans="2:13" x14ac:dyDescent="0.3">
      <c r="B39" s="9" t="s">
        <v>2942</v>
      </c>
      <c r="C39" s="11">
        <v>1555.2440000000001</v>
      </c>
      <c r="K39" s="8" t="s">
        <v>1005</v>
      </c>
      <c r="M39" s="8" t="s">
        <v>2670</v>
      </c>
    </row>
    <row r="40" spans="2:13" x14ac:dyDescent="0.3">
      <c r="B40" s="10">
        <v>41704</v>
      </c>
      <c r="C40" s="11">
        <v>1555.2440000000001</v>
      </c>
      <c r="K40" s="8" t="s">
        <v>2097</v>
      </c>
      <c r="M40" s="8" t="s">
        <v>1508</v>
      </c>
    </row>
    <row r="41" spans="2:13" x14ac:dyDescent="0.3">
      <c r="B41" s="9" t="s">
        <v>2943</v>
      </c>
      <c r="C41" s="11">
        <v>3.4079999999999999</v>
      </c>
      <c r="K41" s="8" t="s">
        <v>1935</v>
      </c>
      <c r="M41" s="8" t="s">
        <v>1658</v>
      </c>
    </row>
    <row r="42" spans="2:13" x14ac:dyDescent="0.3">
      <c r="B42" s="10">
        <v>41706</v>
      </c>
      <c r="C42" s="11">
        <v>3.4079999999999999</v>
      </c>
      <c r="K42" s="8" t="s">
        <v>2021</v>
      </c>
      <c r="M42" s="8" t="s">
        <v>2907</v>
      </c>
    </row>
    <row r="43" spans="2:13" x14ac:dyDescent="0.3">
      <c r="B43" s="9" t="s">
        <v>2944</v>
      </c>
      <c r="C43" s="11">
        <v>1384.8560000000002</v>
      </c>
      <c r="K43" s="8" t="s">
        <v>1558</v>
      </c>
      <c r="M43" s="8" t="s">
        <v>1510</v>
      </c>
    </row>
    <row r="44" spans="2:13" x14ac:dyDescent="0.3">
      <c r="B44" s="10">
        <v>41711</v>
      </c>
      <c r="C44" s="11">
        <v>1384.8560000000002</v>
      </c>
      <c r="K44" s="8" t="s">
        <v>2399</v>
      </c>
      <c r="M44" s="8" t="s">
        <v>2344</v>
      </c>
    </row>
    <row r="45" spans="2:13" x14ac:dyDescent="0.3">
      <c r="B45" s="9" t="s">
        <v>2945</v>
      </c>
      <c r="C45" s="11">
        <v>19.440000000000001</v>
      </c>
      <c r="K45" s="8" t="s">
        <v>2199</v>
      </c>
      <c r="M45" s="8" t="s">
        <v>1029</v>
      </c>
    </row>
    <row r="46" spans="2:13" x14ac:dyDescent="0.3">
      <c r="B46" s="10">
        <v>41712</v>
      </c>
      <c r="C46" s="11">
        <v>19.440000000000001</v>
      </c>
      <c r="K46" s="8" t="s">
        <v>1285</v>
      </c>
      <c r="M46" s="8" t="s">
        <v>2395</v>
      </c>
    </row>
    <row r="47" spans="2:13" x14ac:dyDescent="0.3">
      <c r="B47" s="9" t="s">
        <v>2946</v>
      </c>
      <c r="C47" s="11">
        <v>16.776000000000003</v>
      </c>
      <c r="K47" s="8" t="s">
        <v>1335</v>
      </c>
      <c r="M47" s="8" t="s">
        <v>444</v>
      </c>
    </row>
    <row r="48" spans="2:13" x14ac:dyDescent="0.3">
      <c r="B48" s="10">
        <v>41713</v>
      </c>
      <c r="C48" s="11">
        <v>16.776000000000003</v>
      </c>
      <c r="K48" s="8" t="s">
        <v>1112</v>
      </c>
      <c r="M48" s="8" t="s">
        <v>269</v>
      </c>
    </row>
    <row r="49" spans="2:13" x14ac:dyDescent="0.3">
      <c r="B49" s="9" t="s">
        <v>2947</v>
      </c>
      <c r="C49" s="11">
        <v>215.09</v>
      </c>
      <c r="K49" s="8" t="s">
        <v>2161</v>
      </c>
      <c r="M49" s="8" t="s">
        <v>1955</v>
      </c>
    </row>
    <row r="50" spans="2:13" x14ac:dyDescent="0.3">
      <c r="B50" s="10">
        <v>41714</v>
      </c>
      <c r="C50" s="11">
        <v>215.09</v>
      </c>
      <c r="K50" s="8" t="s">
        <v>402</v>
      </c>
      <c r="M50" s="8" t="s">
        <v>1444</v>
      </c>
    </row>
    <row r="51" spans="2:13" x14ac:dyDescent="0.3">
      <c r="B51" s="9" t="s">
        <v>2948</v>
      </c>
      <c r="C51" s="11">
        <v>5189.3940000000002</v>
      </c>
      <c r="K51" s="8" t="s">
        <v>1255</v>
      </c>
      <c r="M51" s="8" t="s">
        <v>1739</v>
      </c>
    </row>
    <row r="52" spans="2:13" x14ac:dyDescent="0.3">
      <c r="B52" s="10">
        <v>41717</v>
      </c>
      <c r="C52" s="11">
        <v>5189.3940000000002</v>
      </c>
      <c r="K52" s="8" t="s">
        <v>275</v>
      </c>
      <c r="M52" s="8" t="s">
        <v>1011</v>
      </c>
    </row>
    <row r="53" spans="2:13" x14ac:dyDescent="0.3">
      <c r="B53" s="9" t="s">
        <v>2949</v>
      </c>
      <c r="C53" s="11">
        <v>29.304000000000002</v>
      </c>
      <c r="K53" s="8" t="s">
        <v>1782</v>
      </c>
      <c r="M53" s="8" t="s">
        <v>630</v>
      </c>
    </row>
    <row r="54" spans="2:13" x14ac:dyDescent="0.3">
      <c r="B54" s="10">
        <v>41718</v>
      </c>
      <c r="C54" s="11">
        <v>29.304000000000002</v>
      </c>
      <c r="K54" s="8" t="s">
        <v>471</v>
      </c>
      <c r="M54" s="8" t="s">
        <v>2888</v>
      </c>
    </row>
    <row r="55" spans="2:13" x14ac:dyDescent="0.3">
      <c r="B55" s="9" t="s">
        <v>2950</v>
      </c>
      <c r="C55" s="11">
        <v>1701.44</v>
      </c>
      <c r="K55" s="8" t="s">
        <v>578</v>
      </c>
      <c r="M55" s="8" t="s">
        <v>1013</v>
      </c>
    </row>
    <row r="56" spans="2:13" x14ac:dyDescent="0.3">
      <c r="B56" s="10">
        <v>41720</v>
      </c>
      <c r="C56" s="11">
        <v>1701.44</v>
      </c>
      <c r="K56" s="8" t="s">
        <v>1696</v>
      </c>
      <c r="M56" s="8" t="s">
        <v>2172</v>
      </c>
    </row>
    <row r="57" spans="2:13" x14ac:dyDescent="0.3">
      <c r="B57" s="9" t="s">
        <v>2951</v>
      </c>
      <c r="C57" s="11">
        <v>466.04999999999995</v>
      </c>
      <c r="K57" s="8" t="s">
        <v>1752</v>
      </c>
      <c r="M57" s="8" t="s">
        <v>1273</v>
      </c>
    </row>
    <row r="58" spans="2:13" x14ac:dyDescent="0.3">
      <c r="B58" s="10">
        <v>41721</v>
      </c>
      <c r="C58" s="11">
        <v>466.04999999999995</v>
      </c>
      <c r="K58" s="8" t="s">
        <v>2813</v>
      </c>
      <c r="M58" s="8" t="s">
        <v>1596</v>
      </c>
    </row>
    <row r="59" spans="2:13" x14ac:dyDescent="0.3">
      <c r="B59" s="9" t="s">
        <v>2952</v>
      </c>
      <c r="C59" s="11">
        <v>46.900000000000006</v>
      </c>
      <c r="K59" s="8" t="s">
        <v>500</v>
      </c>
      <c r="M59" s="8" t="s">
        <v>2666</v>
      </c>
    </row>
    <row r="60" spans="2:13" x14ac:dyDescent="0.3">
      <c r="B60" s="10">
        <v>41722</v>
      </c>
      <c r="C60" s="11">
        <v>46.900000000000006</v>
      </c>
      <c r="K60" s="8" t="s">
        <v>700</v>
      </c>
      <c r="M60" s="8" t="s">
        <v>2043</v>
      </c>
    </row>
    <row r="61" spans="2:13" x14ac:dyDescent="0.3">
      <c r="B61" s="9" t="s">
        <v>2953</v>
      </c>
      <c r="C61" s="11">
        <v>3393.68</v>
      </c>
      <c r="K61" s="8" t="s">
        <v>81</v>
      </c>
      <c r="M61" s="8" t="s">
        <v>1453</v>
      </c>
    </row>
    <row r="62" spans="2:13" x14ac:dyDescent="0.3">
      <c r="B62" s="10">
        <v>41724</v>
      </c>
      <c r="C62" s="11">
        <v>3393.68</v>
      </c>
      <c r="K62" s="8" t="s">
        <v>2526</v>
      </c>
      <c r="M62" s="8" t="s">
        <v>259</v>
      </c>
    </row>
    <row r="63" spans="2:13" x14ac:dyDescent="0.3">
      <c r="B63" s="9" t="s">
        <v>2954</v>
      </c>
      <c r="C63" s="11">
        <v>83.699999999999989</v>
      </c>
      <c r="K63" s="8" t="s">
        <v>1063</v>
      </c>
      <c r="M63" s="8" t="s">
        <v>793</v>
      </c>
    </row>
    <row r="64" spans="2:13" x14ac:dyDescent="0.3">
      <c r="B64" s="10">
        <v>41725</v>
      </c>
      <c r="C64" s="11">
        <v>83.699999999999989</v>
      </c>
      <c r="K64" s="8" t="s">
        <v>1295</v>
      </c>
      <c r="M64" s="8" t="s">
        <v>1312</v>
      </c>
    </row>
    <row r="65" spans="2:13" x14ac:dyDescent="0.3">
      <c r="B65" s="9" t="s">
        <v>2955</v>
      </c>
      <c r="C65" s="11">
        <v>199.64000000000001</v>
      </c>
      <c r="K65" s="8" t="s">
        <v>409</v>
      </c>
      <c r="M65" s="8" t="s">
        <v>907</v>
      </c>
    </row>
    <row r="66" spans="2:13" x14ac:dyDescent="0.3">
      <c r="B66" s="10">
        <v>41726</v>
      </c>
      <c r="C66" s="11">
        <v>199.64000000000001</v>
      </c>
      <c r="K66" s="8" t="s">
        <v>2187</v>
      </c>
      <c r="M66" s="8" t="s">
        <v>617</v>
      </c>
    </row>
    <row r="67" spans="2:13" x14ac:dyDescent="0.3">
      <c r="B67" s="9" t="s">
        <v>2956</v>
      </c>
      <c r="C67" s="11">
        <v>368.96000000000004</v>
      </c>
      <c r="K67" s="8" t="s">
        <v>1363</v>
      </c>
      <c r="M67" s="8" t="s">
        <v>297</v>
      </c>
    </row>
    <row r="68" spans="2:13" x14ac:dyDescent="0.3">
      <c r="B68" s="10">
        <v>41727</v>
      </c>
      <c r="C68" s="11">
        <v>368.96000000000004</v>
      </c>
      <c r="K68" s="8" t="s">
        <v>429</v>
      </c>
      <c r="M68" s="8" t="s">
        <v>1211</v>
      </c>
    </row>
    <row r="69" spans="2:13" x14ac:dyDescent="0.3">
      <c r="B69" s="9" t="s">
        <v>2957</v>
      </c>
      <c r="C69" s="11">
        <v>159.77600000000001</v>
      </c>
      <c r="K69" s="8" t="s">
        <v>2210</v>
      </c>
      <c r="M69" s="8" t="s">
        <v>2850</v>
      </c>
    </row>
    <row r="70" spans="2:13" x14ac:dyDescent="0.3">
      <c r="B70" s="10">
        <v>41731</v>
      </c>
      <c r="C70" s="11">
        <v>159.77600000000001</v>
      </c>
      <c r="K70" s="8" t="s">
        <v>564</v>
      </c>
      <c r="M70" s="8" t="s">
        <v>1598</v>
      </c>
    </row>
    <row r="71" spans="2:13" x14ac:dyDescent="0.3">
      <c r="B71" s="9" t="s">
        <v>2958</v>
      </c>
      <c r="C71" s="11">
        <v>1156.0039999999999</v>
      </c>
      <c r="K71" s="8" t="s">
        <v>2515</v>
      </c>
      <c r="M71" s="8" t="s">
        <v>2777</v>
      </c>
    </row>
    <row r="72" spans="2:13" x14ac:dyDescent="0.3">
      <c r="B72" s="10">
        <v>41734</v>
      </c>
      <c r="C72" s="11">
        <v>1156.0039999999999</v>
      </c>
      <c r="K72" s="8" t="s">
        <v>255</v>
      </c>
      <c r="M72" s="8" t="s">
        <v>488</v>
      </c>
    </row>
    <row r="73" spans="2:13" x14ac:dyDescent="0.3">
      <c r="B73" s="9" t="s">
        <v>2959</v>
      </c>
      <c r="C73" s="11">
        <v>369.91200000000003</v>
      </c>
      <c r="K73" s="8" t="s">
        <v>2435</v>
      </c>
      <c r="M73" s="8" t="s">
        <v>2699</v>
      </c>
    </row>
    <row r="74" spans="2:13" x14ac:dyDescent="0.3">
      <c r="B74" s="10">
        <v>41738</v>
      </c>
      <c r="C74" s="11">
        <v>369.91200000000003</v>
      </c>
      <c r="K74" s="8" t="s">
        <v>1208</v>
      </c>
      <c r="M74" s="8" t="s">
        <v>980</v>
      </c>
    </row>
    <row r="75" spans="2:13" x14ac:dyDescent="0.3">
      <c r="B75" s="9" t="s">
        <v>2960</v>
      </c>
      <c r="C75" s="11">
        <v>12.832000000000001</v>
      </c>
      <c r="K75" s="8" t="s">
        <v>141</v>
      </c>
      <c r="M75" s="8" t="s">
        <v>2331</v>
      </c>
    </row>
    <row r="76" spans="2:13" x14ac:dyDescent="0.3">
      <c r="B76" s="10">
        <v>41739</v>
      </c>
      <c r="C76" s="11">
        <v>12.832000000000001</v>
      </c>
      <c r="K76" s="8" t="s">
        <v>1963</v>
      </c>
      <c r="M76" s="8" t="s">
        <v>1103</v>
      </c>
    </row>
    <row r="77" spans="2:13" x14ac:dyDescent="0.3">
      <c r="B77" s="9" t="s">
        <v>2961</v>
      </c>
      <c r="C77" s="11">
        <v>692.72800000000007</v>
      </c>
      <c r="K77" s="8" t="s">
        <v>262</v>
      </c>
      <c r="M77" s="8" t="s">
        <v>477</v>
      </c>
    </row>
    <row r="78" spans="2:13" x14ac:dyDescent="0.3">
      <c r="B78" s="10">
        <v>41740</v>
      </c>
      <c r="C78" s="11">
        <v>692.72800000000007</v>
      </c>
      <c r="K78" s="8" t="s">
        <v>1968</v>
      </c>
      <c r="M78" s="8" t="s">
        <v>1664</v>
      </c>
    </row>
    <row r="79" spans="2:13" x14ac:dyDescent="0.3">
      <c r="B79" s="9" t="s">
        <v>2962</v>
      </c>
      <c r="C79" s="11">
        <v>40.74</v>
      </c>
      <c r="K79" s="8" t="s">
        <v>2535</v>
      </c>
      <c r="M79" s="8" t="s">
        <v>580</v>
      </c>
    </row>
    <row r="80" spans="2:13" x14ac:dyDescent="0.3">
      <c r="B80" s="10">
        <v>41741</v>
      </c>
      <c r="C80" s="11">
        <v>40.74</v>
      </c>
      <c r="K80" s="8" t="s">
        <v>1988</v>
      </c>
      <c r="M80" s="8" t="s">
        <v>641</v>
      </c>
    </row>
    <row r="81" spans="2:13" x14ac:dyDescent="0.3">
      <c r="B81" s="9" t="s">
        <v>2963</v>
      </c>
      <c r="C81" s="11">
        <v>2113.9200000000005</v>
      </c>
      <c r="K81" s="8" t="s">
        <v>278</v>
      </c>
      <c r="M81" s="8" t="s">
        <v>392</v>
      </c>
    </row>
    <row r="82" spans="2:13" x14ac:dyDescent="0.3">
      <c r="B82" s="10">
        <v>41742</v>
      </c>
      <c r="C82" s="11">
        <v>2113.9200000000005</v>
      </c>
      <c r="K82" s="8" t="s">
        <v>2513</v>
      </c>
      <c r="M82" s="8" t="s">
        <v>925</v>
      </c>
    </row>
    <row r="83" spans="2:13" x14ac:dyDescent="0.3">
      <c r="B83" s="9" t="s">
        <v>2964</v>
      </c>
      <c r="C83" s="11">
        <v>35.207999999999998</v>
      </c>
      <c r="K83" s="8" t="s">
        <v>1262</v>
      </c>
      <c r="M83" s="8" t="s">
        <v>2590</v>
      </c>
    </row>
    <row r="84" spans="2:13" x14ac:dyDescent="0.3">
      <c r="B84" s="10">
        <v>41743</v>
      </c>
      <c r="C84" s="11">
        <v>35.207999999999998</v>
      </c>
      <c r="K84" s="8" t="s">
        <v>2356</v>
      </c>
      <c r="M84" s="8" t="s">
        <v>523</v>
      </c>
    </row>
    <row r="85" spans="2:13" x14ac:dyDescent="0.3">
      <c r="B85" s="9" t="s">
        <v>2965</v>
      </c>
      <c r="C85" s="11">
        <v>2572.5</v>
      </c>
      <c r="K85" s="8" t="s">
        <v>1938</v>
      </c>
      <c r="M85" s="8" t="s">
        <v>1976</v>
      </c>
    </row>
    <row r="86" spans="2:13" x14ac:dyDescent="0.3">
      <c r="B86" s="10">
        <v>41746</v>
      </c>
      <c r="C86" s="11">
        <v>2572.5</v>
      </c>
      <c r="K86" s="8" t="s">
        <v>2875</v>
      </c>
      <c r="M86" s="8" t="s">
        <v>733</v>
      </c>
    </row>
    <row r="87" spans="2:13" x14ac:dyDescent="0.3">
      <c r="B87" s="9" t="s">
        <v>2966</v>
      </c>
      <c r="C87" s="11">
        <v>1124.5700000000002</v>
      </c>
      <c r="K87" s="8" t="s">
        <v>2864</v>
      </c>
      <c r="M87" s="8" t="s">
        <v>2759</v>
      </c>
    </row>
    <row r="88" spans="2:13" x14ac:dyDescent="0.3">
      <c r="B88" s="10">
        <v>41747</v>
      </c>
      <c r="C88" s="11">
        <v>1124.5700000000002</v>
      </c>
      <c r="K88" s="8" t="s">
        <v>645</v>
      </c>
      <c r="M88" s="8" t="s">
        <v>843</v>
      </c>
    </row>
    <row r="89" spans="2:13" x14ac:dyDescent="0.3">
      <c r="B89" s="9" t="s">
        <v>2967</v>
      </c>
      <c r="C89" s="11">
        <v>152.916</v>
      </c>
      <c r="K89" s="8" t="s">
        <v>315</v>
      </c>
      <c r="M89" s="8" t="s">
        <v>1017</v>
      </c>
    </row>
    <row r="90" spans="2:13" x14ac:dyDescent="0.3">
      <c r="B90" s="10">
        <v>41751</v>
      </c>
      <c r="C90" s="11">
        <v>152.916</v>
      </c>
      <c r="K90" s="8" t="s">
        <v>2870</v>
      </c>
      <c r="M90" s="8" t="s">
        <v>2302</v>
      </c>
    </row>
    <row r="91" spans="2:13" x14ac:dyDescent="0.3">
      <c r="B91" s="9" t="s">
        <v>2968</v>
      </c>
      <c r="C91" s="11">
        <v>35.283999999999999</v>
      </c>
      <c r="K91" s="8" t="s">
        <v>2543</v>
      </c>
      <c r="M91" s="8" t="s">
        <v>2530</v>
      </c>
    </row>
    <row r="92" spans="2:13" x14ac:dyDescent="0.3">
      <c r="B92" s="10">
        <v>41754</v>
      </c>
      <c r="C92" s="11">
        <v>35.283999999999999</v>
      </c>
      <c r="K92" s="8" t="s">
        <v>2360</v>
      </c>
      <c r="M92" s="8" t="s">
        <v>1561</v>
      </c>
    </row>
    <row r="93" spans="2:13" x14ac:dyDescent="0.3">
      <c r="B93" s="9" t="s">
        <v>2969</v>
      </c>
      <c r="C93" s="11">
        <v>485.78400000000011</v>
      </c>
      <c r="K93" s="8" t="s">
        <v>986</v>
      </c>
      <c r="M93" s="8" t="s">
        <v>2317</v>
      </c>
    </row>
    <row r="94" spans="2:13" x14ac:dyDescent="0.3">
      <c r="B94" s="10">
        <v>41755</v>
      </c>
      <c r="C94" s="11">
        <v>485.78400000000011</v>
      </c>
      <c r="K94" s="8" t="s">
        <v>9</v>
      </c>
      <c r="M94" s="8" t="s">
        <v>1546</v>
      </c>
    </row>
    <row r="95" spans="2:13" x14ac:dyDescent="0.3">
      <c r="B95" s="9" t="s">
        <v>2970</v>
      </c>
      <c r="C95" s="11">
        <v>49.400000000000006</v>
      </c>
      <c r="K95" s="8" t="s">
        <v>2267</v>
      </c>
      <c r="M95" s="8" t="s">
        <v>991</v>
      </c>
    </row>
    <row r="96" spans="2:13" x14ac:dyDescent="0.3">
      <c r="B96" s="10">
        <v>41756</v>
      </c>
      <c r="C96" s="11">
        <v>49.400000000000006</v>
      </c>
      <c r="K96" s="8" t="s">
        <v>695</v>
      </c>
      <c r="M96" s="8" t="s">
        <v>1699</v>
      </c>
    </row>
    <row r="97" spans="2:13" x14ac:dyDescent="0.3">
      <c r="B97" s="9" t="s">
        <v>2971</v>
      </c>
      <c r="C97" s="11">
        <v>54.45</v>
      </c>
      <c r="K97" s="8" t="s">
        <v>1706</v>
      </c>
      <c r="M97" s="8" t="s">
        <v>250</v>
      </c>
    </row>
    <row r="98" spans="2:13" x14ac:dyDescent="0.3">
      <c r="B98" s="10">
        <v>41759</v>
      </c>
      <c r="C98" s="11">
        <v>54.45</v>
      </c>
      <c r="K98" s="8" t="s">
        <v>1959</v>
      </c>
      <c r="M98" s="8" t="s">
        <v>544</v>
      </c>
    </row>
    <row r="99" spans="2:13" x14ac:dyDescent="0.3">
      <c r="B99" s="9" t="s">
        <v>2972</v>
      </c>
      <c r="C99" s="11">
        <v>173.30799999999999</v>
      </c>
      <c r="K99" s="8" t="s">
        <v>2765</v>
      </c>
      <c r="M99" s="8" t="s">
        <v>1107</v>
      </c>
    </row>
    <row r="100" spans="2:13" x14ac:dyDescent="0.3">
      <c r="B100" s="10">
        <v>41760</v>
      </c>
      <c r="C100" s="11">
        <v>173.30799999999999</v>
      </c>
      <c r="K100" s="8" t="s">
        <v>352</v>
      </c>
      <c r="M100" s="8" t="s">
        <v>2173</v>
      </c>
    </row>
    <row r="101" spans="2:13" x14ac:dyDescent="0.3">
      <c r="B101" s="9" t="s">
        <v>2973</v>
      </c>
      <c r="C101" s="11">
        <v>1140.5719999999999</v>
      </c>
      <c r="K101" s="8" t="s">
        <v>2681</v>
      </c>
      <c r="M101" s="8" t="s">
        <v>1064</v>
      </c>
    </row>
    <row r="102" spans="2:13" x14ac:dyDescent="0.3">
      <c r="B102" s="10">
        <v>41762</v>
      </c>
      <c r="C102" s="11">
        <v>1140.5719999999999</v>
      </c>
      <c r="K102" s="8" t="s">
        <v>1385</v>
      </c>
      <c r="M102" s="8" t="s">
        <v>1443</v>
      </c>
    </row>
    <row r="103" spans="2:13" x14ac:dyDescent="0.3">
      <c r="B103" s="9" t="s">
        <v>2974</v>
      </c>
      <c r="C103" s="11">
        <v>5.2480000000000002</v>
      </c>
      <c r="K103" s="8" t="s">
        <v>509</v>
      </c>
      <c r="M103" s="8" t="s">
        <v>529</v>
      </c>
    </row>
    <row r="104" spans="2:13" x14ac:dyDescent="0.3">
      <c r="B104" s="10">
        <v>41767</v>
      </c>
      <c r="C104" s="11">
        <v>5.2480000000000002</v>
      </c>
      <c r="K104" s="8" t="s">
        <v>2202</v>
      </c>
      <c r="M104" s="8" t="s">
        <v>2878</v>
      </c>
    </row>
    <row r="105" spans="2:13" x14ac:dyDescent="0.3">
      <c r="B105" s="9" t="s">
        <v>2975</v>
      </c>
      <c r="C105" s="11">
        <v>46.688000000000002</v>
      </c>
      <c r="K105" s="8" t="s">
        <v>1214</v>
      </c>
      <c r="M105" s="8" t="s">
        <v>1783</v>
      </c>
    </row>
    <row r="106" spans="2:13" x14ac:dyDescent="0.3">
      <c r="B106" s="10">
        <v>41769</v>
      </c>
      <c r="C106" s="11">
        <v>46.688000000000002</v>
      </c>
      <c r="K106" s="8" t="s">
        <v>1588</v>
      </c>
      <c r="M106" s="8" t="s">
        <v>1688</v>
      </c>
    </row>
    <row r="107" spans="2:13" x14ac:dyDescent="0.3">
      <c r="B107" s="9" t="s">
        <v>2976</v>
      </c>
      <c r="C107" s="11">
        <v>191.96800000000002</v>
      </c>
      <c r="K107" s="8" t="s">
        <v>2245</v>
      </c>
      <c r="M107" s="8" t="s">
        <v>219</v>
      </c>
    </row>
    <row r="108" spans="2:13" x14ac:dyDescent="0.3">
      <c r="B108" s="10">
        <v>41770</v>
      </c>
      <c r="C108" s="11">
        <v>191.96800000000002</v>
      </c>
      <c r="K108" s="8" t="s">
        <v>1541</v>
      </c>
      <c r="M108" s="8" t="s">
        <v>1123</v>
      </c>
    </row>
    <row r="109" spans="2:13" x14ac:dyDescent="0.3">
      <c r="B109" s="9" t="s">
        <v>2977</v>
      </c>
      <c r="C109" s="11">
        <v>254.69600000000003</v>
      </c>
      <c r="K109" s="8" t="s">
        <v>2383</v>
      </c>
      <c r="M109" s="8" t="s">
        <v>344</v>
      </c>
    </row>
    <row r="110" spans="2:13" x14ac:dyDescent="0.3">
      <c r="B110" s="10">
        <v>41771</v>
      </c>
      <c r="C110" s="11">
        <v>254.69600000000003</v>
      </c>
      <c r="K110" s="8" t="s">
        <v>1138</v>
      </c>
      <c r="M110" s="8" t="s">
        <v>1375</v>
      </c>
    </row>
    <row r="111" spans="2:13" x14ac:dyDescent="0.3">
      <c r="B111" s="9" t="s">
        <v>2978</v>
      </c>
      <c r="C111" s="11">
        <v>2570.7075</v>
      </c>
      <c r="K111" s="8" t="s">
        <v>1746</v>
      </c>
      <c r="M111" s="8" t="s">
        <v>1720</v>
      </c>
    </row>
    <row r="112" spans="2:13" x14ac:dyDescent="0.3">
      <c r="B112" s="10">
        <v>41773</v>
      </c>
      <c r="C112" s="11">
        <v>2570.7075</v>
      </c>
      <c r="K112" s="8" t="s">
        <v>1573</v>
      </c>
      <c r="M112" s="8" t="s">
        <v>2505</v>
      </c>
    </row>
    <row r="113" spans="2:13" x14ac:dyDescent="0.3">
      <c r="B113" s="9" t="s">
        <v>2979</v>
      </c>
      <c r="C113" s="11">
        <v>10.86</v>
      </c>
      <c r="K113" s="8" t="s">
        <v>349</v>
      </c>
      <c r="M113" s="8" t="s">
        <v>2130</v>
      </c>
    </row>
    <row r="114" spans="2:13" x14ac:dyDescent="0.3">
      <c r="B114" s="10">
        <v>41777</v>
      </c>
      <c r="C114" s="11">
        <v>10.86</v>
      </c>
      <c r="K114" s="8" t="s">
        <v>1239</v>
      </c>
      <c r="M114" s="8" t="s">
        <v>2814</v>
      </c>
    </row>
    <row r="115" spans="2:13" x14ac:dyDescent="0.3">
      <c r="B115" s="9" t="s">
        <v>2980</v>
      </c>
      <c r="C115" s="11">
        <v>26.975999999999999</v>
      </c>
      <c r="K115" s="8" t="s">
        <v>2365</v>
      </c>
      <c r="M115" s="8" t="s">
        <v>2258</v>
      </c>
    </row>
    <row r="116" spans="2:13" x14ac:dyDescent="0.3">
      <c r="B116" s="10">
        <v>41780</v>
      </c>
      <c r="C116" s="11">
        <v>26.975999999999999</v>
      </c>
      <c r="K116" s="8" t="s">
        <v>1075</v>
      </c>
      <c r="M116" s="8" t="s">
        <v>2195</v>
      </c>
    </row>
    <row r="117" spans="2:13" x14ac:dyDescent="0.3">
      <c r="B117" s="9" t="s">
        <v>2981</v>
      </c>
      <c r="C117" s="11">
        <v>3862.0980000000004</v>
      </c>
      <c r="K117" s="8" t="s">
        <v>2476</v>
      </c>
      <c r="M117" s="8" t="s">
        <v>2090</v>
      </c>
    </row>
    <row r="118" spans="2:13" x14ac:dyDescent="0.3">
      <c r="B118" s="10">
        <v>41781</v>
      </c>
      <c r="C118" s="11">
        <v>3862.0980000000004</v>
      </c>
      <c r="K118" s="8" t="s">
        <v>1489</v>
      </c>
      <c r="M118" s="8" t="s">
        <v>2816</v>
      </c>
    </row>
    <row r="119" spans="2:13" x14ac:dyDescent="0.3">
      <c r="B119" s="9" t="s">
        <v>2982</v>
      </c>
      <c r="C119" s="11">
        <v>140.98600000000002</v>
      </c>
      <c r="K119" s="8" t="s">
        <v>1357</v>
      </c>
      <c r="M119" s="8" t="s">
        <v>1817</v>
      </c>
    </row>
    <row r="120" spans="2:13" x14ac:dyDescent="0.3">
      <c r="B120" s="10">
        <v>41782</v>
      </c>
      <c r="C120" s="11">
        <v>140.98600000000002</v>
      </c>
      <c r="K120" s="8" t="s">
        <v>2148</v>
      </c>
      <c r="M120" s="8" t="s">
        <v>2712</v>
      </c>
    </row>
    <row r="121" spans="2:13" x14ac:dyDescent="0.3">
      <c r="B121" s="9" t="s">
        <v>2983</v>
      </c>
      <c r="C121" s="11">
        <v>860.45799999999997</v>
      </c>
      <c r="K121" s="8" t="s">
        <v>1219</v>
      </c>
      <c r="M121" s="8" t="s">
        <v>2631</v>
      </c>
    </row>
    <row r="122" spans="2:13" x14ac:dyDescent="0.3">
      <c r="B122" s="10">
        <v>41784</v>
      </c>
      <c r="C122" s="11">
        <v>860.45799999999997</v>
      </c>
      <c r="K122" s="8" t="s">
        <v>1055</v>
      </c>
      <c r="M122" s="8" t="s">
        <v>1898</v>
      </c>
    </row>
    <row r="123" spans="2:13" x14ac:dyDescent="0.3">
      <c r="B123" s="9" t="s">
        <v>2984</v>
      </c>
      <c r="C123" s="11">
        <v>20.239999999999998</v>
      </c>
      <c r="K123" s="8" t="s">
        <v>2790</v>
      </c>
      <c r="M123" s="8" t="s">
        <v>2166</v>
      </c>
    </row>
    <row r="124" spans="2:13" x14ac:dyDescent="0.3">
      <c r="B124" s="10">
        <v>41785</v>
      </c>
      <c r="C124" s="11">
        <v>20.239999999999998</v>
      </c>
      <c r="K124" s="8" t="s">
        <v>522</v>
      </c>
      <c r="M124" s="8" t="s">
        <v>2841</v>
      </c>
    </row>
    <row r="125" spans="2:13" x14ac:dyDescent="0.3">
      <c r="B125" s="9" t="s">
        <v>2985</v>
      </c>
      <c r="C125" s="11">
        <v>6.63</v>
      </c>
      <c r="K125" s="8" t="s">
        <v>446</v>
      </c>
      <c r="M125" s="8" t="s">
        <v>918</v>
      </c>
    </row>
    <row r="126" spans="2:13" x14ac:dyDescent="0.3">
      <c r="B126" s="10">
        <v>41787</v>
      </c>
      <c r="C126" s="11">
        <v>6.63</v>
      </c>
      <c r="K126" s="8" t="s">
        <v>2424</v>
      </c>
      <c r="M126" s="8" t="s">
        <v>1920</v>
      </c>
    </row>
    <row r="127" spans="2:13" x14ac:dyDescent="0.3">
      <c r="B127" s="9" t="s">
        <v>2986</v>
      </c>
      <c r="C127" s="11">
        <v>740.7299999999999</v>
      </c>
      <c r="K127" s="8" t="s">
        <v>2602</v>
      </c>
      <c r="M127" s="8" t="s">
        <v>489</v>
      </c>
    </row>
    <row r="128" spans="2:13" x14ac:dyDescent="0.3">
      <c r="B128" s="10">
        <v>41788</v>
      </c>
      <c r="C128" s="11">
        <v>740.7299999999999</v>
      </c>
      <c r="K128" s="8" t="s">
        <v>1551</v>
      </c>
      <c r="M128" s="8" t="s">
        <v>2150</v>
      </c>
    </row>
    <row r="129" spans="2:13" x14ac:dyDescent="0.3">
      <c r="B129" s="9" t="s">
        <v>2987</v>
      </c>
      <c r="C129" s="11">
        <v>1990.4900000000002</v>
      </c>
      <c r="K129" s="8" t="s">
        <v>1609</v>
      </c>
      <c r="M129" s="8" t="s">
        <v>1400</v>
      </c>
    </row>
    <row r="130" spans="2:13" x14ac:dyDescent="0.3">
      <c r="B130" s="10">
        <v>41790</v>
      </c>
      <c r="C130" s="11">
        <v>1990.4900000000002</v>
      </c>
      <c r="K130" s="8" t="s">
        <v>1945</v>
      </c>
      <c r="M130" s="8" t="s">
        <v>2274</v>
      </c>
    </row>
    <row r="131" spans="2:13" x14ac:dyDescent="0.3">
      <c r="B131" s="9" t="s">
        <v>2988</v>
      </c>
      <c r="C131" s="11">
        <v>11.76</v>
      </c>
      <c r="K131" s="8" t="s">
        <v>2381</v>
      </c>
      <c r="M131" s="8" t="s">
        <v>536</v>
      </c>
    </row>
    <row r="132" spans="2:13" x14ac:dyDescent="0.3">
      <c r="B132" s="10">
        <v>41791</v>
      </c>
      <c r="C132" s="11">
        <v>11.76</v>
      </c>
      <c r="K132" s="8" t="s">
        <v>1724</v>
      </c>
      <c r="M132" s="8" t="s">
        <v>235</v>
      </c>
    </row>
    <row r="133" spans="2:13" x14ac:dyDescent="0.3">
      <c r="B133" s="9" t="s">
        <v>2989</v>
      </c>
      <c r="C133" s="11">
        <v>1126.5900000000001</v>
      </c>
      <c r="K133" s="8" t="s">
        <v>153</v>
      </c>
      <c r="M133" s="8" t="s">
        <v>1892</v>
      </c>
    </row>
    <row r="134" spans="2:13" x14ac:dyDescent="0.3">
      <c r="B134" s="10">
        <v>41794</v>
      </c>
      <c r="C134" s="11">
        <v>1126.5900000000001</v>
      </c>
      <c r="K134" s="8" t="s">
        <v>2859</v>
      </c>
      <c r="M134" s="8" t="s">
        <v>2176</v>
      </c>
    </row>
    <row r="135" spans="2:13" x14ac:dyDescent="0.3">
      <c r="B135" s="9" t="s">
        <v>2990</v>
      </c>
      <c r="C135" s="11">
        <v>7.52</v>
      </c>
      <c r="K135" s="8" t="s">
        <v>2538</v>
      </c>
      <c r="M135" s="8" t="s">
        <v>2155</v>
      </c>
    </row>
    <row r="136" spans="2:13" x14ac:dyDescent="0.3">
      <c r="B136" s="10">
        <v>41797</v>
      </c>
      <c r="C136" s="11">
        <v>7.52</v>
      </c>
      <c r="K136" s="8" t="s">
        <v>2900</v>
      </c>
      <c r="M136" s="8" t="s">
        <v>478</v>
      </c>
    </row>
    <row r="137" spans="2:13" x14ac:dyDescent="0.3">
      <c r="B137" s="9" t="s">
        <v>2991</v>
      </c>
      <c r="C137" s="11">
        <v>495.73599999999999</v>
      </c>
      <c r="K137" s="8" t="s">
        <v>342</v>
      </c>
      <c r="M137" s="8" t="s">
        <v>842</v>
      </c>
    </row>
    <row r="138" spans="2:13" x14ac:dyDescent="0.3">
      <c r="B138" s="10">
        <v>41799</v>
      </c>
      <c r="C138" s="11">
        <v>495.73599999999999</v>
      </c>
      <c r="K138" s="8" t="s">
        <v>2045</v>
      </c>
      <c r="M138" s="8" t="s">
        <v>2549</v>
      </c>
    </row>
    <row r="139" spans="2:13" x14ac:dyDescent="0.3">
      <c r="B139" s="9" t="s">
        <v>2992</v>
      </c>
      <c r="C139" s="11">
        <v>36.624000000000002</v>
      </c>
      <c r="K139" s="8" t="s">
        <v>1398</v>
      </c>
      <c r="M139" s="8" t="s">
        <v>230</v>
      </c>
    </row>
    <row r="140" spans="2:13" x14ac:dyDescent="0.3">
      <c r="B140" s="10">
        <v>41803</v>
      </c>
      <c r="C140" s="11">
        <v>36.624000000000002</v>
      </c>
      <c r="K140" s="8" t="s">
        <v>2106</v>
      </c>
      <c r="M140" s="8" t="s">
        <v>173</v>
      </c>
    </row>
    <row r="141" spans="2:13" x14ac:dyDescent="0.3">
      <c r="B141" s="9" t="s">
        <v>2993</v>
      </c>
      <c r="C141" s="11">
        <v>722.47199999999998</v>
      </c>
      <c r="K141" s="8" t="s">
        <v>2456</v>
      </c>
      <c r="M141" s="8" t="s">
        <v>247</v>
      </c>
    </row>
    <row r="142" spans="2:13" x14ac:dyDescent="0.3">
      <c r="B142" s="10">
        <v>41805</v>
      </c>
      <c r="C142" s="11">
        <v>722.47199999999998</v>
      </c>
      <c r="K142" s="8" t="s">
        <v>705</v>
      </c>
      <c r="M142" s="8" t="s">
        <v>1939</v>
      </c>
    </row>
    <row r="143" spans="2:13" x14ac:dyDescent="0.3">
      <c r="B143" s="9" t="s">
        <v>2994</v>
      </c>
      <c r="C143" s="11">
        <v>152.98400000000001</v>
      </c>
      <c r="K143" s="8" t="s">
        <v>1886</v>
      </c>
      <c r="M143" s="8" t="s">
        <v>1495</v>
      </c>
    </row>
    <row r="144" spans="2:13" x14ac:dyDescent="0.3">
      <c r="B144" s="10">
        <v>41808</v>
      </c>
      <c r="C144" s="11">
        <v>152.98400000000001</v>
      </c>
      <c r="K144" s="8" t="s">
        <v>2233</v>
      </c>
      <c r="M144" s="8" t="s">
        <v>1851</v>
      </c>
    </row>
    <row r="145" spans="2:13" x14ac:dyDescent="0.3">
      <c r="B145" s="9" t="s">
        <v>2995</v>
      </c>
      <c r="C145" s="11">
        <v>205.73</v>
      </c>
      <c r="K145" s="8" t="s">
        <v>361</v>
      </c>
      <c r="M145" s="8" t="s">
        <v>2100</v>
      </c>
    </row>
    <row r="146" spans="2:13" x14ac:dyDescent="0.3">
      <c r="B146" s="10">
        <v>41809</v>
      </c>
      <c r="C146" s="11">
        <v>205.73</v>
      </c>
      <c r="K146" s="8" t="s">
        <v>312</v>
      </c>
      <c r="M146" s="8" t="s">
        <v>1091</v>
      </c>
    </row>
    <row r="147" spans="2:13" x14ac:dyDescent="0.3">
      <c r="B147" s="9" t="s">
        <v>2996</v>
      </c>
      <c r="C147" s="11">
        <v>509.56</v>
      </c>
      <c r="K147" s="8" t="s">
        <v>167</v>
      </c>
      <c r="M147" s="8" t="s">
        <v>2055</v>
      </c>
    </row>
    <row r="148" spans="2:13" x14ac:dyDescent="0.3">
      <c r="B148" s="10">
        <v>41810</v>
      </c>
      <c r="C148" s="11">
        <v>509.56</v>
      </c>
      <c r="K148" s="8" t="s">
        <v>1333</v>
      </c>
      <c r="M148" s="8" t="s">
        <v>2400</v>
      </c>
    </row>
    <row r="149" spans="2:13" x14ac:dyDescent="0.3">
      <c r="B149" s="9" t="s">
        <v>2997</v>
      </c>
      <c r="C149" s="11">
        <v>4.96</v>
      </c>
      <c r="K149" s="8" t="s">
        <v>2630</v>
      </c>
      <c r="M149" s="8" t="s">
        <v>2430</v>
      </c>
    </row>
    <row r="150" spans="2:13" x14ac:dyDescent="0.3">
      <c r="B150" s="10">
        <v>41812</v>
      </c>
      <c r="C150" s="11">
        <v>4.96</v>
      </c>
      <c r="K150" s="8" t="s">
        <v>432</v>
      </c>
      <c r="M150" s="8" t="s">
        <v>1173</v>
      </c>
    </row>
    <row r="151" spans="2:13" x14ac:dyDescent="0.3">
      <c r="B151" s="9" t="s">
        <v>2998</v>
      </c>
      <c r="C151" s="11">
        <v>568.55799999999999</v>
      </c>
      <c r="K151" s="8" t="s">
        <v>2371</v>
      </c>
      <c r="M151" s="8" t="s">
        <v>2060</v>
      </c>
    </row>
    <row r="152" spans="2:13" x14ac:dyDescent="0.3">
      <c r="B152" s="10">
        <v>41813</v>
      </c>
      <c r="C152" s="11">
        <v>568.55799999999999</v>
      </c>
      <c r="K152" s="8" t="s">
        <v>1102</v>
      </c>
      <c r="M152" s="8" t="s">
        <v>1525</v>
      </c>
    </row>
    <row r="153" spans="2:13" x14ac:dyDescent="0.3">
      <c r="B153" s="9" t="s">
        <v>2999</v>
      </c>
      <c r="C153" s="11">
        <v>618.79200000000003</v>
      </c>
      <c r="K153" s="8" t="s">
        <v>2277</v>
      </c>
      <c r="M153" s="8" t="s">
        <v>838</v>
      </c>
    </row>
    <row r="154" spans="2:13" x14ac:dyDescent="0.3">
      <c r="B154" s="10">
        <v>41815</v>
      </c>
      <c r="C154" s="11">
        <v>618.79200000000003</v>
      </c>
      <c r="K154" s="8" t="s">
        <v>1448</v>
      </c>
      <c r="M154" s="8" t="s">
        <v>1338</v>
      </c>
    </row>
    <row r="155" spans="2:13" x14ac:dyDescent="0.3">
      <c r="B155" s="9" t="s">
        <v>3000</v>
      </c>
      <c r="C155" s="11">
        <v>627.6640000000001</v>
      </c>
      <c r="K155" s="8" t="s">
        <v>1675</v>
      </c>
      <c r="M155" s="8" t="s">
        <v>1117</v>
      </c>
    </row>
    <row r="156" spans="2:13" x14ac:dyDescent="0.3">
      <c r="B156" s="10">
        <v>41818</v>
      </c>
      <c r="C156" s="11">
        <v>627.6640000000001</v>
      </c>
      <c r="K156" s="8" t="s">
        <v>1532</v>
      </c>
      <c r="M156" s="8" t="s">
        <v>2583</v>
      </c>
    </row>
    <row r="157" spans="2:13" x14ac:dyDescent="0.3">
      <c r="B157" s="9" t="s">
        <v>3001</v>
      </c>
      <c r="C157" s="11">
        <v>22.847999999999999</v>
      </c>
      <c r="K157" s="8" t="s">
        <v>1986</v>
      </c>
      <c r="M157" s="8" t="s">
        <v>2741</v>
      </c>
    </row>
    <row r="158" spans="2:13" x14ac:dyDescent="0.3">
      <c r="B158" s="10">
        <v>41824</v>
      </c>
      <c r="C158" s="11">
        <v>22.847999999999999</v>
      </c>
      <c r="K158" s="8" t="s">
        <v>108</v>
      </c>
      <c r="M158" s="8" t="s">
        <v>796</v>
      </c>
    </row>
    <row r="159" spans="2:13" x14ac:dyDescent="0.3">
      <c r="B159" s="9" t="s">
        <v>3002</v>
      </c>
      <c r="C159" s="11">
        <v>170.35200000000003</v>
      </c>
      <c r="K159" s="8" t="s">
        <v>1406</v>
      </c>
      <c r="M159" s="8" t="s">
        <v>2015</v>
      </c>
    </row>
    <row r="160" spans="2:13" x14ac:dyDescent="0.3">
      <c r="B160" s="10">
        <v>41826</v>
      </c>
      <c r="C160" s="11">
        <v>170.35200000000003</v>
      </c>
      <c r="K160" s="8" t="s">
        <v>1025</v>
      </c>
      <c r="M160" s="8" t="s">
        <v>2664</v>
      </c>
    </row>
    <row r="161" spans="2:13" x14ac:dyDescent="0.3">
      <c r="B161" s="9" t="s">
        <v>3003</v>
      </c>
      <c r="C161" s="11">
        <v>43.286000000000001</v>
      </c>
      <c r="K161" s="8" t="s">
        <v>1442</v>
      </c>
      <c r="M161" s="8" t="s">
        <v>1780</v>
      </c>
    </row>
    <row r="162" spans="2:13" x14ac:dyDescent="0.3">
      <c r="B162" s="10">
        <v>41830</v>
      </c>
      <c r="C162" s="11">
        <v>43.286000000000001</v>
      </c>
      <c r="K162" s="8" t="s">
        <v>51</v>
      </c>
      <c r="M162" s="8" t="s">
        <v>1167</v>
      </c>
    </row>
    <row r="163" spans="2:13" x14ac:dyDescent="0.3">
      <c r="B163" s="9" t="s">
        <v>3004</v>
      </c>
      <c r="C163" s="11">
        <v>128.322</v>
      </c>
      <c r="K163" s="8" t="s">
        <v>2178</v>
      </c>
      <c r="M163" s="8" t="s">
        <v>2062</v>
      </c>
    </row>
    <row r="164" spans="2:13" x14ac:dyDescent="0.3">
      <c r="B164" s="10">
        <v>41831</v>
      </c>
      <c r="C164" s="11">
        <v>128.322</v>
      </c>
      <c r="K164" s="8" t="s">
        <v>162</v>
      </c>
      <c r="M164" s="8" t="s">
        <v>2203</v>
      </c>
    </row>
    <row r="165" spans="2:13" x14ac:dyDescent="0.3">
      <c r="B165" s="9" t="s">
        <v>3005</v>
      </c>
      <c r="C165" s="11">
        <v>860.91600000000005</v>
      </c>
      <c r="K165" s="8" t="s">
        <v>2257</v>
      </c>
      <c r="M165" s="8" t="s">
        <v>1472</v>
      </c>
    </row>
    <row r="166" spans="2:13" x14ac:dyDescent="0.3">
      <c r="B166" s="10">
        <v>41834</v>
      </c>
      <c r="C166" s="11">
        <v>860.91600000000005</v>
      </c>
      <c r="K166" s="8" t="s">
        <v>1943</v>
      </c>
      <c r="M166" s="8" t="s">
        <v>971</v>
      </c>
    </row>
    <row r="167" spans="2:13" x14ac:dyDescent="0.3">
      <c r="B167" s="9" t="s">
        <v>3006</v>
      </c>
      <c r="C167" s="11">
        <v>2048.8560000000002</v>
      </c>
      <c r="K167" s="8" t="s">
        <v>2691</v>
      </c>
      <c r="M167" s="8" t="s">
        <v>417</v>
      </c>
    </row>
    <row r="168" spans="2:13" x14ac:dyDescent="0.3">
      <c r="B168" s="10">
        <v>41836</v>
      </c>
      <c r="C168" s="11">
        <v>2048.8560000000002</v>
      </c>
      <c r="K168" s="8" t="s">
        <v>2270</v>
      </c>
      <c r="M168" s="8" t="s">
        <v>177</v>
      </c>
    </row>
    <row r="169" spans="2:13" x14ac:dyDescent="0.3">
      <c r="B169" s="9" t="s">
        <v>3007</v>
      </c>
      <c r="C169" s="11">
        <v>195.46600000000001</v>
      </c>
      <c r="K169" s="8" t="s">
        <v>1563</v>
      </c>
      <c r="M169" s="8" t="s">
        <v>1015</v>
      </c>
    </row>
    <row r="170" spans="2:13" x14ac:dyDescent="0.3">
      <c r="B170" s="10">
        <v>41837</v>
      </c>
      <c r="C170" s="11">
        <v>195.46600000000001</v>
      </c>
      <c r="K170" s="8" t="s">
        <v>171</v>
      </c>
      <c r="M170" s="8" t="s">
        <v>2493</v>
      </c>
    </row>
    <row r="171" spans="2:13" x14ac:dyDescent="0.3">
      <c r="B171" s="9" t="s">
        <v>3008</v>
      </c>
      <c r="C171" s="11">
        <v>519.96</v>
      </c>
      <c r="K171" s="8" t="s">
        <v>1028</v>
      </c>
      <c r="M171" s="8" t="s">
        <v>547</v>
      </c>
    </row>
    <row r="172" spans="2:13" x14ac:dyDescent="0.3">
      <c r="B172" s="10">
        <v>41838</v>
      </c>
      <c r="C172" s="11">
        <v>519.96</v>
      </c>
      <c r="K172" s="8" t="s">
        <v>1823</v>
      </c>
      <c r="M172" s="8" t="s">
        <v>273</v>
      </c>
    </row>
    <row r="173" spans="2:13" x14ac:dyDescent="0.3">
      <c r="B173" s="9" t="s">
        <v>3009</v>
      </c>
      <c r="C173" s="11">
        <v>2.0250000000000004</v>
      </c>
      <c r="K173" s="8" t="s">
        <v>1452</v>
      </c>
      <c r="M173" s="8" t="s">
        <v>2074</v>
      </c>
    </row>
    <row r="174" spans="2:13" x14ac:dyDescent="0.3">
      <c r="B174" s="10">
        <v>41839</v>
      </c>
      <c r="C174" s="11">
        <v>2.0250000000000004</v>
      </c>
      <c r="K174" s="8" t="s">
        <v>1742</v>
      </c>
      <c r="M174" s="8" t="s">
        <v>1865</v>
      </c>
    </row>
    <row r="175" spans="2:13" x14ac:dyDescent="0.3">
      <c r="B175" s="9" t="s">
        <v>3010</v>
      </c>
      <c r="C175" s="11">
        <v>1912.8080000000004</v>
      </c>
      <c r="K175" s="8" t="s">
        <v>1992</v>
      </c>
      <c r="M175" s="8" t="s">
        <v>2550</v>
      </c>
    </row>
    <row r="176" spans="2:13" x14ac:dyDescent="0.3">
      <c r="B176" s="10">
        <v>41845</v>
      </c>
      <c r="C176" s="11">
        <v>1912.8080000000004</v>
      </c>
      <c r="K176" s="8" t="s">
        <v>420</v>
      </c>
      <c r="M176" s="8" t="s">
        <v>674</v>
      </c>
    </row>
    <row r="177" spans="2:13" x14ac:dyDescent="0.3">
      <c r="B177" s="9" t="s">
        <v>3011</v>
      </c>
      <c r="C177" s="11">
        <v>958.85699999999997</v>
      </c>
      <c r="K177" s="8" t="s">
        <v>2066</v>
      </c>
      <c r="M177" s="8" t="s">
        <v>2310</v>
      </c>
    </row>
    <row r="178" spans="2:13" x14ac:dyDescent="0.3">
      <c r="B178" s="10">
        <v>41846</v>
      </c>
      <c r="C178" s="11">
        <v>958.85699999999997</v>
      </c>
      <c r="K178" s="8" t="s">
        <v>94</v>
      </c>
      <c r="M178" s="8" t="s">
        <v>1139</v>
      </c>
    </row>
    <row r="179" spans="2:13" x14ac:dyDescent="0.3">
      <c r="B179" s="9" t="s">
        <v>3012</v>
      </c>
      <c r="C179" s="11">
        <v>226.12999999999997</v>
      </c>
      <c r="K179" s="8" t="s">
        <v>1180</v>
      </c>
      <c r="M179" s="8" t="s">
        <v>1360</v>
      </c>
    </row>
    <row r="180" spans="2:13" x14ac:dyDescent="0.3">
      <c r="B180" s="10">
        <v>41850</v>
      </c>
      <c r="C180" s="11">
        <v>226.12999999999997</v>
      </c>
      <c r="K180" s="8" t="s">
        <v>1183</v>
      </c>
      <c r="M180" s="8" t="s">
        <v>1616</v>
      </c>
    </row>
    <row r="181" spans="2:13" x14ac:dyDescent="0.3">
      <c r="B181" s="9" t="s">
        <v>3013</v>
      </c>
      <c r="C181" s="11">
        <v>1011.6960000000001</v>
      </c>
      <c r="K181" s="8" t="s">
        <v>2079</v>
      </c>
      <c r="M181" s="8" t="s">
        <v>2723</v>
      </c>
    </row>
    <row r="182" spans="2:13" x14ac:dyDescent="0.3">
      <c r="B182" s="10">
        <v>41852</v>
      </c>
      <c r="C182" s="11">
        <v>1011.6960000000001</v>
      </c>
      <c r="K182" s="8" t="s">
        <v>1503</v>
      </c>
      <c r="M182" s="8" t="s">
        <v>1734</v>
      </c>
    </row>
    <row r="183" spans="2:13" x14ac:dyDescent="0.3">
      <c r="B183" s="9" t="s">
        <v>3014</v>
      </c>
      <c r="C183" s="11">
        <v>842.26800000000003</v>
      </c>
      <c r="K183" s="8" t="s">
        <v>743</v>
      </c>
      <c r="M183" s="8" t="s">
        <v>1644</v>
      </c>
    </row>
    <row r="184" spans="2:13" x14ac:dyDescent="0.3">
      <c r="B184" s="10">
        <v>41853</v>
      </c>
      <c r="C184" s="11">
        <v>842.26800000000003</v>
      </c>
      <c r="K184" s="8" t="s">
        <v>1479</v>
      </c>
      <c r="M184" s="8" t="s">
        <v>1896</v>
      </c>
    </row>
    <row r="185" spans="2:13" x14ac:dyDescent="0.3">
      <c r="B185" s="9" t="s">
        <v>3015</v>
      </c>
      <c r="C185" s="11">
        <v>22.456000000000003</v>
      </c>
      <c r="K185" s="8" t="s">
        <v>18</v>
      </c>
      <c r="M185" s="8" t="s">
        <v>1784</v>
      </c>
    </row>
    <row r="186" spans="2:13" x14ac:dyDescent="0.3">
      <c r="B186" s="10">
        <v>41858</v>
      </c>
      <c r="C186" s="11">
        <v>22.456000000000003</v>
      </c>
      <c r="K186" s="8" t="s">
        <v>2057</v>
      </c>
      <c r="M186" s="8" t="s">
        <v>1704</v>
      </c>
    </row>
    <row r="187" spans="2:13" x14ac:dyDescent="0.3">
      <c r="B187" s="9" t="s">
        <v>3016</v>
      </c>
      <c r="C187" s="11">
        <v>158.672</v>
      </c>
      <c r="K187" s="8" t="s">
        <v>121</v>
      </c>
      <c r="M187" s="8" t="s">
        <v>2821</v>
      </c>
    </row>
    <row r="188" spans="2:13" x14ac:dyDescent="0.3">
      <c r="B188" s="10">
        <v>41859</v>
      </c>
      <c r="C188" s="11">
        <v>158.672</v>
      </c>
      <c r="K188" s="8" t="s">
        <v>326</v>
      </c>
      <c r="M188" s="8" t="s">
        <v>1486</v>
      </c>
    </row>
    <row r="189" spans="2:13" x14ac:dyDescent="0.3">
      <c r="B189" s="9" t="s">
        <v>3017</v>
      </c>
      <c r="C189" s="11">
        <v>711.78400000000011</v>
      </c>
      <c r="K189" s="8" t="s">
        <v>863</v>
      </c>
      <c r="M189" s="8" t="s">
        <v>744</v>
      </c>
    </row>
    <row r="190" spans="2:13" x14ac:dyDescent="0.3">
      <c r="B190" s="10">
        <v>41861</v>
      </c>
      <c r="C190" s="11">
        <v>711.78400000000011</v>
      </c>
      <c r="K190" s="8" t="s">
        <v>60</v>
      </c>
      <c r="M190" s="8" t="s">
        <v>1815</v>
      </c>
    </row>
    <row r="191" spans="2:13" x14ac:dyDescent="0.3">
      <c r="B191" s="9" t="s">
        <v>3018</v>
      </c>
      <c r="C191" s="11">
        <v>82.36</v>
      </c>
      <c r="K191" s="8" t="s">
        <v>2797</v>
      </c>
      <c r="M191" s="8" t="s">
        <v>2750</v>
      </c>
    </row>
    <row r="192" spans="2:13" x14ac:dyDescent="0.3">
      <c r="B192" s="10">
        <v>41864</v>
      </c>
      <c r="C192" s="11">
        <v>82.36</v>
      </c>
      <c r="K192" s="8" t="s">
        <v>1641</v>
      </c>
      <c r="M192" s="8" t="s">
        <v>614</v>
      </c>
    </row>
    <row r="193" spans="2:13" x14ac:dyDescent="0.3">
      <c r="B193" s="9" t="s">
        <v>3019</v>
      </c>
      <c r="C193" s="11">
        <v>497.59000000000003</v>
      </c>
      <c r="K193" s="8" t="s">
        <v>2454</v>
      </c>
      <c r="M193" s="8" t="s">
        <v>2562</v>
      </c>
    </row>
    <row r="194" spans="2:13" x14ac:dyDescent="0.3">
      <c r="B194" s="10">
        <v>41866</v>
      </c>
      <c r="C194" s="11">
        <v>497.59000000000003</v>
      </c>
      <c r="K194" s="8" t="s">
        <v>2835</v>
      </c>
      <c r="M194" s="8" t="s">
        <v>194</v>
      </c>
    </row>
    <row r="195" spans="2:13" x14ac:dyDescent="0.3">
      <c r="B195" s="9" t="s">
        <v>3020</v>
      </c>
      <c r="C195" s="11">
        <v>2200.328</v>
      </c>
      <c r="K195" s="8" t="s">
        <v>2882</v>
      </c>
      <c r="M195" s="8" t="s">
        <v>748</v>
      </c>
    </row>
    <row r="196" spans="2:13" x14ac:dyDescent="0.3">
      <c r="B196" s="10">
        <v>41867</v>
      </c>
      <c r="C196" s="11">
        <v>2200.328</v>
      </c>
      <c r="K196" s="8" t="s">
        <v>929</v>
      </c>
      <c r="M196" s="8" t="s">
        <v>2352</v>
      </c>
    </row>
    <row r="197" spans="2:13" x14ac:dyDescent="0.3">
      <c r="B197" s="9" t="s">
        <v>3021</v>
      </c>
      <c r="C197" s="11">
        <v>329.44</v>
      </c>
      <c r="K197" s="8" t="s">
        <v>1804</v>
      </c>
      <c r="M197" s="8" t="s">
        <v>2706</v>
      </c>
    </row>
    <row r="198" spans="2:13" x14ac:dyDescent="0.3">
      <c r="B198" s="10">
        <v>41868</v>
      </c>
      <c r="C198" s="11">
        <v>329.44</v>
      </c>
      <c r="K198" s="8" t="s">
        <v>406</v>
      </c>
      <c r="M198" s="8" t="s">
        <v>1834</v>
      </c>
    </row>
    <row r="199" spans="2:13" x14ac:dyDescent="0.3">
      <c r="B199" s="9" t="s">
        <v>3022</v>
      </c>
      <c r="C199" s="11">
        <v>1299.5260000000001</v>
      </c>
      <c r="K199" s="8" t="s">
        <v>1022</v>
      </c>
      <c r="M199" s="8" t="s">
        <v>1977</v>
      </c>
    </row>
    <row r="200" spans="2:13" x14ac:dyDescent="0.3">
      <c r="B200" s="10">
        <v>41872</v>
      </c>
      <c r="C200" s="11">
        <v>1299.5260000000001</v>
      </c>
      <c r="K200" s="8" t="s">
        <v>1230</v>
      </c>
      <c r="M200" s="8" t="s">
        <v>1321</v>
      </c>
    </row>
    <row r="201" spans="2:13" x14ac:dyDescent="0.3">
      <c r="B201" s="9" t="s">
        <v>3023</v>
      </c>
      <c r="C201" s="11">
        <v>7.1519999999999992</v>
      </c>
      <c r="K201" s="8" t="s">
        <v>2206</v>
      </c>
      <c r="M201" s="8" t="s">
        <v>1162</v>
      </c>
    </row>
    <row r="202" spans="2:13" x14ac:dyDescent="0.3">
      <c r="B202" s="10">
        <v>41875</v>
      </c>
      <c r="C202" s="11">
        <v>7.1519999999999992</v>
      </c>
      <c r="K202" s="8" t="s">
        <v>1871</v>
      </c>
      <c r="M202" s="8" t="s">
        <v>2283</v>
      </c>
    </row>
    <row r="203" spans="2:13" x14ac:dyDescent="0.3">
      <c r="B203" s="9" t="s">
        <v>3024</v>
      </c>
      <c r="C203" s="11">
        <v>146.744</v>
      </c>
      <c r="K203" s="8" t="s">
        <v>2132</v>
      </c>
      <c r="M203" s="8" t="s">
        <v>58</v>
      </c>
    </row>
    <row r="204" spans="2:13" x14ac:dyDescent="0.3">
      <c r="B204" s="10">
        <v>41876</v>
      </c>
      <c r="C204" s="11">
        <v>146.744</v>
      </c>
      <c r="K204" s="8" t="s">
        <v>2175</v>
      </c>
      <c r="M204" s="8" t="s">
        <v>2165</v>
      </c>
    </row>
    <row r="205" spans="2:13" x14ac:dyDescent="0.3">
      <c r="B205" s="9" t="s">
        <v>3025</v>
      </c>
      <c r="C205" s="11">
        <v>639.97400000000005</v>
      </c>
      <c r="K205" s="8" t="s">
        <v>2762</v>
      </c>
      <c r="M205" s="8" t="s">
        <v>794</v>
      </c>
    </row>
    <row r="206" spans="2:13" x14ac:dyDescent="0.3">
      <c r="B206" s="10">
        <v>41878</v>
      </c>
      <c r="C206" s="11">
        <v>639.97400000000005</v>
      </c>
      <c r="K206" s="8" t="s">
        <v>2589</v>
      </c>
      <c r="M206" s="8" t="s">
        <v>1506</v>
      </c>
    </row>
    <row r="207" spans="2:13" x14ac:dyDescent="0.3">
      <c r="B207" s="9" t="s">
        <v>3026</v>
      </c>
      <c r="C207" s="11">
        <v>2017.5320000000002</v>
      </c>
      <c r="K207" s="8" t="s">
        <v>2146</v>
      </c>
      <c r="M207" s="8" t="s">
        <v>1792</v>
      </c>
    </row>
    <row r="208" spans="2:13" x14ac:dyDescent="0.3">
      <c r="B208" s="10">
        <v>41879</v>
      </c>
      <c r="C208" s="11">
        <v>2017.5320000000002</v>
      </c>
      <c r="K208" s="8" t="s">
        <v>175</v>
      </c>
      <c r="M208" s="8" t="s">
        <v>818</v>
      </c>
    </row>
    <row r="209" spans="2:13" x14ac:dyDescent="0.3">
      <c r="B209" s="9" t="s">
        <v>3027</v>
      </c>
      <c r="C209" s="11">
        <v>2580.837</v>
      </c>
      <c r="K209" s="8" t="s">
        <v>727</v>
      </c>
      <c r="M209" s="8" t="s">
        <v>1116</v>
      </c>
    </row>
    <row r="210" spans="2:13" x14ac:dyDescent="0.3">
      <c r="B210" s="10">
        <v>41882</v>
      </c>
      <c r="C210" s="11">
        <v>2580.837</v>
      </c>
      <c r="K210" s="8" t="s">
        <v>1819</v>
      </c>
      <c r="M210" s="8" t="s">
        <v>569</v>
      </c>
    </row>
    <row r="211" spans="2:13" x14ac:dyDescent="0.3">
      <c r="B211" s="9" t="s">
        <v>3028</v>
      </c>
      <c r="C211" s="11">
        <v>979.10400000000004</v>
      </c>
      <c r="K211" s="8" t="s">
        <v>2744</v>
      </c>
      <c r="M211" s="8" t="s">
        <v>1487</v>
      </c>
    </row>
    <row r="212" spans="2:13" x14ac:dyDescent="0.3">
      <c r="B212" s="10">
        <v>41883</v>
      </c>
      <c r="C212" s="11">
        <v>979.10400000000004</v>
      </c>
      <c r="K212" s="8" t="s">
        <v>2768</v>
      </c>
      <c r="M212" s="8" t="s">
        <v>399</v>
      </c>
    </row>
    <row r="213" spans="2:13" x14ac:dyDescent="0.3">
      <c r="B213" s="9" t="s">
        <v>3029</v>
      </c>
      <c r="C213" s="11">
        <v>552.87800000000016</v>
      </c>
      <c r="K213" s="8" t="s">
        <v>970</v>
      </c>
      <c r="M213" s="8" t="s">
        <v>123</v>
      </c>
    </row>
    <row r="214" spans="2:13" x14ac:dyDescent="0.3">
      <c r="B214" s="10">
        <v>41885</v>
      </c>
      <c r="C214" s="11">
        <v>552.87800000000016</v>
      </c>
      <c r="K214" s="8" t="s">
        <v>774</v>
      </c>
      <c r="M214" s="8" t="s">
        <v>2795</v>
      </c>
    </row>
    <row r="215" spans="2:13" x14ac:dyDescent="0.3">
      <c r="B215" s="9" t="s">
        <v>3030</v>
      </c>
      <c r="C215" s="11">
        <v>9.7620000000000005</v>
      </c>
      <c r="K215" s="8" t="s">
        <v>412</v>
      </c>
      <c r="M215" s="8" t="s">
        <v>421</v>
      </c>
    </row>
    <row r="216" spans="2:13" x14ac:dyDescent="0.3">
      <c r="B216" s="10">
        <v>41886</v>
      </c>
      <c r="C216" s="11">
        <v>9.7620000000000005</v>
      </c>
      <c r="K216" s="8" t="s">
        <v>42</v>
      </c>
      <c r="M216" s="8" t="s">
        <v>559</v>
      </c>
    </row>
    <row r="217" spans="2:13" x14ac:dyDescent="0.3">
      <c r="B217" s="9" t="s">
        <v>3031</v>
      </c>
      <c r="C217" s="11">
        <v>733.28300000000002</v>
      </c>
      <c r="K217" s="8" t="s">
        <v>1954</v>
      </c>
      <c r="M217" s="8" t="s">
        <v>618</v>
      </c>
    </row>
    <row r="218" spans="2:13" x14ac:dyDescent="0.3">
      <c r="B218" s="10">
        <v>41887</v>
      </c>
      <c r="C218" s="11">
        <v>733.28300000000002</v>
      </c>
      <c r="K218" s="8" t="s">
        <v>238</v>
      </c>
      <c r="M218" s="8" t="s">
        <v>2719</v>
      </c>
    </row>
    <row r="219" spans="2:13" x14ac:dyDescent="0.3">
      <c r="B219" s="9" t="s">
        <v>3032</v>
      </c>
      <c r="C219" s="11">
        <v>244.23599999999999</v>
      </c>
      <c r="K219" s="8" t="s">
        <v>133</v>
      </c>
      <c r="M219" s="8" t="s">
        <v>197</v>
      </c>
    </row>
    <row r="220" spans="2:13" x14ac:dyDescent="0.3">
      <c r="B220" s="10">
        <v>41888</v>
      </c>
      <c r="C220" s="11">
        <v>244.23599999999999</v>
      </c>
      <c r="K220" s="8" t="s">
        <v>1367</v>
      </c>
      <c r="M220" s="8" t="s">
        <v>783</v>
      </c>
    </row>
    <row r="221" spans="2:13" x14ac:dyDescent="0.3">
      <c r="B221" s="9" t="s">
        <v>3033</v>
      </c>
      <c r="C221" s="11">
        <v>671.93</v>
      </c>
      <c r="K221" s="8" t="s">
        <v>1141</v>
      </c>
      <c r="M221" s="8" t="s">
        <v>1801</v>
      </c>
    </row>
    <row r="222" spans="2:13" x14ac:dyDescent="0.3">
      <c r="B222" s="10">
        <v>41889</v>
      </c>
      <c r="C222" s="11">
        <v>671.93</v>
      </c>
      <c r="K222" s="8" t="s">
        <v>1222</v>
      </c>
      <c r="M222" s="8" t="s">
        <v>1998</v>
      </c>
    </row>
    <row r="223" spans="2:13" x14ac:dyDescent="0.3">
      <c r="B223" s="9" t="s">
        <v>3034</v>
      </c>
      <c r="C223" s="11">
        <v>68.28</v>
      </c>
      <c r="K223" s="8" t="s">
        <v>1848</v>
      </c>
      <c r="M223" s="8" t="s">
        <v>804</v>
      </c>
    </row>
    <row r="224" spans="2:13" x14ac:dyDescent="0.3">
      <c r="B224" s="10">
        <v>41890</v>
      </c>
      <c r="C224" s="11">
        <v>68.28</v>
      </c>
      <c r="K224" s="8" t="s">
        <v>872</v>
      </c>
      <c r="M224" s="8" t="s">
        <v>2683</v>
      </c>
    </row>
    <row r="225" spans="2:13" x14ac:dyDescent="0.3">
      <c r="B225" s="9" t="s">
        <v>3035</v>
      </c>
      <c r="C225" s="11">
        <v>512.08000000000004</v>
      </c>
      <c r="K225" s="8" t="s">
        <v>546</v>
      </c>
      <c r="M225" s="8" t="s">
        <v>1743</v>
      </c>
    </row>
    <row r="226" spans="2:13" x14ac:dyDescent="0.3">
      <c r="B226" s="10">
        <v>41892</v>
      </c>
      <c r="C226" s="11">
        <v>512.08000000000004</v>
      </c>
      <c r="K226" s="8" t="s">
        <v>2286</v>
      </c>
      <c r="M226" s="8" t="s">
        <v>1932</v>
      </c>
    </row>
    <row r="227" spans="2:13" x14ac:dyDescent="0.3">
      <c r="B227" s="9" t="s">
        <v>3036</v>
      </c>
      <c r="C227" s="11">
        <v>480.4899999999999</v>
      </c>
      <c r="K227" s="8" t="s">
        <v>2017</v>
      </c>
      <c r="M227" s="8" t="s">
        <v>1650</v>
      </c>
    </row>
    <row r="228" spans="2:13" x14ac:dyDescent="0.3">
      <c r="B228" s="10">
        <v>41893</v>
      </c>
      <c r="C228" s="11">
        <v>480.4899999999999</v>
      </c>
      <c r="K228" s="8" t="s">
        <v>1412</v>
      </c>
      <c r="M228" s="8" t="s">
        <v>383</v>
      </c>
    </row>
    <row r="229" spans="2:13" x14ac:dyDescent="0.3">
      <c r="B229" s="9" t="s">
        <v>3037</v>
      </c>
      <c r="C229" s="11">
        <v>21.98</v>
      </c>
      <c r="K229" s="8" t="s">
        <v>1602</v>
      </c>
      <c r="M229" s="8" t="s">
        <v>211</v>
      </c>
    </row>
    <row r="230" spans="2:13" x14ac:dyDescent="0.3">
      <c r="B230" s="10">
        <v>41894</v>
      </c>
      <c r="C230" s="11">
        <v>21.98</v>
      </c>
      <c r="K230" s="8" t="s">
        <v>1900</v>
      </c>
      <c r="M230" s="8" t="s">
        <v>888</v>
      </c>
    </row>
    <row r="231" spans="2:13" x14ac:dyDescent="0.3">
      <c r="B231" s="9" t="s">
        <v>3038</v>
      </c>
      <c r="C231" s="11">
        <v>1336.3519999999999</v>
      </c>
      <c r="K231" s="8" t="s">
        <v>317</v>
      </c>
      <c r="M231" s="8" t="s">
        <v>1146</v>
      </c>
    </row>
    <row r="232" spans="2:13" x14ac:dyDescent="0.3">
      <c r="B232" s="10">
        <v>41895</v>
      </c>
      <c r="C232" s="11">
        <v>1336.3519999999999</v>
      </c>
      <c r="K232" s="8" t="s">
        <v>1007</v>
      </c>
      <c r="M232" s="8" t="s">
        <v>2909</v>
      </c>
    </row>
    <row r="233" spans="2:13" x14ac:dyDescent="0.3">
      <c r="B233" s="9" t="s">
        <v>3039</v>
      </c>
      <c r="C233" s="11">
        <v>1082.886</v>
      </c>
      <c r="K233" s="8" t="s">
        <v>673</v>
      </c>
      <c r="M233" s="8" t="s">
        <v>1638</v>
      </c>
    </row>
    <row r="234" spans="2:13" x14ac:dyDescent="0.3">
      <c r="B234" s="10">
        <v>41896</v>
      </c>
      <c r="C234" s="11">
        <v>1082.886</v>
      </c>
      <c r="K234" s="8" t="s">
        <v>2068</v>
      </c>
      <c r="M234" s="8" t="s">
        <v>2461</v>
      </c>
    </row>
    <row r="235" spans="2:13" x14ac:dyDescent="0.3">
      <c r="B235" s="9" t="s">
        <v>3040</v>
      </c>
      <c r="C235" s="11">
        <v>57.432000000000002</v>
      </c>
      <c r="K235" s="8" t="s">
        <v>2679</v>
      </c>
      <c r="M235" s="8" t="s">
        <v>45</v>
      </c>
    </row>
    <row r="236" spans="2:13" x14ac:dyDescent="0.3">
      <c r="B236" s="10">
        <v>41899</v>
      </c>
      <c r="C236" s="11">
        <v>57.432000000000002</v>
      </c>
      <c r="K236" s="8" t="s">
        <v>732</v>
      </c>
      <c r="M236" s="8" t="s">
        <v>2162</v>
      </c>
    </row>
    <row r="237" spans="2:13" x14ac:dyDescent="0.3">
      <c r="B237" s="9" t="s">
        <v>3041</v>
      </c>
      <c r="C237" s="11">
        <v>703.37999999999988</v>
      </c>
      <c r="K237" s="8" t="s">
        <v>1732</v>
      </c>
      <c r="M237" s="8" t="s">
        <v>2142</v>
      </c>
    </row>
    <row r="238" spans="2:13" x14ac:dyDescent="0.3">
      <c r="B238" s="10">
        <v>41900</v>
      </c>
      <c r="C238" s="11">
        <v>703.37999999999988</v>
      </c>
      <c r="K238" s="8" t="s">
        <v>1267</v>
      </c>
      <c r="M238" s="8" t="s">
        <v>1522</v>
      </c>
    </row>
    <row r="239" spans="2:13" x14ac:dyDescent="0.3">
      <c r="B239" s="9" t="s">
        <v>3042</v>
      </c>
      <c r="C239" s="11">
        <v>92.200000000000017</v>
      </c>
      <c r="K239" s="8" t="s">
        <v>799</v>
      </c>
      <c r="M239" s="8" t="s">
        <v>1378</v>
      </c>
    </row>
    <row r="240" spans="2:13" x14ac:dyDescent="0.3">
      <c r="B240" s="10">
        <v>41901</v>
      </c>
      <c r="C240" s="11">
        <v>92.200000000000017</v>
      </c>
      <c r="K240" s="8" t="s">
        <v>443</v>
      </c>
      <c r="M240" s="8" t="s">
        <v>2782</v>
      </c>
    </row>
    <row r="241" spans="2:13" x14ac:dyDescent="0.3">
      <c r="B241" s="9" t="s">
        <v>3043</v>
      </c>
      <c r="C241" s="11">
        <v>45.584000000000003</v>
      </c>
      <c r="K241" s="8" t="s">
        <v>97</v>
      </c>
      <c r="M241" s="8" t="s">
        <v>2422</v>
      </c>
    </row>
    <row r="242" spans="2:13" x14ac:dyDescent="0.3">
      <c r="B242" s="10">
        <v>41902</v>
      </c>
      <c r="C242" s="11">
        <v>45.584000000000003</v>
      </c>
      <c r="K242" s="8" t="s">
        <v>723</v>
      </c>
      <c r="M242" s="8" t="s">
        <v>1302</v>
      </c>
    </row>
    <row r="243" spans="2:13" x14ac:dyDescent="0.3">
      <c r="B243" s="9" t="s">
        <v>3044</v>
      </c>
      <c r="C243" s="11">
        <v>809.17599999999993</v>
      </c>
      <c r="K243" s="8" t="s">
        <v>370</v>
      </c>
      <c r="M243" s="8" t="s">
        <v>2259</v>
      </c>
    </row>
    <row r="244" spans="2:13" x14ac:dyDescent="0.3">
      <c r="B244" s="10">
        <v>41903</v>
      </c>
      <c r="C244" s="11">
        <v>809.17599999999993</v>
      </c>
      <c r="K244" s="8" t="s">
        <v>662</v>
      </c>
      <c r="M244" s="8" t="s">
        <v>1929</v>
      </c>
    </row>
    <row r="245" spans="2:13" x14ac:dyDescent="0.3">
      <c r="B245" s="9" t="s">
        <v>3045</v>
      </c>
      <c r="C245" s="11">
        <v>266.03999999999996</v>
      </c>
      <c r="K245" s="8" t="s">
        <v>1555</v>
      </c>
      <c r="M245" s="8" t="s">
        <v>1096</v>
      </c>
    </row>
    <row r="246" spans="2:13" x14ac:dyDescent="0.3">
      <c r="B246" s="10">
        <v>41904</v>
      </c>
      <c r="C246" s="11">
        <v>266.03999999999996</v>
      </c>
      <c r="K246" s="8" t="s">
        <v>2785</v>
      </c>
      <c r="M246" s="8" t="s">
        <v>77</v>
      </c>
    </row>
    <row r="247" spans="2:13" x14ac:dyDescent="0.3">
      <c r="B247" s="9" t="s">
        <v>3046</v>
      </c>
      <c r="C247" s="11">
        <v>1313.3019999999999</v>
      </c>
      <c r="K247" s="8" t="s">
        <v>209</v>
      </c>
      <c r="M247" s="8" t="s">
        <v>2763</v>
      </c>
    </row>
    <row r="248" spans="2:13" x14ac:dyDescent="0.3">
      <c r="B248" s="10">
        <v>41906</v>
      </c>
      <c r="C248" s="11">
        <v>1313.3019999999999</v>
      </c>
      <c r="K248" s="8" t="s">
        <v>596</v>
      </c>
      <c r="M248" s="8" t="s">
        <v>2880</v>
      </c>
    </row>
    <row r="249" spans="2:13" x14ac:dyDescent="0.3">
      <c r="B249" s="9" t="s">
        <v>3047</v>
      </c>
      <c r="C249" s="11">
        <v>1541.826</v>
      </c>
      <c r="K249" s="8" t="s">
        <v>2446</v>
      </c>
      <c r="M249" s="8" t="s">
        <v>357</v>
      </c>
    </row>
    <row r="250" spans="2:13" x14ac:dyDescent="0.3">
      <c r="B250" s="10">
        <v>41907</v>
      </c>
      <c r="C250" s="11">
        <v>1541.826</v>
      </c>
      <c r="K250" s="8" t="s">
        <v>1003</v>
      </c>
      <c r="M250" s="8" t="s">
        <v>942</v>
      </c>
    </row>
    <row r="251" spans="2:13" x14ac:dyDescent="0.3">
      <c r="B251" s="9" t="s">
        <v>3048</v>
      </c>
      <c r="C251" s="11">
        <v>1645.3689999999999</v>
      </c>
      <c r="K251" s="8" t="s">
        <v>763</v>
      </c>
      <c r="M251" s="8" t="s">
        <v>243</v>
      </c>
    </row>
    <row r="252" spans="2:13" x14ac:dyDescent="0.3">
      <c r="B252" s="10">
        <v>41908</v>
      </c>
      <c r="C252" s="11">
        <v>1645.3689999999999</v>
      </c>
      <c r="K252" s="8" t="s">
        <v>2491</v>
      </c>
      <c r="M252" s="8" t="s">
        <v>1948</v>
      </c>
    </row>
    <row r="253" spans="2:13" x14ac:dyDescent="0.3">
      <c r="B253" s="9" t="s">
        <v>3049</v>
      </c>
      <c r="C253" s="11">
        <v>274.49</v>
      </c>
      <c r="K253" s="8" t="s">
        <v>1203</v>
      </c>
      <c r="M253" s="8" t="s">
        <v>2341</v>
      </c>
    </row>
    <row r="254" spans="2:13" x14ac:dyDescent="0.3">
      <c r="B254" s="10">
        <v>41909</v>
      </c>
      <c r="C254" s="11">
        <v>274.49</v>
      </c>
      <c r="K254" s="8" t="s">
        <v>2409</v>
      </c>
      <c r="M254" s="8" t="s">
        <v>2665</v>
      </c>
    </row>
    <row r="255" spans="2:13" x14ac:dyDescent="0.3">
      <c r="B255" s="9" t="s">
        <v>3050</v>
      </c>
      <c r="C255" s="11">
        <v>456.86399999999992</v>
      </c>
      <c r="K255" s="8" t="s">
        <v>2452</v>
      </c>
      <c r="M255" s="8" t="s">
        <v>2605</v>
      </c>
    </row>
    <row r="256" spans="2:13" x14ac:dyDescent="0.3">
      <c r="B256" s="10">
        <v>41910</v>
      </c>
      <c r="C256" s="11">
        <v>456.86399999999992</v>
      </c>
      <c r="K256" s="8" t="s">
        <v>416</v>
      </c>
      <c r="M256" s="8" t="s">
        <v>899</v>
      </c>
    </row>
    <row r="257" spans="2:13" x14ac:dyDescent="0.3">
      <c r="B257" s="9" t="s">
        <v>3051</v>
      </c>
      <c r="C257" s="11">
        <v>712.22400000000005</v>
      </c>
      <c r="K257" s="8" t="s">
        <v>373</v>
      </c>
      <c r="M257" s="8" t="s">
        <v>1918</v>
      </c>
    </row>
    <row r="258" spans="2:13" x14ac:dyDescent="0.3">
      <c r="B258" s="10">
        <v>41913</v>
      </c>
      <c r="C258" s="11">
        <v>712.22400000000005</v>
      </c>
      <c r="K258" s="8" t="s">
        <v>1081</v>
      </c>
      <c r="M258" s="8" t="s">
        <v>1038</v>
      </c>
    </row>
    <row r="259" spans="2:13" x14ac:dyDescent="0.3">
      <c r="B259" s="9" t="s">
        <v>3052</v>
      </c>
      <c r="C259" s="11">
        <v>972.19600000000003</v>
      </c>
      <c r="K259" s="8" t="s">
        <v>620</v>
      </c>
      <c r="M259" s="8" t="s">
        <v>220</v>
      </c>
    </row>
    <row r="260" spans="2:13" x14ac:dyDescent="0.3">
      <c r="B260" s="10">
        <v>41914</v>
      </c>
      <c r="C260" s="11">
        <v>972.19600000000003</v>
      </c>
      <c r="K260" s="8" t="s">
        <v>556</v>
      </c>
      <c r="M260" s="8" t="s">
        <v>902</v>
      </c>
    </row>
    <row r="261" spans="2:13" x14ac:dyDescent="0.3">
      <c r="B261" s="9" t="s">
        <v>3053</v>
      </c>
      <c r="C261" s="11">
        <v>120.666</v>
      </c>
      <c r="K261" s="8" t="s">
        <v>1275</v>
      </c>
      <c r="M261" s="8" t="s">
        <v>98</v>
      </c>
    </row>
    <row r="262" spans="2:13" x14ac:dyDescent="0.3">
      <c r="B262" s="10">
        <v>41915</v>
      </c>
      <c r="C262" s="11">
        <v>120.666</v>
      </c>
      <c r="K262" s="8" t="s">
        <v>1529</v>
      </c>
      <c r="M262" s="8" t="s">
        <v>921</v>
      </c>
    </row>
    <row r="263" spans="2:13" x14ac:dyDescent="0.3">
      <c r="B263" s="9" t="s">
        <v>3054</v>
      </c>
      <c r="C263" s="11">
        <v>26.96</v>
      </c>
      <c r="K263" s="8" t="s">
        <v>2532</v>
      </c>
      <c r="M263" s="8" t="s">
        <v>779</v>
      </c>
    </row>
    <row r="264" spans="2:13" x14ac:dyDescent="0.3">
      <c r="B264" s="10">
        <v>41916</v>
      </c>
      <c r="C264" s="11">
        <v>26.96</v>
      </c>
      <c r="K264" s="8" t="s">
        <v>932</v>
      </c>
      <c r="M264" s="8" t="s">
        <v>740</v>
      </c>
    </row>
    <row r="265" spans="2:13" x14ac:dyDescent="0.3">
      <c r="B265" s="9" t="s">
        <v>3055</v>
      </c>
      <c r="C265" s="11">
        <v>357.46199999999999</v>
      </c>
      <c r="K265" s="8" t="s">
        <v>2617</v>
      </c>
      <c r="M265" s="8" t="s">
        <v>435</v>
      </c>
    </row>
    <row r="266" spans="2:13" x14ac:dyDescent="0.3">
      <c r="B266" s="10">
        <v>41917</v>
      </c>
      <c r="C266" s="11">
        <v>357.46199999999999</v>
      </c>
      <c r="K266" s="8" t="s">
        <v>497</v>
      </c>
      <c r="M266" s="8" t="s">
        <v>855</v>
      </c>
    </row>
    <row r="267" spans="2:13" x14ac:dyDescent="0.3">
      <c r="B267" s="9" t="s">
        <v>3056</v>
      </c>
      <c r="C267" s="11">
        <v>145.9</v>
      </c>
      <c r="K267" s="8" t="s">
        <v>397</v>
      </c>
      <c r="M267" s="8" t="s">
        <v>268</v>
      </c>
    </row>
    <row r="268" spans="2:13" x14ac:dyDescent="0.3">
      <c r="B268" s="10">
        <v>41920</v>
      </c>
      <c r="C268" s="11">
        <v>145.9</v>
      </c>
      <c r="K268" s="8" t="s">
        <v>816</v>
      </c>
      <c r="M268" s="8" t="s">
        <v>157</v>
      </c>
    </row>
    <row r="269" spans="2:13" x14ac:dyDescent="0.3">
      <c r="B269" s="9" t="s">
        <v>3057</v>
      </c>
      <c r="C269" s="11">
        <v>438.54599999999999</v>
      </c>
      <c r="K269" s="8" t="s">
        <v>294</v>
      </c>
      <c r="M269" s="8" t="s">
        <v>1750</v>
      </c>
    </row>
    <row r="270" spans="2:13" x14ac:dyDescent="0.3">
      <c r="B270" s="10">
        <v>41922</v>
      </c>
      <c r="C270" s="11">
        <v>438.54599999999999</v>
      </c>
      <c r="K270" s="8" t="s">
        <v>2238</v>
      </c>
      <c r="M270" s="8" t="s">
        <v>403</v>
      </c>
    </row>
    <row r="271" spans="2:13" x14ac:dyDescent="0.3">
      <c r="B271" s="9" t="s">
        <v>3058</v>
      </c>
      <c r="C271" s="11">
        <v>99.859999999999985</v>
      </c>
      <c r="K271" s="8" t="s">
        <v>1908</v>
      </c>
      <c r="M271" s="8" t="s">
        <v>2862</v>
      </c>
    </row>
    <row r="272" spans="2:13" x14ac:dyDescent="0.3">
      <c r="B272" s="10">
        <v>41924</v>
      </c>
      <c r="C272" s="11">
        <v>99.859999999999985</v>
      </c>
      <c r="K272" s="8" t="s">
        <v>179</v>
      </c>
      <c r="M272" s="8" t="s">
        <v>215</v>
      </c>
    </row>
    <row r="273" spans="2:13" x14ac:dyDescent="0.3">
      <c r="B273" s="9" t="s">
        <v>3059</v>
      </c>
      <c r="C273" s="11">
        <v>77.88</v>
      </c>
      <c r="K273" s="8" t="s">
        <v>1172</v>
      </c>
      <c r="M273" s="8" t="s">
        <v>2836</v>
      </c>
    </row>
    <row r="274" spans="2:13" x14ac:dyDescent="0.3">
      <c r="B274" s="10">
        <v>41929</v>
      </c>
      <c r="C274" s="11">
        <v>77.88</v>
      </c>
      <c r="K274" s="8" t="s">
        <v>2898</v>
      </c>
      <c r="M274" s="8" t="s">
        <v>1135</v>
      </c>
    </row>
    <row r="275" spans="2:13" x14ac:dyDescent="0.3">
      <c r="B275" s="9" t="s">
        <v>3060</v>
      </c>
      <c r="C275" s="11">
        <v>277.63400000000001</v>
      </c>
      <c r="K275" s="8" t="s">
        <v>282</v>
      </c>
      <c r="M275" s="8" t="s">
        <v>1361</v>
      </c>
    </row>
    <row r="276" spans="2:13" x14ac:dyDescent="0.3">
      <c r="B276" s="10">
        <v>41930</v>
      </c>
      <c r="C276" s="11">
        <v>277.63400000000001</v>
      </c>
      <c r="K276" s="8" t="s">
        <v>949</v>
      </c>
      <c r="M276" s="8" t="s">
        <v>2905</v>
      </c>
    </row>
    <row r="277" spans="2:13" x14ac:dyDescent="0.3">
      <c r="B277" s="9" t="s">
        <v>3061</v>
      </c>
      <c r="C277" s="11">
        <v>1910.6999999999998</v>
      </c>
      <c r="K277" s="8" t="s">
        <v>1769</v>
      </c>
      <c r="M277" s="8" t="s">
        <v>249</v>
      </c>
    </row>
    <row r="278" spans="2:13" x14ac:dyDescent="0.3">
      <c r="B278" s="10">
        <v>41931</v>
      </c>
      <c r="C278" s="11">
        <v>1910.6999999999998</v>
      </c>
      <c r="K278" s="8" t="s">
        <v>1258</v>
      </c>
      <c r="M278" s="8" t="s">
        <v>2522</v>
      </c>
    </row>
    <row r="279" spans="2:13" x14ac:dyDescent="0.3">
      <c r="B279" s="9" t="s">
        <v>3062</v>
      </c>
      <c r="C279" s="11">
        <v>695.52600000000007</v>
      </c>
      <c r="K279" s="8" t="s">
        <v>1702</v>
      </c>
      <c r="M279" s="8" t="s">
        <v>2415</v>
      </c>
    </row>
    <row r="280" spans="2:13" x14ac:dyDescent="0.3">
      <c r="B280" s="10">
        <v>41932</v>
      </c>
      <c r="C280" s="11">
        <v>695.52600000000007</v>
      </c>
      <c r="K280" s="8" t="s">
        <v>1808</v>
      </c>
      <c r="M280" s="8" t="s">
        <v>2429</v>
      </c>
    </row>
    <row r="281" spans="2:13" x14ac:dyDescent="0.3">
      <c r="B281" s="9" t="s">
        <v>3063</v>
      </c>
      <c r="C281" s="11">
        <v>1450.376</v>
      </c>
      <c r="K281" s="8" t="s">
        <v>768</v>
      </c>
      <c r="M281" s="8" t="s">
        <v>1806</v>
      </c>
    </row>
    <row r="282" spans="2:13" x14ac:dyDescent="0.3">
      <c r="B282" s="10">
        <v>41935</v>
      </c>
      <c r="C282" s="11">
        <v>1450.376</v>
      </c>
      <c r="K282" s="8" t="s">
        <v>2496</v>
      </c>
      <c r="M282" s="8" t="s">
        <v>565</v>
      </c>
    </row>
    <row r="283" spans="2:13" x14ac:dyDescent="0.3">
      <c r="B283" s="9" t="s">
        <v>3064</v>
      </c>
      <c r="C283" s="11">
        <v>454.27200000000005</v>
      </c>
      <c r="K283" s="8" t="s">
        <v>681</v>
      </c>
      <c r="M283" s="8" t="s">
        <v>2188</v>
      </c>
    </row>
    <row r="284" spans="2:13" x14ac:dyDescent="0.3">
      <c r="B284" s="10">
        <v>41936</v>
      </c>
      <c r="C284" s="11">
        <v>454.27200000000005</v>
      </c>
      <c r="K284" s="8" t="s">
        <v>1604</v>
      </c>
      <c r="M284" s="8" t="s">
        <v>2598</v>
      </c>
    </row>
    <row r="285" spans="2:13" x14ac:dyDescent="0.3">
      <c r="B285" s="9" t="s">
        <v>3065</v>
      </c>
      <c r="C285" s="11">
        <v>975.32200000000012</v>
      </c>
      <c r="K285" s="8" t="s">
        <v>323</v>
      </c>
      <c r="M285" s="8" t="s">
        <v>734</v>
      </c>
    </row>
    <row r="286" spans="2:13" x14ac:dyDescent="0.3">
      <c r="B286" s="10">
        <v>41937</v>
      </c>
      <c r="C286" s="11">
        <v>975.32200000000012</v>
      </c>
      <c r="K286" s="8" t="s">
        <v>603</v>
      </c>
      <c r="M286" s="8" t="s">
        <v>656</v>
      </c>
    </row>
    <row r="287" spans="2:13" x14ac:dyDescent="0.3">
      <c r="B287" s="9" t="s">
        <v>3066</v>
      </c>
      <c r="C287" s="11">
        <v>1395.3330000000003</v>
      </c>
      <c r="K287" s="8" t="s">
        <v>1330</v>
      </c>
      <c r="M287" s="8" t="s">
        <v>2412</v>
      </c>
    </row>
    <row r="288" spans="2:13" x14ac:dyDescent="0.3">
      <c r="B288" s="10">
        <v>41938</v>
      </c>
      <c r="C288" s="11">
        <v>1395.3330000000003</v>
      </c>
      <c r="K288" s="8" t="s">
        <v>38</v>
      </c>
      <c r="M288" s="8" t="s">
        <v>2346</v>
      </c>
    </row>
    <row r="289" spans="2:13" x14ac:dyDescent="0.3">
      <c r="B289" s="9" t="s">
        <v>3067</v>
      </c>
      <c r="C289" s="11">
        <v>244.24</v>
      </c>
      <c r="K289" s="8" t="s">
        <v>1794</v>
      </c>
      <c r="M289" s="8" t="s">
        <v>1287</v>
      </c>
    </row>
    <row r="290" spans="2:13" x14ac:dyDescent="0.3">
      <c r="B290" s="10">
        <v>41941</v>
      </c>
      <c r="C290" s="11">
        <v>244.24</v>
      </c>
      <c r="K290" s="8" t="s">
        <v>786</v>
      </c>
      <c r="M290" s="8" t="s">
        <v>2737</v>
      </c>
    </row>
    <row r="291" spans="2:13" x14ac:dyDescent="0.3">
      <c r="B291" s="9" t="s">
        <v>3068</v>
      </c>
      <c r="C291" s="11">
        <v>603.43400000000008</v>
      </c>
      <c r="K291" s="8" t="s">
        <v>506</v>
      </c>
      <c r="M291" s="8" t="s">
        <v>2541</v>
      </c>
    </row>
    <row r="292" spans="2:13" x14ac:dyDescent="0.3">
      <c r="B292" s="10">
        <v>41942</v>
      </c>
      <c r="C292" s="11">
        <v>603.43400000000008</v>
      </c>
      <c r="K292" s="8" t="s">
        <v>684</v>
      </c>
      <c r="M292" s="8" t="s">
        <v>1524</v>
      </c>
    </row>
    <row r="293" spans="2:13" x14ac:dyDescent="0.3">
      <c r="B293" s="9" t="s">
        <v>3069</v>
      </c>
      <c r="C293" s="11">
        <v>3058.1490000000003</v>
      </c>
      <c r="K293" s="8" t="s">
        <v>1984</v>
      </c>
      <c r="M293" s="8" t="s">
        <v>1756</v>
      </c>
    </row>
    <row r="294" spans="2:13" x14ac:dyDescent="0.3">
      <c r="B294" s="10">
        <v>41943</v>
      </c>
      <c r="C294" s="11">
        <v>3058.1490000000003</v>
      </c>
      <c r="K294" s="8" t="s">
        <v>494</v>
      </c>
      <c r="M294" s="8" t="s">
        <v>754</v>
      </c>
    </row>
    <row r="295" spans="2:13" x14ac:dyDescent="0.3">
      <c r="B295" s="9" t="s">
        <v>3070</v>
      </c>
      <c r="C295" s="11">
        <v>7.88</v>
      </c>
      <c r="K295" s="8" t="s">
        <v>1839</v>
      </c>
      <c r="M295" s="8" t="s">
        <v>210</v>
      </c>
    </row>
    <row r="296" spans="2:13" x14ac:dyDescent="0.3">
      <c r="B296" s="10">
        <v>41944</v>
      </c>
      <c r="C296" s="11">
        <v>7.88</v>
      </c>
      <c r="K296" s="8" t="s">
        <v>1128</v>
      </c>
      <c r="M296" s="8" t="s">
        <v>530</v>
      </c>
    </row>
    <row r="297" spans="2:13" x14ac:dyDescent="0.3">
      <c r="B297" s="9" t="s">
        <v>3071</v>
      </c>
      <c r="C297" s="11">
        <v>2225.6689999999999</v>
      </c>
      <c r="K297" s="8" t="s">
        <v>2460</v>
      </c>
      <c r="M297" s="8" t="s">
        <v>611</v>
      </c>
    </row>
    <row r="298" spans="2:13" x14ac:dyDescent="0.3">
      <c r="B298" s="10">
        <v>41945</v>
      </c>
      <c r="C298" s="11">
        <v>2225.6689999999999</v>
      </c>
      <c r="K298" s="8" t="s">
        <v>2827</v>
      </c>
      <c r="M298" s="8" t="s">
        <v>116</v>
      </c>
    </row>
    <row r="299" spans="2:13" x14ac:dyDescent="0.3">
      <c r="B299" s="9" t="s">
        <v>3072</v>
      </c>
      <c r="C299" s="11">
        <v>1345.4179999999999</v>
      </c>
      <c r="K299" s="8" t="s">
        <v>2235</v>
      </c>
      <c r="M299" s="8" t="s">
        <v>2584</v>
      </c>
    </row>
    <row r="300" spans="2:13" x14ac:dyDescent="0.3">
      <c r="B300" s="10">
        <v>41946</v>
      </c>
      <c r="C300" s="11">
        <v>1345.4179999999999</v>
      </c>
      <c r="K300" s="8" t="s">
        <v>2725</v>
      </c>
      <c r="M300" s="8" t="s">
        <v>510</v>
      </c>
    </row>
    <row r="301" spans="2:13" x14ac:dyDescent="0.3">
      <c r="B301" s="9" t="s">
        <v>3073</v>
      </c>
      <c r="C301" s="11">
        <v>161.15199999999999</v>
      </c>
      <c r="K301" s="8" t="s">
        <v>2696</v>
      </c>
      <c r="M301" s="8" t="s">
        <v>511</v>
      </c>
    </row>
    <row r="302" spans="2:13" x14ac:dyDescent="0.3">
      <c r="B302" s="10">
        <v>41948</v>
      </c>
      <c r="C302" s="11">
        <v>161.15199999999999</v>
      </c>
      <c r="K302" s="8" t="s">
        <v>587</v>
      </c>
      <c r="M302" s="8" t="s">
        <v>2061</v>
      </c>
    </row>
    <row r="303" spans="2:13" x14ac:dyDescent="0.3">
      <c r="B303" s="9" t="s">
        <v>3074</v>
      </c>
      <c r="C303" s="11">
        <v>11.481000000000002</v>
      </c>
      <c r="K303" s="8" t="s">
        <v>1052</v>
      </c>
      <c r="M303" s="8" t="s">
        <v>1575</v>
      </c>
    </row>
    <row r="304" spans="2:13" x14ac:dyDescent="0.3">
      <c r="B304" s="10">
        <v>41949</v>
      </c>
      <c r="C304" s="11">
        <v>11.481000000000002</v>
      </c>
      <c r="K304" s="8" t="s">
        <v>125</v>
      </c>
      <c r="M304" s="8" t="s">
        <v>2167</v>
      </c>
    </row>
    <row r="305" spans="2:13" x14ac:dyDescent="0.3">
      <c r="B305" s="9" t="s">
        <v>3075</v>
      </c>
      <c r="C305" s="11">
        <v>190.72000000000003</v>
      </c>
      <c r="K305" s="8" t="s">
        <v>2041</v>
      </c>
      <c r="M305" s="8" t="s">
        <v>1037</v>
      </c>
    </row>
    <row r="306" spans="2:13" x14ac:dyDescent="0.3">
      <c r="B306" s="10">
        <v>41950</v>
      </c>
      <c r="C306" s="11">
        <v>190.72000000000003</v>
      </c>
      <c r="K306" s="8" t="s">
        <v>2528</v>
      </c>
      <c r="M306" s="8" t="s">
        <v>2095</v>
      </c>
    </row>
    <row r="307" spans="2:13" x14ac:dyDescent="0.3">
      <c r="B307" s="9" t="s">
        <v>3076</v>
      </c>
      <c r="C307" s="11">
        <v>753.22</v>
      </c>
      <c r="K307" s="8" t="s">
        <v>2419</v>
      </c>
      <c r="M307" s="8" t="s">
        <v>1860</v>
      </c>
    </row>
    <row r="308" spans="2:13" x14ac:dyDescent="0.3">
      <c r="B308" s="10">
        <v>41951</v>
      </c>
      <c r="C308" s="11">
        <v>753.22</v>
      </c>
      <c r="K308" s="8" t="s">
        <v>1629</v>
      </c>
      <c r="M308" s="8" t="s">
        <v>2896</v>
      </c>
    </row>
    <row r="309" spans="2:13" x14ac:dyDescent="0.3">
      <c r="B309" s="9" t="s">
        <v>3077</v>
      </c>
      <c r="C309" s="11">
        <v>2.48</v>
      </c>
      <c r="K309" s="8" t="s">
        <v>1244</v>
      </c>
      <c r="M309" s="8" t="s">
        <v>2642</v>
      </c>
    </row>
    <row r="310" spans="2:13" x14ac:dyDescent="0.3">
      <c r="B310" s="10">
        <v>41952</v>
      </c>
      <c r="C310" s="11">
        <v>2.48</v>
      </c>
      <c r="K310" s="8" t="s">
        <v>2659</v>
      </c>
      <c r="M310" s="8" t="s">
        <v>1223</v>
      </c>
    </row>
    <row r="311" spans="2:13" x14ac:dyDescent="0.3">
      <c r="B311" s="9" t="s">
        <v>3078</v>
      </c>
      <c r="C311" s="11">
        <v>79.900000000000006</v>
      </c>
      <c r="K311" s="8" t="s">
        <v>1307</v>
      </c>
      <c r="M311" s="8" t="s">
        <v>1764</v>
      </c>
    </row>
    <row r="312" spans="2:13" x14ac:dyDescent="0.3">
      <c r="B312" s="10">
        <v>41953</v>
      </c>
      <c r="C312" s="11">
        <v>79.900000000000006</v>
      </c>
      <c r="K312" s="8" t="s">
        <v>1241</v>
      </c>
      <c r="M312" s="8" t="s">
        <v>914</v>
      </c>
    </row>
    <row r="313" spans="2:13" x14ac:dyDescent="0.3">
      <c r="B313" s="9" t="s">
        <v>3079</v>
      </c>
      <c r="C313" s="11">
        <v>15.700000000000001</v>
      </c>
      <c r="K313" s="8" t="s">
        <v>90</v>
      </c>
      <c r="M313" s="8" t="s">
        <v>1826</v>
      </c>
    </row>
    <row r="314" spans="2:13" x14ac:dyDescent="0.3">
      <c r="B314" s="10">
        <v>41955</v>
      </c>
      <c r="C314" s="11">
        <v>15.700000000000001</v>
      </c>
      <c r="K314" s="8" t="s">
        <v>1374</v>
      </c>
      <c r="M314" s="8" t="s">
        <v>1611</v>
      </c>
    </row>
    <row r="315" spans="2:13" x14ac:dyDescent="0.3">
      <c r="B315" s="9" t="s">
        <v>3080</v>
      </c>
      <c r="C315" s="11">
        <v>1505.242</v>
      </c>
      <c r="K315" s="8" t="s">
        <v>2128</v>
      </c>
      <c r="M315" s="8" t="s">
        <v>2073</v>
      </c>
    </row>
    <row r="316" spans="2:13" x14ac:dyDescent="0.3">
      <c r="B316" s="10">
        <v>41956</v>
      </c>
      <c r="C316" s="11">
        <v>1505.242</v>
      </c>
      <c r="K316" s="8" t="s">
        <v>1195</v>
      </c>
      <c r="M316" s="8" t="s">
        <v>134</v>
      </c>
    </row>
    <row r="317" spans="2:13" x14ac:dyDescent="0.3">
      <c r="B317" s="9" t="s">
        <v>3081</v>
      </c>
      <c r="C317" s="11">
        <v>1374.056</v>
      </c>
      <c r="K317" s="8" t="s">
        <v>789</v>
      </c>
      <c r="M317" s="8" t="s">
        <v>2901</v>
      </c>
    </row>
    <row r="318" spans="2:13" x14ac:dyDescent="0.3">
      <c r="B318" s="10">
        <v>41957</v>
      </c>
      <c r="C318" s="11">
        <v>1374.056</v>
      </c>
      <c r="K318" s="8" t="s">
        <v>2685</v>
      </c>
      <c r="M318" s="8" t="s">
        <v>1956</v>
      </c>
    </row>
    <row r="319" spans="2:13" x14ac:dyDescent="0.3">
      <c r="B319" s="9" t="s">
        <v>3082</v>
      </c>
      <c r="C319" s="11">
        <v>1020.096</v>
      </c>
      <c r="K319" s="8" t="s">
        <v>875</v>
      </c>
      <c r="M319" s="8" t="s">
        <v>1795</v>
      </c>
    </row>
    <row r="320" spans="2:13" x14ac:dyDescent="0.3">
      <c r="B320" s="10">
        <v>41959</v>
      </c>
      <c r="C320" s="11">
        <v>1020.096</v>
      </c>
      <c r="K320" s="8" t="s">
        <v>1425</v>
      </c>
      <c r="M320" s="8" t="s">
        <v>2278</v>
      </c>
    </row>
    <row r="321" spans="2:13" x14ac:dyDescent="0.3">
      <c r="B321" s="9" t="s">
        <v>3083</v>
      </c>
      <c r="C321" s="11">
        <v>1873.606</v>
      </c>
      <c r="K321" s="8" t="s">
        <v>1200</v>
      </c>
      <c r="M321" s="8" t="s">
        <v>1972</v>
      </c>
    </row>
    <row r="322" spans="2:13" x14ac:dyDescent="0.3">
      <c r="B322" s="10">
        <v>41960</v>
      </c>
      <c r="C322" s="11">
        <v>1873.606</v>
      </c>
      <c r="K322" s="8" t="s">
        <v>1403</v>
      </c>
      <c r="M322" s="8" t="s">
        <v>2582</v>
      </c>
    </row>
    <row r="323" spans="2:13" x14ac:dyDescent="0.3">
      <c r="B323" s="9" t="s">
        <v>3084</v>
      </c>
      <c r="C323" s="11">
        <v>173.04000000000002</v>
      </c>
      <c r="K323" s="8" t="s">
        <v>2008</v>
      </c>
      <c r="M323" s="8" t="s">
        <v>205</v>
      </c>
    </row>
    <row r="324" spans="2:13" x14ac:dyDescent="0.3">
      <c r="B324" s="10">
        <v>41962</v>
      </c>
      <c r="C324" s="11">
        <v>173.04000000000002</v>
      </c>
      <c r="K324" s="8" t="s">
        <v>1289</v>
      </c>
      <c r="M324" s="8" t="s">
        <v>1952</v>
      </c>
    </row>
    <row r="325" spans="2:13" x14ac:dyDescent="0.3">
      <c r="B325" s="9" t="s">
        <v>3085</v>
      </c>
      <c r="C325" s="11">
        <v>1175.8440000000001</v>
      </c>
      <c r="K325" s="8" t="s">
        <v>2030</v>
      </c>
      <c r="M325" s="8" t="s">
        <v>2533</v>
      </c>
    </row>
    <row r="326" spans="2:13" x14ac:dyDescent="0.3">
      <c r="B326" s="10">
        <v>41963</v>
      </c>
      <c r="C326" s="11">
        <v>1175.8440000000001</v>
      </c>
      <c r="K326" s="8" t="s">
        <v>1019</v>
      </c>
      <c r="M326" s="8" t="s">
        <v>1388</v>
      </c>
    </row>
    <row r="327" spans="2:13" x14ac:dyDescent="0.3">
      <c r="B327" s="9" t="s">
        <v>3086</v>
      </c>
      <c r="C327" s="11">
        <v>573.50400000000013</v>
      </c>
      <c r="K327" s="8" t="s">
        <v>667</v>
      </c>
      <c r="M327" s="8" t="s">
        <v>2472</v>
      </c>
    </row>
    <row r="328" spans="2:13" x14ac:dyDescent="0.3">
      <c r="B328" s="10">
        <v>41964</v>
      </c>
      <c r="C328" s="11">
        <v>573.50400000000013</v>
      </c>
      <c r="K328" s="8" t="s">
        <v>214</v>
      </c>
      <c r="M328" s="8" t="s">
        <v>2536</v>
      </c>
    </row>
    <row r="329" spans="2:13" x14ac:dyDescent="0.3">
      <c r="B329" s="9" t="s">
        <v>3087</v>
      </c>
      <c r="C329" s="11">
        <v>114.37</v>
      </c>
      <c r="K329" s="8" t="s">
        <v>1850</v>
      </c>
      <c r="M329" s="8" t="s">
        <v>2599</v>
      </c>
    </row>
    <row r="330" spans="2:13" x14ac:dyDescent="0.3">
      <c r="B330" s="10">
        <v>41965</v>
      </c>
      <c r="C330" s="11">
        <v>114.37</v>
      </c>
      <c r="K330" s="8" t="s">
        <v>2227</v>
      </c>
      <c r="M330" s="8" t="s">
        <v>1249</v>
      </c>
    </row>
    <row r="331" spans="2:13" x14ac:dyDescent="0.3">
      <c r="B331" s="9" t="s">
        <v>3088</v>
      </c>
      <c r="C331" s="11">
        <v>1218.7640000000001</v>
      </c>
      <c r="K331" s="8" t="s">
        <v>1176</v>
      </c>
      <c r="M331" s="8" t="s">
        <v>1188</v>
      </c>
    </row>
    <row r="332" spans="2:13" x14ac:dyDescent="0.3">
      <c r="B332" s="10">
        <v>41967</v>
      </c>
      <c r="C332" s="11">
        <v>1218.7640000000001</v>
      </c>
      <c r="K332" s="8" t="s">
        <v>2729</v>
      </c>
      <c r="M332" s="8" t="s">
        <v>686</v>
      </c>
    </row>
    <row r="333" spans="2:13" x14ac:dyDescent="0.3">
      <c r="B333" s="9" t="s">
        <v>3089</v>
      </c>
      <c r="C333" s="11">
        <v>505.71000000000004</v>
      </c>
      <c r="K333" s="8" t="s">
        <v>385</v>
      </c>
      <c r="M333" s="8" t="s">
        <v>1205</v>
      </c>
    </row>
    <row r="334" spans="2:13" x14ac:dyDescent="0.3">
      <c r="B334" s="10">
        <v>41970</v>
      </c>
      <c r="C334" s="11">
        <v>505.71000000000004</v>
      </c>
      <c r="K334" s="8" t="s">
        <v>1621</v>
      </c>
      <c r="M334" s="8" t="s">
        <v>2804</v>
      </c>
    </row>
    <row r="335" spans="2:13" x14ac:dyDescent="0.3">
      <c r="B335" s="9" t="s">
        <v>3090</v>
      </c>
      <c r="C335" s="11">
        <v>53.56</v>
      </c>
      <c r="K335" s="8" t="s">
        <v>1236</v>
      </c>
      <c r="M335" s="8" t="s">
        <v>856</v>
      </c>
    </row>
    <row r="336" spans="2:13" x14ac:dyDescent="0.3">
      <c r="B336" s="10">
        <v>41971</v>
      </c>
      <c r="C336" s="11">
        <v>53.56</v>
      </c>
      <c r="K336" s="8" t="s">
        <v>924</v>
      </c>
      <c r="M336" s="8" t="s">
        <v>1456</v>
      </c>
    </row>
    <row r="337" spans="2:13" x14ac:dyDescent="0.3">
      <c r="B337" s="9" t="s">
        <v>3091</v>
      </c>
      <c r="C337" s="11">
        <v>60.603999999999999</v>
      </c>
      <c r="K337" s="8" t="s">
        <v>246</v>
      </c>
      <c r="M337" s="8" t="s">
        <v>404</v>
      </c>
    </row>
    <row r="338" spans="2:13" x14ac:dyDescent="0.3">
      <c r="B338" s="10">
        <v>41972</v>
      </c>
      <c r="C338" s="11">
        <v>60.603999999999999</v>
      </c>
      <c r="K338" s="8" t="s">
        <v>1186</v>
      </c>
      <c r="M338" s="8" t="s">
        <v>2325</v>
      </c>
    </row>
    <row r="339" spans="2:13" x14ac:dyDescent="0.3">
      <c r="B339" s="9" t="s">
        <v>3092</v>
      </c>
      <c r="C339" s="11">
        <v>106.88</v>
      </c>
      <c r="K339" s="8" t="s">
        <v>1469</v>
      </c>
      <c r="M339" s="8" t="s">
        <v>2675</v>
      </c>
    </row>
    <row r="340" spans="2:13" x14ac:dyDescent="0.3">
      <c r="B340" s="10">
        <v>41973</v>
      </c>
      <c r="C340" s="11">
        <v>106.88</v>
      </c>
      <c r="K340" s="8" t="s">
        <v>1845</v>
      </c>
      <c r="M340" s="8" t="s">
        <v>1716</v>
      </c>
    </row>
    <row r="341" spans="2:13" x14ac:dyDescent="0.3">
      <c r="B341" s="9" t="s">
        <v>3093</v>
      </c>
      <c r="C341" s="11">
        <v>6956.6459999999988</v>
      </c>
      <c r="K341" s="8" t="s">
        <v>159</v>
      </c>
      <c r="M341" s="8" t="s">
        <v>1050</v>
      </c>
    </row>
    <row r="342" spans="2:13" x14ac:dyDescent="0.3">
      <c r="B342" s="10">
        <v>41974</v>
      </c>
      <c r="C342" s="11">
        <v>6956.6459999999988</v>
      </c>
      <c r="K342" s="8" t="s">
        <v>2301</v>
      </c>
      <c r="M342" s="8" t="s">
        <v>2825</v>
      </c>
    </row>
    <row r="343" spans="2:13" x14ac:dyDescent="0.3">
      <c r="B343" s="9" t="s">
        <v>3094</v>
      </c>
      <c r="C343" s="11">
        <v>359.49899999999997</v>
      </c>
      <c r="K343" s="8" t="s">
        <v>993</v>
      </c>
      <c r="M343" s="8" t="s">
        <v>103</v>
      </c>
    </row>
    <row r="344" spans="2:13" x14ac:dyDescent="0.3">
      <c r="B344" s="10">
        <v>41976</v>
      </c>
      <c r="C344" s="11">
        <v>359.49899999999997</v>
      </c>
      <c r="K344" s="8" t="s">
        <v>2564</v>
      </c>
      <c r="M344" s="8" t="s">
        <v>128</v>
      </c>
    </row>
    <row r="345" spans="2:13" x14ac:dyDescent="0.3">
      <c r="B345" s="9" t="s">
        <v>3095</v>
      </c>
      <c r="C345" s="11">
        <v>460.17200000000003</v>
      </c>
      <c r="K345" s="8" t="s">
        <v>654</v>
      </c>
      <c r="M345" s="8" t="s">
        <v>1707</v>
      </c>
    </row>
    <row r="346" spans="2:13" x14ac:dyDescent="0.3">
      <c r="B346" s="10">
        <v>41977</v>
      </c>
      <c r="C346" s="11">
        <v>460.17200000000003</v>
      </c>
      <c r="K346" s="8" t="s">
        <v>553</v>
      </c>
      <c r="M346" s="8" t="s">
        <v>834</v>
      </c>
    </row>
    <row r="347" spans="2:13" x14ac:dyDescent="0.3">
      <c r="B347" s="9" t="s">
        <v>3096</v>
      </c>
      <c r="C347" s="11">
        <v>96.06</v>
      </c>
      <c r="K347" s="8" t="s">
        <v>1879</v>
      </c>
      <c r="M347" s="8" t="s">
        <v>916</v>
      </c>
    </row>
    <row r="348" spans="2:13" x14ac:dyDescent="0.3">
      <c r="B348" s="10">
        <v>41978</v>
      </c>
      <c r="C348" s="11">
        <v>96.06</v>
      </c>
      <c r="K348" s="8" t="s">
        <v>747</v>
      </c>
      <c r="M348" s="8" t="s">
        <v>106</v>
      </c>
    </row>
    <row r="349" spans="2:13" x14ac:dyDescent="0.3">
      <c r="B349" s="9" t="s">
        <v>3097</v>
      </c>
      <c r="C349" s="11">
        <v>2493.8060000000005</v>
      </c>
      <c r="K349" s="8" t="s">
        <v>2818</v>
      </c>
      <c r="M349" s="8" t="s">
        <v>2326</v>
      </c>
    </row>
    <row r="350" spans="2:13" x14ac:dyDescent="0.3">
      <c r="B350" s="10">
        <v>41979</v>
      </c>
      <c r="C350" s="11">
        <v>2493.8060000000005</v>
      </c>
      <c r="K350" s="8" t="s">
        <v>1314</v>
      </c>
      <c r="M350" s="8" t="s">
        <v>2149</v>
      </c>
    </row>
    <row r="351" spans="2:13" x14ac:dyDescent="0.3">
      <c r="B351" s="9" t="s">
        <v>3098</v>
      </c>
      <c r="C351" s="11">
        <v>99.449999999999989</v>
      </c>
      <c r="K351" s="8" t="s">
        <v>697</v>
      </c>
      <c r="M351" s="8" t="s">
        <v>998</v>
      </c>
    </row>
    <row r="352" spans="2:13" x14ac:dyDescent="0.3">
      <c r="B352" s="10">
        <v>41980</v>
      </c>
      <c r="C352" s="11">
        <v>99.449999999999989</v>
      </c>
      <c r="K352" s="8" t="s">
        <v>2253</v>
      </c>
      <c r="M352" s="8" t="s">
        <v>2730</v>
      </c>
    </row>
    <row r="353" spans="2:13" x14ac:dyDescent="0.3">
      <c r="B353" s="9" t="s">
        <v>3099</v>
      </c>
      <c r="C353" s="11">
        <v>473.65600000000001</v>
      </c>
      <c r="K353" s="8" t="s">
        <v>2788</v>
      </c>
      <c r="M353" s="8" t="s">
        <v>200</v>
      </c>
    </row>
    <row r="354" spans="2:13" x14ac:dyDescent="0.3">
      <c r="B354" s="10">
        <v>41981</v>
      </c>
      <c r="C354" s="11">
        <v>473.65600000000001</v>
      </c>
      <c r="K354" s="8" t="s">
        <v>1087</v>
      </c>
      <c r="M354" s="8" t="s">
        <v>358</v>
      </c>
    </row>
    <row r="355" spans="2:13" x14ac:dyDescent="0.3">
      <c r="B355" s="9" t="s">
        <v>3100</v>
      </c>
      <c r="C355" s="11">
        <v>62.059999999999995</v>
      </c>
      <c r="K355" s="8" t="s">
        <v>1970</v>
      </c>
      <c r="M355" s="8" t="s">
        <v>1897</v>
      </c>
    </row>
    <row r="356" spans="2:13" x14ac:dyDescent="0.3">
      <c r="B356" s="10">
        <v>41983</v>
      </c>
      <c r="C356" s="11">
        <v>62.059999999999995</v>
      </c>
      <c r="K356" s="8" t="s">
        <v>1409</v>
      </c>
      <c r="M356" s="8" t="s">
        <v>2704</v>
      </c>
    </row>
    <row r="357" spans="2:13" x14ac:dyDescent="0.3">
      <c r="B357" s="9" t="s">
        <v>3101</v>
      </c>
      <c r="C357" s="11">
        <v>840.56600000000014</v>
      </c>
      <c r="K357" s="8" t="s">
        <v>912</v>
      </c>
      <c r="M357" s="8" t="s">
        <v>2627</v>
      </c>
    </row>
    <row r="358" spans="2:13" x14ac:dyDescent="0.3">
      <c r="B358" s="10">
        <v>41984</v>
      </c>
      <c r="C358" s="11">
        <v>840.56600000000014</v>
      </c>
      <c r="K358" s="8" t="s">
        <v>2820</v>
      </c>
      <c r="M358" s="8" t="s">
        <v>1676</v>
      </c>
    </row>
    <row r="359" spans="2:13" x14ac:dyDescent="0.3">
      <c r="B359" s="9" t="s">
        <v>3102</v>
      </c>
      <c r="C359" s="11">
        <v>1418.2660000000001</v>
      </c>
      <c r="K359" s="8" t="s">
        <v>1341</v>
      </c>
      <c r="M359" s="8" t="s">
        <v>1990</v>
      </c>
    </row>
    <row r="360" spans="2:13" x14ac:dyDescent="0.3">
      <c r="B360" s="10">
        <v>41985</v>
      </c>
      <c r="C360" s="11">
        <v>1418.2660000000001</v>
      </c>
      <c r="K360" s="8" t="s">
        <v>1159</v>
      </c>
      <c r="M360" s="8" t="s">
        <v>600</v>
      </c>
    </row>
    <row r="361" spans="2:13" x14ac:dyDescent="0.3">
      <c r="B361" s="9" t="s">
        <v>3103</v>
      </c>
      <c r="C361" s="11">
        <v>966.06600000000026</v>
      </c>
      <c r="K361" s="8" t="s">
        <v>1902</v>
      </c>
      <c r="M361" s="8" t="s">
        <v>1869</v>
      </c>
    </row>
    <row r="362" spans="2:13" x14ac:dyDescent="0.3">
      <c r="B362" s="10">
        <v>41986</v>
      </c>
      <c r="C362" s="11">
        <v>966.06600000000026</v>
      </c>
      <c r="K362" s="8" t="s">
        <v>2895</v>
      </c>
      <c r="M362" s="8" t="s">
        <v>2401</v>
      </c>
    </row>
    <row r="363" spans="2:13" x14ac:dyDescent="0.3">
      <c r="B363" s="9" t="s">
        <v>3104</v>
      </c>
      <c r="C363" s="11">
        <v>792.08400000000006</v>
      </c>
      <c r="K363" s="8" t="s">
        <v>1684</v>
      </c>
      <c r="M363" s="8" t="s">
        <v>2035</v>
      </c>
    </row>
    <row r="364" spans="2:13" x14ac:dyDescent="0.3">
      <c r="B364" s="10">
        <v>41987</v>
      </c>
      <c r="C364" s="11">
        <v>792.08400000000006</v>
      </c>
      <c r="K364" s="8" t="s">
        <v>2077</v>
      </c>
      <c r="M364" s="8" t="s">
        <v>582</v>
      </c>
    </row>
    <row r="365" spans="2:13" x14ac:dyDescent="0.3">
      <c r="B365" s="9" t="s">
        <v>3105</v>
      </c>
      <c r="C365" s="11">
        <v>1055.1420000000001</v>
      </c>
      <c r="K365" s="8" t="s">
        <v>1811</v>
      </c>
      <c r="M365" s="8" t="s">
        <v>550</v>
      </c>
    </row>
    <row r="366" spans="2:13" x14ac:dyDescent="0.3">
      <c r="B366" s="10">
        <v>41988</v>
      </c>
      <c r="C366" s="11">
        <v>1055.1420000000001</v>
      </c>
      <c r="K366" s="8" t="s">
        <v>708</v>
      </c>
      <c r="M366" s="8" t="s">
        <v>1066</v>
      </c>
    </row>
    <row r="367" spans="2:13" x14ac:dyDescent="0.3">
      <c r="B367" s="9" t="s">
        <v>3106</v>
      </c>
      <c r="C367" s="11">
        <v>4.9800000000000004</v>
      </c>
      <c r="K367" s="8" t="s">
        <v>1192</v>
      </c>
      <c r="M367" s="8" t="s">
        <v>453</v>
      </c>
    </row>
    <row r="368" spans="2:13" x14ac:dyDescent="0.3">
      <c r="B368" s="10">
        <v>41989</v>
      </c>
      <c r="C368" s="11">
        <v>4.9800000000000004</v>
      </c>
      <c r="K368" s="8" t="s">
        <v>2511</v>
      </c>
      <c r="M368" s="8" t="s">
        <v>831</v>
      </c>
    </row>
    <row r="369" spans="2:13" x14ac:dyDescent="0.3">
      <c r="B369" s="9" t="s">
        <v>3107</v>
      </c>
      <c r="C369" s="11">
        <v>450.19400000000002</v>
      </c>
      <c r="K369" s="8" t="s">
        <v>2857</v>
      </c>
      <c r="M369" s="8" t="s">
        <v>2539</v>
      </c>
    </row>
    <row r="370" spans="2:13" x14ac:dyDescent="0.3">
      <c r="B370" s="10">
        <v>41990</v>
      </c>
      <c r="C370" s="11">
        <v>450.19400000000002</v>
      </c>
      <c r="K370" s="8" t="s">
        <v>1045</v>
      </c>
      <c r="M370" s="8" t="s">
        <v>1856</v>
      </c>
    </row>
    <row r="371" spans="2:13" x14ac:dyDescent="0.3">
      <c r="B371" s="9" t="s">
        <v>3108</v>
      </c>
      <c r="C371" s="11">
        <v>6.8480000000000008</v>
      </c>
      <c r="K371" s="8" t="s">
        <v>1777</v>
      </c>
      <c r="M371" s="8" t="s">
        <v>2889</v>
      </c>
    </row>
    <row r="372" spans="2:13" x14ac:dyDescent="0.3">
      <c r="B372" s="10">
        <v>41991</v>
      </c>
      <c r="C372" s="11">
        <v>6.8480000000000008</v>
      </c>
      <c r="K372" s="8" t="s">
        <v>1615</v>
      </c>
      <c r="M372" s="8" t="s">
        <v>2570</v>
      </c>
    </row>
    <row r="373" spans="2:13" x14ac:dyDescent="0.3">
      <c r="B373" s="9" t="s">
        <v>3109</v>
      </c>
      <c r="C373" s="11">
        <v>1941.81</v>
      </c>
      <c r="K373" s="8" t="s">
        <v>1718</v>
      </c>
      <c r="M373" s="8" t="s">
        <v>1678</v>
      </c>
    </row>
    <row r="374" spans="2:13" x14ac:dyDescent="0.3">
      <c r="B374" s="10">
        <v>41992</v>
      </c>
      <c r="C374" s="11">
        <v>1941.81</v>
      </c>
      <c r="K374" s="8" t="s">
        <v>189</v>
      </c>
      <c r="M374" s="8" t="s">
        <v>897</v>
      </c>
    </row>
    <row r="375" spans="2:13" x14ac:dyDescent="0.3">
      <c r="B375" s="9" t="s">
        <v>3110</v>
      </c>
      <c r="C375" s="11">
        <v>39.408000000000001</v>
      </c>
      <c r="K375" s="8" t="s">
        <v>233</v>
      </c>
      <c r="M375" s="8" t="s">
        <v>79</v>
      </c>
    </row>
    <row r="376" spans="2:13" x14ac:dyDescent="0.3">
      <c r="B376" s="10">
        <v>41993</v>
      </c>
      <c r="C376" s="11">
        <v>39.408000000000001</v>
      </c>
      <c r="K376" s="8" t="s">
        <v>702</v>
      </c>
      <c r="M376" s="8" t="s">
        <v>2700</v>
      </c>
    </row>
    <row r="377" spans="2:13" x14ac:dyDescent="0.3">
      <c r="B377" s="9" t="s">
        <v>3111</v>
      </c>
      <c r="C377" s="11">
        <v>1778.954</v>
      </c>
      <c r="K377" s="8" t="s">
        <v>114</v>
      </c>
      <c r="M377" s="8" t="s">
        <v>787</v>
      </c>
    </row>
    <row r="378" spans="2:13" x14ac:dyDescent="0.3">
      <c r="B378" s="10">
        <v>41994</v>
      </c>
      <c r="C378" s="11">
        <v>1778.954</v>
      </c>
      <c r="K378" s="8" t="s">
        <v>2223</v>
      </c>
      <c r="M378" s="8" t="s">
        <v>1855</v>
      </c>
    </row>
    <row r="379" spans="2:13" x14ac:dyDescent="0.3">
      <c r="B379" s="9" t="s">
        <v>3112</v>
      </c>
      <c r="C379" s="11">
        <v>1779.7220000000002</v>
      </c>
      <c r="K379" s="8" t="s">
        <v>750</v>
      </c>
      <c r="M379" s="8" t="s">
        <v>1076</v>
      </c>
    </row>
    <row r="380" spans="2:13" x14ac:dyDescent="0.3">
      <c r="B380" s="10">
        <v>41997</v>
      </c>
      <c r="C380" s="11">
        <v>1779.7220000000002</v>
      </c>
      <c r="K380" s="8" t="s">
        <v>1618</v>
      </c>
      <c r="M380" s="8" t="s">
        <v>2794</v>
      </c>
    </row>
    <row r="381" spans="2:13" x14ac:dyDescent="0.3">
      <c r="B381" s="9" t="s">
        <v>3113</v>
      </c>
      <c r="C381" s="11">
        <v>1240.46</v>
      </c>
      <c r="K381" s="8" t="s">
        <v>1669</v>
      </c>
      <c r="M381" s="8" t="s">
        <v>2868</v>
      </c>
    </row>
    <row r="382" spans="2:13" x14ac:dyDescent="0.3">
      <c r="B382" s="10">
        <v>41998</v>
      </c>
      <c r="C382" s="11">
        <v>1240.46</v>
      </c>
      <c r="K382" s="8" t="s">
        <v>1098</v>
      </c>
      <c r="M382" s="8" t="s">
        <v>1673</v>
      </c>
    </row>
    <row r="383" spans="2:13" x14ac:dyDescent="0.3">
      <c r="B383" s="9" t="s">
        <v>3114</v>
      </c>
      <c r="C383" s="11">
        <v>1127.7</v>
      </c>
      <c r="K383" s="8" t="s">
        <v>1727</v>
      </c>
      <c r="M383" s="8" t="s">
        <v>110</v>
      </c>
    </row>
    <row r="384" spans="2:13" x14ac:dyDescent="0.3">
      <c r="B384" s="10">
        <v>42000</v>
      </c>
      <c r="C384" s="11">
        <v>1127.7</v>
      </c>
      <c r="K384" s="8" t="s">
        <v>1304</v>
      </c>
      <c r="M384" s="8" t="s">
        <v>1884</v>
      </c>
    </row>
    <row r="385" spans="2:13" x14ac:dyDescent="0.3">
      <c r="B385" s="9" t="s">
        <v>3115</v>
      </c>
      <c r="C385" s="11">
        <v>3251.34</v>
      </c>
      <c r="K385" s="8" t="s">
        <v>2047</v>
      </c>
      <c r="M385" s="8" t="s">
        <v>2159</v>
      </c>
    </row>
    <row r="386" spans="2:13" x14ac:dyDescent="0.3">
      <c r="B386" s="10">
        <v>42003</v>
      </c>
      <c r="C386" s="11">
        <v>3251.34</v>
      </c>
      <c r="K386" s="8" t="s">
        <v>1534</v>
      </c>
      <c r="M386" s="8" t="s">
        <v>2208</v>
      </c>
    </row>
    <row r="387" spans="2:13" x14ac:dyDescent="0.3">
      <c r="B387" s="9" t="s">
        <v>3116</v>
      </c>
      <c r="C387" s="11">
        <v>487.98400000000004</v>
      </c>
      <c r="K387" s="8" t="s">
        <v>1151</v>
      </c>
      <c r="M387" s="8" t="s">
        <v>469</v>
      </c>
    </row>
    <row r="388" spans="2:13" x14ac:dyDescent="0.3">
      <c r="B388" s="10">
        <v>42004</v>
      </c>
      <c r="C388" s="11">
        <v>487.98400000000004</v>
      </c>
      <c r="K388" s="8" t="s">
        <v>481</v>
      </c>
      <c r="M388" s="8" t="s">
        <v>2551</v>
      </c>
    </row>
    <row r="389" spans="2:13" x14ac:dyDescent="0.3">
      <c r="B389" s="8" t="s">
        <v>2922</v>
      </c>
      <c r="C389" s="11">
        <v>139966.24950000001</v>
      </c>
      <c r="K389" s="8" t="s">
        <v>1084</v>
      </c>
      <c r="M389" s="8" t="s">
        <v>1305</v>
      </c>
    </row>
    <row r="390" spans="2:13" x14ac:dyDescent="0.3">
      <c r="K390" s="8" t="s">
        <v>2833</v>
      </c>
      <c r="M390" s="8" t="s">
        <v>2123</v>
      </c>
    </row>
    <row r="391" spans="2:13" x14ac:dyDescent="0.3">
      <c r="K391" s="8" t="s">
        <v>1648</v>
      </c>
      <c r="M391" s="8" t="s">
        <v>537</v>
      </c>
    </row>
    <row r="392" spans="2:13" x14ac:dyDescent="0.3">
      <c r="K392" s="8" t="s">
        <v>2134</v>
      </c>
      <c r="M392" s="8" t="s">
        <v>1728</v>
      </c>
    </row>
    <row r="393" spans="2:13" x14ac:dyDescent="0.3">
      <c r="K393" s="8" t="s">
        <v>186</v>
      </c>
      <c r="M393" s="8" t="s">
        <v>2546</v>
      </c>
    </row>
    <row r="394" spans="2:13" x14ac:dyDescent="0.3">
      <c r="K394" s="8" t="s">
        <v>2138</v>
      </c>
      <c r="M394" s="8" t="s">
        <v>2709</v>
      </c>
    </row>
    <row r="395" spans="2:13" x14ac:dyDescent="0.3">
      <c r="K395" s="8" t="s">
        <v>2576</v>
      </c>
      <c r="M395" s="8" t="s">
        <v>2791</v>
      </c>
    </row>
    <row r="396" spans="2:13" x14ac:dyDescent="0.3">
      <c r="K396" s="8" t="s">
        <v>610</v>
      </c>
      <c r="M396" s="8" t="s">
        <v>2793</v>
      </c>
    </row>
    <row r="397" spans="2:13" x14ac:dyDescent="0.3">
      <c r="K397" s="8" t="s">
        <v>1874</v>
      </c>
      <c r="M397" s="8" t="s">
        <v>151</v>
      </c>
    </row>
    <row r="398" spans="2:13" x14ac:dyDescent="0.3">
      <c r="K398" s="8" t="s">
        <v>2181</v>
      </c>
      <c r="M398" s="8" t="s">
        <v>1380</v>
      </c>
    </row>
    <row r="399" spans="2:13" x14ac:dyDescent="0.3">
      <c r="K399" s="8" t="s">
        <v>2886</v>
      </c>
      <c r="M399" s="8" t="s">
        <v>765</v>
      </c>
    </row>
    <row r="400" spans="2:13" x14ac:dyDescent="0.3">
      <c r="K400" s="8" t="s">
        <v>954</v>
      </c>
      <c r="M400" s="8" t="s">
        <v>1887</v>
      </c>
    </row>
    <row r="401" spans="11:13" x14ac:dyDescent="0.3">
      <c r="K401" s="8" t="s">
        <v>1359</v>
      </c>
      <c r="M401" s="8" t="s">
        <v>2478</v>
      </c>
    </row>
    <row r="402" spans="11:13" x14ac:dyDescent="0.3">
      <c r="K402" s="8" t="s">
        <v>1317</v>
      </c>
      <c r="M402" s="8" t="s">
        <v>1344</v>
      </c>
    </row>
    <row r="403" spans="11:13" x14ac:dyDescent="0.3">
      <c r="K403" s="8" t="s">
        <v>332</v>
      </c>
      <c r="M403" s="8" t="s">
        <v>1023</v>
      </c>
    </row>
    <row r="404" spans="11:13" x14ac:dyDescent="0.3">
      <c r="K404" s="8" t="s">
        <v>866</v>
      </c>
      <c r="M404" s="8" t="s">
        <v>2349</v>
      </c>
    </row>
    <row r="405" spans="11:13" x14ac:dyDescent="0.3">
      <c r="K405" s="8" t="s">
        <v>532</v>
      </c>
      <c r="M405" s="8" t="s">
        <v>2567</v>
      </c>
    </row>
    <row r="406" spans="11:13" x14ac:dyDescent="0.3">
      <c r="K406" s="8" t="s">
        <v>2027</v>
      </c>
      <c r="M406" s="8" t="s">
        <v>2736</v>
      </c>
    </row>
    <row r="407" spans="11:13" x14ac:dyDescent="0.3">
      <c r="K407" s="8" t="s">
        <v>1292</v>
      </c>
      <c r="M407" s="8" t="s">
        <v>1571</v>
      </c>
    </row>
    <row r="408" spans="11:13" x14ac:dyDescent="0.3">
      <c r="K408" s="8" t="s">
        <v>1767</v>
      </c>
      <c r="M408" s="8" t="s">
        <v>1799</v>
      </c>
    </row>
    <row r="409" spans="11:13" x14ac:dyDescent="0.3">
      <c r="K409" s="8" t="s">
        <v>963</v>
      </c>
      <c r="M409" s="8" t="s">
        <v>665</v>
      </c>
    </row>
    <row r="410" spans="11:13" x14ac:dyDescent="0.3">
      <c r="K410" s="8" t="s">
        <v>1996</v>
      </c>
      <c r="M410" s="8" t="s">
        <v>2432</v>
      </c>
    </row>
    <row r="411" spans="11:13" x14ac:dyDescent="0.3">
      <c r="K411" s="8" t="s">
        <v>2033</v>
      </c>
      <c r="M411" s="8" t="s">
        <v>634</v>
      </c>
    </row>
    <row r="412" spans="11:13" x14ac:dyDescent="0.3">
      <c r="K412" s="8" t="s">
        <v>2316</v>
      </c>
      <c r="M412" s="8" t="s">
        <v>1136</v>
      </c>
    </row>
    <row r="413" spans="11:13" x14ac:dyDescent="0.3">
      <c r="K413" s="8" t="s">
        <v>616</v>
      </c>
      <c r="M413" s="8" t="s">
        <v>572</v>
      </c>
    </row>
    <row r="414" spans="11:13" x14ac:dyDescent="0.3">
      <c r="K414" s="8" t="s">
        <v>48</v>
      </c>
      <c r="M414" s="8" t="s">
        <v>1187</v>
      </c>
    </row>
    <row r="415" spans="11:13" x14ac:dyDescent="0.3">
      <c r="K415" s="8" t="s">
        <v>391</v>
      </c>
      <c r="M415" s="8" t="s">
        <v>1530</v>
      </c>
    </row>
    <row r="416" spans="11:13" x14ac:dyDescent="0.3">
      <c r="K416" s="8" t="s">
        <v>2197</v>
      </c>
      <c r="M416" s="8" t="s">
        <v>2667</v>
      </c>
    </row>
    <row r="417" spans="11:13" x14ac:dyDescent="0.3">
      <c r="K417" s="8" t="s">
        <v>1672</v>
      </c>
      <c r="M417" s="8" t="s">
        <v>1613</v>
      </c>
    </row>
    <row r="418" spans="11:13" x14ac:dyDescent="0.3">
      <c r="K418" s="8" t="s">
        <v>633</v>
      </c>
      <c r="M418" s="8" t="s">
        <v>363</v>
      </c>
    </row>
    <row r="419" spans="11:13" x14ac:dyDescent="0.3">
      <c r="K419" s="8" t="s">
        <v>1759</v>
      </c>
      <c r="M419" s="8" t="s">
        <v>1689</v>
      </c>
    </row>
    <row r="420" spans="11:13" x14ac:dyDescent="0.3">
      <c r="K420" s="8" t="s">
        <v>1041</v>
      </c>
      <c r="M420" s="8" t="s">
        <v>1204</v>
      </c>
    </row>
    <row r="421" spans="11:13" x14ac:dyDescent="0.3">
      <c r="K421" s="8" t="s">
        <v>1513</v>
      </c>
      <c r="M421" s="8" t="s">
        <v>2904</v>
      </c>
    </row>
    <row r="422" spans="11:13" x14ac:dyDescent="0.3">
      <c r="K422" s="8" t="s">
        <v>2877</v>
      </c>
      <c r="M422" s="8" t="s">
        <v>1372</v>
      </c>
    </row>
    <row r="423" spans="11:13" x14ac:dyDescent="0.3">
      <c r="K423" s="8" t="s">
        <v>966</v>
      </c>
      <c r="M423" s="8" t="s">
        <v>2509</v>
      </c>
    </row>
    <row r="424" spans="11:13" x14ac:dyDescent="0.3">
      <c r="K424" s="8" t="s">
        <v>2553</v>
      </c>
      <c r="M424" s="8" t="s">
        <v>1852</v>
      </c>
    </row>
    <row r="425" spans="11:13" x14ac:dyDescent="0.3">
      <c r="K425" s="8" t="s">
        <v>2</v>
      </c>
      <c r="M425" s="8" t="s">
        <v>366</v>
      </c>
    </row>
    <row r="426" spans="11:13" x14ac:dyDescent="0.3">
      <c r="K426" s="8" t="s">
        <v>782</v>
      </c>
      <c r="M426" s="8" t="s">
        <v>1189</v>
      </c>
    </row>
    <row r="427" spans="11:13" x14ac:dyDescent="0.3">
      <c r="K427" s="8" t="s">
        <v>339</v>
      </c>
      <c r="M427" s="8" t="s">
        <v>46</v>
      </c>
    </row>
    <row r="428" spans="11:13" x14ac:dyDescent="0.3">
      <c r="K428" s="8" t="s">
        <v>626</v>
      </c>
      <c r="M428" s="8" t="s">
        <v>764</v>
      </c>
    </row>
    <row r="429" spans="11:13" x14ac:dyDescent="0.3">
      <c r="K429" s="8" t="s">
        <v>271</v>
      </c>
      <c r="M429" s="8" t="s">
        <v>2554</v>
      </c>
    </row>
    <row r="430" spans="11:13" x14ac:dyDescent="0.3">
      <c r="K430" s="8" t="s">
        <v>539</v>
      </c>
      <c r="M430" s="8" t="s">
        <v>2849</v>
      </c>
    </row>
    <row r="431" spans="11:13" x14ac:dyDescent="0.3">
      <c r="K431" s="8" t="s">
        <v>2052</v>
      </c>
      <c r="M431" s="8" t="s">
        <v>1242</v>
      </c>
    </row>
    <row r="432" spans="11:13" x14ac:dyDescent="0.3">
      <c r="K432" s="8" t="s">
        <v>1686</v>
      </c>
      <c r="M432" s="8" t="s">
        <v>712</v>
      </c>
    </row>
    <row r="433" spans="11:13" x14ac:dyDescent="0.3">
      <c r="K433" s="8" t="s">
        <v>1110</v>
      </c>
      <c r="M433" s="8" t="s">
        <v>1666</v>
      </c>
    </row>
    <row r="434" spans="11:13" x14ac:dyDescent="0.3">
      <c r="K434" s="8" t="s">
        <v>1854</v>
      </c>
      <c r="M434" s="8" t="s">
        <v>2831</v>
      </c>
    </row>
    <row r="435" spans="11:13" x14ac:dyDescent="0.3">
      <c r="K435" s="8" t="s">
        <v>1643</v>
      </c>
      <c r="M435" s="8" t="s">
        <v>2321</v>
      </c>
    </row>
    <row r="436" spans="11:13" x14ac:dyDescent="0.3">
      <c r="K436" s="8" t="s">
        <v>73</v>
      </c>
      <c r="M436" s="8" t="s">
        <v>706</v>
      </c>
    </row>
    <row r="437" spans="11:13" x14ac:dyDescent="0.3">
      <c r="K437" s="8" t="s">
        <v>2265</v>
      </c>
      <c r="M437" s="8" t="s">
        <v>356</v>
      </c>
    </row>
    <row r="438" spans="11:13" x14ac:dyDescent="0.3">
      <c r="K438" s="8" t="s">
        <v>2116</v>
      </c>
      <c r="M438" s="8" t="s">
        <v>1509</v>
      </c>
    </row>
    <row r="439" spans="11:13" x14ac:dyDescent="0.3">
      <c r="K439" s="8" t="s">
        <v>64</v>
      </c>
      <c r="M439" s="8" t="s">
        <v>1115</v>
      </c>
    </row>
    <row r="440" spans="11:13" x14ac:dyDescent="0.3">
      <c r="K440" s="8" t="s">
        <v>2374</v>
      </c>
      <c r="M440" s="8" t="s">
        <v>839</v>
      </c>
    </row>
    <row r="441" spans="11:13" x14ac:dyDescent="0.3">
      <c r="K441" s="8" t="s">
        <v>33</v>
      </c>
      <c r="M441" s="8" t="s">
        <v>2740</v>
      </c>
    </row>
    <row r="442" spans="11:13" x14ac:dyDescent="0.3">
      <c r="K442" s="8" t="s">
        <v>196</v>
      </c>
      <c r="M442" s="8" t="s">
        <v>155</v>
      </c>
    </row>
    <row r="443" spans="11:13" x14ac:dyDescent="0.3">
      <c r="K443" s="8" t="s">
        <v>851</v>
      </c>
      <c r="M443" s="8" t="s">
        <v>119</v>
      </c>
    </row>
    <row r="444" spans="11:13" x14ac:dyDescent="0.3">
      <c r="K444" s="8" t="s">
        <v>2663</v>
      </c>
      <c r="M444" s="8" t="s">
        <v>2507</v>
      </c>
    </row>
    <row r="445" spans="11:13" x14ac:dyDescent="0.3">
      <c r="K445" s="8" t="s">
        <v>895</v>
      </c>
      <c r="M445" s="8" t="s">
        <v>146</v>
      </c>
    </row>
    <row r="446" spans="11:13" x14ac:dyDescent="0.3">
      <c r="K446" s="8" t="s">
        <v>1521</v>
      </c>
      <c r="M446" s="8" t="s">
        <v>308</v>
      </c>
    </row>
    <row r="447" spans="11:13" x14ac:dyDescent="0.3">
      <c r="K447" s="8" t="s">
        <v>2843</v>
      </c>
      <c r="M447" s="8" t="s">
        <v>1379</v>
      </c>
    </row>
    <row r="448" spans="11:13" x14ac:dyDescent="0.3">
      <c r="K448" s="8" t="s">
        <v>2358</v>
      </c>
      <c r="M448" s="8" t="s">
        <v>905</v>
      </c>
    </row>
    <row r="449" spans="11:13" x14ac:dyDescent="0.3">
      <c r="K449" s="8" t="s">
        <v>1773</v>
      </c>
      <c r="M449" s="8" t="s">
        <v>1386</v>
      </c>
    </row>
    <row r="450" spans="11:13" x14ac:dyDescent="0.3">
      <c r="K450" s="8" t="s">
        <v>1910</v>
      </c>
      <c r="M450" s="8" t="s">
        <v>2668</v>
      </c>
    </row>
    <row r="451" spans="11:13" x14ac:dyDescent="0.3">
      <c r="K451" s="8" t="s">
        <v>549</v>
      </c>
      <c r="M451" s="8" t="s">
        <v>588</v>
      </c>
    </row>
    <row r="452" spans="11:13" x14ac:dyDescent="0.3">
      <c r="K452" s="8" t="s">
        <v>1126</v>
      </c>
      <c r="M452" s="8" t="s">
        <v>2121</v>
      </c>
    </row>
    <row r="453" spans="11:13" x14ac:dyDescent="0.3">
      <c r="K453" s="8" t="s">
        <v>2620</v>
      </c>
      <c r="M453" s="8" t="s">
        <v>2612</v>
      </c>
    </row>
    <row r="454" spans="11:13" x14ac:dyDescent="0.3">
      <c r="K454" s="8" t="s">
        <v>150</v>
      </c>
      <c r="M454" s="8" t="s">
        <v>2568</v>
      </c>
    </row>
    <row r="455" spans="11:13" x14ac:dyDescent="0.3">
      <c r="K455" s="8" t="s">
        <v>1568</v>
      </c>
      <c r="M455" s="8" t="s">
        <v>1039</v>
      </c>
    </row>
    <row r="456" spans="11:13" x14ac:dyDescent="0.3">
      <c r="K456" s="8" t="s">
        <v>2089</v>
      </c>
      <c r="M456" s="8" t="s">
        <v>2566</v>
      </c>
    </row>
    <row r="457" spans="11:13" x14ac:dyDescent="0.3">
      <c r="K457" s="8" t="s">
        <v>2647</v>
      </c>
      <c r="M457" s="8" t="s">
        <v>2484</v>
      </c>
    </row>
    <row r="458" spans="11:13" x14ac:dyDescent="0.3">
      <c r="K458" s="8" t="s">
        <v>2169</v>
      </c>
      <c r="M458" s="8" t="s">
        <v>1619</v>
      </c>
    </row>
    <row r="459" spans="11:13" x14ac:dyDescent="0.3">
      <c r="K459" s="8" t="s">
        <v>328</v>
      </c>
      <c r="M459" s="8" t="s">
        <v>137</v>
      </c>
    </row>
    <row r="460" spans="11:13" x14ac:dyDescent="0.3">
      <c r="K460" s="8" t="s">
        <v>1538</v>
      </c>
      <c r="M460" s="8" t="s">
        <v>2329</v>
      </c>
    </row>
    <row r="461" spans="11:13" x14ac:dyDescent="0.3">
      <c r="K461" s="8" t="s">
        <v>1681</v>
      </c>
      <c r="M461" s="8" t="s">
        <v>1100</v>
      </c>
    </row>
    <row r="462" spans="11:13" x14ac:dyDescent="0.3">
      <c r="K462" s="8" t="s">
        <v>1786</v>
      </c>
      <c r="M462" s="8" t="s">
        <v>540</v>
      </c>
    </row>
    <row r="463" spans="11:13" x14ac:dyDescent="0.3">
      <c r="K463" s="8" t="s">
        <v>1068</v>
      </c>
      <c r="M463" s="8" t="s">
        <v>1535</v>
      </c>
    </row>
    <row r="464" spans="11:13" x14ac:dyDescent="0.3">
      <c r="K464" s="8" t="s">
        <v>1917</v>
      </c>
      <c r="M464" s="8" t="s">
        <v>2892</v>
      </c>
    </row>
    <row r="465" spans="11:13" x14ac:dyDescent="0.3">
      <c r="K465" s="8" t="s">
        <v>1836</v>
      </c>
      <c r="M465" s="8" t="s">
        <v>36</v>
      </c>
    </row>
    <row r="466" spans="11:13" x14ac:dyDescent="0.3">
      <c r="K466" s="8" t="s">
        <v>2481</v>
      </c>
      <c r="M466" s="8" t="s">
        <v>2211</v>
      </c>
    </row>
    <row r="467" spans="11:13" x14ac:dyDescent="0.3">
      <c r="K467" s="8" t="s">
        <v>677</v>
      </c>
      <c r="M467" s="8" t="s">
        <v>1220</v>
      </c>
    </row>
    <row r="468" spans="11:13" x14ac:dyDescent="0.3">
      <c r="K468" s="8" t="s">
        <v>460</v>
      </c>
      <c r="M468" s="8" t="s">
        <v>887</v>
      </c>
    </row>
    <row r="469" spans="11:13" x14ac:dyDescent="0.3">
      <c r="K469" s="8" t="s">
        <v>1434</v>
      </c>
      <c r="M469" s="8" t="s">
        <v>353</v>
      </c>
    </row>
    <row r="470" spans="11:13" x14ac:dyDescent="0.3">
      <c r="K470" s="8" t="s">
        <v>2803</v>
      </c>
      <c r="M470" s="8" t="s">
        <v>2294</v>
      </c>
    </row>
    <row r="471" spans="11:13" x14ac:dyDescent="0.3">
      <c r="K471" s="8" t="s">
        <v>227</v>
      </c>
      <c r="M471" s="8" t="s">
        <v>1719</v>
      </c>
    </row>
    <row r="472" spans="11:13" x14ac:dyDescent="0.3">
      <c r="K472" s="8" t="s">
        <v>2624</v>
      </c>
      <c r="M472" s="8" t="s">
        <v>637</v>
      </c>
    </row>
    <row r="473" spans="11:13" x14ac:dyDescent="0.3">
      <c r="K473" s="8" t="s">
        <v>2574</v>
      </c>
      <c r="M473" s="8" t="s">
        <v>438</v>
      </c>
    </row>
    <row r="474" spans="11:13" x14ac:dyDescent="0.3">
      <c r="K474" s="8" t="s">
        <v>378</v>
      </c>
      <c r="M474" s="8" t="s">
        <v>646</v>
      </c>
    </row>
    <row r="475" spans="11:13" x14ac:dyDescent="0.3">
      <c r="K475" s="8" t="s">
        <v>664</v>
      </c>
      <c r="M475" s="8" t="s">
        <v>2119</v>
      </c>
    </row>
    <row r="476" spans="11:13" x14ac:dyDescent="0.3">
      <c r="K476" s="8" t="s">
        <v>2800</v>
      </c>
      <c r="M476" s="8" t="s">
        <v>1042</v>
      </c>
    </row>
    <row r="477" spans="11:13" x14ac:dyDescent="0.3">
      <c r="K477" s="8" t="s">
        <v>2386</v>
      </c>
      <c r="M477" s="8" t="s">
        <v>2569</v>
      </c>
    </row>
    <row r="478" spans="11:13" x14ac:dyDescent="0.3">
      <c r="K478" s="8" t="s">
        <v>2421</v>
      </c>
      <c r="M478" s="8" t="s">
        <v>560</v>
      </c>
    </row>
    <row r="479" spans="11:13" x14ac:dyDescent="0.3">
      <c r="K479" s="8" t="s">
        <v>1414</v>
      </c>
      <c r="M479" s="8" t="s">
        <v>465</v>
      </c>
    </row>
    <row r="480" spans="11:13" x14ac:dyDescent="0.3">
      <c r="K480" s="8" t="s">
        <v>593</v>
      </c>
      <c r="M480" s="8" t="s">
        <v>814</v>
      </c>
    </row>
    <row r="481" spans="11:13" x14ac:dyDescent="0.3">
      <c r="K481" s="8" t="s">
        <v>2854</v>
      </c>
      <c r="M481" s="8" t="s">
        <v>647</v>
      </c>
    </row>
    <row r="482" spans="11:13" x14ac:dyDescent="0.3">
      <c r="K482" s="8" t="s">
        <v>1197</v>
      </c>
      <c r="M482" s="8" t="s">
        <v>2855</v>
      </c>
    </row>
    <row r="483" spans="11:13" x14ac:dyDescent="0.3">
      <c r="K483" s="8" t="s">
        <v>2756</v>
      </c>
      <c r="M483" s="8" t="s">
        <v>1656</v>
      </c>
    </row>
    <row r="484" spans="11:13" x14ac:dyDescent="0.3">
      <c r="K484" s="8" t="s">
        <v>1565</v>
      </c>
      <c r="M484" s="8" t="s">
        <v>279</v>
      </c>
    </row>
    <row r="485" spans="11:13" x14ac:dyDescent="0.3">
      <c r="K485" s="8" t="s">
        <v>2288</v>
      </c>
      <c r="M485" s="8" t="s">
        <v>1519</v>
      </c>
    </row>
    <row r="486" spans="11:13" x14ac:dyDescent="0.3">
      <c r="K486" s="8" t="s">
        <v>827</v>
      </c>
      <c r="M486" s="8" t="s">
        <v>229</v>
      </c>
    </row>
    <row r="487" spans="11:13" x14ac:dyDescent="0.3">
      <c r="K487" s="8" t="s">
        <v>303</v>
      </c>
      <c r="M487" s="8" t="s">
        <v>2648</v>
      </c>
    </row>
    <row r="488" spans="11:13" x14ac:dyDescent="0.3">
      <c r="K488" s="8" t="s">
        <v>833</v>
      </c>
      <c r="M488" s="8" t="s">
        <v>1697</v>
      </c>
    </row>
    <row r="489" spans="11:13" x14ac:dyDescent="0.3">
      <c r="K489" s="8" t="s">
        <v>959</v>
      </c>
      <c r="M489" s="8" t="s">
        <v>374</v>
      </c>
    </row>
    <row r="490" spans="11:13" x14ac:dyDescent="0.3">
      <c r="K490" s="8" t="s">
        <v>1283</v>
      </c>
      <c r="M490" s="8" t="s">
        <v>2248</v>
      </c>
    </row>
    <row r="491" spans="11:13" x14ac:dyDescent="0.3">
      <c r="K491" s="8" t="s">
        <v>1736</v>
      </c>
      <c r="M491" s="8" t="s">
        <v>2715</v>
      </c>
    </row>
    <row r="492" spans="11:13" x14ac:dyDescent="0.3">
      <c r="K492" s="8" t="s">
        <v>66</v>
      </c>
      <c r="M492" s="8" t="s">
        <v>1407</v>
      </c>
    </row>
    <row r="493" spans="11:13" x14ac:dyDescent="0.3">
      <c r="K493" s="8" t="s">
        <v>670</v>
      </c>
      <c r="M493" s="8" t="s">
        <v>1049</v>
      </c>
    </row>
    <row r="494" spans="11:13" x14ac:dyDescent="0.3">
      <c r="K494" s="8" t="s">
        <v>729</v>
      </c>
      <c r="M494" s="8" t="s">
        <v>1545</v>
      </c>
    </row>
    <row r="495" spans="11:13" x14ac:dyDescent="0.3">
      <c r="K495" s="8" t="s">
        <v>1346</v>
      </c>
      <c r="M495" s="8" t="s">
        <v>2340</v>
      </c>
    </row>
    <row r="496" spans="11:13" x14ac:dyDescent="0.3">
      <c r="K496" s="8" t="s">
        <v>2781</v>
      </c>
      <c r="M496" s="8" t="s">
        <v>1846</v>
      </c>
    </row>
    <row r="497" spans="11:13" x14ac:dyDescent="0.3">
      <c r="K497" s="8" t="s">
        <v>1517</v>
      </c>
      <c r="M497" s="8" t="s">
        <v>191</v>
      </c>
    </row>
    <row r="498" spans="11:13" x14ac:dyDescent="0.3">
      <c r="K498" s="8" t="s">
        <v>476</v>
      </c>
      <c r="M498" s="8" t="s">
        <v>2425</v>
      </c>
    </row>
    <row r="499" spans="11:13" x14ac:dyDescent="0.3">
      <c r="K499" s="8" t="s">
        <v>651</v>
      </c>
      <c r="M499" s="8" t="s">
        <v>2225</v>
      </c>
    </row>
    <row r="500" spans="11:13" x14ac:dyDescent="0.3">
      <c r="K500" s="8" t="s">
        <v>1476</v>
      </c>
      <c r="M500" s="8" t="s">
        <v>2597</v>
      </c>
    </row>
    <row r="501" spans="11:13" x14ac:dyDescent="0.3">
      <c r="K501" s="8" t="s">
        <v>252</v>
      </c>
      <c r="M501" s="8" t="s">
        <v>2847</v>
      </c>
    </row>
    <row r="502" spans="11:13" x14ac:dyDescent="0.3">
      <c r="K502" s="8" t="s">
        <v>2644</v>
      </c>
      <c r="M502" s="8" t="s">
        <v>1923</v>
      </c>
    </row>
    <row r="503" spans="11:13" x14ac:dyDescent="0.3">
      <c r="K503" s="8" t="s">
        <v>2281</v>
      </c>
      <c r="M503" s="8" t="s">
        <v>1118</v>
      </c>
    </row>
    <row r="504" spans="11:13" x14ac:dyDescent="0.3">
      <c r="K504" s="8" t="s">
        <v>394</v>
      </c>
      <c r="M504" s="8" t="s">
        <v>648</v>
      </c>
    </row>
    <row r="505" spans="11:13" x14ac:dyDescent="0.3">
      <c r="K505" s="8" t="s">
        <v>1652</v>
      </c>
      <c r="M505" s="8" t="s">
        <v>368</v>
      </c>
    </row>
    <row r="506" spans="11:13" x14ac:dyDescent="0.3">
      <c r="K506" s="8" t="s">
        <v>1178</v>
      </c>
      <c r="M506" s="8" t="s">
        <v>253</v>
      </c>
    </row>
    <row r="507" spans="11:13" x14ac:dyDescent="0.3">
      <c r="K507" s="8" t="s">
        <v>105</v>
      </c>
      <c r="M507" s="8" t="s">
        <v>1056</v>
      </c>
    </row>
    <row r="508" spans="11:13" x14ac:dyDescent="0.3">
      <c r="K508" s="8" t="s">
        <v>1035</v>
      </c>
      <c r="M508" s="8" t="s">
        <v>2809</v>
      </c>
    </row>
    <row r="509" spans="11:13" x14ac:dyDescent="0.3">
      <c r="K509" s="8" t="s">
        <v>636</v>
      </c>
      <c r="M509" s="8" t="s">
        <v>1999</v>
      </c>
    </row>
    <row r="510" spans="11:13" x14ac:dyDescent="0.3">
      <c r="K510" s="8" t="s">
        <v>2059</v>
      </c>
      <c r="M510" s="8" t="s">
        <v>2650</v>
      </c>
    </row>
    <row r="511" spans="11:13" x14ac:dyDescent="0.3">
      <c r="K511" s="8" t="s">
        <v>2338</v>
      </c>
      <c r="M511" s="8" t="s">
        <v>2586</v>
      </c>
    </row>
    <row r="512" spans="11:13" x14ac:dyDescent="0.3">
      <c r="K512" s="8" t="s">
        <v>2263</v>
      </c>
      <c r="M512" s="8" t="s">
        <v>994</v>
      </c>
    </row>
    <row r="513" spans="11:13" x14ac:dyDescent="0.3">
      <c r="K513" s="8" t="s">
        <v>1455</v>
      </c>
      <c r="M513" s="8" t="s">
        <v>1814</v>
      </c>
    </row>
    <row r="514" spans="11:13" x14ac:dyDescent="0.3">
      <c r="K514" s="8" t="s">
        <v>1715</v>
      </c>
      <c r="M514" s="8" t="s">
        <v>184</v>
      </c>
    </row>
    <row r="515" spans="11:13" x14ac:dyDescent="0.3">
      <c r="K515" s="8" t="s">
        <v>289</v>
      </c>
      <c r="M515" s="8" t="s">
        <v>2084</v>
      </c>
    </row>
    <row r="516" spans="11:13" x14ac:dyDescent="0.3">
      <c r="K516" s="8" t="s">
        <v>336</v>
      </c>
      <c r="M516" s="8" t="s">
        <v>1744</v>
      </c>
    </row>
    <row r="517" spans="11:13" x14ac:dyDescent="0.3">
      <c r="K517" s="8" t="s">
        <v>1310</v>
      </c>
      <c r="M517" s="8" t="s">
        <v>2498</v>
      </c>
    </row>
    <row r="518" spans="11:13" x14ac:dyDescent="0.3">
      <c r="K518" s="8" t="s">
        <v>145</v>
      </c>
      <c r="M518" s="8" t="s">
        <v>1122</v>
      </c>
    </row>
    <row r="519" spans="11:13" x14ac:dyDescent="0.3">
      <c r="K519" s="8" t="s">
        <v>2703</v>
      </c>
      <c r="M519" s="8" t="s">
        <v>2529</v>
      </c>
    </row>
    <row r="520" spans="11:13" x14ac:dyDescent="0.3">
      <c r="K520" s="8" t="s">
        <v>1832</v>
      </c>
      <c r="M520" s="8" t="s">
        <v>1131</v>
      </c>
    </row>
    <row r="521" spans="11:13" x14ac:dyDescent="0.3">
      <c r="K521" s="8" t="s">
        <v>193</v>
      </c>
      <c r="M521" s="8" t="s">
        <v>1290</v>
      </c>
    </row>
    <row r="522" spans="11:13" x14ac:dyDescent="0.3">
      <c r="K522" s="8" t="s">
        <v>837</v>
      </c>
      <c r="M522" s="8" t="s">
        <v>1733</v>
      </c>
    </row>
    <row r="523" spans="11:13" x14ac:dyDescent="0.3">
      <c r="K523" s="8" t="s">
        <v>720</v>
      </c>
      <c r="M523" s="8" t="s">
        <v>2403</v>
      </c>
    </row>
    <row r="524" spans="11:13" x14ac:dyDescent="0.3">
      <c r="K524" s="8" t="s">
        <v>242</v>
      </c>
      <c r="M524" s="8" t="s">
        <v>21</v>
      </c>
    </row>
    <row r="525" spans="11:13" x14ac:dyDescent="0.3">
      <c r="K525" s="8" t="s">
        <v>2071</v>
      </c>
      <c r="M525" s="8" t="s">
        <v>718</v>
      </c>
    </row>
    <row r="526" spans="11:13" x14ac:dyDescent="0.3">
      <c r="K526" s="8" t="s">
        <v>218</v>
      </c>
      <c r="M526" s="8" t="s">
        <v>1951</v>
      </c>
    </row>
    <row r="527" spans="11:13" x14ac:dyDescent="0.3">
      <c r="K527" s="8" t="s">
        <v>2194</v>
      </c>
      <c r="M527" s="8" t="s">
        <v>330</v>
      </c>
    </row>
    <row r="528" spans="11:13" x14ac:dyDescent="0.3">
      <c r="K528" s="8" t="s">
        <v>310</v>
      </c>
      <c r="M528" s="8" t="s">
        <v>2240</v>
      </c>
    </row>
    <row r="529" spans="11:13" x14ac:dyDescent="0.3">
      <c r="K529" s="8" t="s">
        <v>2333</v>
      </c>
      <c r="M529" s="8" t="s">
        <v>2698</v>
      </c>
    </row>
    <row r="530" spans="11:13" x14ac:dyDescent="0.3">
      <c r="K530" s="8" t="s">
        <v>2299</v>
      </c>
      <c r="M530" s="8" t="s">
        <v>900</v>
      </c>
    </row>
    <row r="531" spans="11:13" x14ac:dyDescent="0.3">
      <c r="K531" s="8" t="s">
        <v>2158</v>
      </c>
      <c r="M531" s="8" t="s">
        <v>482</v>
      </c>
    </row>
    <row r="532" spans="11:13" x14ac:dyDescent="0.3">
      <c r="K532" s="8" t="s">
        <v>1377</v>
      </c>
      <c r="M532" s="8" t="s">
        <v>2036</v>
      </c>
    </row>
    <row r="533" spans="11:13" x14ac:dyDescent="0.3">
      <c r="K533" s="8" t="s">
        <v>437</v>
      </c>
      <c r="M533" s="8" t="s">
        <v>1981</v>
      </c>
    </row>
    <row r="534" spans="11:13" x14ac:dyDescent="0.3">
      <c r="K534" s="8" t="s">
        <v>1484</v>
      </c>
      <c r="M534" s="8" t="s">
        <v>1708</v>
      </c>
    </row>
    <row r="535" spans="11:13" x14ac:dyDescent="0.3">
      <c r="K535" s="8" t="s">
        <v>2216</v>
      </c>
      <c r="M535" s="8" t="s">
        <v>1960</v>
      </c>
    </row>
    <row r="536" spans="11:13" x14ac:dyDescent="0.3">
      <c r="K536" s="8" t="s">
        <v>1755</v>
      </c>
      <c r="M536" s="8" t="s">
        <v>2591</v>
      </c>
    </row>
    <row r="537" spans="11:13" x14ac:dyDescent="0.3">
      <c r="K537" s="8" t="s">
        <v>2308</v>
      </c>
      <c r="M537" s="8" t="s">
        <v>2126</v>
      </c>
    </row>
    <row r="538" spans="11:13" x14ac:dyDescent="0.3">
      <c r="K538" s="8" t="s">
        <v>920</v>
      </c>
      <c r="M538" s="8" t="s">
        <v>301</v>
      </c>
    </row>
    <row r="539" spans="11:13" x14ac:dyDescent="0.3">
      <c r="K539" s="8" t="s">
        <v>792</v>
      </c>
      <c r="M539" s="8" t="s">
        <v>725</v>
      </c>
    </row>
    <row r="540" spans="11:13" x14ac:dyDescent="0.3">
      <c r="K540" s="8" t="s">
        <v>1859</v>
      </c>
      <c r="M540" s="8" t="s">
        <v>533</v>
      </c>
    </row>
    <row r="541" spans="11:13" x14ac:dyDescent="0.3">
      <c r="K541" s="8" t="s">
        <v>2351</v>
      </c>
      <c r="M541" s="8" t="s">
        <v>820</v>
      </c>
    </row>
    <row r="542" spans="11:13" x14ac:dyDescent="0.3">
      <c r="K542" s="8" t="s">
        <v>1048</v>
      </c>
      <c r="M542" s="8" t="s">
        <v>997</v>
      </c>
    </row>
    <row r="543" spans="11:13" x14ac:dyDescent="0.3">
      <c r="K543" s="8" t="s">
        <v>2111</v>
      </c>
      <c r="M543" s="8" t="s">
        <v>692</v>
      </c>
    </row>
    <row r="544" spans="11:13" x14ac:dyDescent="0.3">
      <c r="K544" s="8" t="s">
        <v>2103</v>
      </c>
      <c r="M544" s="8" t="s">
        <v>1057</v>
      </c>
    </row>
    <row r="545" spans="11:13" x14ac:dyDescent="0.3">
      <c r="K545" s="8" t="s">
        <v>639</v>
      </c>
      <c r="M545" s="8" t="s">
        <v>2120</v>
      </c>
    </row>
    <row r="546" spans="11:13" x14ac:dyDescent="0.3">
      <c r="K546" s="8" t="s">
        <v>2003</v>
      </c>
      <c r="M546" s="8" t="s">
        <v>2135</v>
      </c>
    </row>
    <row r="547" spans="11:13" x14ac:dyDescent="0.3">
      <c r="K547" s="8" t="s">
        <v>118</v>
      </c>
      <c r="M547" s="8" t="s">
        <v>2114</v>
      </c>
    </row>
    <row r="548" spans="11:13" x14ac:dyDescent="0.3">
      <c r="K548" s="8" t="s">
        <v>1466</v>
      </c>
      <c r="M548" s="8" t="s">
        <v>1485</v>
      </c>
    </row>
    <row r="549" spans="11:13" x14ac:dyDescent="0.3">
      <c r="K549" s="8" t="s">
        <v>2023</v>
      </c>
      <c r="M549" s="8" t="s">
        <v>2448</v>
      </c>
    </row>
    <row r="550" spans="11:13" x14ac:dyDescent="0.3">
      <c r="K550" s="8" t="s">
        <v>1395</v>
      </c>
      <c r="M550" s="8" t="s">
        <v>1263</v>
      </c>
    </row>
    <row r="551" spans="11:13" x14ac:dyDescent="0.3">
      <c r="K551" s="8" t="s">
        <v>2867</v>
      </c>
      <c r="M551" s="8" t="s">
        <v>2839</v>
      </c>
    </row>
    <row r="552" spans="11:13" x14ac:dyDescent="0.3">
      <c r="K552" s="8" t="s">
        <v>1499</v>
      </c>
      <c r="M552" s="8" t="s">
        <v>984</v>
      </c>
    </row>
    <row r="553" spans="11:13" x14ac:dyDescent="0.3">
      <c r="K553" s="8" t="s">
        <v>1148</v>
      </c>
      <c r="M553" s="8" t="s">
        <v>2508</v>
      </c>
    </row>
    <row r="554" spans="11:13" x14ac:dyDescent="0.3">
      <c r="K554" s="8" t="s">
        <v>2219</v>
      </c>
      <c r="M554" s="8" t="s">
        <v>2607</v>
      </c>
    </row>
    <row r="555" spans="11:13" x14ac:dyDescent="0.3">
      <c r="K555" s="8" t="s">
        <v>1165</v>
      </c>
      <c r="M555" s="8" t="s">
        <v>1234</v>
      </c>
    </row>
    <row r="556" spans="11:13" x14ac:dyDescent="0.3">
      <c r="K556" s="8" t="s">
        <v>989</v>
      </c>
      <c r="M556" s="8" t="s">
        <v>2908</v>
      </c>
    </row>
    <row r="557" spans="11:13" x14ac:dyDescent="0.3">
      <c r="K557" s="8" t="s">
        <v>2140</v>
      </c>
      <c r="M557" s="8" t="s">
        <v>183</v>
      </c>
    </row>
    <row r="558" spans="11:13" x14ac:dyDescent="0.3">
      <c r="K558" s="8" t="s">
        <v>575</v>
      </c>
      <c r="M558" s="8" t="s">
        <v>1108</v>
      </c>
    </row>
    <row r="559" spans="11:13" x14ac:dyDescent="0.3">
      <c r="K559" s="8" t="s">
        <v>1251</v>
      </c>
      <c r="M559" s="8" t="s">
        <v>1661</v>
      </c>
    </row>
    <row r="560" spans="11:13" x14ac:dyDescent="0.3">
      <c r="K560" s="8" t="s">
        <v>1623</v>
      </c>
      <c r="M560" s="8" t="s">
        <v>376</v>
      </c>
    </row>
    <row r="561" spans="11:13" x14ac:dyDescent="0.3">
      <c r="K561" s="8" t="s">
        <v>2806</v>
      </c>
      <c r="M561" s="8" t="s">
        <v>2406</v>
      </c>
    </row>
    <row r="562" spans="11:13" x14ac:dyDescent="0.3">
      <c r="K562" s="8" t="s">
        <v>2838</v>
      </c>
      <c r="M562" s="8" t="s">
        <v>2556</v>
      </c>
    </row>
    <row r="563" spans="11:13" x14ac:dyDescent="0.3">
      <c r="K563" s="8" t="s">
        <v>452</v>
      </c>
      <c r="M563" s="8" t="s">
        <v>570</v>
      </c>
    </row>
    <row r="564" spans="11:13" x14ac:dyDescent="0.3">
      <c r="K564" s="8" t="s">
        <v>1428</v>
      </c>
      <c r="M564" s="8" t="s">
        <v>1209</v>
      </c>
    </row>
    <row r="565" spans="11:13" x14ac:dyDescent="0.3">
      <c r="K565" s="8" t="s">
        <v>1000</v>
      </c>
      <c r="M565" s="8" t="s">
        <v>2906</v>
      </c>
    </row>
    <row r="566" spans="11:13" x14ac:dyDescent="0.3">
      <c r="K566" s="8" t="s">
        <v>1327</v>
      </c>
      <c r="M566" s="8" t="s">
        <v>2214</v>
      </c>
    </row>
    <row r="567" spans="11:13" x14ac:dyDescent="0.3">
      <c r="K567" s="8" t="s">
        <v>2049</v>
      </c>
      <c r="M567" s="8" t="s">
        <v>1825</v>
      </c>
    </row>
    <row r="568" spans="11:13" x14ac:dyDescent="0.3">
      <c r="K568" s="8" t="s">
        <v>1905</v>
      </c>
      <c r="M568" s="8" t="s">
        <v>576</v>
      </c>
    </row>
    <row r="569" spans="11:13" x14ac:dyDescent="0.3">
      <c r="K569" s="8" t="s">
        <v>2082</v>
      </c>
      <c r="M569" s="8" t="s">
        <v>225</v>
      </c>
    </row>
    <row r="570" spans="11:13" x14ac:dyDescent="0.3">
      <c r="K570" s="8" t="s">
        <v>2417</v>
      </c>
      <c r="M570" s="8" t="s">
        <v>2083</v>
      </c>
    </row>
    <row r="571" spans="11:13" x14ac:dyDescent="0.3">
      <c r="K571" s="8" t="s">
        <v>1595</v>
      </c>
      <c r="M571" s="8" t="s">
        <v>1606</v>
      </c>
    </row>
    <row r="572" spans="11:13" x14ac:dyDescent="0.3">
      <c r="K572" s="8" t="s">
        <v>2118</v>
      </c>
      <c r="M572" s="8" t="s">
        <v>2450</v>
      </c>
    </row>
    <row r="573" spans="11:13" x14ac:dyDescent="0.3">
      <c r="K573" s="8" t="s">
        <v>882</v>
      </c>
      <c r="M573" s="8" t="s">
        <v>1299</v>
      </c>
    </row>
    <row r="574" spans="11:13" x14ac:dyDescent="0.3">
      <c r="K574" s="8" t="s">
        <v>830</v>
      </c>
      <c r="M574" s="8" t="s">
        <v>1961</v>
      </c>
    </row>
    <row r="575" spans="11:13" x14ac:dyDescent="0.3">
      <c r="K575" s="8" t="s">
        <v>1439</v>
      </c>
      <c r="M575" s="8" t="s">
        <v>649</v>
      </c>
    </row>
    <row r="576" spans="11:13" x14ac:dyDescent="0.3">
      <c r="K576" s="8" t="s">
        <v>1482</v>
      </c>
      <c r="M576" s="8" t="s">
        <v>2457</v>
      </c>
    </row>
    <row r="577" spans="11:13" x14ac:dyDescent="0.3">
      <c r="K577" s="8" t="s">
        <v>996</v>
      </c>
      <c r="M577" s="8" t="s">
        <v>61</v>
      </c>
    </row>
    <row r="578" spans="11:13" x14ac:dyDescent="0.3">
      <c r="K578" s="8" t="s">
        <v>1031</v>
      </c>
      <c r="M578" s="8" t="s">
        <v>745</v>
      </c>
    </row>
    <row r="579" spans="11:13" x14ac:dyDescent="0.3">
      <c r="K579" s="8" t="s">
        <v>945</v>
      </c>
      <c r="M579" s="8" t="s">
        <v>1597</v>
      </c>
    </row>
    <row r="580" spans="11:13" x14ac:dyDescent="0.3">
      <c r="K580" s="8" t="s">
        <v>2184</v>
      </c>
      <c r="M580" s="8" t="s">
        <v>724</v>
      </c>
    </row>
    <row r="581" spans="11:13" x14ac:dyDescent="0.3">
      <c r="K581" s="8" t="s">
        <v>136</v>
      </c>
      <c r="M581" s="8" t="s">
        <v>27</v>
      </c>
    </row>
    <row r="582" spans="11:13" x14ac:dyDescent="0.3">
      <c r="K582" s="8" t="s">
        <v>1461</v>
      </c>
      <c r="M582" s="8" t="s">
        <v>343</v>
      </c>
    </row>
    <row r="583" spans="11:13" x14ac:dyDescent="0.3">
      <c r="K583" s="8" t="s">
        <v>1660</v>
      </c>
      <c r="M583" s="8" t="s">
        <v>2830</v>
      </c>
    </row>
    <row r="584" spans="11:13" x14ac:dyDescent="0.3">
      <c r="K584" s="8" t="s">
        <v>69</v>
      </c>
      <c r="M584" s="8" t="s">
        <v>2108</v>
      </c>
    </row>
    <row r="585" spans="11:13" x14ac:dyDescent="0.3">
      <c r="K585" s="8" t="s">
        <v>223</v>
      </c>
      <c r="M585" s="8" t="s">
        <v>1311</v>
      </c>
    </row>
    <row r="586" spans="11:13" x14ac:dyDescent="0.3">
      <c r="K586" s="8" t="s">
        <v>2230</v>
      </c>
      <c r="M586" s="8" t="s">
        <v>805</v>
      </c>
    </row>
    <row r="587" spans="11:13" x14ac:dyDescent="0.3">
      <c r="K587" s="8" t="s">
        <v>1592</v>
      </c>
      <c r="M587" s="8" t="s">
        <v>1404</v>
      </c>
    </row>
    <row r="588" spans="11:13" x14ac:dyDescent="0.3">
      <c r="K588" s="8" t="s">
        <v>2771</v>
      </c>
      <c r="M588" s="8" t="s">
        <v>1584</v>
      </c>
    </row>
    <row r="589" spans="11:13" x14ac:dyDescent="0.3">
      <c r="K589" s="8" t="s">
        <v>2489</v>
      </c>
      <c r="M589" s="8" t="s">
        <v>2335</v>
      </c>
    </row>
    <row r="590" spans="11:13" x14ac:dyDescent="0.3">
      <c r="K590" s="8" t="s">
        <v>1337</v>
      </c>
      <c r="M590" s="8" t="s">
        <v>2660</v>
      </c>
    </row>
    <row r="591" spans="11:13" x14ac:dyDescent="0.3">
      <c r="K591" s="8" t="s">
        <v>2213</v>
      </c>
      <c r="M591" s="8" t="s">
        <v>127</v>
      </c>
    </row>
    <row r="592" spans="11:13" x14ac:dyDescent="0.3">
      <c r="K592" s="8" t="s">
        <v>1157</v>
      </c>
      <c r="M592" s="8" t="s">
        <v>1889</v>
      </c>
    </row>
    <row r="593" spans="11:13" x14ac:dyDescent="0.3">
      <c r="K593" s="8" t="s">
        <v>2164</v>
      </c>
      <c r="M593" s="8" t="s">
        <v>1058</v>
      </c>
    </row>
    <row r="594" spans="11:13" x14ac:dyDescent="0.3">
      <c r="K594" s="8" t="s">
        <v>1927</v>
      </c>
      <c r="M594" s="8" t="s">
        <v>256</v>
      </c>
    </row>
    <row r="595" spans="11:13" x14ac:dyDescent="0.3">
      <c r="K595" s="8" t="s">
        <v>199</v>
      </c>
      <c r="M595" s="8" t="s">
        <v>1507</v>
      </c>
    </row>
    <row r="596" spans="11:13" x14ac:dyDescent="0.3">
      <c r="K596" s="8" t="s">
        <v>2524</v>
      </c>
      <c r="M596" s="8" t="s">
        <v>430</v>
      </c>
    </row>
    <row r="597" spans="11:13" x14ac:dyDescent="0.3">
      <c r="K597" s="8" t="s">
        <v>1527</v>
      </c>
      <c r="M597" s="8" t="s">
        <v>2072</v>
      </c>
    </row>
    <row r="598" spans="11:13" x14ac:dyDescent="0.3">
      <c r="K598" s="8" t="s">
        <v>1144</v>
      </c>
      <c r="M598" s="8" t="s">
        <v>1713</v>
      </c>
    </row>
    <row r="599" spans="11:13" x14ac:dyDescent="0.3">
      <c r="K599" s="8" t="s">
        <v>1863</v>
      </c>
      <c r="M599" s="8" t="s">
        <v>1867</v>
      </c>
    </row>
    <row r="600" spans="11:13" x14ac:dyDescent="0.3">
      <c r="K600" s="8" t="s">
        <v>2463</v>
      </c>
      <c r="M600" s="8" t="s">
        <v>922</v>
      </c>
    </row>
    <row r="601" spans="11:13" x14ac:dyDescent="0.3">
      <c r="K601" s="8" t="s">
        <v>2064</v>
      </c>
      <c r="M601" s="8" t="s">
        <v>2749</v>
      </c>
    </row>
    <row r="602" spans="11:13" x14ac:dyDescent="0.3">
      <c r="K602" s="8" t="s">
        <v>1417</v>
      </c>
      <c r="M602" s="8" t="s">
        <v>1997</v>
      </c>
    </row>
    <row r="603" spans="11:13" x14ac:dyDescent="0.3">
      <c r="K603" s="8" t="s">
        <v>841</v>
      </c>
      <c r="M603" s="8" t="s">
        <v>892</v>
      </c>
    </row>
    <row r="604" spans="11:13" x14ac:dyDescent="0.3">
      <c r="K604" s="8" t="s">
        <v>904</v>
      </c>
      <c r="M604" s="8" t="s">
        <v>2442</v>
      </c>
    </row>
    <row r="605" spans="11:13" x14ac:dyDescent="0.3">
      <c r="K605" s="8" t="s">
        <v>2560</v>
      </c>
      <c r="M605" s="8" t="s">
        <v>1323</v>
      </c>
    </row>
    <row r="606" spans="11:13" x14ac:dyDescent="0.3">
      <c r="K606" s="8" t="s">
        <v>1570</v>
      </c>
      <c r="M606" s="8" t="s">
        <v>1933</v>
      </c>
    </row>
    <row r="607" spans="11:13" x14ac:dyDescent="0.3">
      <c r="K607" s="8" t="s">
        <v>1691</v>
      </c>
      <c r="M607" s="8" t="s">
        <v>410</v>
      </c>
    </row>
    <row r="608" spans="11:13" x14ac:dyDescent="0.3">
      <c r="K608" s="8" t="s">
        <v>974</v>
      </c>
      <c r="M608" s="8" t="s">
        <v>95</v>
      </c>
    </row>
    <row r="609" spans="11:13" x14ac:dyDescent="0.3">
      <c r="K609" s="8" t="s">
        <v>760</v>
      </c>
      <c r="M609" s="8" t="s">
        <v>1890</v>
      </c>
    </row>
    <row r="610" spans="11:13" x14ac:dyDescent="0.3">
      <c r="K610" s="8" t="s">
        <v>607</v>
      </c>
      <c r="M610" s="8" t="s">
        <v>1099</v>
      </c>
    </row>
    <row r="611" spans="11:13" x14ac:dyDescent="0.3">
      <c r="K611" s="8" t="s">
        <v>1120</v>
      </c>
      <c r="M611" s="8" t="s">
        <v>741</v>
      </c>
    </row>
    <row r="612" spans="11:13" x14ac:dyDescent="0.3">
      <c r="K612" s="8" t="s">
        <v>1382</v>
      </c>
      <c r="M612" s="8" t="s">
        <v>1130</v>
      </c>
    </row>
    <row r="613" spans="11:13" x14ac:dyDescent="0.3">
      <c r="K613" s="8" t="s">
        <v>2776</v>
      </c>
      <c r="M613" s="8" t="s">
        <v>770</v>
      </c>
    </row>
    <row r="614" spans="11:13" x14ac:dyDescent="0.3">
      <c r="K614" s="8" t="s">
        <v>527</v>
      </c>
      <c r="M614" s="8" t="s">
        <v>2688</v>
      </c>
    </row>
    <row r="615" spans="11:13" x14ac:dyDescent="0.3">
      <c r="K615" s="8" t="s">
        <v>2581</v>
      </c>
      <c r="M615" s="8" t="s">
        <v>1459</v>
      </c>
    </row>
    <row r="616" spans="11:13" x14ac:dyDescent="0.3">
      <c r="K616" s="8" t="s">
        <v>1133</v>
      </c>
      <c r="M616" s="8" t="s">
        <v>2437</v>
      </c>
    </row>
    <row r="617" spans="11:13" x14ac:dyDescent="0.3">
      <c r="K617" s="8" t="s">
        <v>1060</v>
      </c>
      <c r="M617" s="8" t="s">
        <v>1663</v>
      </c>
    </row>
    <row r="618" spans="11:13" x14ac:dyDescent="0.3">
      <c r="K618" s="8" t="s">
        <v>1350</v>
      </c>
      <c r="M618" s="8" t="s">
        <v>71</v>
      </c>
    </row>
    <row r="619" spans="11:13" x14ac:dyDescent="0.3">
      <c r="K619" s="8" t="s">
        <v>2727</v>
      </c>
      <c r="M619" s="8" t="s">
        <v>1931</v>
      </c>
    </row>
    <row r="620" spans="11:13" x14ac:dyDescent="0.3">
      <c r="K620" s="8" t="s">
        <v>934</v>
      </c>
      <c r="M620" s="8" t="s">
        <v>1612</v>
      </c>
    </row>
    <row r="621" spans="11:13" x14ac:dyDescent="0.3">
      <c r="K621" s="8" t="s">
        <v>285</v>
      </c>
      <c r="M621" s="8" t="s">
        <v>952</v>
      </c>
    </row>
    <row r="622" spans="11:13" x14ac:dyDescent="0.3">
      <c r="K622" s="8" t="s">
        <v>346</v>
      </c>
      <c r="M622" s="8" t="s">
        <v>112</v>
      </c>
    </row>
    <row r="623" spans="11:13" x14ac:dyDescent="0.3">
      <c r="K623" s="8" t="s">
        <v>84</v>
      </c>
      <c r="M623" s="8" t="s">
        <v>2369</v>
      </c>
    </row>
    <row r="624" spans="11:13" x14ac:dyDescent="0.3">
      <c r="K624" s="8" t="s">
        <v>845</v>
      </c>
      <c r="M624" s="8" t="s">
        <v>2405</v>
      </c>
    </row>
    <row r="625" spans="11:13" x14ac:dyDescent="0.3">
      <c r="K625" s="8" t="s">
        <v>1390</v>
      </c>
      <c r="M625" s="8" t="s">
        <v>2107</v>
      </c>
    </row>
    <row r="626" spans="11:13" x14ac:dyDescent="0.3">
      <c r="K626" s="8" t="s">
        <v>381</v>
      </c>
      <c r="M626" s="8" t="s">
        <v>1078</v>
      </c>
    </row>
    <row r="627" spans="11:13" x14ac:dyDescent="0.3">
      <c r="K627" s="8" t="s">
        <v>2633</v>
      </c>
      <c r="M627" s="8" t="s">
        <v>2075</v>
      </c>
    </row>
    <row r="628" spans="11:13" x14ac:dyDescent="0.3">
      <c r="K628" s="8" t="s">
        <v>2811</v>
      </c>
      <c r="M628" s="8" t="s">
        <v>101</v>
      </c>
    </row>
    <row r="629" spans="11:13" x14ac:dyDescent="0.3">
      <c r="K629" s="8" t="s">
        <v>87</v>
      </c>
      <c r="M629" s="8" t="s">
        <v>1941</v>
      </c>
    </row>
    <row r="630" spans="11:13" x14ac:dyDescent="0.3">
      <c r="K630" s="8" t="s">
        <v>2708</v>
      </c>
      <c r="M630" s="8" t="s">
        <v>1989</v>
      </c>
    </row>
    <row r="631" spans="11:13" x14ac:dyDescent="0.3">
      <c r="K631" s="8" t="s">
        <v>2367</v>
      </c>
      <c r="M631" s="8" t="s">
        <v>1577</v>
      </c>
    </row>
    <row r="632" spans="11:13" x14ac:dyDescent="0.3">
      <c r="K632" s="8" t="s">
        <v>2717</v>
      </c>
      <c r="M632" s="8" t="s">
        <v>2328</v>
      </c>
    </row>
    <row r="633" spans="11:13" x14ac:dyDescent="0.3">
      <c r="K633" s="8" t="s">
        <v>938</v>
      </c>
      <c r="M633" s="8" t="s">
        <v>462</v>
      </c>
    </row>
    <row r="634" spans="11:13" x14ac:dyDescent="0.3">
      <c r="K634" s="8" t="s">
        <v>2572</v>
      </c>
      <c r="M634" s="8" t="s">
        <v>1089</v>
      </c>
    </row>
    <row r="635" spans="11:13" x14ac:dyDescent="0.3">
      <c r="K635" s="8" t="s">
        <v>1894</v>
      </c>
      <c r="M635" s="8" t="s">
        <v>525</v>
      </c>
    </row>
    <row r="636" spans="11:13" x14ac:dyDescent="0.3">
      <c r="K636" s="8" t="s">
        <v>802</v>
      </c>
      <c r="M636" s="8" t="s">
        <v>2414</v>
      </c>
    </row>
    <row r="637" spans="11:13" x14ac:dyDescent="0.3">
      <c r="K637" s="8" t="s">
        <v>2377</v>
      </c>
      <c r="M637" s="8" t="s">
        <v>2182</v>
      </c>
    </row>
    <row r="638" spans="11:13" x14ac:dyDescent="0.3">
      <c r="K638" s="8" t="s">
        <v>1883</v>
      </c>
      <c r="M638" s="8" t="s">
        <v>2396</v>
      </c>
    </row>
    <row r="639" spans="11:13" x14ac:dyDescent="0.3">
      <c r="K639" s="8" t="s">
        <v>543</v>
      </c>
      <c r="M639" s="8" t="s">
        <v>2772</v>
      </c>
    </row>
    <row r="640" spans="11:13" x14ac:dyDescent="0.3">
      <c r="K640" s="8" t="s">
        <v>1762</v>
      </c>
      <c r="M640" s="8" t="s">
        <v>698</v>
      </c>
    </row>
    <row r="641" spans="11:13" x14ac:dyDescent="0.3">
      <c r="K641" s="8" t="s">
        <v>757</v>
      </c>
      <c r="M641" s="8" t="s">
        <v>2693</v>
      </c>
    </row>
    <row r="642" spans="11:13" x14ac:dyDescent="0.3">
      <c r="K642" s="8" t="s">
        <v>2006</v>
      </c>
      <c r="M642" s="8" t="s">
        <v>2354</v>
      </c>
    </row>
    <row r="643" spans="11:13" x14ac:dyDescent="0.3">
      <c r="K643" s="8" t="s">
        <v>1431</v>
      </c>
      <c r="M643" s="8" t="s">
        <v>557</v>
      </c>
    </row>
    <row r="644" spans="11:13" x14ac:dyDescent="0.3">
      <c r="K644" s="8" t="s">
        <v>711</v>
      </c>
      <c r="M644" s="8" t="s">
        <v>1008</v>
      </c>
    </row>
    <row r="645" spans="11:13" x14ac:dyDescent="0.3">
      <c r="K645" s="8" t="s">
        <v>1272</v>
      </c>
      <c r="M645" s="8" t="s">
        <v>340</v>
      </c>
    </row>
    <row r="646" spans="11:13" x14ac:dyDescent="0.3">
      <c r="K646" s="8" t="s">
        <v>1915</v>
      </c>
      <c r="M646" s="8" t="s">
        <v>165</v>
      </c>
    </row>
    <row r="647" spans="11:13" x14ac:dyDescent="0.3">
      <c r="K647" s="8" t="s">
        <v>2845</v>
      </c>
      <c r="M647" s="8" t="s">
        <v>1392</v>
      </c>
    </row>
    <row r="648" spans="11:13" x14ac:dyDescent="0.3">
      <c r="K648" s="8" t="s">
        <v>365</v>
      </c>
      <c r="M648" s="8" t="s">
        <v>265</v>
      </c>
    </row>
    <row r="649" spans="11:13" x14ac:dyDescent="0.3">
      <c r="K649" s="8" t="s">
        <v>1458</v>
      </c>
      <c r="M649" s="8" t="s">
        <v>1928</v>
      </c>
    </row>
    <row r="650" spans="11:13" x14ac:dyDescent="0.3">
      <c r="K650" s="8" t="s">
        <v>860</v>
      </c>
      <c r="M650" s="8" t="s">
        <v>2682</v>
      </c>
    </row>
    <row r="651" spans="11:13" x14ac:dyDescent="0.3">
      <c r="K651" s="8" t="s">
        <v>1010</v>
      </c>
      <c r="M651" s="8" t="s">
        <v>1149</v>
      </c>
    </row>
    <row r="652" spans="11:13" x14ac:dyDescent="0.3">
      <c r="K652" s="8" t="s">
        <v>1464</v>
      </c>
      <c r="M652" s="8" t="s">
        <v>1679</v>
      </c>
    </row>
    <row r="653" spans="11:13" x14ac:dyDescent="0.3">
      <c r="K653" s="8" t="s">
        <v>388</v>
      </c>
      <c r="M653" s="8" t="s">
        <v>2231</v>
      </c>
    </row>
    <row r="654" spans="11:13" x14ac:dyDescent="0.3">
      <c r="K654" s="8" t="s">
        <v>1072</v>
      </c>
      <c r="M654" s="8" t="s">
        <v>2887</v>
      </c>
    </row>
    <row r="655" spans="11:13" x14ac:dyDescent="0.3">
      <c r="K655" s="8" t="s">
        <v>1420</v>
      </c>
      <c r="M655" s="8" t="s">
        <v>2407</v>
      </c>
    </row>
    <row r="656" spans="11:13" x14ac:dyDescent="0.3">
      <c r="K656" s="8" t="s">
        <v>983</v>
      </c>
      <c r="M656" s="8" t="s">
        <v>1888</v>
      </c>
    </row>
    <row r="657" spans="11:13" x14ac:dyDescent="0.3">
      <c r="K657" s="8" t="s">
        <v>24</v>
      </c>
      <c r="M657" s="8" t="s">
        <v>2091</v>
      </c>
    </row>
    <row r="658" spans="11:13" x14ac:dyDescent="0.3">
      <c r="K658" s="8" t="s">
        <v>811</v>
      </c>
      <c r="M658" s="8" t="s">
        <v>1949</v>
      </c>
    </row>
    <row r="659" spans="11:13" x14ac:dyDescent="0.3">
      <c r="K659" s="8" t="s">
        <v>55</v>
      </c>
      <c r="M659" s="8" t="s">
        <v>1501</v>
      </c>
    </row>
    <row r="660" spans="11:13" x14ac:dyDescent="0.3">
      <c r="K660" s="8" t="s">
        <v>2747</v>
      </c>
      <c r="M660" s="8" t="s">
        <v>858</v>
      </c>
    </row>
    <row r="661" spans="11:13" x14ac:dyDescent="0.3">
      <c r="K661" s="8" t="s">
        <v>503</v>
      </c>
      <c r="M661" s="8" t="s">
        <v>483</v>
      </c>
    </row>
    <row r="662" spans="11:13" x14ac:dyDescent="0.3">
      <c r="K662" s="8" t="s">
        <v>2465</v>
      </c>
      <c r="M662" s="8" t="s">
        <v>2671</v>
      </c>
    </row>
    <row r="663" spans="11:13" x14ac:dyDescent="0.3">
      <c r="K663" s="8" t="s">
        <v>1301</v>
      </c>
      <c r="M663" s="8" t="s">
        <v>2113</v>
      </c>
    </row>
    <row r="664" spans="11:13" x14ac:dyDescent="0.3">
      <c r="K664" s="8" t="s">
        <v>2711</v>
      </c>
      <c r="M664" s="8" t="s">
        <v>2390</v>
      </c>
    </row>
    <row r="665" spans="11:13" x14ac:dyDescent="0.3">
      <c r="K665" s="8" t="s">
        <v>2752</v>
      </c>
      <c r="M665" s="8" t="s">
        <v>1593</v>
      </c>
    </row>
    <row r="666" spans="11:13" x14ac:dyDescent="0.3">
      <c r="K666" s="8" t="s">
        <v>1581</v>
      </c>
      <c r="M666" s="8" t="s">
        <v>280</v>
      </c>
    </row>
    <row r="667" spans="11:13" x14ac:dyDescent="0.3">
      <c r="K667" s="8" t="s">
        <v>848</v>
      </c>
      <c r="M667" s="8" t="s">
        <v>622</v>
      </c>
    </row>
    <row r="668" spans="11:13" x14ac:dyDescent="0.3">
      <c r="K668" s="8" t="s">
        <v>2319</v>
      </c>
      <c r="M668" s="8" t="s">
        <v>1753</v>
      </c>
    </row>
    <row r="669" spans="11:13" x14ac:dyDescent="0.3">
      <c r="K669" s="8" t="s">
        <v>890</v>
      </c>
      <c r="M669" s="8" t="s">
        <v>2018</v>
      </c>
    </row>
    <row r="670" spans="11:13" x14ac:dyDescent="0.3">
      <c r="K670" s="8" t="s">
        <v>868</v>
      </c>
      <c r="M670" s="8" t="s">
        <v>490</v>
      </c>
    </row>
    <row r="671" spans="11:13" x14ac:dyDescent="0.3">
      <c r="K671" s="8" t="s">
        <v>2636</v>
      </c>
      <c r="M671" s="8" t="s">
        <v>413</v>
      </c>
    </row>
    <row r="672" spans="11:13" x14ac:dyDescent="0.3">
      <c r="K672" s="8" t="s">
        <v>1637</v>
      </c>
      <c r="M672" s="8" t="s">
        <v>671</v>
      </c>
    </row>
    <row r="673" spans="11:13" x14ac:dyDescent="0.3">
      <c r="K673" s="8" t="s">
        <v>1370</v>
      </c>
      <c r="M673" s="8" t="s">
        <v>463</v>
      </c>
    </row>
    <row r="674" spans="11:13" x14ac:dyDescent="0.3">
      <c r="K674" s="8" t="s">
        <v>2596</v>
      </c>
      <c r="M674" s="8" t="s">
        <v>2873</v>
      </c>
    </row>
    <row r="675" spans="11:13" x14ac:dyDescent="0.3">
      <c r="K675" s="8" t="s">
        <v>514</v>
      </c>
      <c r="M675" s="8" t="s">
        <v>395</v>
      </c>
    </row>
    <row r="676" spans="11:13" x14ac:dyDescent="0.3">
      <c r="K676" s="8" t="s">
        <v>2192</v>
      </c>
      <c r="M676" s="8" t="s">
        <v>1423</v>
      </c>
    </row>
    <row r="677" spans="11:13" x14ac:dyDescent="0.3">
      <c r="K677" s="8" t="s">
        <v>486</v>
      </c>
      <c r="M677" s="8" t="s">
        <v>1925</v>
      </c>
    </row>
    <row r="678" spans="11:13" x14ac:dyDescent="0.3">
      <c r="K678" s="8" t="s">
        <v>2654</v>
      </c>
      <c r="M678" s="8" t="s">
        <v>2124</v>
      </c>
    </row>
    <row r="679" spans="11:13" x14ac:dyDescent="0.3">
      <c r="K679" s="8" t="s">
        <v>613</v>
      </c>
      <c r="M679" s="8" t="s">
        <v>427</v>
      </c>
    </row>
    <row r="680" spans="11:13" x14ac:dyDescent="0.3">
      <c r="K680" s="8" t="s">
        <v>1154</v>
      </c>
      <c r="M680" s="8" t="s">
        <v>1145</v>
      </c>
    </row>
    <row r="681" spans="11:13" x14ac:dyDescent="0.3">
      <c r="K681" s="8" t="s">
        <v>947</v>
      </c>
      <c r="M681" s="8" t="s">
        <v>1174</v>
      </c>
    </row>
    <row r="682" spans="11:13" x14ac:dyDescent="0.3">
      <c r="K682" s="8" t="s">
        <v>2610</v>
      </c>
      <c r="M682" s="8" t="s">
        <v>1253</v>
      </c>
    </row>
    <row r="683" spans="11:13" x14ac:dyDescent="0.3">
      <c r="K683" s="8" t="s">
        <v>2011</v>
      </c>
      <c r="M683" s="8" t="s">
        <v>1964</v>
      </c>
    </row>
    <row r="684" spans="11:13" x14ac:dyDescent="0.3">
      <c r="K684" s="8" t="s">
        <v>853</v>
      </c>
      <c r="M684" s="8" t="s">
        <v>2093</v>
      </c>
    </row>
    <row r="685" spans="11:13" x14ac:dyDescent="0.3">
      <c r="K685" s="8" t="s">
        <v>752</v>
      </c>
      <c r="M685" s="8" t="s">
        <v>628</v>
      </c>
    </row>
    <row r="686" spans="11:13" x14ac:dyDescent="0.3">
      <c r="K686" s="8" t="s">
        <v>1790</v>
      </c>
      <c r="M686" s="8" t="s">
        <v>350</v>
      </c>
    </row>
    <row r="687" spans="11:13" x14ac:dyDescent="0.3">
      <c r="K687" s="8" t="s">
        <v>1694</v>
      </c>
      <c r="M687" s="8" t="s">
        <v>2289</v>
      </c>
    </row>
    <row r="688" spans="11:13" x14ac:dyDescent="0.3">
      <c r="K688" s="8" t="s">
        <v>778</v>
      </c>
      <c r="M688" s="8" t="s">
        <v>1560</v>
      </c>
    </row>
    <row r="689" spans="11:13" x14ac:dyDescent="0.3">
      <c r="K689" s="8" t="s">
        <v>598</v>
      </c>
      <c r="M689" s="8" t="s">
        <v>957</v>
      </c>
    </row>
    <row r="690" spans="11:13" x14ac:dyDescent="0.3">
      <c r="K690" s="8" t="s">
        <v>3120</v>
      </c>
      <c r="M690" s="8" t="s">
        <v>1422</v>
      </c>
    </row>
    <row r="691" spans="11:13" x14ac:dyDescent="0.3">
      <c r="K691" s="8" t="s">
        <v>2922</v>
      </c>
      <c r="M691" s="8" t="s">
        <v>1729</v>
      </c>
    </row>
    <row r="692" spans="11:13" x14ac:dyDescent="0.3">
      <c r="M692" s="8" t="s">
        <v>2637</v>
      </c>
    </row>
    <row r="693" spans="11:13" x14ac:dyDescent="0.3">
      <c r="M693" s="8" t="s">
        <v>1036</v>
      </c>
    </row>
    <row r="694" spans="11:13" x14ac:dyDescent="0.3">
      <c r="M694" s="8" t="s">
        <v>324</v>
      </c>
    </row>
    <row r="695" spans="11:13" x14ac:dyDescent="0.3">
      <c r="M695" s="8" t="s">
        <v>298</v>
      </c>
    </row>
    <row r="696" spans="11:13" x14ac:dyDescent="0.3">
      <c r="M696" s="8" t="s">
        <v>2713</v>
      </c>
    </row>
    <row r="697" spans="11:13" x14ac:dyDescent="0.3">
      <c r="M697" s="8" t="s">
        <v>1184</v>
      </c>
    </row>
    <row r="698" spans="11:13" x14ac:dyDescent="0.3">
      <c r="M698" s="8" t="s">
        <v>2085</v>
      </c>
    </row>
    <row r="699" spans="11:13" x14ac:dyDescent="0.3">
      <c r="M699" s="8" t="s">
        <v>2311</v>
      </c>
    </row>
    <row r="700" spans="11:13" x14ac:dyDescent="0.3">
      <c r="M700" s="8" t="s">
        <v>2720</v>
      </c>
    </row>
    <row r="701" spans="11:13" x14ac:dyDescent="0.3">
      <c r="M701" s="8" t="s">
        <v>1711</v>
      </c>
    </row>
    <row r="702" spans="11:13" x14ac:dyDescent="0.3">
      <c r="M702" s="8" t="s">
        <v>2558</v>
      </c>
    </row>
    <row r="703" spans="11:13" x14ac:dyDescent="0.3">
      <c r="M703" s="8" t="s">
        <v>2443</v>
      </c>
    </row>
    <row r="704" spans="11:13" x14ac:dyDescent="0.3">
      <c r="M704" s="8" t="s">
        <v>2141</v>
      </c>
    </row>
    <row r="705" spans="13:13" x14ac:dyDescent="0.3">
      <c r="M705" s="8" t="s">
        <v>1278</v>
      </c>
    </row>
    <row r="706" spans="13:13" x14ac:dyDescent="0.3">
      <c r="M706" s="8" t="s">
        <v>515</v>
      </c>
    </row>
    <row r="707" spans="13:13" x14ac:dyDescent="0.3">
      <c r="M707" s="8" t="s">
        <v>458</v>
      </c>
    </row>
    <row r="708" spans="13:13" x14ac:dyDescent="0.3">
      <c r="M708" s="8" t="s">
        <v>1198</v>
      </c>
    </row>
    <row r="709" spans="13:13" x14ac:dyDescent="0.3">
      <c r="M709" s="8" t="s">
        <v>2104</v>
      </c>
    </row>
    <row r="710" spans="13:13" x14ac:dyDescent="0.3">
      <c r="M710" s="8" t="s">
        <v>2342</v>
      </c>
    </row>
    <row r="711" spans="13:13" x14ac:dyDescent="0.3">
      <c r="M711" s="8" t="s">
        <v>2557</v>
      </c>
    </row>
    <row r="712" spans="13:13" x14ac:dyDescent="0.3">
      <c r="M712" s="8" t="s">
        <v>926</v>
      </c>
    </row>
    <row r="713" spans="13:13" x14ac:dyDescent="0.3">
      <c r="M713" s="8" t="s">
        <v>2640</v>
      </c>
    </row>
    <row r="714" spans="13:13" x14ac:dyDescent="0.3">
      <c r="M714" s="8" t="s">
        <v>244</v>
      </c>
    </row>
    <row r="715" spans="13:13" x14ac:dyDescent="0.3">
      <c r="M715" s="8" t="s">
        <v>1391</v>
      </c>
    </row>
    <row r="716" spans="13:13" x14ac:dyDescent="0.3">
      <c r="M716" s="8" t="s">
        <v>2136</v>
      </c>
    </row>
    <row r="717" spans="13:13" x14ac:dyDescent="0.3">
      <c r="M717" s="8" t="s">
        <v>1511</v>
      </c>
    </row>
    <row r="718" spans="13:13" x14ac:dyDescent="0.3">
      <c r="M718" s="8" t="s">
        <v>2372</v>
      </c>
    </row>
    <row r="719" spans="13:13" x14ac:dyDescent="0.3">
      <c r="M719" s="8" t="s">
        <v>2388</v>
      </c>
    </row>
    <row r="720" spans="13:13" x14ac:dyDescent="0.3">
      <c r="M720" s="8" t="s">
        <v>2485</v>
      </c>
    </row>
    <row r="721" spans="13:13" x14ac:dyDescent="0.3">
      <c r="M721" s="8" t="s">
        <v>1574</v>
      </c>
    </row>
    <row r="722" spans="13:13" x14ac:dyDescent="0.3">
      <c r="M722" s="8" t="s">
        <v>1124</v>
      </c>
    </row>
    <row r="723" spans="13:13" x14ac:dyDescent="0.3">
      <c r="M723" s="8" t="s">
        <v>1607</v>
      </c>
    </row>
    <row r="724" spans="13:13" x14ac:dyDescent="0.3">
      <c r="M724" s="8" t="s">
        <v>987</v>
      </c>
    </row>
    <row r="725" spans="13:13" x14ac:dyDescent="0.3">
      <c r="M725" s="8" t="s">
        <v>400</v>
      </c>
    </row>
    <row r="726" spans="13:13" x14ac:dyDescent="0.3">
      <c r="M726" s="8" t="s">
        <v>629</v>
      </c>
    </row>
    <row r="727" spans="13:13" x14ac:dyDescent="0.3">
      <c r="M727" s="8" t="s">
        <v>2440</v>
      </c>
    </row>
    <row r="728" spans="13:13" x14ac:dyDescent="0.3">
      <c r="M728" s="8" t="s">
        <v>337</v>
      </c>
    </row>
    <row r="729" spans="13:13" x14ac:dyDescent="0.3">
      <c r="M729" s="8" t="s">
        <v>1936</v>
      </c>
    </row>
    <row r="730" spans="13:13" x14ac:dyDescent="0.3">
      <c r="M730" s="8" t="s">
        <v>2207</v>
      </c>
    </row>
    <row r="731" spans="13:13" x14ac:dyDescent="0.3">
      <c r="M731" s="8" t="s">
        <v>2292</v>
      </c>
    </row>
    <row r="732" spans="13:13" x14ac:dyDescent="0.3">
      <c r="M732" s="8" t="s">
        <v>1069</v>
      </c>
    </row>
    <row r="733" spans="13:13" x14ac:dyDescent="0.3">
      <c r="M733" s="8" t="s">
        <v>554</v>
      </c>
    </row>
    <row r="734" spans="13:13" x14ac:dyDescent="0.3">
      <c r="M734" s="8" t="s">
        <v>57</v>
      </c>
    </row>
    <row r="735" spans="13:13" x14ac:dyDescent="0.3">
      <c r="M735" s="8" t="s">
        <v>679</v>
      </c>
    </row>
    <row r="736" spans="13:13" x14ac:dyDescent="0.3">
      <c r="M736" s="8" t="s">
        <v>2242</v>
      </c>
    </row>
    <row r="737" spans="13:13" x14ac:dyDescent="0.3">
      <c r="M737" s="8" t="s">
        <v>1449</v>
      </c>
    </row>
    <row r="738" spans="13:13" x14ac:dyDescent="0.3">
      <c r="M738" s="8" t="s">
        <v>1824</v>
      </c>
    </row>
    <row r="739" spans="13:13" x14ac:dyDescent="0.3">
      <c r="M739" s="8" t="s">
        <v>1319</v>
      </c>
    </row>
    <row r="740" spans="13:13" x14ac:dyDescent="0.3">
      <c r="M740" s="8" t="s">
        <v>520</v>
      </c>
    </row>
    <row r="741" spans="13:13" x14ac:dyDescent="0.3">
      <c r="M741" s="8" t="s">
        <v>2069</v>
      </c>
    </row>
    <row r="742" spans="13:13" x14ac:dyDescent="0.3">
      <c r="M742" s="8" t="s">
        <v>2449</v>
      </c>
    </row>
    <row r="743" spans="13:13" x14ac:dyDescent="0.3">
      <c r="M743" s="8" t="s">
        <v>307</v>
      </c>
    </row>
    <row r="744" spans="13:13" x14ac:dyDescent="0.3">
      <c r="M744" s="8" t="s">
        <v>1268</v>
      </c>
    </row>
    <row r="745" spans="13:13" x14ac:dyDescent="0.3">
      <c r="M745" s="8" t="s">
        <v>624</v>
      </c>
    </row>
    <row r="746" spans="13:13" x14ac:dyDescent="0.3">
      <c r="M746" s="8" t="s">
        <v>2129</v>
      </c>
    </row>
    <row r="747" spans="13:13" x14ac:dyDescent="0.3">
      <c r="M747" s="8" t="s">
        <v>2363</v>
      </c>
    </row>
    <row r="748" spans="13:13" x14ac:dyDescent="0.3">
      <c r="M748" s="8" t="s">
        <v>2013</v>
      </c>
    </row>
    <row r="749" spans="13:13" x14ac:dyDescent="0.3">
      <c r="M749" s="8" t="s">
        <v>129</v>
      </c>
    </row>
    <row r="750" spans="13:13" x14ac:dyDescent="0.3">
      <c r="M750" s="8" t="s">
        <v>2410</v>
      </c>
    </row>
    <row r="751" spans="13:13" x14ac:dyDescent="0.3">
      <c r="M751" s="8" t="s">
        <v>479</v>
      </c>
    </row>
    <row r="752" spans="13:13" x14ac:dyDescent="0.3">
      <c r="M752" s="8" t="s">
        <v>1881</v>
      </c>
    </row>
    <row r="753" spans="13:13" x14ac:dyDescent="0.3">
      <c r="M753" s="8" t="s">
        <v>2504</v>
      </c>
    </row>
    <row r="754" spans="13:13" x14ac:dyDescent="0.3">
      <c r="M754" s="8" t="s">
        <v>1227</v>
      </c>
    </row>
    <row r="755" spans="13:13" x14ac:dyDescent="0.3">
      <c r="M755" s="8" t="s">
        <v>313</v>
      </c>
    </row>
    <row r="756" spans="13:13" x14ac:dyDescent="0.3">
      <c r="M756" s="8" t="s">
        <v>1700</v>
      </c>
    </row>
    <row r="757" spans="13:13" x14ac:dyDescent="0.3">
      <c r="M757" s="8" t="s">
        <v>156</v>
      </c>
    </row>
    <row r="758" spans="13:13" x14ac:dyDescent="0.3">
      <c r="M758" s="8" t="s">
        <v>753</v>
      </c>
    </row>
    <row r="759" spans="13:13" x14ac:dyDescent="0.3">
      <c r="M759" s="8" t="s">
        <v>1861</v>
      </c>
    </row>
    <row r="760" spans="13:13" x14ac:dyDescent="0.3">
      <c r="M760" s="8" t="s">
        <v>1246</v>
      </c>
    </row>
    <row r="761" spans="13:13" x14ac:dyDescent="0.3">
      <c r="M761" s="8" t="s">
        <v>2099</v>
      </c>
    </row>
    <row r="762" spans="13:13" x14ac:dyDescent="0.3">
      <c r="M762" s="8" t="s">
        <v>1491</v>
      </c>
    </row>
    <row r="763" spans="13:13" x14ac:dyDescent="0.3">
      <c r="M763" s="8" t="s">
        <v>755</v>
      </c>
    </row>
    <row r="764" spans="13:13" x14ac:dyDescent="0.3">
      <c r="M764" s="8" t="s">
        <v>2739</v>
      </c>
    </row>
    <row r="765" spans="13:13" x14ac:dyDescent="0.3">
      <c r="M765" s="8" t="s">
        <v>769</v>
      </c>
    </row>
    <row r="766" spans="13:13" x14ac:dyDescent="0.3">
      <c r="M766" s="8" t="s">
        <v>1134</v>
      </c>
    </row>
    <row r="767" spans="13:13" x14ac:dyDescent="0.3">
      <c r="M767" s="8" t="s">
        <v>1703</v>
      </c>
    </row>
    <row r="768" spans="13:13" x14ac:dyDescent="0.3">
      <c r="M768" s="8" t="s">
        <v>883</v>
      </c>
    </row>
    <row r="769" spans="13:13" x14ac:dyDescent="0.3">
      <c r="M769" s="8" t="s">
        <v>2824</v>
      </c>
    </row>
    <row r="770" spans="13:13" x14ac:dyDescent="0.3">
      <c r="M770" s="8" t="s">
        <v>551</v>
      </c>
    </row>
    <row r="771" spans="13:13" x14ac:dyDescent="0.3">
      <c r="M771" s="8" t="s">
        <v>1401</v>
      </c>
    </row>
    <row r="772" spans="13:13" x14ac:dyDescent="0.3">
      <c r="M772" s="8" t="s">
        <v>1771</v>
      </c>
    </row>
    <row r="773" spans="13:13" x14ac:dyDescent="0.3">
      <c r="M773" s="8" t="s">
        <v>2397</v>
      </c>
    </row>
    <row r="774" spans="13:13" x14ac:dyDescent="0.3">
      <c r="M774" s="8" t="s">
        <v>1965</v>
      </c>
    </row>
    <row r="775" spans="13:13" x14ac:dyDescent="0.3">
      <c r="M775" s="8" t="s">
        <v>1342</v>
      </c>
    </row>
    <row r="776" spans="13:13" x14ac:dyDescent="0.3">
      <c r="M776" s="8" t="s">
        <v>1566</v>
      </c>
    </row>
    <row r="777" spans="13:13" x14ac:dyDescent="0.3">
      <c r="M777" s="8" t="s">
        <v>264</v>
      </c>
    </row>
    <row r="778" spans="13:13" x14ac:dyDescent="0.3">
      <c r="M778" s="8" t="s">
        <v>2037</v>
      </c>
    </row>
    <row r="779" spans="13:13" x14ac:dyDescent="0.3">
      <c r="M779" s="8" t="s">
        <v>936</v>
      </c>
    </row>
    <row r="780" spans="13:13" x14ac:dyDescent="0.3">
      <c r="M780" s="8" t="s">
        <v>2309</v>
      </c>
    </row>
    <row r="781" spans="13:13" x14ac:dyDescent="0.3">
      <c r="M781" s="8" t="s">
        <v>2649</v>
      </c>
    </row>
    <row r="782" spans="13:13" x14ac:dyDescent="0.3">
      <c r="M782" s="8" t="s">
        <v>386</v>
      </c>
    </row>
    <row r="783" spans="13:13" x14ac:dyDescent="0.3">
      <c r="M783" s="8" t="s">
        <v>2327</v>
      </c>
    </row>
    <row r="784" spans="13:13" x14ac:dyDescent="0.3">
      <c r="M784" s="8" t="s">
        <v>608</v>
      </c>
    </row>
    <row r="785" spans="13:13" x14ac:dyDescent="0.3">
      <c r="M785" s="8" t="s">
        <v>347</v>
      </c>
    </row>
    <row r="786" spans="13:13" x14ac:dyDescent="0.3">
      <c r="M786" s="8" t="s">
        <v>329</v>
      </c>
    </row>
    <row r="787" spans="13:13" x14ac:dyDescent="0.3">
      <c r="M787" s="8" t="s">
        <v>737</v>
      </c>
    </row>
    <row r="788" spans="13:13" x14ac:dyDescent="0.3">
      <c r="M788" s="8" t="s">
        <v>201</v>
      </c>
    </row>
    <row r="789" spans="13:13" x14ac:dyDescent="0.3">
      <c r="M789" s="8" t="s">
        <v>2753</v>
      </c>
    </row>
    <row r="790" spans="13:13" x14ac:dyDescent="0.3">
      <c r="M790" s="8" t="s">
        <v>2236</v>
      </c>
    </row>
    <row r="791" spans="13:13" x14ac:dyDescent="0.3">
      <c r="M791" s="8" t="s">
        <v>359</v>
      </c>
    </row>
    <row r="792" spans="13:13" x14ac:dyDescent="0.3">
      <c r="M792" s="8" t="s">
        <v>1245</v>
      </c>
    </row>
    <row r="793" spans="13:13" x14ac:dyDescent="0.3">
      <c r="M793" s="8" t="s">
        <v>1415</v>
      </c>
    </row>
    <row r="794" spans="13:13" x14ac:dyDescent="0.3">
      <c r="M794" s="8" t="s">
        <v>1293</v>
      </c>
    </row>
    <row r="795" spans="13:13" x14ac:dyDescent="0.3">
      <c r="M795" s="8" t="s">
        <v>703</v>
      </c>
    </row>
    <row r="796" spans="13:13" x14ac:dyDescent="0.3">
      <c r="M796" s="8" t="s">
        <v>2773</v>
      </c>
    </row>
    <row r="797" spans="13:13" x14ac:dyDescent="0.3">
      <c r="M797" s="8" t="s">
        <v>927</v>
      </c>
    </row>
    <row r="798" spans="13:13" x14ac:dyDescent="0.3">
      <c r="M798" s="8" t="s">
        <v>2466</v>
      </c>
    </row>
    <row r="799" spans="13:13" x14ac:dyDescent="0.3">
      <c r="M799" s="8" t="s">
        <v>735</v>
      </c>
    </row>
    <row r="800" spans="13:13" x14ac:dyDescent="0.3">
      <c r="M800" s="8" t="s">
        <v>1088</v>
      </c>
    </row>
    <row r="801" spans="13:13" x14ac:dyDescent="0.3">
      <c r="M801" s="8" t="s">
        <v>817</v>
      </c>
    </row>
    <row r="802" spans="13:13" x14ac:dyDescent="0.3">
      <c r="M802" s="8" t="s">
        <v>2561</v>
      </c>
    </row>
    <row r="803" spans="13:13" x14ac:dyDescent="0.3">
      <c r="M803" s="8" t="s">
        <v>1497</v>
      </c>
    </row>
    <row r="804" spans="13:13" x14ac:dyDescent="0.3">
      <c r="M804" s="8" t="s">
        <v>292</v>
      </c>
    </row>
    <row r="805" spans="13:13" x14ac:dyDescent="0.3">
      <c r="M805" s="8" t="s">
        <v>2109</v>
      </c>
    </row>
    <row r="806" spans="13:13" x14ac:dyDescent="0.3">
      <c r="M806" s="8" t="s">
        <v>2614</v>
      </c>
    </row>
    <row r="807" spans="13:13" x14ac:dyDescent="0.3">
      <c r="M807" s="8" t="s">
        <v>1802</v>
      </c>
    </row>
    <row r="808" spans="13:13" x14ac:dyDescent="0.3">
      <c r="M808" s="8" t="s">
        <v>2815</v>
      </c>
    </row>
    <row r="809" spans="13:13" x14ac:dyDescent="0.3">
      <c r="M809" s="8" t="s">
        <v>2295</v>
      </c>
    </row>
    <row r="810" spans="13:13" x14ac:dyDescent="0.3">
      <c r="M810" s="8" t="s">
        <v>1585</v>
      </c>
    </row>
    <row r="811" spans="13:13" x14ac:dyDescent="0.3">
      <c r="M811" s="8" t="s">
        <v>1077</v>
      </c>
    </row>
    <row r="812" spans="13:13" x14ac:dyDescent="0.3">
      <c r="M812" s="8" t="s">
        <v>1286</v>
      </c>
    </row>
    <row r="813" spans="13:13" x14ac:dyDescent="0.3">
      <c r="M813" s="8" t="s">
        <v>1940</v>
      </c>
    </row>
    <row r="814" spans="13:13" x14ac:dyDescent="0.3">
      <c r="M814" s="8" t="s">
        <v>528</v>
      </c>
    </row>
    <row r="815" spans="13:13" x14ac:dyDescent="0.3">
      <c r="M815" s="8" t="s">
        <v>2477</v>
      </c>
    </row>
    <row r="816" spans="13:13" x14ac:dyDescent="0.3">
      <c r="M816" s="8" t="s">
        <v>1687</v>
      </c>
    </row>
    <row r="817" spans="13:13" x14ac:dyDescent="0.3">
      <c r="M817" s="8" t="s">
        <v>1429</v>
      </c>
    </row>
    <row r="818" spans="13:13" x14ac:dyDescent="0.3">
      <c r="M818" s="8" t="s">
        <v>1073</v>
      </c>
    </row>
    <row r="819" spans="13:13" x14ac:dyDescent="0.3">
      <c r="M819" s="8" t="s">
        <v>1875</v>
      </c>
    </row>
    <row r="820" spans="13:13" x14ac:dyDescent="0.3">
      <c r="M820" s="8" t="s">
        <v>76</v>
      </c>
    </row>
    <row r="821" spans="13:13" x14ac:dyDescent="0.3">
      <c r="M821" s="8" t="s">
        <v>1579</v>
      </c>
    </row>
    <row r="822" spans="13:13" x14ac:dyDescent="0.3">
      <c r="M822" s="8" t="s">
        <v>1828</v>
      </c>
    </row>
    <row r="823" spans="13:13" x14ac:dyDescent="0.3">
      <c r="M823" s="8" t="s">
        <v>1320</v>
      </c>
    </row>
    <row r="824" spans="13:13" x14ac:dyDescent="0.3">
      <c r="M824" s="8" t="s">
        <v>784</v>
      </c>
    </row>
    <row r="825" spans="13:13" x14ac:dyDescent="0.3">
      <c r="M825" s="8" t="s">
        <v>492</v>
      </c>
    </row>
    <row r="826" spans="13:13" x14ac:dyDescent="0.3">
      <c r="M826" s="8" t="s">
        <v>1670</v>
      </c>
    </row>
    <row r="827" spans="13:13" x14ac:dyDescent="0.3">
      <c r="M827" s="8" t="s">
        <v>1797</v>
      </c>
    </row>
    <row r="828" spans="13:13" x14ac:dyDescent="0.3">
      <c r="M828" s="8" t="s">
        <v>2718</v>
      </c>
    </row>
    <row r="829" spans="13:13" x14ac:dyDescent="0.3">
      <c r="M829" s="8" t="s">
        <v>2757</v>
      </c>
    </row>
    <row r="830" spans="13:13" x14ac:dyDescent="0.3">
      <c r="M830" s="8" t="s">
        <v>1877</v>
      </c>
    </row>
    <row r="831" spans="13:13" x14ac:dyDescent="0.3">
      <c r="M831" s="8" t="s">
        <v>956</v>
      </c>
    </row>
    <row r="832" spans="13:13" x14ac:dyDescent="0.3">
      <c r="M832" s="8" t="s">
        <v>2587</v>
      </c>
    </row>
    <row r="833" spans="13:13" x14ac:dyDescent="0.3">
      <c r="M833" s="8" t="s">
        <v>906</v>
      </c>
    </row>
    <row r="834" spans="13:13" x14ac:dyDescent="0.3">
      <c r="M834" s="8" t="s">
        <v>1677</v>
      </c>
    </row>
    <row r="835" spans="13:13" x14ac:dyDescent="0.3">
      <c r="M835" s="8" t="s">
        <v>2296</v>
      </c>
    </row>
    <row r="836" spans="13:13" x14ac:dyDescent="0.3">
      <c r="M836" s="8" t="s">
        <v>1364</v>
      </c>
    </row>
    <row r="837" spans="13:13" x14ac:dyDescent="0.3">
      <c r="M837" s="8" t="s">
        <v>2336</v>
      </c>
    </row>
    <row r="838" spans="13:13" x14ac:dyDescent="0.3">
      <c r="M838" s="8" t="s">
        <v>2516</v>
      </c>
    </row>
    <row r="839" spans="13:13" x14ac:dyDescent="0.3">
      <c r="M839" s="8" t="s">
        <v>221</v>
      </c>
    </row>
    <row r="840" spans="13:13" x14ac:dyDescent="0.3">
      <c r="M840" s="8" t="s">
        <v>1812</v>
      </c>
    </row>
    <row r="841" spans="13:13" x14ac:dyDescent="0.3">
      <c r="M841" s="8" t="s">
        <v>334</v>
      </c>
    </row>
    <row r="842" spans="13:13" x14ac:dyDescent="0.3">
      <c r="M842" s="8" t="s">
        <v>621</v>
      </c>
    </row>
    <row r="843" spans="13:13" x14ac:dyDescent="0.3">
      <c r="M843" s="8" t="s">
        <v>1365</v>
      </c>
    </row>
    <row r="844" spans="13:13" x14ac:dyDescent="0.3">
      <c r="M844" s="8" t="s">
        <v>721</v>
      </c>
    </row>
    <row r="845" spans="13:13" x14ac:dyDescent="0.3">
      <c r="M845" s="8" t="s">
        <v>1667</v>
      </c>
    </row>
    <row r="846" spans="13:13" x14ac:dyDescent="0.3">
      <c r="M846" s="8" t="s">
        <v>2217</v>
      </c>
    </row>
    <row r="847" spans="13:13" x14ac:dyDescent="0.3">
      <c r="M847" s="8" t="s">
        <v>1371</v>
      </c>
    </row>
    <row r="848" spans="13:13" x14ac:dyDescent="0.3">
      <c r="M848" s="8" t="s">
        <v>885</v>
      </c>
    </row>
    <row r="849" spans="13:13" x14ac:dyDescent="0.3">
      <c r="M849" s="8" t="s">
        <v>714</v>
      </c>
    </row>
    <row r="850" spans="13:13" x14ac:dyDescent="0.3">
      <c r="M850" s="8" t="s">
        <v>2024</v>
      </c>
    </row>
    <row r="851" spans="13:13" x14ac:dyDescent="0.3">
      <c r="M851" s="8" t="s">
        <v>2154</v>
      </c>
    </row>
    <row r="852" spans="13:13" x14ac:dyDescent="0.3">
      <c r="M852" s="8" t="s">
        <v>2087</v>
      </c>
    </row>
    <row r="853" spans="13:13" x14ac:dyDescent="0.3">
      <c r="M853" s="8" t="s">
        <v>1857</v>
      </c>
    </row>
    <row r="854" spans="13:13" x14ac:dyDescent="0.3">
      <c r="M854" s="8" t="s">
        <v>2345</v>
      </c>
    </row>
    <row r="855" spans="13:13" x14ac:dyDescent="0.3">
      <c r="M855" s="8" t="s">
        <v>2458</v>
      </c>
    </row>
    <row r="856" spans="13:13" x14ac:dyDescent="0.3">
      <c r="M856" s="8" t="s">
        <v>2009</v>
      </c>
    </row>
    <row r="857" spans="13:13" x14ac:dyDescent="0.3">
      <c r="M857" s="8" t="s">
        <v>2519</v>
      </c>
    </row>
    <row r="858" spans="13:13" x14ac:dyDescent="0.3">
      <c r="M858" s="8" t="s">
        <v>1256</v>
      </c>
    </row>
    <row r="859" spans="13:13" x14ac:dyDescent="0.3">
      <c r="M859" s="8" t="s">
        <v>2487</v>
      </c>
    </row>
    <row r="860" spans="13:13" x14ac:dyDescent="0.3">
      <c r="M860" s="8" t="s">
        <v>2098</v>
      </c>
    </row>
    <row r="861" spans="13:13" x14ac:dyDescent="0.3">
      <c r="M861" s="8" t="s">
        <v>1820</v>
      </c>
    </row>
    <row r="862" spans="13:13" x14ac:dyDescent="0.3">
      <c r="M862" s="8" t="s">
        <v>67</v>
      </c>
    </row>
    <row r="863" spans="13:13" x14ac:dyDescent="0.3">
      <c r="M863" s="8" t="s">
        <v>1798</v>
      </c>
    </row>
    <row r="864" spans="13:13" x14ac:dyDescent="0.3">
      <c r="M864" s="8" t="s">
        <v>2893</v>
      </c>
    </row>
    <row r="865" spans="13:13" x14ac:dyDescent="0.3">
      <c r="M865" s="8" t="s">
        <v>1866</v>
      </c>
    </row>
    <row r="866" spans="13:13" x14ac:dyDescent="0.3">
      <c r="M866" s="8" t="s">
        <v>1903</v>
      </c>
    </row>
    <row r="867" spans="13:13" x14ac:dyDescent="0.3">
      <c r="M867" s="8" t="s">
        <v>455</v>
      </c>
    </row>
    <row r="868" spans="13:13" x14ac:dyDescent="0.3">
      <c r="M868" s="8" t="s">
        <v>2608</v>
      </c>
    </row>
    <row r="869" spans="13:13" x14ac:dyDescent="0.3">
      <c r="M869" s="8" t="s">
        <v>1630</v>
      </c>
    </row>
    <row r="870" spans="13:13" x14ac:dyDescent="0.3">
      <c r="M870" s="8" t="s">
        <v>822</v>
      </c>
    </row>
    <row r="871" spans="13:13" x14ac:dyDescent="0.3">
      <c r="M871" s="8" t="s">
        <v>2687</v>
      </c>
    </row>
    <row r="872" spans="13:13" x14ac:dyDescent="0.3">
      <c r="M872" s="8" t="s">
        <v>1121</v>
      </c>
    </row>
    <row r="873" spans="13:13" x14ac:dyDescent="0.3">
      <c r="M873" s="8" t="s">
        <v>2273</v>
      </c>
    </row>
    <row r="874" spans="13:13" x14ac:dyDescent="0.3">
      <c r="M874" s="8" t="s">
        <v>981</v>
      </c>
    </row>
    <row r="875" spans="13:13" x14ac:dyDescent="0.3">
      <c r="M875" s="8" t="s">
        <v>884</v>
      </c>
    </row>
    <row r="876" spans="13:13" x14ac:dyDescent="0.3">
      <c r="M876" s="8" t="s">
        <v>1233</v>
      </c>
    </row>
    <row r="877" spans="13:13" x14ac:dyDescent="0.3">
      <c r="M877" s="8" t="s">
        <v>495</v>
      </c>
    </row>
    <row r="878" spans="13:13" x14ac:dyDescent="0.3">
      <c r="M878" s="8" t="s">
        <v>1496</v>
      </c>
    </row>
    <row r="879" spans="13:13" x14ac:dyDescent="0.3">
      <c r="M879" s="8" t="s">
        <v>1774</v>
      </c>
    </row>
    <row r="880" spans="13:13" x14ac:dyDescent="0.3">
      <c r="M880" s="8" t="s">
        <v>2848</v>
      </c>
    </row>
    <row r="881" spans="13:13" x14ac:dyDescent="0.3">
      <c r="M881" s="8" t="s">
        <v>2012</v>
      </c>
    </row>
    <row r="882" spans="13:13" x14ac:dyDescent="0.3">
      <c r="M882" s="8" t="s">
        <v>231</v>
      </c>
    </row>
    <row r="883" spans="13:13" x14ac:dyDescent="0.3">
      <c r="M883" s="8" t="s">
        <v>1514</v>
      </c>
    </row>
    <row r="884" spans="13:13" x14ac:dyDescent="0.3">
      <c r="M884" s="8" t="s">
        <v>1778</v>
      </c>
    </row>
    <row r="885" spans="13:13" x14ac:dyDescent="0.3">
      <c r="M885" s="8" t="s">
        <v>62</v>
      </c>
    </row>
    <row r="886" spans="13:13" x14ac:dyDescent="0.3">
      <c r="M886" s="8" t="s">
        <v>91</v>
      </c>
    </row>
    <row r="887" spans="13:13" x14ac:dyDescent="0.3">
      <c r="M887" s="8" t="s">
        <v>2783</v>
      </c>
    </row>
    <row r="888" spans="13:13" x14ac:dyDescent="0.3">
      <c r="M888" s="8" t="s">
        <v>1821</v>
      </c>
    </row>
    <row r="889" spans="13:13" x14ac:dyDescent="0.3">
      <c r="M889" s="8" t="s">
        <v>976</v>
      </c>
    </row>
    <row r="890" spans="13:13" x14ac:dyDescent="0.3">
      <c r="M890" s="8" t="s">
        <v>1582</v>
      </c>
    </row>
    <row r="891" spans="13:13" x14ac:dyDescent="0.3">
      <c r="M891" s="8" t="s">
        <v>2413</v>
      </c>
    </row>
    <row r="892" spans="13:13" x14ac:dyDescent="0.3">
      <c r="M892" s="8" t="s">
        <v>474</v>
      </c>
    </row>
    <row r="893" spans="13:13" x14ac:dyDescent="0.3">
      <c r="M893" s="8" t="s">
        <v>1692</v>
      </c>
    </row>
    <row r="894" spans="13:13" x14ac:dyDescent="0.3">
      <c r="M894" s="8" t="s">
        <v>2497</v>
      </c>
    </row>
    <row r="895" spans="13:13" x14ac:dyDescent="0.3">
      <c r="M895" s="8" t="s">
        <v>1922</v>
      </c>
    </row>
    <row r="896" spans="13:13" x14ac:dyDescent="0.3">
      <c r="M896" s="8" t="s">
        <v>355</v>
      </c>
    </row>
    <row r="897" spans="13:13" x14ac:dyDescent="0.3">
      <c r="M897" s="8" t="s">
        <v>2521</v>
      </c>
    </row>
    <row r="898" spans="13:13" x14ac:dyDescent="0.3">
      <c r="M898" s="8" t="s">
        <v>1467</v>
      </c>
    </row>
    <row r="899" spans="13:13" x14ac:dyDescent="0.3">
      <c r="M899" s="8" t="s">
        <v>287</v>
      </c>
    </row>
    <row r="900" spans="13:13" x14ac:dyDescent="0.3">
      <c r="M900" s="8" t="s">
        <v>896</v>
      </c>
    </row>
    <row r="901" spans="13:13" x14ac:dyDescent="0.3">
      <c r="M901" s="8" t="s">
        <v>2733</v>
      </c>
    </row>
    <row r="902" spans="13:13" x14ac:dyDescent="0.3">
      <c r="M902" s="8" t="s">
        <v>1599</v>
      </c>
    </row>
    <row r="903" spans="13:13" x14ac:dyDescent="0.3">
      <c r="M903" s="8" t="s">
        <v>1440</v>
      </c>
    </row>
    <row r="904" spans="13:13" x14ac:dyDescent="0.3">
      <c r="M904" s="8" t="s">
        <v>828</v>
      </c>
    </row>
    <row r="905" spans="13:13" x14ac:dyDescent="0.3">
      <c r="M905" s="8" t="s">
        <v>2379</v>
      </c>
    </row>
    <row r="906" spans="13:13" x14ac:dyDescent="0.3">
      <c r="M906" s="8" t="s">
        <v>2483</v>
      </c>
    </row>
    <row r="907" spans="13:13" x14ac:dyDescent="0.3">
      <c r="M907" s="8" t="s">
        <v>1206</v>
      </c>
    </row>
    <row r="908" spans="13:13" x14ac:dyDescent="0.3">
      <c r="M908" s="8" t="s">
        <v>1270</v>
      </c>
    </row>
    <row r="909" spans="13:13" x14ac:dyDescent="0.3">
      <c r="M909" s="8" t="s">
        <v>472</v>
      </c>
    </row>
    <row r="910" spans="13:13" x14ac:dyDescent="0.3">
      <c r="M910" s="8" t="s">
        <v>1625</v>
      </c>
    </row>
    <row r="911" spans="13:13" x14ac:dyDescent="0.3">
      <c r="M911" s="8" t="s">
        <v>321</v>
      </c>
    </row>
    <row r="912" spans="13:13" x14ac:dyDescent="0.3">
      <c r="M912" s="8" t="s">
        <v>2378</v>
      </c>
    </row>
    <row r="913" spans="13:13" x14ac:dyDescent="0.3">
      <c r="M913" s="8" t="s">
        <v>1974</v>
      </c>
    </row>
    <row r="914" spans="13:13" x14ac:dyDescent="0.3">
      <c r="M914" s="8" t="s">
        <v>163</v>
      </c>
    </row>
    <row r="915" spans="13:13" x14ac:dyDescent="0.3">
      <c r="M915" s="8" t="s">
        <v>2540</v>
      </c>
    </row>
    <row r="916" spans="13:13" x14ac:dyDescent="0.3">
      <c r="M916" s="8" t="s">
        <v>1070</v>
      </c>
    </row>
    <row r="917" spans="13:13" x14ac:dyDescent="0.3">
      <c r="M917" s="8" t="s">
        <v>1155</v>
      </c>
    </row>
    <row r="918" spans="13:13" x14ac:dyDescent="0.3">
      <c r="M918" s="8" t="s">
        <v>1347</v>
      </c>
    </row>
    <row r="919" spans="13:13" x14ac:dyDescent="0.3">
      <c r="M919" s="8" t="s">
        <v>2428</v>
      </c>
    </row>
    <row r="920" spans="13:13" x14ac:dyDescent="0.3">
      <c r="M920" s="8" t="s">
        <v>655</v>
      </c>
    </row>
    <row r="921" spans="13:13" x14ac:dyDescent="0.3">
      <c r="M921" s="8" t="s">
        <v>2606</v>
      </c>
    </row>
    <row r="922" spans="13:13" x14ac:dyDescent="0.3">
      <c r="M922" s="8" t="s">
        <v>1318</v>
      </c>
    </row>
    <row r="923" spans="13:13" x14ac:dyDescent="0.3">
      <c r="M923" s="8" t="s">
        <v>2577</v>
      </c>
    </row>
    <row r="924" spans="13:13" x14ac:dyDescent="0.3">
      <c r="M924" s="8" t="s">
        <v>1639</v>
      </c>
    </row>
    <row r="925" spans="13:13" x14ac:dyDescent="0.3">
      <c r="M925" s="8" t="s">
        <v>464</v>
      </c>
    </row>
    <row r="926" spans="13:13" x14ac:dyDescent="0.3">
      <c r="M926" s="8" t="s">
        <v>1837</v>
      </c>
    </row>
    <row r="927" spans="13:13" x14ac:dyDescent="0.3">
      <c r="M927" s="8" t="s">
        <v>1322</v>
      </c>
    </row>
    <row r="928" spans="13:13" x14ac:dyDescent="0.3">
      <c r="M928" s="8" t="s">
        <v>354</v>
      </c>
    </row>
    <row r="929" spans="13:13" x14ac:dyDescent="0.3">
      <c r="M929" s="8" t="s">
        <v>1553</v>
      </c>
    </row>
    <row r="930" spans="13:13" x14ac:dyDescent="0.3">
      <c r="M930" s="8" t="s">
        <v>473</v>
      </c>
    </row>
    <row r="931" spans="13:13" x14ac:dyDescent="0.3">
      <c r="M931" s="8" t="s">
        <v>823</v>
      </c>
    </row>
    <row r="932" spans="13:13" x14ac:dyDescent="0.3">
      <c r="M932" s="8" t="s">
        <v>1796</v>
      </c>
    </row>
    <row r="933" spans="13:13" x14ac:dyDescent="0.3">
      <c r="M933" s="8" t="s">
        <v>2902</v>
      </c>
    </row>
    <row r="934" spans="13:13" x14ac:dyDescent="0.3">
      <c r="M934" s="8" t="s">
        <v>2652</v>
      </c>
    </row>
    <row r="935" spans="13:13" x14ac:dyDescent="0.3">
      <c r="M935" s="8" t="s">
        <v>517</v>
      </c>
    </row>
    <row r="936" spans="13:13" x14ac:dyDescent="0.3">
      <c r="M936" s="8" t="s">
        <v>2754</v>
      </c>
    </row>
    <row r="937" spans="13:13" x14ac:dyDescent="0.3">
      <c r="M937" s="8" t="s">
        <v>102</v>
      </c>
    </row>
    <row r="938" spans="13:13" x14ac:dyDescent="0.3">
      <c r="M938" s="8" t="s">
        <v>1085</v>
      </c>
    </row>
    <row r="939" spans="13:13" x14ac:dyDescent="0.3">
      <c r="M939" s="8" t="s">
        <v>1712</v>
      </c>
    </row>
    <row r="940" spans="13:13" x14ac:dyDescent="0.3">
      <c r="M940" s="8" t="s">
        <v>461</v>
      </c>
    </row>
    <row r="941" spans="13:13" x14ac:dyDescent="0.3">
      <c r="M941" s="8" t="s">
        <v>2903</v>
      </c>
    </row>
    <row r="942" spans="13:13" x14ac:dyDescent="0.3">
      <c r="M942" s="8" t="s">
        <v>1474</v>
      </c>
    </row>
    <row r="943" spans="13:13" x14ac:dyDescent="0.3">
      <c r="M943" s="8" t="s">
        <v>2343</v>
      </c>
    </row>
    <row r="944" spans="13:13" x14ac:dyDescent="0.3">
      <c r="M944" s="8" t="s">
        <v>2479</v>
      </c>
    </row>
    <row r="945" spans="13:13" x14ac:dyDescent="0.3">
      <c r="M945" s="8" t="s">
        <v>688</v>
      </c>
    </row>
    <row r="946" spans="13:13" x14ac:dyDescent="0.3">
      <c r="M946" s="8" t="s">
        <v>599</v>
      </c>
    </row>
    <row r="947" spans="13:13" x14ac:dyDescent="0.3">
      <c r="M947" s="8" t="s">
        <v>861</v>
      </c>
    </row>
    <row r="948" spans="13:13" x14ac:dyDescent="0.3">
      <c r="M948" s="8" t="s">
        <v>2714</v>
      </c>
    </row>
    <row r="949" spans="13:13" x14ac:dyDescent="0.3">
      <c r="M949" s="8" t="s">
        <v>1297</v>
      </c>
    </row>
    <row r="950" spans="13:13" x14ac:dyDescent="0.3">
      <c r="M950" s="8" t="s">
        <v>1470</v>
      </c>
    </row>
    <row r="951" spans="13:13" x14ac:dyDescent="0.3">
      <c r="M951" s="8" t="s">
        <v>272</v>
      </c>
    </row>
    <row r="952" spans="13:13" x14ac:dyDescent="0.3">
      <c r="M952" s="8" t="s">
        <v>457</v>
      </c>
    </row>
    <row r="953" spans="13:13" x14ac:dyDescent="0.3">
      <c r="M953" s="8" t="s">
        <v>154</v>
      </c>
    </row>
    <row r="954" spans="13:13" x14ac:dyDescent="0.3">
      <c r="M954" s="8" t="s">
        <v>2592</v>
      </c>
    </row>
    <row r="955" spans="13:13" x14ac:dyDescent="0.3">
      <c r="M955" s="8" t="s">
        <v>248</v>
      </c>
    </row>
    <row r="956" spans="13:13" x14ac:dyDescent="0.3">
      <c r="M956" s="8" t="s">
        <v>109</v>
      </c>
    </row>
    <row r="957" spans="13:13" x14ac:dyDescent="0.3">
      <c r="M957" s="8" t="s">
        <v>2153</v>
      </c>
    </row>
    <row r="958" spans="13:13" x14ac:dyDescent="0.3">
      <c r="M958" s="8" t="s">
        <v>2613</v>
      </c>
    </row>
    <row r="959" spans="13:13" x14ac:dyDescent="0.3">
      <c r="M959" s="8" t="s">
        <v>2674</v>
      </c>
    </row>
    <row r="960" spans="13:13" x14ac:dyDescent="0.3">
      <c r="M960" s="8" t="s">
        <v>2031</v>
      </c>
    </row>
    <row r="961" spans="13:13" x14ac:dyDescent="0.3">
      <c r="M961" s="8" t="s">
        <v>685</v>
      </c>
    </row>
    <row r="962" spans="13:13" x14ac:dyDescent="0.3">
      <c r="M962" s="8" t="s">
        <v>571</v>
      </c>
    </row>
    <row r="963" spans="13:13" x14ac:dyDescent="0.3">
      <c r="M963" s="8" t="s">
        <v>1635</v>
      </c>
    </row>
    <row r="964" spans="13:13" x14ac:dyDescent="0.3">
      <c r="M964" s="8" t="s">
        <v>940</v>
      </c>
    </row>
    <row r="965" spans="13:13" x14ac:dyDescent="0.3">
      <c r="M965" s="8" t="s">
        <v>1410</v>
      </c>
    </row>
    <row r="966" spans="13:13" x14ac:dyDescent="0.3">
      <c r="M966" s="8" t="s">
        <v>2247</v>
      </c>
    </row>
    <row r="967" spans="13:13" x14ac:dyDescent="0.3">
      <c r="M967" s="8" t="s">
        <v>1843</v>
      </c>
    </row>
    <row r="968" spans="13:13" x14ac:dyDescent="0.3">
      <c r="M968" s="8" t="s">
        <v>450</v>
      </c>
    </row>
    <row r="969" spans="13:13" x14ac:dyDescent="0.3">
      <c r="M969" s="8" t="s">
        <v>1626</v>
      </c>
    </row>
    <row r="970" spans="13:13" x14ac:dyDescent="0.3">
      <c r="M970" s="8" t="s">
        <v>1490</v>
      </c>
    </row>
    <row r="971" spans="13:13" x14ac:dyDescent="0.3">
      <c r="M971" s="8" t="s">
        <v>1891</v>
      </c>
    </row>
    <row r="972" spans="13:13" x14ac:dyDescent="0.3">
      <c r="M972" s="8" t="s">
        <v>2628</v>
      </c>
    </row>
    <row r="973" spans="13:13" x14ac:dyDescent="0.3">
      <c r="M973" s="8" t="s">
        <v>31</v>
      </c>
    </row>
    <row r="974" spans="13:13" x14ac:dyDescent="0.3">
      <c r="M974" s="8" t="s">
        <v>2243</v>
      </c>
    </row>
    <row r="975" spans="13:13" x14ac:dyDescent="0.3">
      <c r="M975" s="8" t="s">
        <v>2469</v>
      </c>
    </row>
    <row r="976" spans="13:13" x14ac:dyDescent="0.3">
      <c r="M976" s="8" t="s">
        <v>14</v>
      </c>
    </row>
    <row r="977" spans="13:13" x14ac:dyDescent="0.3">
      <c r="M977" s="8" t="s">
        <v>180</v>
      </c>
    </row>
    <row r="978" spans="13:13" x14ac:dyDescent="0.3">
      <c r="M978" s="8" t="s">
        <v>1354</v>
      </c>
    </row>
    <row r="979" spans="13:13" x14ac:dyDescent="0.3">
      <c r="M979" s="8" t="s">
        <v>2798</v>
      </c>
    </row>
    <row r="980" spans="13:13" x14ac:dyDescent="0.3">
      <c r="M980" s="8" t="s">
        <v>961</v>
      </c>
    </row>
    <row r="981" spans="13:13" x14ac:dyDescent="0.3">
      <c r="M981" s="8" t="s">
        <v>1032</v>
      </c>
    </row>
    <row r="982" spans="13:13" x14ac:dyDescent="0.3">
      <c r="M982" s="8" t="s">
        <v>1445</v>
      </c>
    </row>
    <row r="983" spans="13:13" x14ac:dyDescent="0.3">
      <c r="M983" s="8" t="s">
        <v>2320</v>
      </c>
    </row>
    <row r="984" spans="13:13" x14ac:dyDescent="0.3">
      <c r="M984" s="8" t="s">
        <v>2823</v>
      </c>
    </row>
    <row r="985" spans="13:13" x14ac:dyDescent="0.3">
      <c r="M985" s="8" t="s">
        <v>441</v>
      </c>
    </row>
    <row r="986" spans="13:13" x14ac:dyDescent="0.3">
      <c r="M986" s="8" t="s">
        <v>143</v>
      </c>
    </row>
    <row r="987" spans="13:13" x14ac:dyDescent="0.3">
      <c r="M987" s="8" t="s">
        <v>2871</v>
      </c>
    </row>
    <row r="988" spans="13:13" x14ac:dyDescent="0.3">
      <c r="M988" s="8" t="s">
        <v>1061</v>
      </c>
    </row>
    <row r="989" spans="13:13" x14ac:dyDescent="0.3">
      <c r="M989" s="8" t="s">
        <v>111</v>
      </c>
    </row>
    <row r="990" spans="13:13" x14ac:dyDescent="0.3">
      <c r="M990" s="8" t="s">
        <v>2293</v>
      </c>
    </row>
    <row r="991" spans="13:13" x14ac:dyDescent="0.3">
      <c r="M991" s="8" t="s">
        <v>2171</v>
      </c>
    </row>
    <row r="992" spans="13:13" x14ac:dyDescent="0.3">
      <c r="M992" s="8" t="s">
        <v>2722</v>
      </c>
    </row>
    <row r="993" spans="13:13" x14ac:dyDescent="0.3">
      <c r="M993" s="8" t="s">
        <v>375</v>
      </c>
    </row>
    <row r="994" spans="13:13" x14ac:dyDescent="0.3">
      <c r="M994" s="8" t="s">
        <v>1393</v>
      </c>
    </row>
    <row r="995" spans="13:13" x14ac:dyDescent="0.3">
      <c r="M995" s="8" t="s">
        <v>1662</v>
      </c>
    </row>
    <row r="996" spans="13:13" x14ac:dyDescent="0.3">
      <c r="M996" s="8" t="s">
        <v>2745</v>
      </c>
    </row>
    <row r="997" spans="13:13" x14ac:dyDescent="0.3">
      <c r="M997" s="8" t="s">
        <v>864</v>
      </c>
    </row>
    <row r="998" spans="13:13" x14ac:dyDescent="0.3">
      <c r="M998" s="8" t="s">
        <v>640</v>
      </c>
    </row>
    <row r="999" spans="13:13" x14ac:dyDescent="0.3">
      <c r="M999" s="8" t="s">
        <v>2324</v>
      </c>
    </row>
    <row r="1000" spans="13:13" x14ac:dyDescent="0.3">
      <c r="M1000" s="8" t="s">
        <v>2313</v>
      </c>
    </row>
    <row r="1001" spans="13:13" x14ac:dyDescent="0.3">
      <c r="M1001" s="8" t="s">
        <v>1450</v>
      </c>
    </row>
    <row r="1002" spans="13:13" x14ac:dyDescent="0.3">
      <c r="M1002" s="8" t="s">
        <v>2656</v>
      </c>
    </row>
    <row r="1003" spans="13:13" x14ac:dyDescent="0.3">
      <c r="M1003" s="8" t="s">
        <v>1921</v>
      </c>
    </row>
    <row r="1004" spans="13:13" x14ac:dyDescent="0.3">
      <c r="M1004" s="8" t="s">
        <v>148</v>
      </c>
    </row>
    <row r="1005" spans="13:13" x14ac:dyDescent="0.3">
      <c r="M1005" s="8" t="s">
        <v>1655</v>
      </c>
    </row>
    <row r="1006" spans="13:13" x14ac:dyDescent="0.3">
      <c r="M1006" s="8" t="s">
        <v>913</v>
      </c>
    </row>
    <row r="1007" spans="13:13" x14ac:dyDescent="0.3">
      <c r="M1007" s="8" t="s">
        <v>1308</v>
      </c>
    </row>
    <row r="1008" spans="13:13" x14ac:dyDescent="0.3">
      <c r="M1008" s="8" t="s">
        <v>2101</v>
      </c>
    </row>
    <row r="1009" spans="13:13" x14ac:dyDescent="0.3">
      <c r="M1009" s="8" t="s">
        <v>2375</v>
      </c>
    </row>
    <row r="1010" spans="13:13" x14ac:dyDescent="0.3">
      <c r="M1010" s="8" t="s">
        <v>870</v>
      </c>
    </row>
    <row r="1011" spans="13:13" x14ac:dyDescent="0.3">
      <c r="M1011" s="8" t="s">
        <v>2808</v>
      </c>
    </row>
    <row r="1012" spans="13:13" x14ac:dyDescent="0.3">
      <c r="M1012" s="8" t="s">
        <v>1872</v>
      </c>
    </row>
    <row r="1013" spans="13:13" x14ac:dyDescent="0.3">
      <c r="M1013" s="8" t="s">
        <v>2872</v>
      </c>
    </row>
    <row r="1014" spans="13:13" x14ac:dyDescent="0.3">
      <c r="M1014" s="8" t="s">
        <v>1975</v>
      </c>
    </row>
    <row r="1015" spans="13:13" x14ac:dyDescent="0.3">
      <c r="M1015" s="8" t="s">
        <v>2028</v>
      </c>
    </row>
    <row r="1016" spans="13:13" x14ac:dyDescent="0.3">
      <c r="M1016" s="8" t="s">
        <v>2439</v>
      </c>
    </row>
    <row r="1017" spans="13:13" x14ac:dyDescent="0.3">
      <c r="M1017" s="8" t="s">
        <v>518</v>
      </c>
    </row>
    <row r="1018" spans="13:13" x14ac:dyDescent="0.3">
      <c r="M1018" s="8" t="s">
        <v>2634</v>
      </c>
    </row>
    <row r="1019" spans="13:13" x14ac:dyDescent="0.3">
      <c r="M1019" s="8" t="s">
        <v>797</v>
      </c>
    </row>
    <row r="1020" spans="13:13" x14ac:dyDescent="0.3">
      <c r="M1020" s="8" t="s">
        <v>2503</v>
      </c>
    </row>
    <row r="1021" spans="13:13" x14ac:dyDescent="0.3">
      <c r="M1021" s="8" t="s">
        <v>1129</v>
      </c>
    </row>
    <row r="1022" spans="13:13" x14ac:dyDescent="0.3">
      <c r="M1022" s="8" t="s">
        <v>1645</v>
      </c>
    </row>
    <row r="1023" spans="13:13" x14ac:dyDescent="0.3">
      <c r="M1023" s="8" t="s">
        <v>2467</v>
      </c>
    </row>
    <row r="1024" spans="13:13" x14ac:dyDescent="0.3">
      <c r="M1024" s="8" t="s">
        <v>2112</v>
      </c>
    </row>
    <row r="1025" spans="13:13" x14ac:dyDescent="0.3">
      <c r="M1025" s="8" t="s">
        <v>941</v>
      </c>
    </row>
    <row r="1026" spans="13:13" x14ac:dyDescent="0.3">
      <c r="M1026" s="8" t="s">
        <v>2672</v>
      </c>
    </row>
    <row r="1027" spans="13:13" x14ac:dyDescent="0.3">
      <c r="M1027" s="8" t="s">
        <v>631</v>
      </c>
    </row>
    <row r="1028" spans="13:13" x14ac:dyDescent="0.3">
      <c r="M1028" s="8" t="s">
        <v>2444</v>
      </c>
    </row>
    <row r="1029" spans="13:13" x14ac:dyDescent="0.3">
      <c r="M1029" s="8" t="s">
        <v>950</v>
      </c>
    </row>
    <row r="1030" spans="13:13" x14ac:dyDescent="0.3">
      <c r="M1030" s="8" t="s">
        <v>2742</v>
      </c>
    </row>
    <row r="1031" spans="13:13" x14ac:dyDescent="0.3">
      <c r="M1031" s="8" t="s">
        <v>2721</v>
      </c>
    </row>
    <row r="1032" spans="13:13" x14ac:dyDescent="0.3">
      <c r="M1032" s="8" t="s">
        <v>1725</v>
      </c>
    </row>
    <row r="1033" spans="13:13" x14ac:dyDescent="0.3">
      <c r="M1033" s="8" t="s">
        <v>2694</v>
      </c>
    </row>
    <row r="1034" spans="13:13" x14ac:dyDescent="0.3">
      <c r="M1034" s="8" t="s">
        <v>418</v>
      </c>
    </row>
    <row r="1035" spans="13:13" x14ac:dyDescent="0.3">
      <c r="M1035" s="8" t="s">
        <v>910</v>
      </c>
    </row>
    <row r="1036" spans="13:13" x14ac:dyDescent="0.3">
      <c r="M1036" s="8" t="s">
        <v>1578</v>
      </c>
    </row>
    <row r="1037" spans="13:13" x14ac:dyDescent="0.3">
      <c r="M1037" s="8" t="s">
        <v>1542</v>
      </c>
    </row>
    <row r="1038" spans="13:13" x14ac:dyDescent="0.3">
      <c r="M1038" s="8" t="s">
        <v>2625</v>
      </c>
    </row>
    <row r="1039" spans="13:13" x14ac:dyDescent="0.3">
      <c r="M1039" s="8" t="s">
        <v>1589</v>
      </c>
    </row>
    <row r="1040" spans="13:13" x14ac:dyDescent="0.3">
      <c r="M1040" s="8" t="s">
        <v>1738</v>
      </c>
    </row>
    <row r="1041" spans="13:13" x14ac:dyDescent="0.3">
      <c r="M1041" s="8" t="s">
        <v>1583</v>
      </c>
    </row>
    <row r="1042" spans="13:13" x14ac:dyDescent="0.3">
      <c r="M1042" s="8" t="s">
        <v>623</v>
      </c>
    </row>
    <row r="1043" spans="13:13" x14ac:dyDescent="0.3">
      <c r="M1043" s="8" t="s">
        <v>398</v>
      </c>
    </row>
    <row r="1044" spans="13:13" x14ac:dyDescent="0.3">
      <c r="M1044" s="8" t="s">
        <v>304</v>
      </c>
    </row>
    <row r="1045" spans="13:13" x14ac:dyDescent="0.3">
      <c r="M1045" s="8" t="s">
        <v>2618</v>
      </c>
    </row>
    <row r="1046" spans="13:13" x14ac:dyDescent="0.3">
      <c r="M1046" s="8" t="s">
        <v>1277</v>
      </c>
    </row>
    <row r="1047" spans="13:13" x14ac:dyDescent="0.3">
      <c r="M1047" s="8" t="s">
        <v>379</v>
      </c>
    </row>
    <row r="1048" spans="13:13" x14ac:dyDescent="0.3">
      <c r="M1048" s="8" t="s">
        <v>1399</v>
      </c>
    </row>
    <row r="1049" spans="13:13" x14ac:dyDescent="0.3">
      <c r="M1049" s="8" t="s">
        <v>2368</v>
      </c>
    </row>
    <row r="1050" spans="13:13" x14ac:dyDescent="0.3">
      <c r="M1050" s="8" t="s">
        <v>2701</v>
      </c>
    </row>
    <row r="1051" spans="13:13" x14ac:dyDescent="0.3">
      <c r="M1051" s="8" t="s">
        <v>333</v>
      </c>
    </row>
    <row r="1052" spans="13:13" x14ac:dyDescent="0.3">
      <c r="M1052" s="8" t="s">
        <v>1646</v>
      </c>
    </row>
    <row r="1053" spans="13:13" x14ac:dyDescent="0.3">
      <c r="M1053" s="8" t="s">
        <v>1276</v>
      </c>
    </row>
    <row r="1054" spans="13:13" x14ac:dyDescent="0.3">
      <c r="M1054" s="8" t="s">
        <v>1841</v>
      </c>
    </row>
    <row r="1055" spans="13:13" x14ac:dyDescent="0.3">
      <c r="M1055" s="8" t="s">
        <v>658</v>
      </c>
    </row>
    <row r="1056" spans="13:13" x14ac:dyDescent="0.3">
      <c r="M1056" s="8" t="s">
        <v>835</v>
      </c>
    </row>
    <row r="1057" spans="13:13" x14ac:dyDescent="0.3">
      <c r="M1057" s="8" t="s">
        <v>1816</v>
      </c>
    </row>
    <row r="1058" spans="13:13" x14ac:dyDescent="0.3">
      <c r="M1058" s="8" t="s">
        <v>803</v>
      </c>
    </row>
    <row r="1059" spans="13:13" x14ac:dyDescent="0.3">
      <c r="M1059" s="8" t="s">
        <v>1435</v>
      </c>
    </row>
    <row r="1060" spans="13:13" x14ac:dyDescent="0.3">
      <c r="M1060" s="8" t="s">
        <v>1979</v>
      </c>
    </row>
    <row r="1061" spans="13:13" x14ac:dyDescent="0.3">
      <c r="M1061" s="8" t="s">
        <v>1657</v>
      </c>
    </row>
    <row r="1062" spans="13:13" x14ac:dyDescent="0.3">
      <c r="M1062" s="8" t="s">
        <v>690</v>
      </c>
    </row>
    <row r="1063" spans="13:13" x14ac:dyDescent="0.3">
      <c r="M1063" s="8" t="s">
        <v>1269</v>
      </c>
    </row>
    <row r="1064" spans="13:13" x14ac:dyDescent="0.3">
      <c r="M1064" s="8" t="s">
        <v>2353</v>
      </c>
    </row>
    <row r="1065" spans="13:13" x14ac:dyDescent="0.3">
      <c r="M1065" s="8" t="s">
        <v>854</v>
      </c>
    </row>
    <row r="1066" spans="13:13" x14ac:dyDescent="0.3">
      <c r="M1066" s="8" t="s">
        <v>1665</v>
      </c>
    </row>
    <row r="1067" spans="13:13" x14ac:dyDescent="0.3">
      <c r="M1067" s="8" t="s">
        <v>2686</v>
      </c>
    </row>
    <row r="1068" spans="13:13" x14ac:dyDescent="0.3">
      <c r="M1068" s="8" t="s">
        <v>594</v>
      </c>
    </row>
    <row r="1069" spans="13:13" x14ac:dyDescent="0.3">
      <c r="M1069" s="8" t="s">
        <v>591</v>
      </c>
    </row>
    <row r="1070" spans="13:13" x14ac:dyDescent="0.3">
      <c r="M1070" s="8" t="s">
        <v>1973</v>
      </c>
    </row>
    <row r="1071" spans="13:13" x14ac:dyDescent="0.3">
      <c r="M1071" s="8" t="s">
        <v>627</v>
      </c>
    </row>
    <row r="1072" spans="13:13" x14ac:dyDescent="0.3">
      <c r="M1072" s="8" t="s">
        <v>422</v>
      </c>
    </row>
    <row r="1073" spans="13:13" x14ac:dyDescent="0.3">
      <c r="M1073" s="8" t="s">
        <v>849</v>
      </c>
    </row>
    <row r="1074" spans="13:13" x14ac:dyDescent="0.3">
      <c r="M1074" s="8" t="s">
        <v>813</v>
      </c>
    </row>
    <row r="1075" spans="13:13" x14ac:dyDescent="0.3">
      <c r="M1075" s="8" t="s">
        <v>1980</v>
      </c>
    </row>
    <row r="1076" spans="13:13" x14ac:dyDescent="0.3">
      <c r="M1076" s="8" t="s">
        <v>2268</v>
      </c>
    </row>
    <row r="1077" spans="13:13" x14ac:dyDescent="0.3">
      <c r="M1077" s="8" t="s">
        <v>2152</v>
      </c>
    </row>
    <row r="1078" spans="13:13" x14ac:dyDescent="0.3">
      <c r="M1078" s="8" t="s">
        <v>131</v>
      </c>
    </row>
    <row r="1079" spans="13:13" x14ac:dyDescent="0.3">
      <c r="M1079" s="8" t="s">
        <v>775</v>
      </c>
    </row>
    <row r="1080" spans="13:13" x14ac:dyDescent="0.3">
      <c r="M1080" s="8" t="s">
        <v>2144</v>
      </c>
    </row>
    <row r="1081" spans="13:13" x14ac:dyDescent="0.3">
      <c r="M1081" s="8" t="s">
        <v>187</v>
      </c>
    </row>
    <row r="1082" spans="13:13" x14ac:dyDescent="0.3">
      <c r="M1082" s="8" t="s">
        <v>82</v>
      </c>
    </row>
    <row r="1083" spans="13:13" x14ac:dyDescent="0.3">
      <c r="M1083" s="8" t="s">
        <v>1605</v>
      </c>
    </row>
    <row r="1084" spans="13:13" x14ac:dyDescent="0.3">
      <c r="M1084" s="8" t="s">
        <v>1446</v>
      </c>
    </row>
    <row r="1085" spans="13:13" x14ac:dyDescent="0.3">
      <c r="M1085" s="8" t="s">
        <v>1328</v>
      </c>
    </row>
    <row r="1086" spans="13:13" x14ac:dyDescent="0.3">
      <c r="M1086" s="8" t="s">
        <v>239</v>
      </c>
    </row>
    <row r="1087" spans="13:13" x14ac:dyDescent="0.3">
      <c r="M1087" s="8" t="s">
        <v>2447</v>
      </c>
    </row>
    <row r="1088" spans="13:13" x14ac:dyDescent="0.3">
      <c r="M1088" s="8" t="s">
        <v>234</v>
      </c>
    </row>
    <row r="1089" spans="13:13" x14ac:dyDescent="0.3">
      <c r="M1089" s="8" t="s">
        <v>1396</v>
      </c>
    </row>
    <row r="1090" spans="13:13" x14ac:dyDescent="0.3">
      <c r="M1090" s="8" t="s">
        <v>1544</v>
      </c>
    </row>
    <row r="1091" spans="13:13" x14ac:dyDescent="0.3">
      <c r="M1091" s="8" t="s">
        <v>2731</v>
      </c>
    </row>
    <row r="1092" spans="13:13" x14ac:dyDescent="0.3">
      <c r="M1092" s="8" t="s">
        <v>212</v>
      </c>
    </row>
    <row r="1093" spans="13:13" x14ac:dyDescent="0.3">
      <c r="M1093" s="8" t="s">
        <v>2779</v>
      </c>
    </row>
    <row r="1094" spans="13:13" x14ac:dyDescent="0.3">
      <c r="M1094" s="8" t="s">
        <v>2297</v>
      </c>
    </row>
    <row r="1095" spans="13:13" x14ac:dyDescent="0.3">
      <c r="M1095" s="8" t="s">
        <v>1913</v>
      </c>
    </row>
    <row r="1096" spans="13:13" x14ac:dyDescent="0.3">
      <c r="M1096" s="8" t="s">
        <v>1298</v>
      </c>
    </row>
    <row r="1097" spans="13:13" x14ac:dyDescent="0.3">
      <c r="M1097" s="8" t="s">
        <v>800</v>
      </c>
    </row>
    <row r="1098" spans="13:13" x14ac:dyDescent="0.3">
      <c r="M1098" s="8" t="s">
        <v>951</v>
      </c>
    </row>
    <row r="1099" spans="13:13" x14ac:dyDescent="0.3">
      <c r="M1099" s="8" t="s">
        <v>879</v>
      </c>
    </row>
    <row r="1100" spans="13:13" x14ac:dyDescent="0.3">
      <c r="M1100" s="8" t="s">
        <v>2272</v>
      </c>
    </row>
    <row r="1101" spans="13:13" x14ac:dyDescent="0.3">
      <c r="M1101" s="8" t="s">
        <v>1982</v>
      </c>
    </row>
    <row r="1102" spans="13:13" x14ac:dyDescent="0.3">
      <c r="M1102" s="8" t="s">
        <v>1805</v>
      </c>
    </row>
    <row r="1103" spans="13:13" x14ac:dyDescent="0.3">
      <c r="M1103" s="8" t="s">
        <v>236</v>
      </c>
    </row>
    <row r="1104" spans="13:13" x14ac:dyDescent="0.3">
      <c r="M1104" s="8" t="s">
        <v>43</v>
      </c>
    </row>
    <row r="1105" spans="13:13" x14ac:dyDescent="0.3">
      <c r="M1105" s="8" t="s">
        <v>1632</v>
      </c>
    </row>
    <row r="1106" spans="13:13" x14ac:dyDescent="0.3">
      <c r="M1106" s="8" t="s">
        <v>1215</v>
      </c>
    </row>
    <row r="1107" spans="13:13" x14ac:dyDescent="0.3">
      <c r="M1107" s="8" t="s">
        <v>2156</v>
      </c>
    </row>
    <row r="1108" spans="13:13" x14ac:dyDescent="0.3">
      <c r="M1108" s="8" t="s">
        <v>1543</v>
      </c>
    </row>
    <row r="1109" spans="13:13" x14ac:dyDescent="0.3">
      <c r="M1109" s="8" t="s">
        <v>1919</v>
      </c>
    </row>
    <row r="1110" spans="13:13" x14ac:dyDescent="0.3">
      <c r="M1110" s="8" t="s">
        <v>2290</v>
      </c>
    </row>
    <row r="1111" spans="13:13" x14ac:dyDescent="0.3">
      <c r="M1111" s="8" t="s">
        <v>581</v>
      </c>
    </row>
    <row r="1112" spans="13:13" x14ac:dyDescent="0.3">
      <c r="M1112" s="8" t="s">
        <v>668</v>
      </c>
    </row>
    <row r="1113" spans="13:13" x14ac:dyDescent="0.3">
      <c r="M1113" s="8" t="s">
        <v>2792</v>
      </c>
    </row>
    <row r="1114" spans="13:13" x14ac:dyDescent="0.3">
      <c r="M1114" s="8" t="s">
        <v>657</v>
      </c>
    </row>
    <row r="1115" spans="13:13" x14ac:dyDescent="0.3">
      <c r="M1115" s="8" t="s">
        <v>2600</v>
      </c>
    </row>
    <row r="1116" spans="13:13" x14ac:dyDescent="0.3">
      <c r="M1116" s="8" t="s">
        <v>2621</v>
      </c>
    </row>
    <row r="1117" spans="13:13" x14ac:dyDescent="0.3">
      <c r="M1117" s="8" t="s">
        <v>1946</v>
      </c>
    </row>
    <row r="1118" spans="13:13" x14ac:dyDescent="0.3">
      <c r="M1118" s="8" t="s">
        <v>2394</v>
      </c>
    </row>
    <row r="1119" spans="13:13" x14ac:dyDescent="0.3">
      <c r="M1119" s="8" t="s">
        <v>1252</v>
      </c>
    </row>
    <row r="1120" spans="13:13" x14ac:dyDescent="0.3">
      <c r="M1120" s="8" t="s">
        <v>1224</v>
      </c>
    </row>
    <row r="1121" spans="13:13" x14ac:dyDescent="0.3">
      <c r="M1121" s="8" t="s">
        <v>2053</v>
      </c>
    </row>
    <row r="1122" spans="13:13" x14ac:dyDescent="0.3">
      <c r="M1122" s="8" t="s">
        <v>1978</v>
      </c>
    </row>
    <row r="1123" spans="13:13" x14ac:dyDescent="0.3">
      <c r="M1123" s="8" t="s">
        <v>2122</v>
      </c>
    </row>
    <row r="1124" spans="13:13" x14ac:dyDescent="0.3">
      <c r="M1124" s="8" t="s">
        <v>2494</v>
      </c>
    </row>
    <row r="1125" spans="13:13" x14ac:dyDescent="0.3">
      <c r="M1125" s="8" t="s">
        <v>1315</v>
      </c>
    </row>
    <row r="1126" spans="13:13" x14ac:dyDescent="0.3">
      <c r="M1126" s="8" t="s">
        <v>504</v>
      </c>
    </row>
    <row r="1127" spans="13:13" x14ac:dyDescent="0.3">
      <c r="M1127" s="8" t="s">
        <v>1082</v>
      </c>
    </row>
    <row r="1128" spans="13:13" x14ac:dyDescent="0.3">
      <c r="M1128" s="8" t="s">
        <v>876</v>
      </c>
    </row>
    <row r="1129" spans="13:13" x14ac:dyDescent="0.3">
      <c r="M1129" s="8" t="s">
        <v>433</v>
      </c>
    </row>
    <row r="1130" spans="13:13" x14ac:dyDescent="0.3">
      <c r="M1130" s="8" t="s">
        <v>1895</v>
      </c>
    </row>
    <row r="1131" spans="13:13" x14ac:dyDescent="0.3">
      <c r="M1131" s="8" t="s">
        <v>501</v>
      </c>
    </row>
    <row r="1132" spans="13:13" x14ac:dyDescent="0.3">
      <c r="M1132" s="8" t="s">
        <v>943</v>
      </c>
    </row>
    <row r="1133" spans="13:13" x14ac:dyDescent="0.3">
      <c r="M1133" s="8" t="s">
        <v>466</v>
      </c>
    </row>
    <row r="1134" spans="13:13" x14ac:dyDescent="0.3">
      <c r="M1134" s="8" t="s">
        <v>1515</v>
      </c>
    </row>
    <row r="1135" spans="13:13" x14ac:dyDescent="0.3">
      <c r="M1135" s="8" t="s">
        <v>2884</v>
      </c>
    </row>
    <row r="1136" spans="13:13" x14ac:dyDescent="0.3">
      <c r="M1136" s="8" t="s">
        <v>1296</v>
      </c>
    </row>
    <row r="1137" spans="13:13" x14ac:dyDescent="0.3">
      <c r="M1137" s="8" t="s">
        <v>1627</v>
      </c>
    </row>
    <row r="1138" spans="13:13" x14ac:dyDescent="0.3">
      <c r="M1138" s="8" t="s">
        <v>2438</v>
      </c>
    </row>
    <row r="1139" spans="13:13" x14ac:dyDescent="0.3">
      <c r="M1139" s="8" t="s">
        <v>1190</v>
      </c>
    </row>
    <row r="1140" spans="13:13" x14ac:dyDescent="0.3">
      <c r="M1140" s="8" t="s">
        <v>2284</v>
      </c>
    </row>
    <row r="1141" spans="13:13" x14ac:dyDescent="0.3">
      <c r="M1141" s="8" t="s">
        <v>519</v>
      </c>
    </row>
    <row r="1142" spans="13:13" x14ac:dyDescent="0.3">
      <c r="M1142" s="8" t="s">
        <v>276</v>
      </c>
    </row>
    <row r="1143" spans="13:13" x14ac:dyDescent="0.3">
      <c r="M1143" s="8" t="s">
        <v>2436</v>
      </c>
    </row>
    <row r="1144" spans="13:13" x14ac:dyDescent="0.3">
      <c r="M1144" s="8" t="s">
        <v>878</v>
      </c>
    </row>
    <row r="1145" spans="13:13" x14ac:dyDescent="0.3">
      <c r="M1145" s="8" t="s">
        <v>891</v>
      </c>
    </row>
    <row r="1146" spans="13:13" x14ac:dyDescent="0.3">
      <c r="M1146" s="8" t="s">
        <v>2261</v>
      </c>
    </row>
    <row r="1147" spans="13:13" x14ac:dyDescent="0.3">
      <c r="M1147" s="8" t="s">
        <v>1471</v>
      </c>
    </row>
    <row r="1148" spans="13:13" x14ac:dyDescent="0.3">
      <c r="M1148" s="8" t="s">
        <v>1012</v>
      </c>
    </row>
    <row r="1149" spans="13:13" x14ac:dyDescent="0.3">
      <c r="M1149" s="8" t="s">
        <v>2852</v>
      </c>
    </row>
    <row r="1150" spans="13:13" x14ac:dyDescent="0.3">
      <c r="M1150" s="8" t="s">
        <v>846</v>
      </c>
    </row>
    <row r="1151" spans="13:13" x14ac:dyDescent="0.3">
      <c r="M1151" s="8" t="s">
        <v>589</v>
      </c>
    </row>
    <row r="1152" spans="13:13" x14ac:dyDescent="0.3">
      <c r="M1152" s="8" t="s">
        <v>2427</v>
      </c>
    </row>
    <row r="1153" spans="13:13" x14ac:dyDescent="0.3">
      <c r="M1153" s="8" t="s">
        <v>1014</v>
      </c>
    </row>
    <row r="1154" spans="13:13" x14ac:dyDescent="0.3">
      <c r="M1154" s="8" t="s">
        <v>160</v>
      </c>
    </row>
    <row r="1155" spans="13:13" x14ac:dyDescent="0.3">
      <c r="M1155" s="8" t="s">
        <v>541</v>
      </c>
    </row>
    <row r="1156" spans="13:13" x14ac:dyDescent="0.3">
      <c r="M1156" s="8" t="s">
        <v>561</v>
      </c>
    </row>
    <row r="1157" spans="13:13" x14ac:dyDescent="0.3">
      <c r="M1157" s="8" t="s">
        <v>2279</v>
      </c>
    </row>
    <row r="1158" spans="13:13" x14ac:dyDescent="0.3">
      <c r="M1158" s="8" t="s">
        <v>1833</v>
      </c>
    </row>
    <row r="1159" spans="13:13" x14ac:dyDescent="0.3">
      <c r="M1159" s="8" t="s">
        <v>2433</v>
      </c>
    </row>
    <row r="1160" spans="13:13" x14ac:dyDescent="0.3">
      <c r="M1160" s="8" t="s">
        <v>2840</v>
      </c>
    </row>
    <row r="1161" spans="13:13" x14ac:dyDescent="0.3">
      <c r="M1161" s="8" t="s">
        <v>2221</v>
      </c>
    </row>
    <row r="1162" spans="13:13" x14ac:dyDescent="0.3">
      <c r="M1162" s="8" t="s">
        <v>2697</v>
      </c>
    </row>
    <row r="1163" spans="13:13" x14ac:dyDescent="0.3">
      <c r="M1163" s="8" t="s">
        <v>1624</v>
      </c>
    </row>
    <row r="1164" spans="13:13" x14ac:dyDescent="0.3">
      <c r="M1164" s="8" t="s">
        <v>573</v>
      </c>
    </row>
    <row r="1165" spans="13:13" x14ac:dyDescent="0.3">
      <c r="M1165" s="8" t="s">
        <v>1721</v>
      </c>
    </row>
    <row r="1166" spans="13:13" x14ac:dyDescent="0.3">
      <c r="M1166" s="8" t="s">
        <v>972</v>
      </c>
    </row>
    <row r="1167" spans="13:13" x14ac:dyDescent="0.3">
      <c r="M1167" s="8" t="s">
        <v>1426</v>
      </c>
    </row>
    <row r="1168" spans="13:13" x14ac:dyDescent="0.3">
      <c r="M1168" s="8" t="s">
        <v>1480</v>
      </c>
    </row>
    <row r="1169" spans="13:13" x14ac:dyDescent="0.3">
      <c r="M1169" s="8" t="s">
        <v>49</v>
      </c>
    </row>
    <row r="1170" spans="13:13" x14ac:dyDescent="0.3">
      <c r="M1170" s="8" t="s">
        <v>2125</v>
      </c>
    </row>
    <row r="1171" spans="13:13" x14ac:dyDescent="0.3">
      <c r="M1171" s="8" t="s">
        <v>2224</v>
      </c>
    </row>
    <row r="1172" spans="13:13" x14ac:dyDescent="0.3">
      <c r="M1172" s="8" t="s">
        <v>1437</v>
      </c>
    </row>
    <row r="1173" spans="13:13" x14ac:dyDescent="0.3">
      <c r="M1173" s="8" t="s">
        <v>319</v>
      </c>
    </row>
    <row r="1174" spans="13:13" x14ac:dyDescent="0.3">
      <c r="M1174" s="8" t="s">
        <v>877</v>
      </c>
    </row>
    <row r="1175" spans="13:13" x14ac:dyDescent="0.3">
      <c r="M1175" s="8" t="s">
        <v>1924</v>
      </c>
    </row>
    <row r="1176" spans="13:13" x14ac:dyDescent="0.3">
      <c r="M1176" s="8" t="s">
        <v>1090</v>
      </c>
    </row>
    <row r="1177" spans="13:13" x14ac:dyDescent="0.3">
      <c r="M1177" s="8" t="s">
        <v>1210</v>
      </c>
    </row>
    <row r="1178" spans="13:13" x14ac:dyDescent="0.3">
      <c r="M1178" s="8" t="s">
        <v>1355</v>
      </c>
    </row>
    <row r="1179" spans="13:13" x14ac:dyDescent="0.3">
      <c r="M1179" s="8" t="s">
        <v>434</v>
      </c>
    </row>
    <row r="1180" spans="13:13" x14ac:dyDescent="0.3">
      <c r="M1180" s="8" t="s">
        <v>2249</v>
      </c>
    </row>
    <row r="1181" spans="13:13" x14ac:dyDescent="0.3">
      <c r="M1181" s="8" t="s">
        <v>812</v>
      </c>
    </row>
    <row r="1182" spans="13:13" x14ac:dyDescent="0.3">
      <c r="M1182" s="8" t="s">
        <v>2426</v>
      </c>
    </row>
    <row r="1183" spans="13:13" x14ac:dyDescent="0.3">
      <c r="M1183" s="8" t="s">
        <v>1523</v>
      </c>
    </row>
    <row r="1184" spans="13:13" x14ac:dyDescent="0.3">
      <c r="M1184" s="8" t="s">
        <v>566</v>
      </c>
    </row>
    <row r="1185" spans="13:13" x14ac:dyDescent="0.3">
      <c r="M1185" s="8" t="s">
        <v>2585</v>
      </c>
    </row>
    <row r="1186" spans="13:13" x14ac:dyDescent="0.3">
      <c r="M1186" s="8" t="s">
        <v>1556</v>
      </c>
    </row>
    <row r="1187" spans="13:13" x14ac:dyDescent="0.3">
      <c r="M1187" s="8" t="s">
        <v>1654</v>
      </c>
    </row>
    <row r="1188" spans="13:13" x14ac:dyDescent="0.3">
      <c r="M1188" s="8" t="s">
        <v>535</v>
      </c>
    </row>
    <row r="1189" spans="13:13" x14ac:dyDescent="0.3">
      <c r="M1189" s="8" t="s">
        <v>2622</v>
      </c>
    </row>
    <row r="1190" spans="13:13" x14ac:dyDescent="0.3">
      <c r="M1190" s="8" t="s">
        <v>1840</v>
      </c>
    </row>
    <row r="1191" spans="13:13" x14ac:dyDescent="0.3">
      <c r="M1191" s="8" t="s">
        <v>2402</v>
      </c>
    </row>
    <row r="1192" spans="13:13" x14ac:dyDescent="0.3">
      <c r="M1192" s="8" t="s">
        <v>1747</v>
      </c>
    </row>
    <row r="1193" spans="13:13" x14ac:dyDescent="0.3">
      <c r="M1193" s="8" t="s">
        <v>585</v>
      </c>
    </row>
    <row r="1194" spans="13:13" x14ac:dyDescent="0.3">
      <c r="M1194" s="8" t="s">
        <v>1193</v>
      </c>
    </row>
    <row r="1195" spans="13:13" x14ac:dyDescent="0.3">
      <c r="M1195" s="8" t="s">
        <v>169</v>
      </c>
    </row>
    <row r="1196" spans="13:13" x14ac:dyDescent="0.3">
      <c r="M1196" s="8" t="s">
        <v>1170</v>
      </c>
    </row>
    <row r="1197" spans="13:13" x14ac:dyDescent="0.3">
      <c r="M1197" s="8" t="s">
        <v>1749</v>
      </c>
    </row>
    <row r="1198" spans="13:13" x14ac:dyDescent="0.3">
      <c r="M1198" s="8" t="s">
        <v>2769</v>
      </c>
    </row>
    <row r="1199" spans="13:13" x14ac:dyDescent="0.3">
      <c r="M1199" s="8" t="s">
        <v>780</v>
      </c>
    </row>
    <row r="1200" spans="13:13" x14ac:dyDescent="0.3">
      <c r="M1200" s="8" t="s">
        <v>1092</v>
      </c>
    </row>
    <row r="1201" spans="13:13" x14ac:dyDescent="0.3">
      <c r="M1201" s="8" t="s">
        <v>1748</v>
      </c>
    </row>
    <row r="1202" spans="13:13" x14ac:dyDescent="0.3">
      <c r="M1202" s="8" t="s">
        <v>290</v>
      </c>
    </row>
    <row r="1203" spans="13:13" x14ac:dyDescent="0.3">
      <c r="M1203" s="8" t="s">
        <v>2361</v>
      </c>
    </row>
    <row r="1204" spans="13:13" x14ac:dyDescent="0.3">
      <c r="M1204" s="8" t="s">
        <v>2001</v>
      </c>
    </row>
    <row r="1205" spans="13:13" x14ac:dyDescent="0.3">
      <c r="M1205" s="8" t="s">
        <v>776</v>
      </c>
    </row>
    <row r="1206" spans="13:13" x14ac:dyDescent="0.3">
      <c r="M1206" s="8" t="s">
        <v>886</v>
      </c>
    </row>
    <row r="1207" spans="13:13" x14ac:dyDescent="0.3">
      <c r="M1207" s="8" t="s">
        <v>1351</v>
      </c>
    </row>
    <row r="1208" spans="13:13" x14ac:dyDescent="0.3">
      <c r="M1208" s="8" t="s">
        <v>2760</v>
      </c>
    </row>
    <row r="1209" spans="13:13" x14ac:dyDescent="0.3">
      <c r="M1209" s="8" t="s">
        <v>295</v>
      </c>
    </row>
    <row r="1210" spans="13:13" x14ac:dyDescent="0.3">
      <c r="M1210" s="8" t="s">
        <v>1791</v>
      </c>
    </row>
    <row r="1211" spans="13:13" x14ac:dyDescent="0.3">
      <c r="M1211" s="8" t="s">
        <v>2305</v>
      </c>
    </row>
    <row r="1212" spans="13:13" x14ac:dyDescent="0.3">
      <c r="M1212" s="8" t="s">
        <v>2482</v>
      </c>
    </row>
    <row r="1213" spans="13:13" x14ac:dyDescent="0.3">
      <c r="M1213" s="8" t="s">
        <v>915</v>
      </c>
    </row>
    <row r="1214" spans="13:13" x14ac:dyDescent="0.3">
      <c r="M1214" s="8" t="s">
        <v>389</v>
      </c>
    </row>
    <row r="1215" spans="13:13" x14ac:dyDescent="0.3">
      <c r="M1215" s="8" t="s">
        <v>790</v>
      </c>
    </row>
    <row r="1216" spans="13:13" x14ac:dyDescent="0.3">
      <c r="M1216" s="8" t="s">
        <v>1181</v>
      </c>
    </row>
    <row r="1217" spans="13:13" x14ac:dyDescent="0.3">
      <c r="M1217" s="8" t="s">
        <v>2657</v>
      </c>
    </row>
    <row r="1218" spans="13:13" x14ac:dyDescent="0.3">
      <c r="M1218" s="8" t="s">
        <v>1730</v>
      </c>
    </row>
    <row r="1219" spans="13:13" x14ac:dyDescent="0.3">
      <c r="M1219" s="8" t="s">
        <v>1053</v>
      </c>
    </row>
    <row r="1220" spans="13:13" x14ac:dyDescent="0.3">
      <c r="M1220" s="8" t="s">
        <v>1113</v>
      </c>
    </row>
    <row r="1221" spans="13:13" x14ac:dyDescent="0.3">
      <c r="M1221" s="8" t="s">
        <v>2883</v>
      </c>
    </row>
    <row r="1222" spans="13:13" x14ac:dyDescent="0.3">
      <c r="M1222" s="8" t="s">
        <v>1001</v>
      </c>
    </row>
    <row r="1223" spans="13:13" x14ac:dyDescent="0.3">
      <c r="M1223" s="8" t="s">
        <v>1775</v>
      </c>
    </row>
    <row r="1224" spans="13:13" x14ac:dyDescent="0.3">
      <c r="M1224" s="8" t="s">
        <v>190</v>
      </c>
    </row>
    <row r="1225" spans="13:13" x14ac:dyDescent="0.3">
      <c r="M1225" s="8" t="s">
        <v>678</v>
      </c>
    </row>
    <row r="1226" spans="13:13" x14ac:dyDescent="0.3">
      <c r="M1226" s="8" t="s">
        <v>130</v>
      </c>
    </row>
    <row r="1227" spans="13:13" x14ac:dyDescent="0.3">
      <c r="M1227" s="8" t="s">
        <v>362</v>
      </c>
    </row>
    <row r="1228" spans="13:13" x14ac:dyDescent="0.3">
      <c r="M1228" s="8" t="s">
        <v>484</v>
      </c>
    </row>
    <row r="1229" spans="13:13" x14ac:dyDescent="0.3">
      <c r="M1229" s="8" t="s">
        <v>286</v>
      </c>
    </row>
    <row r="1230" spans="13:13" x14ac:dyDescent="0.3">
      <c r="M1230" s="8" t="s">
        <v>53</v>
      </c>
    </row>
    <row r="1231" spans="13:13" x14ac:dyDescent="0.3">
      <c r="M1231" s="8" t="s">
        <v>371</v>
      </c>
    </row>
    <row r="1232" spans="13:13" x14ac:dyDescent="0.3">
      <c r="M1232" s="8" t="s">
        <v>717</v>
      </c>
    </row>
    <row r="1233" spans="13:13" x14ac:dyDescent="0.3">
      <c r="M1233" s="8" t="s">
        <v>2547</v>
      </c>
    </row>
    <row r="1234" spans="13:13" x14ac:dyDescent="0.3">
      <c r="M1234" s="8" t="s">
        <v>1504</v>
      </c>
    </row>
    <row r="1235" spans="13:13" x14ac:dyDescent="0.3">
      <c r="M1235" s="8" t="s">
        <v>176</v>
      </c>
    </row>
    <row r="1236" spans="13:13" x14ac:dyDescent="0.3">
      <c r="M1236" s="8" t="s">
        <v>730</v>
      </c>
    </row>
    <row r="1237" spans="13:13" x14ac:dyDescent="0.3">
      <c r="M1237" s="8" t="s">
        <v>736</v>
      </c>
    </row>
    <row r="1238" spans="13:13" x14ac:dyDescent="0.3">
      <c r="M1238" s="8" t="s">
        <v>715</v>
      </c>
    </row>
    <row r="1239" spans="13:13" x14ac:dyDescent="0.3">
      <c r="M1239" s="8" t="s">
        <v>1500</v>
      </c>
    </row>
    <row r="1240" spans="13:13" x14ac:dyDescent="0.3">
      <c r="M1240" s="8" t="s">
        <v>2038</v>
      </c>
    </row>
    <row r="1241" spans="13:13" x14ac:dyDescent="0.3">
      <c r="M1241" s="8" t="s">
        <v>291</v>
      </c>
    </row>
    <row r="1242" spans="13:13" x14ac:dyDescent="0.3">
      <c r="M1242" s="8" t="s">
        <v>2239</v>
      </c>
    </row>
    <row r="1243" spans="13:13" x14ac:dyDescent="0.3">
      <c r="M1243" s="8" t="s">
        <v>2441</v>
      </c>
    </row>
    <row r="1244" spans="13:13" x14ac:dyDescent="0.3">
      <c r="M1244" s="8" t="s">
        <v>1552</v>
      </c>
    </row>
    <row r="1245" spans="13:13" x14ac:dyDescent="0.3">
      <c r="M1245" s="8" t="s">
        <v>558</v>
      </c>
    </row>
    <row r="1246" spans="13:13" x14ac:dyDescent="0.3">
      <c r="M1246" s="8" t="s">
        <v>2677</v>
      </c>
    </row>
    <row r="1247" spans="13:13" x14ac:dyDescent="0.3">
      <c r="M1247" s="8" t="s">
        <v>2579</v>
      </c>
    </row>
    <row r="1248" spans="13:13" x14ac:dyDescent="0.3">
      <c r="M1248" s="8" t="s">
        <v>139</v>
      </c>
    </row>
    <row r="1249" spans="13:13" x14ac:dyDescent="0.3">
      <c r="M1249" s="8" t="s">
        <v>2578</v>
      </c>
    </row>
    <row r="1250" spans="13:13" x14ac:dyDescent="0.3">
      <c r="M1250" s="8" t="s">
        <v>2314</v>
      </c>
    </row>
    <row r="1251" spans="13:13" x14ac:dyDescent="0.3">
      <c r="M1251" s="8" t="s">
        <v>2275</v>
      </c>
    </row>
    <row r="1252" spans="13:13" x14ac:dyDescent="0.3">
      <c r="M1252" s="8" t="s">
        <v>204</v>
      </c>
    </row>
    <row r="1253" spans="13:13" x14ac:dyDescent="0.3">
      <c r="M1253" s="8" t="s">
        <v>2014</v>
      </c>
    </row>
    <row r="1254" spans="13:13" x14ac:dyDescent="0.3">
      <c r="M1254" s="8" t="s">
        <v>808</v>
      </c>
    </row>
    <row r="1255" spans="13:13" x14ac:dyDescent="0.3">
      <c r="M1255" s="8" t="s">
        <v>2705</v>
      </c>
    </row>
    <row r="1256" spans="13:13" x14ac:dyDescent="0.3">
      <c r="M1256" s="8" t="s">
        <v>2492</v>
      </c>
    </row>
    <row r="1257" spans="13:13" x14ac:dyDescent="0.3">
      <c r="M1257" s="8" t="s">
        <v>2185</v>
      </c>
    </row>
    <row r="1258" spans="13:13" x14ac:dyDescent="0.3">
      <c r="M1258" s="8" t="s">
        <v>2758</v>
      </c>
    </row>
    <row r="1259" spans="13:13" x14ac:dyDescent="0.3">
      <c r="M1259" s="8" t="s">
        <v>1353</v>
      </c>
    </row>
    <row r="1260" spans="13:13" x14ac:dyDescent="0.3">
      <c r="M1260" s="8" t="s">
        <v>2879</v>
      </c>
    </row>
    <row r="1261" spans="13:13" x14ac:dyDescent="0.3">
      <c r="M1261" s="8" t="s">
        <v>263</v>
      </c>
    </row>
    <row r="1262" spans="13:13" x14ac:dyDescent="0.3">
      <c r="M1262" s="8" t="s">
        <v>1710</v>
      </c>
    </row>
    <row r="1263" spans="13:13" x14ac:dyDescent="0.3">
      <c r="M1263" s="8" t="s">
        <v>2651</v>
      </c>
    </row>
    <row r="1264" spans="13:13" x14ac:dyDescent="0.3">
      <c r="M1264" s="8" t="s">
        <v>11</v>
      </c>
    </row>
    <row r="1265" spans="13:13" x14ac:dyDescent="0.3">
      <c r="M1265" s="8" t="s">
        <v>693</v>
      </c>
    </row>
    <row r="1266" spans="13:13" x14ac:dyDescent="0.3">
      <c r="M1266" s="8" t="s">
        <v>2786</v>
      </c>
    </row>
    <row r="1267" spans="13:13" x14ac:dyDescent="0.3">
      <c r="M1267" s="8" t="s">
        <v>1765</v>
      </c>
    </row>
    <row r="1268" spans="13:13" x14ac:dyDescent="0.3">
      <c r="M1268" s="8" t="s">
        <v>2246</v>
      </c>
    </row>
    <row r="1269" spans="13:13" x14ac:dyDescent="0.3">
      <c r="M1269" s="8" t="s">
        <v>821</v>
      </c>
    </row>
    <row r="1270" spans="13:13" x14ac:dyDescent="0.3">
      <c r="M1270" s="8" t="s">
        <v>2473</v>
      </c>
    </row>
    <row r="1271" spans="13:13" x14ac:dyDescent="0.3">
      <c r="M1271" s="8" t="s">
        <v>1331</v>
      </c>
    </row>
    <row r="1272" spans="13:13" x14ac:dyDescent="0.3">
      <c r="M1272" s="8" t="s">
        <v>1280</v>
      </c>
    </row>
    <row r="1273" spans="13:13" x14ac:dyDescent="0.3">
      <c r="M1273" s="8" t="s">
        <v>2615</v>
      </c>
    </row>
    <row r="1274" spans="13:13" x14ac:dyDescent="0.3">
      <c r="M1274" s="8" t="s">
        <v>491</v>
      </c>
    </row>
    <row r="1275" spans="13:13" x14ac:dyDescent="0.3">
      <c r="M1275" s="8" t="s">
        <v>2431</v>
      </c>
    </row>
    <row r="1276" spans="13:13" x14ac:dyDescent="0.3">
      <c r="M1276" s="8" t="s">
        <v>2151</v>
      </c>
    </row>
    <row r="1277" spans="13:13" x14ac:dyDescent="0.3">
      <c r="M1277" s="8" t="s">
        <v>2593</v>
      </c>
    </row>
    <row r="1278" spans="13:13" x14ac:dyDescent="0.3">
      <c r="M1278" s="8" t="s">
        <v>216</v>
      </c>
    </row>
    <row r="1279" spans="13:13" x14ac:dyDescent="0.3">
      <c r="M1279" s="8" t="s">
        <v>2220</v>
      </c>
    </row>
    <row r="1280" spans="13:13" x14ac:dyDescent="0.3">
      <c r="M1280" s="8" t="s">
        <v>92</v>
      </c>
    </row>
    <row r="1281" spans="13:13" x14ac:dyDescent="0.3">
      <c r="M1281" s="8" t="s">
        <v>28</v>
      </c>
    </row>
    <row r="1282" spans="13:13" x14ac:dyDescent="0.3">
      <c r="M1282" s="8" t="s">
        <v>1906</v>
      </c>
    </row>
    <row r="1283" spans="13:13" x14ac:dyDescent="0.3">
      <c r="M1283" s="8" t="s">
        <v>2004</v>
      </c>
    </row>
    <row r="1284" spans="13:13" x14ac:dyDescent="0.3">
      <c r="M1284" s="8" t="s">
        <v>2865</v>
      </c>
    </row>
    <row r="1285" spans="13:13" x14ac:dyDescent="0.3">
      <c r="M1285" s="8" t="s">
        <v>935</v>
      </c>
    </row>
    <row r="1286" spans="13:13" x14ac:dyDescent="0.3">
      <c r="M1286" s="8" t="s">
        <v>873</v>
      </c>
    </row>
    <row r="1287" spans="13:13" x14ac:dyDescent="0.3">
      <c r="M1287" s="8" t="s">
        <v>1600</v>
      </c>
    </row>
    <row r="1288" spans="13:13" x14ac:dyDescent="0.3">
      <c r="M1288" s="8" t="s">
        <v>1505</v>
      </c>
    </row>
    <row r="1289" spans="13:13" x14ac:dyDescent="0.3">
      <c r="M1289" s="8" t="s">
        <v>2639</v>
      </c>
    </row>
    <row r="1290" spans="13:13" x14ac:dyDescent="0.3">
      <c r="M1290" s="8" t="s">
        <v>567</v>
      </c>
    </row>
    <row r="1291" spans="13:13" x14ac:dyDescent="0.3">
      <c r="M1291" s="8" t="s">
        <v>2655</v>
      </c>
    </row>
    <row r="1292" spans="13:13" x14ac:dyDescent="0.3">
      <c r="M1292" s="8" t="s">
        <v>426</v>
      </c>
    </row>
    <row r="1293" spans="13:13" x14ac:dyDescent="0.3">
      <c r="M1293" s="8" t="s">
        <v>2228</v>
      </c>
    </row>
    <row r="1294" spans="13:13" x14ac:dyDescent="0.3">
      <c r="M1294" s="8" t="s">
        <v>30</v>
      </c>
    </row>
    <row r="1295" spans="13:13" x14ac:dyDescent="0.3">
      <c r="M1295" s="8" t="s">
        <v>652</v>
      </c>
    </row>
    <row r="1296" spans="13:13" x14ac:dyDescent="0.3">
      <c r="M1296" s="8" t="s">
        <v>1770</v>
      </c>
    </row>
    <row r="1297" spans="13:13" x14ac:dyDescent="0.3">
      <c r="M1297" s="8" t="s">
        <v>1462</v>
      </c>
    </row>
    <row r="1298" spans="13:13" x14ac:dyDescent="0.3">
      <c r="M1298" s="8" t="s">
        <v>1343</v>
      </c>
    </row>
    <row r="1299" spans="13:13" x14ac:dyDescent="0.3">
      <c r="M1299" s="8" t="s">
        <v>1682</v>
      </c>
    </row>
    <row r="1300" spans="13:13" x14ac:dyDescent="0.3">
      <c r="M1300" s="8" t="s">
        <v>2019</v>
      </c>
    </row>
    <row r="1301" spans="13:13" x14ac:dyDescent="0.3">
      <c r="M1301" s="8" t="s">
        <v>1698</v>
      </c>
    </row>
    <row r="1302" spans="13:13" x14ac:dyDescent="0.3">
      <c r="M1302" s="8" t="s">
        <v>2603</v>
      </c>
    </row>
    <row r="1303" spans="13:13" x14ac:dyDescent="0.3">
      <c r="M1303" s="8" t="s">
        <v>2544</v>
      </c>
    </row>
    <row r="1304" spans="13:13" x14ac:dyDescent="0.3">
      <c r="M1304" s="8" t="s">
        <v>2200</v>
      </c>
    </row>
    <row r="1305" spans="13:13" x14ac:dyDescent="0.3">
      <c r="M1305" s="8" t="s">
        <v>2807</v>
      </c>
    </row>
    <row r="1306" spans="13:13" x14ac:dyDescent="0.3">
      <c r="M1306" s="8" t="s">
        <v>660</v>
      </c>
    </row>
    <row r="1307" spans="13:13" x14ac:dyDescent="0.3">
      <c r="M1307" s="8" t="s">
        <v>2565</v>
      </c>
    </row>
    <row r="1308" spans="13:13" x14ac:dyDescent="0.3">
      <c r="M1308" s="8" t="s">
        <v>562</v>
      </c>
    </row>
    <row r="1309" spans="13:13" x14ac:dyDescent="0.3">
      <c r="M1309" s="8" t="s">
        <v>407</v>
      </c>
    </row>
    <row r="1310" spans="13:13" x14ac:dyDescent="0.3">
      <c r="M1310" s="8" t="s">
        <v>1237</v>
      </c>
    </row>
    <row r="1311" spans="13:13" x14ac:dyDescent="0.3">
      <c r="M1311" s="8" t="s">
        <v>809</v>
      </c>
    </row>
    <row r="1312" spans="13:13" x14ac:dyDescent="0.3">
      <c r="M1312" s="8" t="s">
        <v>320</v>
      </c>
    </row>
    <row r="1313" spans="13:13" x14ac:dyDescent="0.3">
      <c r="M1313" s="8" t="s">
        <v>2766</v>
      </c>
    </row>
    <row r="1314" spans="13:13" x14ac:dyDescent="0.3">
      <c r="M1314" s="8" t="s">
        <v>766</v>
      </c>
    </row>
    <row r="1315" spans="13:13" x14ac:dyDescent="0.3">
      <c r="M1315" s="8" t="s">
        <v>498</v>
      </c>
    </row>
    <row r="1316" spans="13:13" x14ac:dyDescent="0.3">
      <c r="M1316" s="8" t="s">
        <v>642</v>
      </c>
    </row>
    <row r="1317" spans="13:13" x14ac:dyDescent="0.3">
      <c r="M1317" s="8" t="s">
        <v>761</v>
      </c>
    </row>
    <row r="1318" spans="13:13" x14ac:dyDescent="0.3">
      <c r="M1318" s="8" t="s">
        <v>1093</v>
      </c>
    </row>
    <row r="1319" spans="13:13" x14ac:dyDescent="0.3">
      <c r="M1319" s="8" t="s">
        <v>1930</v>
      </c>
    </row>
    <row r="1320" spans="13:13" x14ac:dyDescent="0.3">
      <c r="M1320" s="8" t="s">
        <v>2676</v>
      </c>
    </row>
    <row r="1321" spans="13:13" x14ac:dyDescent="0.3">
      <c r="M1321" s="8" t="s">
        <v>2054</v>
      </c>
    </row>
    <row r="1322" spans="13:13" x14ac:dyDescent="0.3">
      <c r="M1322" s="8" t="s">
        <v>2179</v>
      </c>
    </row>
    <row r="1323" spans="13:13" x14ac:dyDescent="0.3">
      <c r="M1323" s="8" t="s">
        <v>512</v>
      </c>
    </row>
    <row r="1324" spans="13:13" x14ac:dyDescent="0.3">
      <c r="M1324" s="8" t="s">
        <v>2039</v>
      </c>
    </row>
    <row r="1325" spans="13:13" x14ac:dyDescent="0.3">
      <c r="M1325" s="8" t="s">
        <v>2506</v>
      </c>
    </row>
    <row r="1326" spans="13:13" x14ac:dyDescent="0.3">
      <c r="M1326" s="8" t="s">
        <v>1046</v>
      </c>
    </row>
    <row r="1327" spans="13:13" x14ac:dyDescent="0.3">
      <c r="M1327" s="8" t="s">
        <v>1065</v>
      </c>
    </row>
    <row r="1328" spans="13:13" x14ac:dyDescent="0.3">
      <c r="M1328" s="8" t="s">
        <v>296</v>
      </c>
    </row>
    <row r="1329" spans="13:13" x14ac:dyDescent="0.3">
      <c r="M1329" s="8" t="s">
        <v>382</v>
      </c>
    </row>
    <row r="1330" spans="13:13" x14ac:dyDescent="0.3">
      <c r="M1330" s="8" t="s">
        <v>1722</v>
      </c>
    </row>
    <row r="1331" spans="13:13" x14ac:dyDescent="0.3">
      <c r="M1331" s="8" t="s">
        <v>1880</v>
      </c>
    </row>
    <row r="1332" spans="13:13" x14ac:dyDescent="0.3">
      <c r="M1332" s="8" t="s">
        <v>2468</v>
      </c>
    </row>
    <row r="1333" spans="13:13" x14ac:dyDescent="0.3">
      <c r="M1333" s="8" t="s">
        <v>1911</v>
      </c>
    </row>
    <row r="1334" spans="13:13" x14ac:dyDescent="0.3">
      <c r="M1334" s="8" t="s">
        <v>448</v>
      </c>
    </row>
    <row r="1335" spans="13:13" x14ac:dyDescent="0.3">
      <c r="M1335" s="8" t="s">
        <v>507</v>
      </c>
    </row>
    <row r="1336" spans="13:13" x14ac:dyDescent="0.3">
      <c r="M1336" s="8" t="s">
        <v>1432</v>
      </c>
    </row>
    <row r="1337" spans="13:13" x14ac:dyDescent="0.3">
      <c r="M1337" s="8" t="s">
        <v>967</v>
      </c>
    </row>
    <row r="1338" spans="13:13" x14ac:dyDescent="0.3">
      <c r="M1338" s="8" t="s">
        <v>2404</v>
      </c>
    </row>
    <row r="1339" spans="13:13" x14ac:dyDescent="0.3">
      <c r="M1339" s="8" t="s">
        <v>2822</v>
      </c>
    </row>
    <row r="1340" spans="13:13" x14ac:dyDescent="0.3">
      <c r="M1340" s="8" t="s">
        <v>601</v>
      </c>
    </row>
    <row r="1341" spans="13:13" x14ac:dyDescent="0.3">
      <c r="M1341" s="8" t="s">
        <v>1760</v>
      </c>
    </row>
    <row r="1342" spans="13:13" x14ac:dyDescent="0.3">
      <c r="M1342" s="8" t="s">
        <v>1559</v>
      </c>
    </row>
    <row r="1343" spans="13:13" x14ac:dyDescent="0.3">
      <c r="M1343" s="8" t="s">
        <v>2330</v>
      </c>
    </row>
    <row r="1344" spans="13:13" x14ac:dyDescent="0.3">
      <c r="M1344" s="8" t="s">
        <v>164</v>
      </c>
    </row>
    <row r="1345" spans="13:13" x14ac:dyDescent="0.3">
      <c r="M1345" s="8" t="s">
        <v>414</v>
      </c>
    </row>
    <row r="1346" spans="13:13" x14ac:dyDescent="0.3">
      <c r="M1346" s="8" t="s">
        <v>283</v>
      </c>
    </row>
    <row r="1347" spans="13:13" x14ac:dyDescent="0.3">
      <c r="M1347" s="8" t="s">
        <v>1152</v>
      </c>
    </row>
    <row r="1348" spans="13:13" x14ac:dyDescent="0.3">
      <c r="M1348" s="8" t="s">
        <v>2025</v>
      </c>
    </row>
    <row r="1349" spans="13:13" x14ac:dyDescent="0.3">
      <c r="M1349" s="8" t="s">
        <v>979</v>
      </c>
    </row>
    <row r="1350" spans="13:13" x14ac:dyDescent="0.3">
      <c r="M1350" s="8" t="s">
        <v>691</v>
      </c>
    </row>
    <row r="1351" spans="13:13" x14ac:dyDescent="0.3">
      <c r="M1351" s="8" t="s">
        <v>675</v>
      </c>
    </row>
    <row r="1352" spans="13:13" x14ac:dyDescent="0.3">
      <c r="M1352" s="8" t="s">
        <v>2801</v>
      </c>
    </row>
    <row r="1353" spans="13:13" x14ac:dyDescent="0.3">
      <c r="M1353" s="8" t="s">
        <v>1212</v>
      </c>
    </row>
    <row r="1354" spans="13:13" x14ac:dyDescent="0.3">
      <c r="M1354" s="8" t="s">
        <v>2829</v>
      </c>
    </row>
    <row r="1355" spans="13:13" x14ac:dyDescent="0.3">
      <c r="M1355" s="8" t="s">
        <v>955</v>
      </c>
    </row>
    <row r="1356" spans="13:13" x14ac:dyDescent="0.3">
      <c r="M1356" s="8" t="s">
        <v>1549</v>
      </c>
    </row>
    <row r="1357" spans="13:13" x14ac:dyDescent="0.3">
      <c r="M1357" s="8" t="s">
        <v>454</v>
      </c>
    </row>
    <row r="1358" spans="13:13" x14ac:dyDescent="0.3">
      <c r="M1358" s="8" t="s">
        <v>2673</v>
      </c>
    </row>
    <row r="1359" spans="13:13" x14ac:dyDescent="0.3">
      <c r="M1359" s="8" t="s">
        <v>34</v>
      </c>
    </row>
    <row r="1360" spans="13:13" x14ac:dyDescent="0.3">
      <c r="M1360" s="8" t="s">
        <v>1201</v>
      </c>
    </row>
    <row r="1361" spans="13:13" x14ac:dyDescent="0.3">
      <c r="M1361" s="8" t="s">
        <v>1043</v>
      </c>
    </row>
    <row r="1362" spans="13:13" x14ac:dyDescent="0.3">
      <c r="M1362" s="8" t="s">
        <v>2389</v>
      </c>
    </row>
    <row r="1363" spans="13:13" x14ac:dyDescent="0.3">
      <c r="M1363" s="8" t="s">
        <v>1232</v>
      </c>
    </row>
    <row r="1364" spans="13:13" x14ac:dyDescent="0.3">
      <c r="M1364" s="8" t="s">
        <v>1166</v>
      </c>
    </row>
    <row r="1365" spans="13:13" x14ac:dyDescent="0.3">
      <c r="M1365" s="8" t="s">
        <v>2778</v>
      </c>
    </row>
    <row r="1366" spans="13:13" x14ac:dyDescent="0.3">
      <c r="M1366" s="8" t="s">
        <v>1352</v>
      </c>
    </row>
    <row r="1367" spans="13:13" x14ac:dyDescent="0.3">
      <c r="M1367" s="8" t="s">
        <v>2086</v>
      </c>
    </row>
    <row r="1368" spans="13:13" x14ac:dyDescent="0.3">
      <c r="M1368" s="8" t="s">
        <v>2518</v>
      </c>
    </row>
    <row r="1369" spans="13:13" x14ac:dyDescent="0.3">
      <c r="M1369" s="8" t="s">
        <v>2384</v>
      </c>
    </row>
    <row r="1370" spans="13:13" x14ac:dyDescent="0.3">
      <c r="M1370" s="8" t="s">
        <v>1737</v>
      </c>
    </row>
    <row r="1371" spans="13:13" x14ac:dyDescent="0.3">
      <c r="M1371" s="8" t="s">
        <v>930</v>
      </c>
    </row>
    <row r="1372" spans="13:13" x14ac:dyDescent="0.3">
      <c r="M1372" s="8" t="s">
        <v>447</v>
      </c>
    </row>
    <row r="1373" spans="13:13" x14ac:dyDescent="0.3">
      <c r="M1373" s="8" t="s">
        <v>260</v>
      </c>
    </row>
    <row r="1374" spans="13:13" x14ac:dyDescent="0.3">
      <c r="M1374" s="8" t="s">
        <v>2312</v>
      </c>
    </row>
    <row r="1375" spans="13:13" x14ac:dyDescent="0.3">
      <c r="M1375" s="8" t="s">
        <v>964</v>
      </c>
    </row>
    <row r="1376" spans="13:13" x14ac:dyDescent="0.3">
      <c r="M1376" s="8" t="s">
        <v>1348</v>
      </c>
    </row>
    <row r="1377" spans="13:13" x14ac:dyDescent="0.3">
      <c r="M1377" s="8" t="s">
        <v>939</v>
      </c>
    </row>
    <row r="1378" spans="13:13" x14ac:dyDescent="0.3">
      <c r="M1378" s="8" t="s">
        <v>1418</v>
      </c>
    </row>
    <row r="1379" spans="13:13" x14ac:dyDescent="0.3">
      <c r="M1379" s="8" t="s">
        <v>449</v>
      </c>
    </row>
    <row r="1380" spans="13:13" x14ac:dyDescent="0.3">
      <c r="M1380" s="8" t="s">
        <v>1653</v>
      </c>
    </row>
    <row r="1381" spans="13:13" x14ac:dyDescent="0.3">
      <c r="M1381" s="8" t="s">
        <v>1421</v>
      </c>
    </row>
    <row r="1382" spans="13:13" x14ac:dyDescent="0.3">
      <c r="M1382" s="8" t="s">
        <v>1281</v>
      </c>
    </row>
    <row r="1383" spans="13:13" x14ac:dyDescent="0.3">
      <c r="M1383" s="8" t="s">
        <v>1830</v>
      </c>
    </row>
    <row r="1384" spans="13:13" x14ac:dyDescent="0.3">
      <c r="M1384" s="8" t="s">
        <v>682</v>
      </c>
    </row>
    <row r="1385" spans="13:13" x14ac:dyDescent="0.3">
      <c r="M1385" s="8" t="s">
        <v>1279</v>
      </c>
    </row>
    <row r="1386" spans="13:13" x14ac:dyDescent="0.3">
      <c r="M1386" s="8" t="s">
        <v>2260</v>
      </c>
    </row>
    <row r="1387" spans="13:13" x14ac:dyDescent="0.3">
      <c r="M1387" s="8" t="s">
        <v>2641</v>
      </c>
    </row>
    <row r="1388" spans="13:13" x14ac:dyDescent="0.3">
      <c r="M1388" s="8" t="s">
        <v>2501</v>
      </c>
    </row>
    <row r="1389" spans="13:13" x14ac:dyDescent="0.3">
      <c r="M1389" s="8" t="s">
        <v>367</v>
      </c>
    </row>
    <row r="1390" spans="13:13" x14ac:dyDescent="0.3">
      <c r="M1390" s="8" t="s">
        <v>1477</v>
      </c>
    </row>
    <row r="1391" spans="13:13" x14ac:dyDescent="0.3">
      <c r="M1391" s="8" t="s">
        <v>1971</v>
      </c>
    </row>
    <row r="1392" spans="13:13" x14ac:dyDescent="0.3">
      <c r="M1392" s="8" t="s">
        <v>880</v>
      </c>
    </row>
    <row r="1393" spans="13:13" x14ac:dyDescent="0.3">
      <c r="M1393" s="8" t="s">
        <v>524</v>
      </c>
    </row>
    <row r="1394" spans="13:13" x14ac:dyDescent="0.3">
      <c r="M1394" s="8" t="s">
        <v>1649</v>
      </c>
    </row>
    <row r="1395" spans="13:13" x14ac:dyDescent="0.3">
      <c r="M1395" s="8" t="s">
        <v>1536</v>
      </c>
    </row>
    <row r="1396" spans="13:13" x14ac:dyDescent="0.3">
      <c r="M1396" s="8" t="s">
        <v>1590</v>
      </c>
    </row>
    <row r="1397" spans="13:13" x14ac:dyDescent="0.3">
      <c r="M1397" s="8" t="s">
        <v>795</v>
      </c>
    </row>
    <row r="1398" spans="13:13" x14ac:dyDescent="0.3">
      <c r="M1398" s="8" t="s">
        <v>713</v>
      </c>
    </row>
    <row r="1399" spans="13:13" x14ac:dyDescent="0.3">
      <c r="M1399" s="8" t="s">
        <v>2387</v>
      </c>
    </row>
    <row r="1400" spans="13:13" x14ac:dyDescent="0.3">
      <c r="M1400" s="8" t="s">
        <v>2000</v>
      </c>
    </row>
    <row r="1401" spans="13:13" x14ac:dyDescent="0.3">
      <c r="M1401" s="8" t="s">
        <v>1383</v>
      </c>
    </row>
    <row r="1402" spans="13:13" x14ac:dyDescent="0.3">
      <c r="M1402" s="8" t="s">
        <v>1950</v>
      </c>
    </row>
    <row r="1403" spans="13:13" x14ac:dyDescent="0.3">
      <c r="M1403" s="8" t="s">
        <v>2502</v>
      </c>
    </row>
    <row r="1404" spans="13:13" x14ac:dyDescent="0.3">
      <c r="M1404" s="8" t="s">
        <v>568</v>
      </c>
    </row>
    <row r="1405" spans="13:13" x14ac:dyDescent="0.3">
      <c r="M1405" s="8" t="s">
        <v>1106</v>
      </c>
    </row>
    <row r="1406" spans="13:13" x14ac:dyDescent="0.3">
      <c r="M1406" s="8" t="s">
        <v>1518</v>
      </c>
    </row>
    <row r="1407" spans="13:13" x14ac:dyDescent="0.3">
      <c r="M1407" s="8" t="s">
        <v>1868</v>
      </c>
    </row>
    <row r="1408" spans="13:13" x14ac:dyDescent="0.3">
      <c r="M1408" s="8" t="s">
        <v>2291</v>
      </c>
    </row>
    <row r="1409" spans="13:13" x14ac:dyDescent="0.3">
      <c r="M1409" s="8" t="s">
        <v>1809</v>
      </c>
    </row>
    <row r="1410" spans="13:13" x14ac:dyDescent="0.3">
      <c r="M1410" s="8" t="s">
        <v>583</v>
      </c>
    </row>
    <row r="1411" spans="13:13" x14ac:dyDescent="0.3">
      <c r="M1411" s="8" t="s">
        <v>1800</v>
      </c>
    </row>
    <row r="1412" spans="13:13" x14ac:dyDescent="0.3">
      <c r="M1412" s="8" t="s">
        <v>990</v>
      </c>
    </row>
    <row r="1413" spans="13:13" x14ac:dyDescent="0.3">
      <c r="M1413" s="8" t="s">
        <v>516</v>
      </c>
    </row>
    <row r="1414" spans="13:13" x14ac:dyDescent="0.3">
      <c r="M1414" s="8" t="s">
        <v>2692</v>
      </c>
    </row>
    <row r="1415" spans="13:13" x14ac:dyDescent="0.3">
      <c r="M1415" s="8" t="s">
        <v>2626</v>
      </c>
    </row>
    <row r="1416" spans="13:13" x14ac:dyDescent="0.3">
      <c r="M1416" s="8" t="s">
        <v>207</v>
      </c>
    </row>
    <row r="1417" spans="13:13" x14ac:dyDescent="0.3">
      <c r="M1417" s="8" t="s">
        <v>604</v>
      </c>
    </row>
    <row r="1418" spans="13:13" x14ac:dyDescent="0.3">
      <c r="M1418" s="8" t="s">
        <v>917</v>
      </c>
    </row>
    <row r="1419" spans="13:13" x14ac:dyDescent="0.3">
      <c r="M1419" s="8" t="s">
        <v>643</v>
      </c>
    </row>
    <row r="1420" spans="13:13" x14ac:dyDescent="0.3">
      <c r="M1420" s="8" t="s">
        <v>1740</v>
      </c>
    </row>
    <row r="1421" spans="13:13" x14ac:dyDescent="0.3">
      <c r="M1421" s="8" t="s">
        <v>2241</v>
      </c>
    </row>
    <row r="1422" spans="13:13" x14ac:dyDescent="0.3">
      <c r="M1422" s="8" t="s">
        <v>2204</v>
      </c>
    </row>
    <row r="1423" spans="13:13" x14ac:dyDescent="0.3">
      <c r="M1423" s="8" t="s">
        <v>2034</v>
      </c>
    </row>
    <row r="1424" spans="13:13" x14ac:dyDescent="0.3">
      <c r="M1424" s="8" t="s">
        <v>2486</v>
      </c>
    </row>
    <row r="1425" spans="13:13" x14ac:dyDescent="0.3">
      <c r="M1425" s="8" t="s">
        <v>1864</v>
      </c>
    </row>
    <row r="1426" spans="13:13" x14ac:dyDescent="0.3">
      <c r="M1426" s="8" t="s">
        <v>40</v>
      </c>
    </row>
    <row r="1427" spans="13:13" x14ac:dyDescent="0.3">
      <c r="M1427" s="8" t="s">
        <v>142</v>
      </c>
    </row>
    <row r="1428" spans="13:13" x14ac:dyDescent="0.3">
      <c r="M1428" s="8" t="s">
        <v>819</v>
      </c>
    </row>
    <row r="1429" spans="13:13" x14ac:dyDescent="0.3">
      <c r="M1429" s="8" t="s">
        <v>1325</v>
      </c>
    </row>
    <row r="1430" spans="13:13" x14ac:dyDescent="0.3">
      <c r="M1430" s="8" t="s">
        <v>1079</v>
      </c>
    </row>
    <row r="1431" spans="13:13" x14ac:dyDescent="0.3">
      <c r="M1431" s="8" t="s">
        <v>1160</v>
      </c>
    </row>
    <row r="1432" spans="13:13" x14ac:dyDescent="0.3">
      <c r="M1432" s="8" t="s">
        <v>1631</v>
      </c>
    </row>
    <row r="1433" spans="13:13" x14ac:dyDescent="0.3">
      <c r="M1433" s="8" t="s">
        <v>659</v>
      </c>
    </row>
    <row r="1434" spans="13:13" x14ac:dyDescent="0.3">
      <c r="M1434" s="8" t="s">
        <v>1324</v>
      </c>
    </row>
    <row r="1435" spans="13:13" x14ac:dyDescent="0.3">
      <c r="M1435" s="8" t="s">
        <v>1020</v>
      </c>
    </row>
    <row r="1436" spans="13:13" x14ac:dyDescent="0.3">
      <c r="M1436" s="8" t="s">
        <v>456</v>
      </c>
    </row>
    <row r="1437" spans="13:13" x14ac:dyDescent="0.3">
      <c r="M1437" s="8" t="s">
        <v>487</v>
      </c>
    </row>
    <row r="1438" spans="13:13" x14ac:dyDescent="0.3">
      <c r="M1438" s="8" t="s">
        <v>423</v>
      </c>
    </row>
    <row r="1439" spans="13:13" x14ac:dyDescent="0.3">
      <c r="M1439" s="8" t="s">
        <v>2548</v>
      </c>
    </row>
    <row r="1440" spans="13:13" x14ac:dyDescent="0.3">
      <c r="M1440" s="8" t="s">
        <v>968</v>
      </c>
    </row>
    <row r="1441" spans="13:13" x14ac:dyDescent="0.3">
      <c r="M1441" s="8" t="s">
        <v>689</v>
      </c>
    </row>
    <row r="1442" spans="13:13" x14ac:dyDescent="0.3">
      <c r="M1442" s="8" t="s">
        <v>122</v>
      </c>
    </row>
    <row r="1443" spans="13:13" x14ac:dyDescent="0.3">
      <c r="M1443" s="8" t="s">
        <v>1260</v>
      </c>
    </row>
    <row r="1444" spans="13:13" x14ac:dyDescent="0.3">
      <c r="M1444" s="8" t="s">
        <v>901</v>
      </c>
    </row>
    <row r="1445" spans="13:13" x14ac:dyDescent="0.3">
      <c r="M1445" s="8" t="s">
        <v>2545</v>
      </c>
    </row>
    <row r="1446" spans="13:13" x14ac:dyDescent="0.3">
      <c r="M1446" s="8" t="s">
        <v>579</v>
      </c>
    </row>
    <row r="1447" spans="13:13" x14ac:dyDescent="0.3">
      <c r="M1447" s="8" t="s">
        <v>1228</v>
      </c>
    </row>
    <row r="1448" spans="13:13" x14ac:dyDescent="0.3">
      <c r="M1448" s="8" t="s">
        <v>2170</v>
      </c>
    </row>
    <row r="1449" spans="13:13" x14ac:dyDescent="0.3">
      <c r="M1449" s="8" t="s">
        <v>898</v>
      </c>
    </row>
    <row r="1450" spans="13:13" x14ac:dyDescent="0.3">
      <c r="M1450" s="8" t="s">
        <v>1114</v>
      </c>
    </row>
    <row r="1451" spans="13:13" x14ac:dyDescent="0.3">
      <c r="M1451" s="8" t="s">
        <v>2282</v>
      </c>
    </row>
    <row r="1452" spans="13:13" x14ac:dyDescent="0.3">
      <c r="M1452" s="8" t="s">
        <v>1947</v>
      </c>
    </row>
    <row r="1453" spans="13:13" x14ac:dyDescent="0.3">
      <c r="M1453" s="8" t="s">
        <v>2748</v>
      </c>
    </row>
    <row r="1454" spans="13:13" x14ac:dyDescent="0.3">
      <c r="M1454" s="8" t="s">
        <v>605</v>
      </c>
    </row>
    <row r="1455" spans="13:13" x14ac:dyDescent="0.3">
      <c r="M1455" s="8" t="s">
        <v>1026</v>
      </c>
    </row>
    <row r="1456" spans="13:13" x14ac:dyDescent="0.3">
      <c r="M1456" s="8" t="s">
        <v>584</v>
      </c>
    </row>
    <row r="1457" spans="13:13" x14ac:dyDescent="0.3">
      <c r="M1457" s="8" t="s">
        <v>1142</v>
      </c>
    </row>
    <row r="1458" spans="13:13" x14ac:dyDescent="0.3">
      <c r="M1458" s="8" t="s">
        <v>2774</v>
      </c>
    </row>
    <row r="1459" spans="13:13" x14ac:dyDescent="0.3">
      <c r="M1459" s="8" t="s">
        <v>869</v>
      </c>
    </row>
    <row r="1460" spans="13:13" x14ac:dyDescent="0.3">
      <c r="M1460" s="8" t="s">
        <v>2339</v>
      </c>
    </row>
    <row r="1461" spans="13:13" x14ac:dyDescent="0.3">
      <c r="M1461" s="8" t="s">
        <v>1757</v>
      </c>
    </row>
    <row r="1462" spans="13:13" x14ac:dyDescent="0.3">
      <c r="M1462" s="8" t="s">
        <v>318</v>
      </c>
    </row>
    <row r="1463" spans="13:13" x14ac:dyDescent="0.3">
      <c r="M1463" s="8" t="s">
        <v>960</v>
      </c>
    </row>
    <row r="1464" spans="13:13" x14ac:dyDescent="0.3">
      <c r="M1464" s="8" t="s">
        <v>1779</v>
      </c>
    </row>
    <row r="1465" spans="13:13" x14ac:dyDescent="0.3">
      <c r="M1465" s="8" t="s">
        <v>2094</v>
      </c>
    </row>
    <row r="1466" spans="13:13" x14ac:dyDescent="0.3">
      <c r="M1466" s="8" t="s">
        <v>857</v>
      </c>
    </row>
    <row r="1467" spans="13:13" x14ac:dyDescent="0.3">
      <c r="M1467" s="8" t="s">
        <v>2611</v>
      </c>
    </row>
    <row r="1468" spans="13:13" x14ac:dyDescent="0.3">
      <c r="M1468" s="8" t="s">
        <v>2080</v>
      </c>
    </row>
    <row r="1469" spans="13:13" x14ac:dyDescent="0.3">
      <c r="M1469" s="8" t="s">
        <v>1709</v>
      </c>
    </row>
    <row r="1470" spans="13:13" x14ac:dyDescent="0.3">
      <c r="M1470" s="8" t="s">
        <v>85</v>
      </c>
    </row>
    <row r="1471" spans="13:13" x14ac:dyDescent="0.3">
      <c r="M1471" s="8" t="s">
        <v>1966</v>
      </c>
    </row>
    <row r="1472" spans="13:13" x14ac:dyDescent="0.3">
      <c r="M1472" s="8" t="s">
        <v>2861</v>
      </c>
    </row>
    <row r="1473" spans="13:13" x14ac:dyDescent="0.3">
      <c r="M1473" s="8" t="s">
        <v>1473</v>
      </c>
    </row>
    <row r="1474" spans="13:13" x14ac:dyDescent="0.3">
      <c r="M1474" s="8" t="s">
        <v>1259</v>
      </c>
    </row>
    <row r="1475" spans="13:13" x14ac:dyDescent="0.3">
      <c r="M1475" s="8" t="s">
        <v>206</v>
      </c>
    </row>
    <row r="1476" spans="13:13" x14ac:dyDescent="0.3">
      <c r="M1476" s="8" t="s">
        <v>2474</v>
      </c>
    </row>
    <row r="1477" spans="13:13" x14ac:dyDescent="0.3">
      <c r="M1477" s="8" t="s">
        <v>1813</v>
      </c>
    </row>
    <row r="1478" spans="13:13" x14ac:dyDescent="0.3">
      <c r="M1478" s="8" t="s">
        <v>2520</v>
      </c>
    </row>
    <row r="1479" spans="13:13" x14ac:dyDescent="0.3">
      <c r="M1479" s="8" t="s">
        <v>2638</v>
      </c>
    </row>
    <row r="1480" spans="13:13" x14ac:dyDescent="0.3">
      <c r="M1480" s="8" t="s">
        <v>1539</v>
      </c>
    </row>
    <row r="1481" spans="13:13" x14ac:dyDescent="0.3">
      <c r="M1481" s="8" t="s">
        <v>709</v>
      </c>
    </row>
    <row r="1482" spans="13:13" x14ac:dyDescent="0.3">
      <c r="M1482" s="8" t="s">
        <v>1788</v>
      </c>
    </row>
    <row r="1483" spans="13:13" x14ac:dyDescent="0.3">
      <c r="M1483" s="8" t="s">
        <v>1763</v>
      </c>
    </row>
    <row r="1484" spans="13:13" x14ac:dyDescent="0.3">
      <c r="M1484" s="8" t="s">
        <v>1163</v>
      </c>
    </row>
    <row r="1485" spans="13:13" x14ac:dyDescent="0.3">
      <c r="M1485" s="8" t="s">
        <v>88</v>
      </c>
    </row>
    <row r="1486" spans="13:13" x14ac:dyDescent="0.3">
      <c r="M1486" s="8" t="s">
        <v>2669</v>
      </c>
    </row>
    <row r="1487" spans="13:13" x14ac:dyDescent="0.3">
      <c r="M1487" s="8" t="s">
        <v>2362</v>
      </c>
    </row>
    <row r="1488" spans="13:13" x14ac:dyDescent="0.3">
      <c r="M1488" s="8" t="s">
        <v>716</v>
      </c>
    </row>
    <row r="1489" spans="13:13" x14ac:dyDescent="0.3">
      <c r="M1489" s="8" t="s">
        <v>6</v>
      </c>
    </row>
    <row r="1490" spans="13:13" x14ac:dyDescent="0.3">
      <c r="M1490" s="8" t="s">
        <v>1494</v>
      </c>
    </row>
    <row r="1491" spans="13:13" x14ac:dyDescent="0.3">
      <c r="M1491" s="8" t="s">
        <v>1957</v>
      </c>
    </row>
    <row r="1492" spans="13:13" x14ac:dyDescent="0.3">
      <c r="M1492" s="8" t="s">
        <v>1436</v>
      </c>
    </row>
    <row r="1493" spans="13:13" x14ac:dyDescent="0.3">
      <c r="M1493" s="8" t="s">
        <v>2323</v>
      </c>
    </row>
    <row r="1494" spans="13:13" x14ac:dyDescent="0.3">
      <c r="M1494" s="8" t="s">
        <v>590</v>
      </c>
    </row>
    <row r="1495" spans="13:13" x14ac:dyDescent="0.3">
      <c r="M1495" s="8" t="s">
        <v>2517</v>
      </c>
    </row>
    <row r="1496" spans="13:13" x14ac:dyDescent="0.3">
      <c r="M1496" s="8" t="s">
        <v>1387</v>
      </c>
    </row>
    <row r="1497" spans="13:13" x14ac:dyDescent="0.3">
      <c r="M1497" s="8" t="s">
        <v>1016</v>
      </c>
    </row>
    <row r="1498" spans="13:13" x14ac:dyDescent="0.3">
      <c r="M1498" s="8" t="s">
        <v>2555</v>
      </c>
    </row>
    <row r="1499" spans="13:13" x14ac:dyDescent="0.3">
      <c r="M1499" s="8" t="s">
        <v>2050</v>
      </c>
    </row>
    <row r="1500" spans="13:13" x14ac:dyDescent="0.3">
      <c r="M1500" s="8" t="s">
        <v>1033</v>
      </c>
    </row>
    <row r="1501" spans="13:13" x14ac:dyDescent="0.3">
      <c r="M1501" s="8" t="s">
        <v>2306</v>
      </c>
    </row>
    <row r="1502" spans="13:13" x14ac:dyDescent="0.3">
      <c r="M1502" s="8" t="s">
        <v>2143</v>
      </c>
    </row>
    <row r="1503" spans="13:13" x14ac:dyDescent="0.3">
      <c r="M1503" s="8" t="s">
        <v>2271</v>
      </c>
    </row>
    <row r="1504" spans="13:13" x14ac:dyDescent="0.3">
      <c r="M1504" s="8" t="s">
        <v>1339</v>
      </c>
    </row>
    <row r="1505" spans="13:13" x14ac:dyDescent="0.3">
      <c r="M1505" s="8" t="s">
        <v>2661</v>
      </c>
    </row>
    <row r="1506" spans="13:13" x14ac:dyDescent="0.3">
      <c r="M1506" s="8" t="s">
        <v>2092</v>
      </c>
    </row>
    <row r="1507" spans="13:13" x14ac:dyDescent="0.3">
      <c r="M1507" s="8" t="s">
        <v>3120</v>
      </c>
    </row>
    <row r="1508" spans="13:13" x14ac:dyDescent="0.3">
      <c r="M1508" s="8" t="s">
        <v>2922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278A-CBC6-E144-B112-E2DC97F50605}">
  <dimension ref="A1:S72"/>
  <sheetViews>
    <sheetView showGridLines="0" topLeftCell="A16" zoomScale="55" zoomScaleNormal="55" workbookViewId="0">
      <selection activeCell="N35" sqref="N35:O36"/>
    </sheetView>
  </sheetViews>
  <sheetFormatPr defaultColWidth="0" defaultRowHeight="14.4" zeroHeight="1" x14ac:dyDescent="0.3"/>
  <cols>
    <col min="1" max="1" width="10.77734375" customWidth="1"/>
    <col min="2" max="2" width="24.109375" bestFit="1" customWidth="1"/>
    <col min="3" max="3" width="27.21875" bestFit="1" customWidth="1"/>
    <col min="4" max="4" width="17.33203125" bestFit="1" customWidth="1"/>
    <col min="5" max="8" width="10.77734375" customWidth="1"/>
    <col min="9" max="9" width="29" bestFit="1" customWidth="1"/>
    <col min="10" max="10" width="17.44140625" customWidth="1"/>
    <col min="11" max="11" width="20.6640625" bestFit="1" customWidth="1"/>
    <col min="12" max="12" width="16.6640625" customWidth="1"/>
    <col min="13" max="13" width="20.6640625" bestFit="1" customWidth="1"/>
    <col min="14" max="14" width="22" customWidth="1"/>
    <col min="15" max="15" width="24.6640625" bestFit="1" customWidth="1"/>
    <col min="16" max="16" width="12" bestFit="1" customWidth="1"/>
    <col min="17" max="17" width="10.77734375" customWidth="1"/>
    <col min="18" max="19" width="0" hidden="1" customWidth="1"/>
    <col min="20" max="16384" width="10.77734375" hidden="1"/>
  </cols>
  <sheetData>
    <row r="1" spans="2:19" ht="76.95" customHeight="1" x14ac:dyDescent="0.3">
      <c r="B1" s="31" t="s">
        <v>3122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17"/>
      <c r="R1" s="17"/>
      <c r="S1" s="17"/>
    </row>
    <row r="2" spans="2:19" x14ac:dyDescent="0.3"/>
    <row r="3" spans="2:19" x14ac:dyDescent="0.3"/>
    <row r="4" spans="2:19" ht="21" x14ac:dyDescent="0.4">
      <c r="I4" s="16" t="s">
        <v>3117</v>
      </c>
      <c r="J4" s="16"/>
      <c r="K4" s="16" t="s">
        <v>3118</v>
      </c>
      <c r="L4" s="16"/>
      <c r="M4" s="16" t="s">
        <v>3119</v>
      </c>
      <c r="N4" s="16"/>
      <c r="O4" s="16" t="s">
        <v>3121</v>
      </c>
    </row>
    <row r="5" spans="2:19" x14ac:dyDescent="0.3">
      <c r="I5" s="12"/>
      <c r="J5" s="12"/>
      <c r="K5" s="12"/>
      <c r="L5" s="12"/>
      <c r="M5" s="12"/>
      <c r="N5" s="12"/>
      <c r="O5" s="12"/>
    </row>
    <row r="6" spans="2:19" ht="28.8" x14ac:dyDescent="0.55000000000000004">
      <c r="I6" s="13">
        <f>SUM(Base!J:J)</f>
        <v>725457.82449999987</v>
      </c>
      <c r="J6" s="12"/>
      <c r="K6" s="14">
        <f>COUNTA(Tabelas_Dinamicas!K:K)-2</f>
        <v>687</v>
      </c>
      <c r="L6" s="15"/>
      <c r="M6" s="14">
        <f>COUNTA(Tabelas_Dinamicas!M:M)-2</f>
        <v>1504</v>
      </c>
      <c r="N6" s="12"/>
      <c r="O6" s="13">
        <f>I6/K6</f>
        <v>1055.9793660844248</v>
      </c>
    </row>
    <row r="7" spans="2:19" x14ac:dyDescent="0.3"/>
    <row r="8" spans="2:19" x14ac:dyDescent="0.3"/>
    <row r="9" spans="2:19" x14ac:dyDescent="0.3"/>
    <row r="10" spans="2:19" x14ac:dyDescent="0.3"/>
    <row r="11" spans="2:19" x14ac:dyDescent="0.3"/>
    <row r="12" spans="2:19" x14ac:dyDescent="0.3"/>
    <row r="13" spans="2:19" x14ac:dyDescent="0.3"/>
    <row r="14" spans="2:19" x14ac:dyDescent="0.3"/>
    <row r="15" spans="2:19" x14ac:dyDescent="0.3"/>
    <row r="16" spans="2:19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spans="2:16" x14ac:dyDescent="0.3"/>
    <row r="34" spans="2:16" x14ac:dyDescent="0.3"/>
    <row r="35" spans="2:16" ht="15" customHeight="1" x14ac:dyDescent="0.3">
      <c r="B35" s="32" t="s">
        <v>3125</v>
      </c>
      <c r="C35" s="32"/>
      <c r="D35" s="32"/>
      <c r="N35" s="32" t="s">
        <v>3126</v>
      </c>
      <c r="O35" s="32"/>
      <c r="P35" s="19"/>
    </row>
    <row r="36" spans="2:16" ht="15" customHeight="1" x14ac:dyDescent="0.3">
      <c r="B36" s="32"/>
      <c r="C36" s="32"/>
      <c r="D36" s="32"/>
      <c r="N36" s="32"/>
      <c r="O36" s="32"/>
      <c r="P36" s="19"/>
    </row>
    <row r="37" spans="2:16" x14ac:dyDescent="0.3"/>
    <row r="38" spans="2:16" x14ac:dyDescent="0.3">
      <c r="B38" s="7" t="s">
        <v>3124</v>
      </c>
      <c r="C38" t="s">
        <v>2924</v>
      </c>
      <c r="D38" t="s">
        <v>3123</v>
      </c>
      <c r="N38" s="7" t="s">
        <v>3124</v>
      </c>
      <c r="O38" t="s">
        <v>3123</v>
      </c>
    </row>
    <row r="39" spans="2:16" x14ac:dyDescent="0.3">
      <c r="B39" s="8" t="s">
        <v>1203</v>
      </c>
      <c r="C39" s="11">
        <v>4607.2700000000004</v>
      </c>
      <c r="D39">
        <v>12</v>
      </c>
      <c r="N39" s="8" t="s">
        <v>1670</v>
      </c>
      <c r="O39">
        <v>20</v>
      </c>
    </row>
    <row r="40" spans="2:16" x14ac:dyDescent="0.3">
      <c r="B40" s="8" t="s">
        <v>1762</v>
      </c>
      <c r="C40" s="11">
        <v>4210.6500000000005</v>
      </c>
      <c r="D40">
        <v>27</v>
      </c>
      <c r="N40" s="8" t="s">
        <v>839</v>
      </c>
      <c r="O40">
        <v>19</v>
      </c>
    </row>
    <row r="41" spans="2:16" x14ac:dyDescent="0.3">
      <c r="B41" s="8" t="s">
        <v>1337</v>
      </c>
      <c r="C41" s="11">
        <v>3862.0980000000004</v>
      </c>
      <c r="D41">
        <v>22</v>
      </c>
      <c r="N41" s="8" t="s">
        <v>1542</v>
      </c>
      <c r="O41">
        <v>16</v>
      </c>
    </row>
    <row r="42" spans="2:16" x14ac:dyDescent="0.3">
      <c r="B42" s="8" t="s">
        <v>1222</v>
      </c>
      <c r="C42" s="11">
        <v>3393.68</v>
      </c>
      <c r="D42">
        <v>8</v>
      </c>
      <c r="N42" s="8" t="s">
        <v>461</v>
      </c>
      <c r="O42">
        <v>16</v>
      </c>
    </row>
    <row r="43" spans="2:16" x14ac:dyDescent="0.3">
      <c r="B43" s="8" t="s">
        <v>432</v>
      </c>
      <c r="C43" s="11">
        <v>3251.34</v>
      </c>
      <c r="D43">
        <v>18</v>
      </c>
      <c r="N43" s="8" t="s">
        <v>537</v>
      </c>
      <c r="O43">
        <v>16</v>
      </c>
    </row>
    <row r="44" spans="2:16" x14ac:dyDescent="0.3">
      <c r="B44" s="8" t="s">
        <v>1144</v>
      </c>
      <c r="C44" s="11">
        <v>2803.92</v>
      </c>
      <c r="D44">
        <v>5</v>
      </c>
      <c r="N44" s="8" t="s">
        <v>1173</v>
      </c>
      <c r="O44">
        <v>16</v>
      </c>
    </row>
    <row r="45" spans="2:16" x14ac:dyDescent="0.3">
      <c r="B45" s="8" t="s">
        <v>1767</v>
      </c>
      <c r="C45" s="11">
        <v>2676.672</v>
      </c>
      <c r="D45">
        <v>9</v>
      </c>
      <c r="N45" s="8" t="s">
        <v>1354</v>
      </c>
      <c r="O45">
        <v>14</v>
      </c>
    </row>
    <row r="46" spans="2:16" x14ac:dyDescent="0.3">
      <c r="B46" s="8" t="s">
        <v>1275</v>
      </c>
      <c r="C46" s="11">
        <v>2572.5</v>
      </c>
      <c r="D46">
        <v>17</v>
      </c>
      <c r="N46" s="8" t="s">
        <v>647</v>
      </c>
      <c r="O46">
        <v>14</v>
      </c>
    </row>
    <row r="47" spans="2:16" x14ac:dyDescent="0.3">
      <c r="B47" s="8" t="s">
        <v>1660</v>
      </c>
      <c r="C47" s="11">
        <v>2567.1509999999998</v>
      </c>
      <c r="D47">
        <v>27</v>
      </c>
      <c r="N47" s="8" t="s">
        <v>1263</v>
      </c>
      <c r="O47">
        <v>14</v>
      </c>
    </row>
    <row r="48" spans="2:16" x14ac:dyDescent="0.3">
      <c r="B48" s="8" t="s">
        <v>1186</v>
      </c>
      <c r="C48" s="11">
        <v>2383.7740000000003</v>
      </c>
      <c r="D48">
        <v>27</v>
      </c>
      <c r="N48" s="8" t="s">
        <v>1323</v>
      </c>
      <c r="O48">
        <v>14</v>
      </c>
    </row>
    <row r="49" spans="2:15" x14ac:dyDescent="0.3">
      <c r="B49" s="8" t="s">
        <v>1469</v>
      </c>
      <c r="C49" s="11">
        <v>2307.2080000000001</v>
      </c>
      <c r="D49">
        <v>24</v>
      </c>
      <c r="N49" s="8" t="s">
        <v>1339</v>
      </c>
      <c r="O49">
        <v>13</v>
      </c>
    </row>
    <row r="50" spans="2:15" x14ac:dyDescent="0.3">
      <c r="B50" s="8" t="s">
        <v>446</v>
      </c>
      <c r="C50" s="11">
        <v>2198.8560000000002</v>
      </c>
      <c r="D50">
        <v>14</v>
      </c>
      <c r="N50" s="8" t="s">
        <v>220</v>
      </c>
      <c r="O50">
        <v>13</v>
      </c>
    </row>
    <row r="51" spans="2:15" x14ac:dyDescent="0.3">
      <c r="B51" s="8" t="s">
        <v>1367</v>
      </c>
      <c r="C51" s="11">
        <v>2056.3760000000002</v>
      </c>
      <c r="D51">
        <v>14</v>
      </c>
      <c r="N51" s="8" t="s">
        <v>1342</v>
      </c>
      <c r="O51">
        <v>13</v>
      </c>
    </row>
    <row r="52" spans="2:15" x14ac:dyDescent="0.3">
      <c r="B52" s="8" t="s">
        <v>1489</v>
      </c>
      <c r="C52" s="11">
        <v>2017.5320000000002</v>
      </c>
      <c r="D52">
        <v>26</v>
      </c>
      <c r="N52" s="8" t="s">
        <v>265</v>
      </c>
      <c r="O52">
        <v>12</v>
      </c>
    </row>
    <row r="53" spans="2:15" x14ac:dyDescent="0.3">
      <c r="B53" s="8" t="s">
        <v>199</v>
      </c>
      <c r="C53" s="11">
        <v>1966.5569999999998</v>
      </c>
      <c r="D53">
        <v>16</v>
      </c>
      <c r="N53" s="8" t="s">
        <v>1348</v>
      </c>
      <c r="O53">
        <v>12</v>
      </c>
    </row>
    <row r="54" spans="2:15" x14ac:dyDescent="0.3">
      <c r="B54" s="8" t="s">
        <v>1839</v>
      </c>
      <c r="C54" s="11">
        <v>1941.81</v>
      </c>
      <c r="D54">
        <v>8</v>
      </c>
      <c r="N54" s="8" t="s">
        <v>1632</v>
      </c>
      <c r="O54">
        <v>12</v>
      </c>
    </row>
    <row r="55" spans="2:15" x14ac:dyDescent="0.3">
      <c r="B55" s="8" t="s">
        <v>1623</v>
      </c>
      <c r="C55" s="11">
        <v>1910.6999999999998</v>
      </c>
      <c r="D55">
        <v>8</v>
      </c>
      <c r="N55" s="8" t="s">
        <v>1302</v>
      </c>
      <c r="O55">
        <v>12</v>
      </c>
    </row>
    <row r="56" spans="2:15" x14ac:dyDescent="0.3">
      <c r="B56" s="8" t="s">
        <v>1706</v>
      </c>
      <c r="C56" s="11">
        <v>1873.606</v>
      </c>
      <c r="D56">
        <v>30</v>
      </c>
      <c r="N56" s="8" t="s">
        <v>1524</v>
      </c>
      <c r="O56">
        <v>12</v>
      </c>
    </row>
    <row r="57" spans="2:15" x14ac:dyDescent="0.3">
      <c r="B57" s="8" t="s">
        <v>543</v>
      </c>
      <c r="C57" s="11">
        <v>1745.71</v>
      </c>
      <c r="D57">
        <v>14</v>
      </c>
      <c r="N57" s="8" t="s">
        <v>1391</v>
      </c>
      <c r="O57">
        <v>12</v>
      </c>
    </row>
    <row r="58" spans="2:15" x14ac:dyDescent="0.3">
      <c r="B58" s="8" t="s">
        <v>1845</v>
      </c>
      <c r="C58" s="11">
        <v>1717.9699999999998</v>
      </c>
      <c r="D58">
        <v>14</v>
      </c>
      <c r="N58" s="8" t="s">
        <v>1612</v>
      </c>
      <c r="O58">
        <v>12</v>
      </c>
    </row>
    <row r="59" spans="2:15" x14ac:dyDescent="0.3">
      <c r="B59" s="8" t="s">
        <v>2922</v>
      </c>
      <c r="C59" s="11">
        <v>52065.38</v>
      </c>
      <c r="D59">
        <v>340</v>
      </c>
      <c r="N59" s="8" t="s">
        <v>2922</v>
      </c>
      <c r="O59">
        <v>282</v>
      </c>
    </row>
    <row r="60" spans="2:15" x14ac:dyDescent="0.3"/>
    <row r="61" spans="2:15" x14ac:dyDescent="0.3"/>
    <row r="62" spans="2:15" x14ac:dyDescent="0.3"/>
    <row r="63" spans="2:15" x14ac:dyDescent="0.3"/>
    <row r="64" spans="2:15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</sheetData>
  <sheetProtection selectLockedCells="1" pivotTables="0"/>
  <mergeCells count="3">
    <mergeCell ref="B1:P1"/>
    <mergeCell ref="B35:D36"/>
    <mergeCell ref="N35:O36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26E4-E125-453D-A369-6427BCE68CF6}">
  <dimension ref="B2:C852"/>
  <sheetViews>
    <sheetView workbookViewId="0">
      <selection activeCell="B9" sqref="B9"/>
    </sheetView>
  </sheetViews>
  <sheetFormatPr defaultRowHeight="14.4" x14ac:dyDescent="0.3"/>
  <cols>
    <col min="2" max="2" width="17.21875" bestFit="1" customWidth="1"/>
    <col min="3" max="3" width="19.88671875" bestFit="1" customWidth="1"/>
  </cols>
  <sheetData>
    <row r="2" spans="2:3" x14ac:dyDescent="0.3">
      <c r="B2" s="7" t="s">
        <v>2921</v>
      </c>
      <c r="C2" t="s">
        <v>2924</v>
      </c>
    </row>
    <row r="3" spans="2:3" x14ac:dyDescent="0.3">
      <c r="B3" s="8" t="s">
        <v>3287</v>
      </c>
      <c r="C3" s="3">
        <v>147883.03300000005</v>
      </c>
    </row>
    <row r="4" spans="2:3" x14ac:dyDescent="0.3">
      <c r="B4" s="9" t="s">
        <v>2926</v>
      </c>
      <c r="C4" s="3">
        <v>19.440000000000001</v>
      </c>
    </row>
    <row r="5" spans="2:3" x14ac:dyDescent="0.3">
      <c r="B5" s="9" t="s">
        <v>2927</v>
      </c>
      <c r="C5" s="3">
        <v>1679.7490000000003</v>
      </c>
    </row>
    <row r="6" spans="2:3" x14ac:dyDescent="0.3">
      <c r="B6" s="9" t="s">
        <v>3138</v>
      </c>
      <c r="C6" s="3">
        <v>64.864000000000004</v>
      </c>
    </row>
    <row r="7" spans="2:3" x14ac:dyDescent="0.3">
      <c r="B7" s="9" t="s">
        <v>3139</v>
      </c>
      <c r="C7" s="3">
        <v>378.59400000000005</v>
      </c>
    </row>
    <row r="8" spans="2:3" x14ac:dyDescent="0.3">
      <c r="B8" s="9" t="s">
        <v>3140</v>
      </c>
      <c r="C8" s="3">
        <v>38.659999999999997</v>
      </c>
    </row>
    <row r="9" spans="2:3" x14ac:dyDescent="0.3">
      <c r="B9" s="9" t="s">
        <v>2928</v>
      </c>
      <c r="C9" s="3">
        <v>40.08</v>
      </c>
    </row>
    <row r="10" spans="2:3" x14ac:dyDescent="0.3">
      <c r="B10" s="9" t="s">
        <v>2930</v>
      </c>
      <c r="C10" s="3">
        <v>426.67</v>
      </c>
    </row>
    <row r="11" spans="2:3" x14ac:dyDescent="0.3">
      <c r="B11" s="9" t="s">
        <v>3147</v>
      </c>
      <c r="C11" s="3">
        <v>290.666</v>
      </c>
    </row>
    <row r="12" spans="2:3" x14ac:dyDescent="0.3">
      <c r="B12" s="9" t="s">
        <v>3149</v>
      </c>
      <c r="C12" s="3">
        <v>12.350000000000001</v>
      </c>
    </row>
    <row r="13" spans="2:3" x14ac:dyDescent="0.3">
      <c r="B13" s="9" t="s">
        <v>2932</v>
      </c>
      <c r="C13" s="3">
        <v>97.112000000000009</v>
      </c>
    </row>
    <row r="14" spans="2:3" x14ac:dyDescent="0.3">
      <c r="B14" s="9" t="s">
        <v>3150</v>
      </c>
      <c r="C14" s="3">
        <v>134.38399999999999</v>
      </c>
    </row>
    <row r="15" spans="2:3" x14ac:dyDescent="0.3">
      <c r="B15" s="9" t="s">
        <v>3153</v>
      </c>
      <c r="C15" s="3">
        <v>14.56</v>
      </c>
    </row>
    <row r="16" spans="2:3" x14ac:dyDescent="0.3">
      <c r="B16" s="9" t="s">
        <v>3156</v>
      </c>
      <c r="C16" s="3">
        <v>129.56800000000001</v>
      </c>
    </row>
    <row r="17" spans="2:3" x14ac:dyDescent="0.3">
      <c r="B17" s="9" t="s">
        <v>3158</v>
      </c>
      <c r="C17" s="3">
        <v>560.54999999999995</v>
      </c>
    </row>
    <row r="18" spans="2:3" x14ac:dyDescent="0.3">
      <c r="B18" s="9" t="s">
        <v>2935</v>
      </c>
      <c r="C18" s="3">
        <v>21.36</v>
      </c>
    </row>
    <row r="19" spans="2:3" x14ac:dyDescent="0.3">
      <c r="B19" s="9" t="s">
        <v>3160</v>
      </c>
      <c r="C19" s="3">
        <v>12.96</v>
      </c>
    </row>
    <row r="20" spans="2:3" x14ac:dyDescent="0.3">
      <c r="B20" s="9" t="s">
        <v>3161</v>
      </c>
      <c r="C20" s="3">
        <v>19.440000000000001</v>
      </c>
    </row>
    <row r="21" spans="2:3" x14ac:dyDescent="0.3">
      <c r="B21" s="9" t="s">
        <v>3162</v>
      </c>
      <c r="C21" s="3">
        <v>55.672000000000004</v>
      </c>
    </row>
    <row r="22" spans="2:3" x14ac:dyDescent="0.3">
      <c r="B22" s="9" t="s">
        <v>2940</v>
      </c>
      <c r="C22" s="3">
        <v>457.56800000000004</v>
      </c>
    </row>
    <row r="23" spans="2:3" x14ac:dyDescent="0.3">
      <c r="B23" s="9" t="s">
        <v>3163</v>
      </c>
      <c r="C23" s="3">
        <v>626.35200000000009</v>
      </c>
    </row>
    <row r="24" spans="2:3" x14ac:dyDescent="0.3">
      <c r="B24" s="9" t="s">
        <v>3166</v>
      </c>
      <c r="C24" s="3">
        <v>1561.0620000000001</v>
      </c>
    </row>
    <row r="25" spans="2:3" x14ac:dyDescent="0.3">
      <c r="B25" s="9" t="s">
        <v>3168</v>
      </c>
      <c r="C25" s="3">
        <v>719.57600000000014</v>
      </c>
    </row>
    <row r="26" spans="2:3" x14ac:dyDescent="0.3">
      <c r="B26" s="9" t="s">
        <v>3169</v>
      </c>
      <c r="C26" s="3">
        <v>7.98</v>
      </c>
    </row>
    <row r="27" spans="2:3" x14ac:dyDescent="0.3">
      <c r="B27" s="9" t="s">
        <v>2945</v>
      </c>
      <c r="C27" s="3">
        <v>294.21600000000001</v>
      </c>
    </row>
    <row r="28" spans="2:3" x14ac:dyDescent="0.3">
      <c r="B28" s="9" t="s">
        <v>3172</v>
      </c>
      <c r="C28" s="3">
        <v>4445.4879999999994</v>
      </c>
    </row>
    <row r="29" spans="2:3" x14ac:dyDescent="0.3">
      <c r="B29" s="9" t="s">
        <v>2950</v>
      </c>
      <c r="C29" s="3">
        <v>388.70399999999995</v>
      </c>
    </row>
    <row r="30" spans="2:3" x14ac:dyDescent="0.3">
      <c r="B30" s="9" t="s">
        <v>2951</v>
      </c>
      <c r="C30" s="3">
        <v>935.15199999999993</v>
      </c>
    </row>
    <row r="31" spans="2:3" x14ac:dyDescent="0.3">
      <c r="B31" s="9" t="s">
        <v>2952</v>
      </c>
      <c r="C31" s="3">
        <v>40.479999999999997</v>
      </c>
    </row>
    <row r="32" spans="2:3" x14ac:dyDescent="0.3">
      <c r="B32" s="9" t="s">
        <v>3174</v>
      </c>
      <c r="C32" s="3">
        <v>92.36</v>
      </c>
    </row>
    <row r="33" spans="2:3" x14ac:dyDescent="0.3">
      <c r="B33" s="9" t="s">
        <v>2953</v>
      </c>
      <c r="C33" s="3">
        <v>145.13000000000002</v>
      </c>
    </row>
    <row r="34" spans="2:3" x14ac:dyDescent="0.3">
      <c r="B34" s="9" t="s">
        <v>2955</v>
      </c>
      <c r="C34" s="3">
        <v>302.37599999999998</v>
      </c>
    </row>
    <row r="35" spans="2:3" x14ac:dyDescent="0.3">
      <c r="B35" s="9" t="s">
        <v>3175</v>
      </c>
      <c r="C35" s="3">
        <v>265.90600000000001</v>
      </c>
    </row>
    <row r="36" spans="2:3" x14ac:dyDescent="0.3">
      <c r="B36" s="9" t="s">
        <v>3176</v>
      </c>
      <c r="C36" s="3">
        <v>726.54800000000012</v>
      </c>
    </row>
    <row r="37" spans="2:3" x14ac:dyDescent="0.3">
      <c r="B37" s="9" t="s">
        <v>3177</v>
      </c>
      <c r="C37" s="3">
        <v>46.688000000000002</v>
      </c>
    </row>
    <row r="38" spans="2:3" x14ac:dyDescent="0.3">
      <c r="B38" s="9" t="s">
        <v>3178</v>
      </c>
      <c r="C38" s="3">
        <v>233.45</v>
      </c>
    </row>
    <row r="39" spans="2:3" x14ac:dyDescent="0.3">
      <c r="B39" s="9" t="s">
        <v>3179</v>
      </c>
      <c r="C39" s="3">
        <v>26.084</v>
      </c>
    </row>
    <row r="40" spans="2:3" x14ac:dyDescent="0.3">
      <c r="B40" s="9" t="s">
        <v>3180</v>
      </c>
      <c r="C40" s="3">
        <v>1323.9280000000001</v>
      </c>
    </row>
    <row r="41" spans="2:3" x14ac:dyDescent="0.3">
      <c r="B41" s="9" t="s">
        <v>3181</v>
      </c>
      <c r="C41" s="3">
        <v>570.72</v>
      </c>
    </row>
    <row r="42" spans="2:3" x14ac:dyDescent="0.3">
      <c r="B42" s="9" t="s">
        <v>2961</v>
      </c>
      <c r="C42" s="3">
        <v>419.68799999999999</v>
      </c>
    </row>
    <row r="43" spans="2:3" x14ac:dyDescent="0.3">
      <c r="B43" s="9" t="s">
        <v>2962</v>
      </c>
      <c r="C43" s="3">
        <v>1879.7230000000002</v>
      </c>
    </row>
    <row r="44" spans="2:3" x14ac:dyDescent="0.3">
      <c r="B44" s="9" t="s">
        <v>3182</v>
      </c>
      <c r="C44" s="3">
        <v>294.71999999999997</v>
      </c>
    </row>
    <row r="45" spans="2:3" x14ac:dyDescent="0.3">
      <c r="B45" s="9" t="s">
        <v>2966</v>
      </c>
      <c r="C45" s="3">
        <v>323.45800000000003</v>
      </c>
    </row>
    <row r="46" spans="2:3" x14ac:dyDescent="0.3">
      <c r="B46" s="9" t="s">
        <v>3184</v>
      </c>
      <c r="C46" s="3">
        <v>76.14</v>
      </c>
    </row>
    <row r="47" spans="2:3" x14ac:dyDescent="0.3">
      <c r="B47" s="9" t="s">
        <v>3185</v>
      </c>
      <c r="C47" s="3">
        <v>59.92</v>
      </c>
    </row>
    <row r="48" spans="2:3" x14ac:dyDescent="0.3">
      <c r="B48" s="9" t="s">
        <v>3186</v>
      </c>
      <c r="C48" s="3">
        <v>16.520000000000003</v>
      </c>
    </row>
    <row r="49" spans="2:3" x14ac:dyDescent="0.3">
      <c r="B49" s="9" t="s">
        <v>3187</v>
      </c>
      <c r="C49" s="3">
        <v>48.91</v>
      </c>
    </row>
    <row r="50" spans="2:3" x14ac:dyDescent="0.3">
      <c r="B50" s="9" t="s">
        <v>2968</v>
      </c>
      <c r="C50" s="3">
        <v>2061.0100000000002</v>
      </c>
    </row>
    <row r="51" spans="2:3" x14ac:dyDescent="0.3">
      <c r="B51" s="9" t="s">
        <v>2969</v>
      </c>
      <c r="C51" s="3">
        <v>282.56800000000004</v>
      </c>
    </row>
    <row r="52" spans="2:3" x14ac:dyDescent="0.3">
      <c r="B52" s="9" t="s">
        <v>3189</v>
      </c>
      <c r="C52" s="3">
        <v>1679.96</v>
      </c>
    </row>
    <row r="53" spans="2:3" x14ac:dyDescent="0.3">
      <c r="B53" s="9" t="s">
        <v>3192</v>
      </c>
      <c r="C53" s="3">
        <v>69.86</v>
      </c>
    </row>
    <row r="54" spans="2:3" x14ac:dyDescent="0.3">
      <c r="B54" s="9" t="s">
        <v>3194</v>
      </c>
      <c r="C54" s="3">
        <v>254.45599999999999</v>
      </c>
    </row>
    <row r="55" spans="2:3" x14ac:dyDescent="0.3">
      <c r="B55" s="9" t="s">
        <v>3196</v>
      </c>
      <c r="C55" s="3">
        <v>235.76999999999998</v>
      </c>
    </row>
    <row r="56" spans="2:3" x14ac:dyDescent="0.3">
      <c r="B56" s="9" t="s">
        <v>2975</v>
      </c>
      <c r="C56" s="3">
        <v>1971.5140000000004</v>
      </c>
    </row>
    <row r="57" spans="2:3" x14ac:dyDescent="0.3">
      <c r="B57" s="9" t="s">
        <v>3197</v>
      </c>
      <c r="C57" s="3">
        <v>492.92600000000004</v>
      </c>
    </row>
    <row r="58" spans="2:3" x14ac:dyDescent="0.3">
      <c r="B58" s="9" t="s">
        <v>3199</v>
      </c>
      <c r="C58" s="3">
        <v>289.27999999999997</v>
      </c>
    </row>
    <row r="59" spans="2:3" x14ac:dyDescent="0.3">
      <c r="B59" s="9" t="s">
        <v>2980</v>
      </c>
      <c r="C59" s="3">
        <v>31.84</v>
      </c>
    </row>
    <row r="60" spans="2:3" x14ac:dyDescent="0.3">
      <c r="B60" s="9" t="s">
        <v>2982</v>
      </c>
      <c r="C60" s="3">
        <v>12.96</v>
      </c>
    </row>
    <row r="61" spans="2:3" x14ac:dyDescent="0.3">
      <c r="B61" s="9" t="s">
        <v>2984</v>
      </c>
      <c r="C61" s="3">
        <v>849.93000000000006</v>
      </c>
    </row>
    <row r="62" spans="2:3" x14ac:dyDescent="0.3">
      <c r="B62" s="9" t="s">
        <v>3204</v>
      </c>
      <c r="C62" s="3">
        <v>2139.9339999999997</v>
      </c>
    </row>
    <row r="63" spans="2:3" x14ac:dyDescent="0.3">
      <c r="B63" s="9" t="s">
        <v>2985</v>
      </c>
      <c r="C63" s="3">
        <v>221.96800000000002</v>
      </c>
    </row>
    <row r="64" spans="2:3" x14ac:dyDescent="0.3">
      <c r="B64" s="9" t="s">
        <v>3206</v>
      </c>
      <c r="C64" s="3">
        <v>133.12800000000001</v>
      </c>
    </row>
    <row r="65" spans="2:3" x14ac:dyDescent="0.3">
      <c r="B65" s="9" t="s">
        <v>3207</v>
      </c>
      <c r="C65" s="3">
        <v>515.88</v>
      </c>
    </row>
    <row r="66" spans="2:3" x14ac:dyDescent="0.3">
      <c r="B66" s="9" t="s">
        <v>3209</v>
      </c>
      <c r="C66" s="3">
        <v>585.55200000000002</v>
      </c>
    </row>
    <row r="67" spans="2:3" x14ac:dyDescent="0.3">
      <c r="B67" s="9" t="s">
        <v>2991</v>
      </c>
      <c r="C67" s="3">
        <v>3879.364</v>
      </c>
    </row>
    <row r="68" spans="2:3" x14ac:dyDescent="0.3">
      <c r="B68" s="9" t="s">
        <v>2992</v>
      </c>
      <c r="C68" s="3">
        <v>14.52</v>
      </c>
    </row>
    <row r="69" spans="2:3" x14ac:dyDescent="0.3">
      <c r="B69" s="9" t="s">
        <v>3214</v>
      </c>
      <c r="C69" s="3">
        <v>3290.5160000000001</v>
      </c>
    </row>
    <row r="70" spans="2:3" x14ac:dyDescent="0.3">
      <c r="B70" s="9" t="s">
        <v>2994</v>
      </c>
      <c r="C70" s="3">
        <v>139.80000000000001</v>
      </c>
    </row>
    <row r="71" spans="2:3" x14ac:dyDescent="0.3">
      <c r="B71" s="9" t="s">
        <v>3215</v>
      </c>
      <c r="C71" s="3">
        <v>36.252000000000002</v>
      </c>
    </row>
    <row r="72" spans="2:3" x14ac:dyDescent="0.3">
      <c r="B72" s="9" t="s">
        <v>2997</v>
      </c>
      <c r="C72" s="3">
        <v>204.97800000000001</v>
      </c>
    </row>
    <row r="73" spans="2:3" x14ac:dyDescent="0.3">
      <c r="B73" s="9" t="s">
        <v>3216</v>
      </c>
      <c r="C73" s="3">
        <v>4.2720000000000002</v>
      </c>
    </row>
    <row r="74" spans="2:3" x14ac:dyDescent="0.3">
      <c r="B74" s="9" t="s">
        <v>2999</v>
      </c>
      <c r="C74" s="3">
        <v>792.76</v>
      </c>
    </row>
    <row r="75" spans="2:3" x14ac:dyDescent="0.3">
      <c r="B75" s="9" t="s">
        <v>3220</v>
      </c>
      <c r="C75" s="3">
        <v>32.400000000000006</v>
      </c>
    </row>
    <row r="76" spans="2:3" x14ac:dyDescent="0.3">
      <c r="B76" s="9" t="s">
        <v>3221</v>
      </c>
      <c r="C76" s="3">
        <v>19.920000000000002</v>
      </c>
    </row>
    <row r="77" spans="2:3" x14ac:dyDescent="0.3">
      <c r="B77" s="9" t="s">
        <v>3001</v>
      </c>
      <c r="C77" s="3">
        <v>209.96800000000002</v>
      </c>
    </row>
    <row r="78" spans="2:3" x14ac:dyDescent="0.3">
      <c r="B78" s="9" t="s">
        <v>3224</v>
      </c>
      <c r="C78" s="3">
        <v>180.96000000000004</v>
      </c>
    </row>
    <row r="79" spans="2:3" x14ac:dyDescent="0.3">
      <c r="B79" s="9" t="s">
        <v>3002</v>
      </c>
      <c r="C79" s="3">
        <v>478.48</v>
      </c>
    </row>
    <row r="80" spans="2:3" x14ac:dyDescent="0.3">
      <c r="B80" s="9" t="s">
        <v>3226</v>
      </c>
      <c r="C80" s="3">
        <v>699.19200000000001</v>
      </c>
    </row>
    <row r="81" spans="2:3" x14ac:dyDescent="0.3">
      <c r="B81" s="9" t="s">
        <v>3227</v>
      </c>
      <c r="C81" s="3">
        <v>240.80100000000002</v>
      </c>
    </row>
    <row r="82" spans="2:3" x14ac:dyDescent="0.3">
      <c r="B82" s="9" t="s">
        <v>3228</v>
      </c>
      <c r="C82" s="3">
        <v>1346.1499999999999</v>
      </c>
    </row>
    <row r="83" spans="2:3" x14ac:dyDescent="0.3">
      <c r="B83" s="9" t="s">
        <v>3229</v>
      </c>
      <c r="C83" s="3">
        <v>351.21600000000001</v>
      </c>
    </row>
    <row r="84" spans="2:3" x14ac:dyDescent="0.3">
      <c r="B84" s="9" t="s">
        <v>3005</v>
      </c>
      <c r="C84" s="3">
        <v>55.92</v>
      </c>
    </row>
    <row r="85" spans="2:3" x14ac:dyDescent="0.3">
      <c r="B85" s="9" t="s">
        <v>3008</v>
      </c>
      <c r="C85" s="3">
        <v>259.13600000000002</v>
      </c>
    </row>
    <row r="86" spans="2:3" x14ac:dyDescent="0.3">
      <c r="B86" s="9" t="s">
        <v>3009</v>
      </c>
      <c r="C86" s="3">
        <v>6.0960000000000001</v>
      </c>
    </row>
    <row r="87" spans="2:3" x14ac:dyDescent="0.3">
      <c r="B87" s="9" t="s">
        <v>3231</v>
      </c>
      <c r="C87" s="3">
        <v>891.46599999999989</v>
      </c>
    </row>
    <row r="88" spans="2:3" x14ac:dyDescent="0.3">
      <c r="B88" s="9" t="s">
        <v>3232</v>
      </c>
      <c r="C88" s="3">
        <v>1173.6160000000002</v>
      </c>
    </row>
    <row r="89" spans="2:3" x14ac:dyDescent="0.3">
      <c r="B89" s="9" t="s">
        <v>3233</v>
      </c>
      <c r="C89" s="3">
        <v>1155.7720000000002</v>
      </c>
    </row>
    <row r="90" spans="2:3" x14ac:dyDescent="0.3">
      <c r="B90" s="9" t="s">
        <v>3234</v>
      </c>
      <c r="C90" s="3">
        <v>2513.2039999999997</v>
      </c>
    </row>
    <row r="91" spans="2:3" x14ac:dyDescent="0.3">
      <c r="B91" s="9" t="s">
        <v>3010</v>
      </c>
      <c r="C91" s="3">
        <v>8341.2899999999991</v>
      </c>
    </row>
    <row r="92" spans="2:3" x14ac:dyDescent="0.3">
      <c r="B92" s="9" t="s">
        <v>3011</v>
      </c>
      <c r="C92" s="3">
        <v>2003.2460000000003</v>
      </c>
    </row>
    <row r="93" spans="2:3" x14ac:dyDescent="0.3">
      <c r="B93" s="9" t="s">
        <v>3236</v>
      </c>
      <c r="C93" s="3">
        <v>514.28</v>
      </c>
    </row>
    <row r="94" spans="2:3" x14ac:dyDescent="0.3">
      <c r="B94" s="9" t="s">
        <v>3012</v>
      </c>
      <c r="C94" s="3">
        <v>1367.84</v>
      </c>
    </row>
    <row r="95" spans="2:3" x14ac:dyDescent="0.3">
      <c r="B95" s="9" t="s">
        <v>3013</v>
      </c>
      <c r="C95" s="3">
        <v>19.752000000000002</v>
      </c>
    </row>
    <row r="96" spans="2:3" x14ac:dyDescent="0.3">
      <c r="B96" s="9" t="s">
        <v>3240</v>
      </c>
      <c r="C96" s="3">
        <v>314.37400000000002</v>
      </c>
    </row>
    <row r="97" spans="2:3" x14ac:dyDescent="0.3">
      <c r="B97" s="9" t="s">
        <v>3241</v>
      </c>
      <c r="C97" s="3">
        <v>2126.0340000000001</v>
      </c>
    </row>
    <row r="98" spans="2:3" x14ac:dyDescent="0.3">
      <c r="B98" s="9" t="s">
        <v>3242</v>
      </c>
      <c r="C98" s="3">
        <v>550.1640000000001</v>
      </c>
    </row>
    <row r="99" spans="2:3" x14ac:dyDescent="0.3">
      <c r="B99" s="9" t="s">
        <v>3016</v>
      </c>
      <c r="C99" s="3">
        <v>2690.4480000000003</v>
      </c>
    </row>
    <row r="100" spans="2:3" x14ac:dyDescent="0.3">
      <c r="B100" s="9" t="s">
        <v>3243</v>
      </c>
      <c r="C100" s="3">
        <v>3411.7490000000003</v>
      </c>
    </row>
    <row r="101" spans="2:3" x14ac:dyDescent="0.3">
      <c r="B101" s="9" t="s">
        <v>3244</v>
      </c>
      <c r="C101" s="3">
        <v>76.28</v>
      </c>
    </row>
    <row r="102" spans="2:3" x14ac:dyDescent="0.3">
      <c r="B102" s="9" t="s">
        <v>3245</v>
      </c>
      <c r="C102" s="3">
        <v>891.77600000000007</v>
      </c>
    </row>
    <row r="103" spans="2:3" x14ac:dyDescent="0.3">
      <c r="B103" s="9" t="s">
        <v>3019</v>
      </c>
      <c r="C103" s="3">
        <v>505.28200000000004</v>
      </c>
    </row>
    <row r="104" spans="2:3" x14ac:dyDescent="0.3">
      <c r="B104" s="9" t="s">
        <v>3248</v>
      </c>
      <c r="C104" s="3">
        <v>358.69600000000003</v>
      </c>
    </row>
    <row r="105" spans="2:3" x14ac:dyDescent="0.3">
      <c r="B105" s="9" t="s">
        <v>3251</v>
      </c>
      <c r="C105" s="3">
        <v>473.94400000000007</v>
      </c>
    </row>
    <row r="106" spans="2:3" x14ac:dyDescent="0.3">
      <c r="B106" s="9" t="s">
        <v>3023</v>
      </c>
      <c r="C106" s="3">
        <v>8.2880000000000003</v>
      </c>
    </row>
    <row r="107" spans="2:3" x14ac:dyDescent="0.3">
      <c r="B107" s="9" t="s">
        <v>3024</v>
      </c>
      <c r="C107" s="3">
        <v>1184.0840000000003</v>
      </c>
    </row>
    <row r="108" spans="2:3" x14ac:dyDescent="0.3">
      <c r="B108" s="9" t="s">
        <v>3252</v>
      </c>
      <c r="C108" s="3">
        <v>176.8</v>
      </c>
    </row>
    <row r="109" spans="2:3" x14ac:dyDescent="0.3">
      <c r="B109" s="9" t="s">
        <v>3025</v>
      </c>
      <c r="C109" s="3">
        <v>244.76000000000002</v>
      </c>
    </row>
    <row r="110" spans="2:3" x14ac:dyDescent="0.3">
      <c r="B110" s="9" t="s">
        <v>3253</v>
      </c>
      <c r="C110" s="3">
        <v>123.28</v>
      </c>
    </row>
    <row r="111" spans="2:3" x14ac:dyDescent="0.3">
      <c r="B111" s="9" t="s">
        <v>3027</v>
      </c>
      <c r="C111" s="3">
        <v>92.52</v>
      </c>
    </row>
    <row r="112" spans="2:3" x14ac:dyDescent="0.3">
      <c r="B112" s="9" t="s">
        <v>3028</v>
      </c>
      <c r="C112" s="3">
        <v>53.94</v>
      </c>
    </row>
    <row r="113" spans="2:3" x14ac:dyDescent="0.3">
      <c r="B113" s="9" t="s">
        <v>3032</v>
      </c>
      <c r="C113" s="3">
        <v>100.36</v>
      </c>
    </row>
    <row r="114" spans="2:3" x14ac:dyDescent="0.3">
      <c r="B114" s="9" t="s">
        <v>3033</v>
      </c>
      <c r="C114" s="3">
        <v>131.84000000000003</v>
      </c>
    </row>
    <row r="115" spans="2:3" x14ac:dyDescent="0.3">
      <c r="B115" s="9" t="s">
        <v>3034</v>
      </c>
      <c r="C115" s="3">
        <v>1905.7479999999998</v>
      </c>
    </row>
    <row r="116" spans="2:3" x14ac:dyDescent="0.3">
      <c r="B116" s="9" t="s">
        <v>3035</v>
      </c>
      <c r="C116" s="3">
        <v>1508.768</v>
      </c>
    </row>
    <row r="117" spans="2:3" x14ac:dyDescent="0.3">
      <c r="B117" s="9" t="s">
        <v>3036</v>
      </c>
      <c r="C117" s="3">
        <v>127.94999999999999</v>
      </c>
    </row>
    <row r="118" spans="2:3" x14ac:dyDescent="0.3">
      <c r="B118" s="9" t="s">
        <v>3038</v>
      </c>
      <c r="C118" s="3">
        <v>641.13</v>
      </c>
    </row>
    <row r="119" spans="2:3" x14ac:dyDescent="0.3">
      <c r="B119" s="9" t="s">
        <v>3040</v>
      </c>
      <c r="C119" s="3">
        <v>762.02300000000002</v>
      </c>
    </row>
    <row r="120" spans="2:3" x14ac:dyDescent="0.3">
      <c r="B120" s="9" t="s">
        <v>3042</v>
      </c>
      <c r="C120" s="3">
        <v>179.26499999999999</v>
      </c>
    </row>
    <row r="121" spans="2:3" x14ac:dyDescent="0.3">
      <c r="B121" s="9" t="s">
        <v>3043</v>
      </c>
      <c r="C121" s="3">
        <v>104.392</v>
      </c>
    </row>
    <row r="122" spans="2:3" x14ac:dyDescent="0.3">
      <c r="B122" s="9" t="s">
        <v>3044</v>
      </c>
      <c r="C122" s="3">
        <v>2497.6379999999999</v>
      </c>
    </row>
    <row r="123" spans="2:3" x14ac:dyDescent="0.3">
      <c r="B123" s="9" t="s">
        <v>3045</v>
      </c>
      <c r="C123" s="3">
        <v>210.13</v>
      </c>
    </row>
    <row r="124" spans="2:3" x14ac:dyDescent="0.3">
      <c r="B124" s="9" t="s">
        <v>3258</v>
      </c>
      <c r="C124" s="3">
        <v>519.98300000000006</v>
      </c>
    </row>
    <row r="125" spans="2:3" x14ac:dyDescent="0.3">
      <c r="B125" s="9" t="s">
        <v>3046</v>
      </c>
      <c r="C125" s="3">
        <v>211.96</v>
      </c>
    </row>
    <row r="126" spans="2:3" x14ac:dyDescent="0.3">
      <c r="B126" s="9" t="s">
        <v>3047</v>
      </c>
      <c r="C126" s="3">
        <v>14.576000000000001</v>
      </c>
    </row>
    <row r="127" spans="2:3" x14ac:dyDescent="0.3">
      <c r="B127" s="9" t="s">
        <v>3048</v>
      </c>
      <c r="C127" s="3">
        <v>1060.68</v>
      </c>
    </row>
    <row r="128" spans="2:3" x14ac:dyDescent="0.3">
      <c r="B128" s="9" t="s">
        <v>3049</v>
      </c>
      <c r="C128" s="3">
        <v>685.9</v>
      </c>
    </row>
    <row r="129" spans="2:3" x14ac:dyDescent="0.3">
      <c r="B129" s="9" t="s">
        <v>3259</v>
      </c>
      <c r="C129" s="3">
        <v>4141.0780000000004</v>
      </c>
    </row>
    <row r="130" spans="2:3" x14ac:dyDescent="0.3">
      <c r="B130" s="9" t="s">
        <v>3260</v>
      </c>
      <c r="C130" s="3">
        <v>43.176000000000002</v>
      </c>
    </row>
    <row r="131" spans="2:3" x14ac:dyDescent="0.3">
      <c r="B131" s="9" t="s">
        <v>3051</v>
      </c>
      <c r="C131" s="3">
        <v>4.71</v>
      </c>
    </row>
    <row r="132" spans="2:3" x14ac:dyDescent="0.3">
      <c r="B132" s="9" t="s">
        <v>3052</v>
      </c>
      <c r="C132" s="3">
        <v>598.14400000000001</v>
      </c>
    </row>
    <row r="133" spans="2:3" x14ac:dyDescent="0.3">
      <c r="B133" s="9" t="s">
        <v>3053</v>
      </c>
      <c r="C133" s="3">
        <v>265.78399999999999</v>
      </c>
    </row>
    <row r="134" spans="2:3" x14ac:dyDescent="0.3">
      <c r="B134" s="9" t="s">
        <v>3054</v>
      </c>
      <c r="C134" s="3">
        <v>139.33800000000002</v>
      </c>
    </row>
    <row r="135" spans="2:3" x14ac:dyDescent="0.3">
      <c r="B135" s="9" t="s">
        <v>3055</v>
      </c>
      <c r="C135" s="3">
        <v>99.98</v>
      </c>
    </row>
    <row r="136" spans="2:3" x14ac:dyDescent="0.3">
      <c r="B136" s="9" t="s">
        <v>3261</v>
      </c>
      <c r="C136" s="3">
        <v>9.09</v>
      </c>
    </row>
    <row r="137" spans="2:3" x14ac:dyDescent="0.3">
      <c r="B137" s="9" t="s">
        <v>3263</v>
      </c>
      <c r="C137" s="3">
        <v>160.59200000000001</v>
      </c>
    </row>
    <row r="138" spans="2:3" x14ac:dyDescent="0.3">
      <c r="B138" s="9" t="s">
        <v>3057</v>
      </c>
      <c r="C138" s="3">
        <v>440.35399999999998</v>
      </c>
    </row>
    <row r="139" spans="2:3" x14ac:dyDescent="0.3">
      <c r="B139" s="9" t="s">
        <v>3264</v>
      </c>
      <c r="C139" s="3">
        <v>881.59800000000007</v>
      </c>
    </row>
    <row r="140" spans="2:3" x14ac:dyDescent="0.3">
      <c r="B140" s="9" t="s">
        <v>3058</v>
      </c>
      <c r="C140" s="3">
        <v>36.29</v>
      </c>
    </row>
    <row r="141" spans="2:3" x14ac:dyDescent="0.3">
      <c r="B141" s="9" t="s">
        <v>3265</v>
      </c>
      <c r="C141" s="3">
        <v>1549.77</v>
      </c>
    </row>
    <row r="142" spans="2:3" x14ac:dyDescent="0.3">
      <c r="B142" s="9" t="s">
        <v>3268</v>
      </c>
      <c r="C142" s="3">
        <v>194.322</v>
      </c>
    </row>
    <row r="143" spans="2:3" x14ac:dyDescent="0.3">
      <c r="B143" s="9" t="s">
        <v>3060</v>
      </c>
      <c r="C143" s="3">
        <v>63.304000000000002</v>
      </c>
    </row>
    <row r="144" spans="2:3" x14ac:dyDescent="0.3">
      <c r="B144" s="9" t="s">
        <v>3061</v>
      </c>
      <c r="C144" s="3">
        <v>641.10400000000004</v>
      </c>
    </row>
    <row r="145" spans="2:3" x14ac:dyDescent="0.3">
      <c r="B145" s="9" t="s">
        <v>3269</v>
      </c>
      <c r="C145" s="3">
        <v>36.36</v>
      </c>
    </row>
    <row r="146" spans="2:3" x14ac:dyDescent="0.3">
      <c r="B146" s="9" t="s">
        <v>3064</v>
      </c>
      <c r="C146" s="3">
        <v>34.271999999999998</v>
      </c>
    </row>
    <row r="147" spans="2:3" x14ac:dyDescent="0.3">
      <c r="B147" s="9" t="s">
        <v>3065</v>
      </c>
      <c r="C147" s="3">
        <v>49.408000000000001</v>
      </c>
    </row>
    <row r="148" spans="2:3" x14ac:dyDescent="0.3">
      <c r="B148" s="9" t="s">
        <v>3066</v>
      </c>
      <c r="C148" s="3">
        <v>447.88000000000005</v>
      </c>
    </row>
    <row r="149" spans="2:3" x14ac:dyDescent="0.3">
      <c r="B149" s="9" t="s">
        <v>3272</v>
      </c>
      <c r="C149" s="3">
        <v>1252.6020000000001</v>
      </c>
    </row>
    <row r="150" spans="2:3" x14ac:dyDescent="0.3">
      <c r="B150" s="9" t="s">
        <v>3069</v>
      </c>
      <c r="C150" s="3">
        <v>1823.856</v>
      </c>
    </row>
    <row r="151" spans="2:3" x14ac:dyDescent="0.3">
      <c r="B151" s="9" t="s">
        <v>3070</v>
      </c>
      <c r="C151" s="3">
        <v>2692.84</v>
      </c>
    </row>
    <row r="152" spans="2:3" x14ac:dyDescent="0.3">
      <c r="B152" s="9" t="s">
        <v>3071</v>
      </c>
      <c r="C152" s="3">
        <v>504.03600000000006</v>
      </c>
    </row>
    <row r="153" spans="2:3" x14ac:dyDescent="0.3">
      <c r="B153" s="9" t="s">
        <v>3072</v>
      </c>
      <c r="C153" s="3">
        <v>6.72</v>
      </c>
    </row>
    <row r="154" spans="2:3" x14ac:dyDescent="0.3">
      <c r="B154" s="9" t="s">
        <v>3273</v>
      </c>
      <c r="C154" s="3">
        <v>1767.6960000000001</v>
      </c>
    </row>
    <row r="155" spans="2:3" x14ac:dyDescent="0.3">
      <c r="B155" s="9" t="s">
        <v>3073</v>
      </c>
      <c r="C155" s="3">
        <v>20.04</v>
      </c>
    </row>
    <row r="156" spans="2:3" x14ac:dyDescent="0.3">
      <c r="B156" s="9" t="s">
        <v>3075</v>
      </c>
      <c r="C156" s="3">
        <v>269.83199999999999</v>
      </c>
    </row>
    <row r="157" spans="2:3" x14ac:dyDescent="0.3">
      <c r="B157" s="9" t="s">
        <v>3076</v>
      </c>
      <c r="C157" s="3">
        <v>333.57600000000002</v>
      </c>
    </row>
    <row r="158" spans="2:3" x14ac:dyDescent="0.3">
      <c r="B158" s="9" t="s">
        <v>3077</v>
      </c>
      <c r="C158" s="3">
        <v>1517.5740000000001</v>
      </c>
    </row>
    <row r="159" spans="2:3" x14ac:dyDescent="0.3">
      <c r="B159" s="9" t="s">
        <v>3078</v>
      </c>
      <c r="C159" s="3">
        <v>807.68600000000004</v>
      </c>
    </row>
    <row r="160" spans="2:3" x14ac:dyDescent="0.3">
      <c r="B160" s="9" t="s">
        <v>3274</v>
      </c>
      <c r="C160" s="3">
        <v>4176.7460000000001</v>
      </c>
    </row>
    <row r="161" spans="2:3" x14ac:dyDescent="0.3">
      <c r="B161" s="9" t="s">
        <v>3079</v>
      </c>
      <c r="C161" s="3">
        <v>641.02400000000011</v>
      </c>
    </row>
    <row r="162" spans="2:3" x14ac:dyDescent="0.3">
      <c r="B162" s="9" t="s">
        <v>3275</v>
      </c>
      <c r="C162" s="3">
        <v>813.99000000000012</v>
      </c>
    </row>
    <row r="163" spans="2:3" x14ac:dyDescent="0.3">
      <c r="B163" s="9" t="s">
        <v>3082</v>
      </c>
      <c r="C163" s="3">
        <v>736.07249999999999</v>
      </c>
    </row>
    <row r="164" spans="2:3" x14ac:dyDescent="0.3">
      <c r="B164" s="9" t="s">
        <v>3083</v>
      </c>
      <c r="C164" s="3">
        <v>1075.3699999999999</v>
      </c>
    </row>
    <row r="165" spans="2:3" x14ac:dyDescent="0.3">
      <c r="B165" s="9" t="s">
        <v>3276</v>
      </c>
      <c r="C165" s="3">
        <v>1071.508</v>
      </c>
    </row>
    <row r="166" spans="2:3" x14ac:dyDescent="0.3">
      <c r="B166" s="9" t="s">
        <v>3084</v>
      </c>
      <c r="C166" s="3">
        <v>166.44</v>
      </c>
    </row>
    <row r="167" spans="2:3" x14ac:dyDescent="0.3">
      <c r="B167" s="9" t="s">
        <v>3086</v>
      </c>
      <c r="C167" s="3">
        <v>114.53</v>
      </c>
    </row>
    <row r="168" spans="2:3" x14ac:dyDescent="0.3">
      <c r="B168" s="9" t="s">
        <v>3087</v>
      </c>
      <c r="C168" s="3">
        <v>53.820000000000007</v>
      </c>
    </row>
    <row r="169" spans="2:3" x14ac:dyDescent="0.3">
      <c r="B169" s="9" t="s">
        <v>3277</v>
      </c>
      <c r="C169" s="3">
        <v>1060.662</v>
      </c>
    </row>
    <row r="170" spans="2:3" x14ac:dyDescent="0.3">
      <c r="B170" s="9" t="s">
        <v>3088</v>
      </c>
      <c r="C170" s="3">
        <v>993.90800000000002</v>
      </c>
    </row>
    <row r="171" spans="2:3" x14ac:dyDescent="0.3">
      <c r="B171" s="9" t="s">
        <v>3278</v>
      </c>
      <c r="C171" s="3">
        <v>1695.24</v>
      </c>
    </row>
    <row r="172" spans="2:3" x14ac:dyDescent="0.3">
      <c r="B172" s="9" t="s">
        <v>3279</v>
      </c>
      <c r="C172" s="3">
        <v>1272.06</v>
      </c>
    </row>
    <row r="173" spans="2:3" x14ac:dyDescent="0.3">
      <c r="B173" s="9" t="s">
        <v>3090</v>
      </c>
      <c r="C173" s="3">
        <v>643.702</v>
      </c>
    </row>
    <row r="174" spans="2:3" x14ac:dyDescent="0.3">
      <c r="B174" s="9" t="s">
        <v>3091</v>
      </c>
      <c r="C174" s="3">
        <v>606.31999999999994</v>
      </c>
    </row>
    <row r="175" spans="2:3" x14ac:dyDescent="0.3">
      <c r="B175" s="9" t="s">
        <v>3092</v>
      </c>
      <c r="C175" s="3">
        <v>150.23200000000003</v>
      </c>
    </row>
    <row r="176" spans="2:3" x14ac:dyDescent="0.3">
      <c r="B176" s="9" t="s">
        <v>3093</v>
      </c>
      <c r="C176" s="3">
        <v>58.199999999999996</v>
      </c>
    </row>
    <row r="177" spans="2:3" x14ac:dyDescent="0.3">
      <c r="B177" s="9" t="s">
        <v>3096</v>
      </c>
      <c r="C177" s="3">
        <v>1621.8320000000001</v>
      </c>
    </row>
    <row r="178" spans="2:3" x14ac:dyDescent="0.3">
      <c r="B178" s="9" t="s">
        <v>3097</v>
      </c>
      <c r="C178" s="3">
        <v>1590.2439999999999</v>
      </c>
    </row>
    <row r="179" spans="2:3" x14ac:dyDescent="0.3">
      <c r="B179" s="9" t="s">
        <v>3098</v>
      </c>
      <c r="C179" s="3">
        <v>442.87999999999994</v>
      </c>
    </row>
    <row r="180" spans="2:3" x14ac:dyDescent="0.3">
      <c r="B180" s="9" t="s">
        <v>3099</v>
      </c>
      <c r="C180" s="3">
        <v>1034.704</v>
      </c>
    </row>
    <row r="181" spans="2:3" x14ac:dyDescent="0.3">
      <c r="B181" s="9" t="s">
        <v>3281</v>
      </c>
      <c r="C181" s="3">
        <v>135.38400000000001</v>
      </c>
    </row>
    <row r="182" spans="2:3" x14ac:dyDescent="0.3">
      <c r="B182" s="9" t="s">
        <v>3100</v>
      </c>
      <c r="C182" s="3">
        <v>455.63200000000001</v>
      </c>
    </row>
    <row r="183" spans="2:3" x14ac:dyDescent="0.3">
      <c r="B183" s="9" t="s">
        <v>3102</v>
      </c>
      <c r="C183" s="3">
        <v>4704.5405000000001</v>
      </c>
    </row>
    <row r="184" spans="2:3" x14ac:dyDescent="0.3">
      <c r="B184" s="9" t="s">
        <v>3103</v>
      </c>
      <c r="C184" s="3">
        <v>183.41399999999999</v>
      </c>
    </row>
    <row r="185" spans="2:3" x14ac:dyDescent="0.3">
      <c r="B185" s="9" t="s">
        <v>3105</v>
      </c>
      <c r="C185" s="3">
        <v>6.16</v>
      </c>
    </row>
    <row r="186" spans="2:3" x14ac:dyDescent="0.3">
      <c r="B186" s="9" t="s">
        <v>3106</v>
      </c>
      <c r="C186" s="3">
        <v>2712.1160000000004</v>
      </c>
    </row>
    <row r="187" spans="2:3" x14ac:dyDescent="0.3">
      <c r="B187" s="9" t="s">
        <v>3109</v>
      </c>
      <c r="C187" s="3">
        <v>832.13799999999992</v>
      </c>
    </row>
    <row r="188" spans="2:3" x14ac:dyDescent="0.3">
      <c r="B188" s="9" t="s">
        <v>3110</v>
      </c>
      <c r="C188" s="3">
        <v>1770.192</v>
      </c>
    </row>
    <row r="189" spans="2:3" x14ac:dyDescent="0.3">
      <c r="B189" s="9" t="s">
        <v>3111</v>
      </c>
      <c r="C189" s="3">
        <v>1897.92</v>
      </c>
    </row>
    <row r="190" spans="2:3" x14ac:dyDescent="0.3">
      <c r="B190" s="9" t="s">
        <v>3282</v>
      </c>
      <c r="C190" s="3">
        <v>11.76</v>
      </c>
    </row>
    <row r="191" spans="2:3" x14ac:dyDescent="0.3">
      <c r="B191" s="9" t="s">
        <v>3112</v>
      </c>
      <c r="C191" s="3">
        <v>1910.2740000000001</v>
      </c>
    </row>
    <row r="192" spans="2:3" x14ac:dyDescent="0.3">
      <c r="B192" s="9" t="s">
        <v>3284</v>
      </c>
      <c r="C192" s="3">
        <v>870.66200000000015</v>
      </c>
    </row>
    <row r="193" spans="2:3" x14ac:dyDescent="0.3">
      <c r="B193" s="9" t="s">
        <v>3114</v>
      </c>
      <c r="C193" s="3">
        <v>1308.7900000000002</v>
      </c>
    </row>
    <row r="194" spans="2:3" x14ac:dyDescent="0.3">
      <c r="B194" s="9" t="s">
        <v>3285</v>
      </c>
      <c r="C194" s="3">
        <v>1049.97</v>
      </c>
    </row>
    <row r="195" spans="2:3" x14ac:dyDescent="0.3">
      <c r="B195" s="9" t="s">
        <v>3286</v>
      </c>
      <c r="C195" s="3">
        <v>1831.6640000000002</v>
      </c>
    </row>
    <row r="196" spans="2:3" x14ac:dyDescent="0.3">
      <c r="B196" s="9" t="s">
        <v>3115</v>
      </c>
      <c r="C196" s="3">
        <v>551.98500000000013</v>
      </c>
    </row>
    <row r="197" spans="2:3" x14ac:dyDescent="0.3">
      <c r="B197" s="9" t="s">
        <v>3116</v>
      </c>
      <c r="C197" s="3">
        <v>475.94400000000002</v>
      </c>
    </row>
    <row r="198" spans="2:3" x14ac:dyDescent="0.3">
      <c r="B198" s="8" t="s">
        <v>2923</v>
      </c>
      <c r="C198" s="3">
        <v>139966.24950000001</v>
      </c>
    </row>
    <row r="199" spans="2:3" x14ac:dyDescent="0.3">
      <c r="B199" s="9" t="s">
        <v>2925</v>
      </c>
      <c r="C199" s="3">
        <v>205.10400000000001</v>
      </c>
    </row>
    <row r="200" spans="2:3" x14ac:dyDescent="0.3">
      <c r="B200" s="9" t="s">
        <v>2926</v>
      </c>
      <c r="C200" s="3">
        <v>31.538000000000004</v>
      </c>
    </row>
    <row r="201" spans="2:3" x14ac:dyDescent="0.3">
      <c r="B201" s="9" t="s">
        <v>2927</v>
      </c>
      <c r="C201" s="3">
        <v>612.45799999999997</v>
      </c>
    </row>
    <row r="202" spans="2:3" x14ac:dyDescent="0.3">
      <c r="B202" s="9" t="s">
        <v>2928</v>
      </c>
      <c r="C202" s="3">
        <v>43.66</v>
      </c>
    </row>
    <row r="203" spans="2:3" x14ac:dyDescent="0.3">
      <c r="B203" s="9" t="s">
        <v>2929</v>
      </c>
      <c r="C203" s="3">
        <v>182.72</v>
      </c>
    </row>
    <row r="204" spans="2:3" x14ac:dyDescent="0.3">
      <c r="B204" s="9" t="s">
        <v>2930</v>
      </c>
      <c r="C204" s="3">
        <v>2803.92</v>
      </c>
    </row>
    <row r="205" spans="2:3" x14ac:dyDescent="0.3">
      <c r="B205" s="9" t="s">
        <v>2931</v>
      </c>
      <c r="C205" s="3">
        <v>2147.3360000000002</v>
      </c>
    </row>
    <row r="206" spans="2:3" x14ac:dyDescent="0.3">
      <c r="B206" s="9" t="s">
        <v>2932</v>
      </c>
      <c r="C206" s="3">
        <v>149.06399999999999</v>
      </c>
    </row>
    <row r="207" spans="2:3" x14ac:dyDescent="0.3">
      <c r="B207" s="9" t="s">
        <v>2933</v>
      </c>
      <c r="C207" s="3">
        <v>5.28</v>
      </c>
    </row>
    <row r="208" spans="2:3" x14ac:dyDescent="0.3">
      <c r="B208" s="9" t="s">
        <v>2934</v>
      </c>
      <c r="C208" s="3">
        <v>203.92</v>
      </c>
    </row>
    <row r="209" spans="2:3" x14ac:dyDescent="0.3">
      <c r="B209" s="9" t="s">
        <v>2935</v>
      </c>
      <c r="C209" s="3">
        <v>627.48</v>
      </c>
    </row>
    <row r="210" spans="2:3" x14ac:dyDescent="0.3">
      <c r="B210" s="9" t="s">
        <v>2936</v>
      </c>
      <c r="C210" s="3">
        <v>124.54999999999998</v>
      </c>
    </row>
    <row r="211" spans="2:3" x14ac:dyDescent="0.3">
      <c r="B211" s="9" t="s">
        <v>2937</v>
      </c>
      <c r="C211" s="3">
        <v>105.84399999999999</v>
      </c>
    </row>
    <row r="212" spans="2:3" x14ac:dyDescent="0.3">
      <c r="B212" s="9" t="s">
        <v>2938</v>
      </c>
      <c r="C212" s="3">
        <v>49.12</v>
      </c>
    </row>
    <row r="213" spans="2:3" x14ac:dyDescent="0.3">
      <c r="B213" s="9" t="s">
        <v>2939</v>
      </c>
      <c r="C213" s="3">
        <v>538.92000000000007</v>
      </c>
    </row>
    <row r="214" spans="2:3" x14ac:dyDescent="0.3">
      <c r="B214" s="9" t="s">
        <v>2940</v>
      </c>
      <c r="C214" s="3">
        <v>200.73600000000002</v>
      </c>
    </row>
    <row r="215" spans="2:3" x14ac:dyDescent="0.3">
      <c r="B215" s="9" t="s">
        <v>2941</v>
      </c>
      <c r="C215" s="3">
        <v>787.53</v>
      </c>
    </row>
    <row r="216" spans="2:3" x14ac:dyDescent="0.3">
      <c r="B216" s="9" t="s">
        <v>2942</v>
      </c>
      <c r="C216" s="3">
        <v>1555.2440000000001</v>
      </c>
    </row>
    <row r="217" spans="2:3" x14ac:dyDescent="0.3">
      <c r="B217" s="9" t="s">
        <v>2943</v>
      </c>
      <c r="C217" s="3">
        <v>3.4079999999999999</v>
      </c>
    </row>
    <row r="218" spans="2:3" x14ac:dyDescent="0.3">
      <c r="B218" s="9" t="s">
        <v>2944</v>
      </c>
      <c r="C218" s="3">
        <v>1384.856</v>
      </c>
    </row>
    <row r="219" spans="2:3" x14ac:dyDescent="0.3">
      <c r="B219" s="9" t="s">
        <v>2945</v>
      </c>
      <c r="C219" s="3">
        <v>19.440000000000001</v>
      </c>
    </row>
    <row r="220" spans="2:3" x14ac:dyDescent="0.3">
      <c r="B220" s="9" t="s">
        <v>2946</v>
      </c>
      <c r="C220" s="3">
        <v>16.776000000000003</v>
      </c>
    </row>
    <row r="221" spans="2:3" x14ac:dyDescent="0.3">
      <c r="B221" s="9" t="s">
        <v>2947</v>
      </c>
      <c r="C221" s="3">
        <v>215.09</v>
      </c>
    </row>
    <row r="222" spans="2:3" x14ac:dyDescent="0.3">
      <c r="B222" s="9" t="s">
        <v>2948</v>
      </c>
      <c r="C222" s="3">
        <v>5189.3940000000002</v>
      </c>
    </row>
    <row r="223" spans="2:3" x14ac:dyDescent="0.3">
      <c r="B223" s="9" t="s">
        <v>2949</v>
      </c>
      <c r="C223" s="3">
        <v>29.304000000000002</v>
      </c>
    </row>
    <row r="224" spans="2:3" x14ac:dyDescent="0.3">
      <c r="B224" s="9" t="s">
        <v>2950</v>
      </c>
      <c r="C224" s="3">
        <v>1701.44</v>
      </c>
    </row>
    <row r="225" spans="2:3" x14ac:dyDescent="0.3">
      <c r="B225" s="9" t="s">
        <v>2951</v>
      </c>
      <c r="C225" s="3">
        <v>466.04999999999995</v>
      </c>
    </row>
    <row r="226" spans="2:3" x14ac:dyDescent="0.3">
      <c r="B226" s="9" t="s">
        <v>2952</v>
      </c>
      <c r="C226" s="3">
        <v>46.900000000000006</v>
      </c>
    </row>
    <row r="227" spans="2:3" x14ac:dyDescent="0.3">
      <c r="B227" s="9" t="s">
        <v>2953</v>
      </c>
      <c r="C227" s="3">
        <v>3393.68</v>
      </c>
    </row>
    <row r="228" spans="2:3" x14ac:dyDescent="0.3">
      <c r="B228" s="9" t="s">
        <v>2954</v>
      </c>
      <c r="C228" s="3">
        <v>83.699999999999989</v>
      </c>
    </row>
    <row r="229" spans="2:3" x14ac:dyDescent="0.3">
      <c r="B229" s="9" t="s">
        <v>2955</v>
      </c>
      <c r="C229" s="3">
        <v>199.64000000000001</v>
      </c>
    </row>
    <row r="230" spans="2:3" x14ac:dyDescent="0.3">
      <c r="B230" s="9" t="s">
        <v>2956</v>
      </c>
      <c r="C230" s="3">
        <v>368.96</v>
      </c>
    </row>
    <row r="231" spans="2:3" x14ac:dyDescent="0.3">
      <c r="B231" s="9" t="s">
        <v>2957</v>
      </c>
      <c r="C231" s="3">
        <v>159.77600000000001</v>
      </c>
    </row>
    <row r="232" spans="2:3" x14ac:dyDescent="0.3">
      <c r="B232" s="9" t="s">
        <v>2958</v>
      </c>
      <c r="C232" s="3">
        <v>1156.0039999999999</v>
      </c>
    </row>
    <row r="233" spans="2:3" x14ac:dyDescent="0.3">
      <c r="B233" s="9" t="s">
        <v>2959</v>
      </c>
      <c r="C233" s="3">
        <v>369.91200000000003</v>
      </c>
    </row>
    <row r="234" spans="2:3" x14ac:dyDescent="0.3">
      <c r="B234" s="9" t="s">
        <v>2960</v>
      </c>
      <c r="C234" s="3">
        <v>12.832000000000001</v>
      </c>
    </row>
    <row r="235" spans="2:3" x14ac:dyDescent="0.3">
      <c r="B235" s="9" t="s">
        <v>2961</v>
      </c>
      <c r="C235" s="3">
        <v>692.72800000000007</v>
      </c>
    </row>
    <row r="236" spans="2:3" x14ac:dyDescent="0.3">
      <c r="B236" s="9" t="s">
        <v>2962</v>
      </c>
      <c r="C236" s="3">
        <v>40.74</v>
      </c>
    </row>
    <row r="237" spans="2:3" x14ac:dyDescent="0.3">
      <c r="B237" s="9" t="s">
        <v>2963</v>
      </c>
      <c r="C237" s="3">
        <v>2113.92</v>
      </c>
    </row>
    <row r="238" spans="2:3" x14ac:dyDescent="0.3">
      <c r="B238" s="9" t="s">
        <v>2964</v>
      </c>
      <c r="C238" s="3">
        <v>35.207999999999998</v>
      </c>
    </row>
    <row r="239" spans="2:3" x14ac:dyDescent="0.3">
      <c r="B239" s="9" t="s">
        <v>2965</v>
      </c>
      <c r="C239" s="3">
        <v>2572.5</v>
      </c>
    </row>
    <row r="240" spans="2:3" x14ac:dyDescent="0.3">
      <c r="B240" s="9" t="s">
        <v>2966</v>
      </c>
      <c r="C240" s="3">
        <v>1124.5700000000002</v>
      </c>
    </row>
    <row r="241" spans="2:3" x14ac:dyDescent="0.3">
      <c r="B241" s="9" t="s">
        <v>2967</v>
      </c>
      <c r="C241" s="3">
        <v>152.916</v>
      </c>
    </row>
    <row r="242" spans="2:3" x14ac:dyDescent="0.3">
      <c r="B242" s="9" t="s">
        <v>2968</v>
      </c>
      <c r="C242" s="3">
        <v>35.283999999999999</v>
      </c>
    </row>
    <row r="243" spans="2:3" x14ac:dyDescent="0.3">
      <c r="B243" s="9" t="s">
        <v>2969</v>
      </c>
      <c r="C243" s="3">
        <v>485.78400000000011</v>
      </c>
    </row>
    <row r="244" spans="2:3" x14ac:dyDescent="0.3">
      <c r="B244" s="9" t="s">
        <v>2970</v>
      </c>
      <c r="C244" s="3">
        <v>49.400000000000006</v>
      </c>
    </row>
    <row r="245" spans="2:3" x14ac:dyDescent="0.3">
      <c r="B245" s="9" t="s">
        <v>2971</v>
      </c>
      <c r="C245" s="3">
        <v>54.45</v>
      </c>
    </row>
    <row r="246" spans="2:3" x14ac:dyDescent="0.3">
      <c r="B246" s="9" t="s">
        <v>2972</v>
      </c>
      <c r="C246" s="3">
        <v>173.30799999999999</v>
      </c>
    </row>
    <row r="247" spans="2:3" x14ac:dyDescent="0.3">
      <c r="B247" s="9" t="s">
        <v>2973</v>
      </c>
      <c r="C247" s="3">
        <v>1140.5719999999999</v>
      </c>
    </row>
    <row r="248" spans="2:3" x14ac:dyDescent="0.3">
      <c r="B248" s="9" t="s">
        <v>2974</v>
      </c>
      <c r="C248" s="3">
        <v>5.2480000000000002</v>
      </c>
    </row>
    <row r="249" spans="2:3" x14ac:dyDescent="0.3">
      <c r="B249" s="9" t="s">
        <v>2975</v>
      </c>
      <c r="C249" s="3">
        <v>46.688000000000002</v>
      </c>
    </row>
    <row r="250" spans="2:3" x14ac:dyDescent="0.3">
      <c r="B250" s="9" t="s">
        <v>2976</v>
      </c>
      <c r="C250" s="3">
        <v>191.96800000000002</v>
      </c>
    </row>
    <row r="251" spans="2:3" x14ac:dyDescent="0.3">
      <c r="B251" s="9" t="s">
        <v>2977</v>
      </c>
      <c r="C251" s="3">
        <v>254.696</v>
      </c>
    </row>
    <row r="252" spans="2:3" x14ac:dyDescent="0.3">
      <c r="B252" s="9" t="s">
        <v>2978</v>
      </c>
      <c r="C252" s="3">
        <v>2570.7075000000004</v>
      </c>
    </row>
    <row r="253" spans="2:3" x14ac:dyDescent="0.3">
      <c r="B253" s="9" t="s">
        <v>2979</v>
      </c>
      <c r="C253" s="3">
        <v>10.86</v>
      </c>
    </row>
    <row r="254" spans="2:3" x14ac:dyDescent="0.3">
      <c r="B254" s="9" t="s">
        <v>2980</v>
      </c>
      <c r="C254" s="3">
        <v>26.975999999999999</v>
      </c>
    </row>
    <row r="255" spans="2:3" x14ac:dyDescent="0.3">
      <c r="B255" s="9" t="s">
        <v>2981</v>
      </c>
      <c r="C255" s="3">
        <v>3862.0980000000004</v>
      </c>
    </row>
    <row r="256" spans="2:3" x14ac:dyDescent="0.3">
      <c r="B256" s="9" t="s">
        <v>2982</v>
      </c>
      <c r="C256" s="3">
        <v>140.98600000000002</v>
      </c>
    </row>
    <row r="257" spans="2:3" x14ac:dyDescent="0.3">
      <c r="B257" s="9" t="s">
        <v>2983</v>
      </c>
      <c r="C257" s="3">
        <v>860.45799999999997</v>
      </c>
    </row>
    <row r="258" spans="2:3" x14ac:dyDescent="0.3">
      <c r="B258" s="9" t="s">
        <v>2984</v>
      </c>
      <c r="C258" s="3">
        <v>20.239999999999998</v>
      </c>
    </row>
    <row r="259" spans="2:3" x14ac:dyDescent="0.3">
      <c r="B259" s="9" t="s">
        <v>2985</v>
      </c>
      <c r="C259" s="3">
        <v>6.63</v>
      </c>
    </row>
    <row r="260" spans="2:3" x14ac:dyDescent="0.3">
      <c r="B260" s="9" t="s">
        <v>2986</v>
      </c>
      <c r="C260" s="3">
        <v>740.7299999999999</v>
      </c>
    </row>
    <row r="261" spans="2:3" x14ac:dyDescent="0.3">
      <c r="B261" s="9" t="s">
        <v>2987</v>
      </c>
      <c r="C261" s="3">
        <v>1990.4899999999998</v>
      </c>
    </row>
    <row r="262" spans="2:3" x14ac:dyDescent="0.3">
      <c r="B262" s="9" t="s">
        <v>2988</v>
      </c>
      <c r="C262" s="3">
        <v>11.76</v>
      </c>
    </row>
    <row r="263" spans="2:3" x14ac:dyDescent="0.3">
      <c r="B263" s="9" t="s">
        <v>2989</v>
      </c>
      <c r="C263" s="3">
        <v>1126.5900000000001</v>
      </c>
    </row>
    <row r="264" spans="2:3" x14ac:dyDescent="0.3">
      <c r="B264" s="9" t="s">
        <v>2990</v>
      </c>
      <c r="C264" s="3">
        <v>7.52</v>
      </c>
    </row>
    <row r="265" spans="2:3" x14ac:dyDescent="0.3">
      <c r="B265" s="9" t="s">
        <v>2991</v>
      </c>
      <c r="C265" s="3">
        <v>495.73599999999999</v>
      </c>
    </row>
    <row r="266" spans="2:3" x14ac:dyDescent="0.3">
      <c r="B266" s="9" t="s">
        <v>2992</v>
      </c>
      <c r="C266" s="3">
        <v>36.624000000000002</v>
      </c>
    </row>
    <row r="267" spans="2:3" x14ac:dyDescent="0.3">
      <c r="B267" s="9" t="s">
        <v>2993</v>
      </c>
      <c r="C267" s="3">
        <v>722.47199999999998</v>
      </c>
    </row>
    <row r="268" spans="2:3" x14ac:dyDescent="0.3">
      <c r="B268" s="9" t="s">
        <v>2994</v>
      </c>
      <c r="C268" s="3">
        <v>152.98400000000001</v>
      </c>
    </row>
    <row r="269" spans="2:3" x14ac:dyDescent="0.3">
      <c r="B269" s="9" t="s">
        <v>2995</v>
      </c>
      <c r="C269" s="3">
        <v>205.73</v>
      </c>
    </row>
    <row r="270" spans="2:3" x14ac:dyDescent="0.3">
      <c r="B270" s="9" t="s">
        <v>2996</v>
      </c>
      <c r="C270" s="3">
        <v>509.56</v>
      </c>
    </row>
    <row r="271" spans="2:3" x14ac:dyDescent="0.3">
      <c r="B271" s="9" t="s">
        <v>2997</v>
      </c>
      <c r="C271" s="3">
        <v>4.96</v>
      </c>
    </row>
    <row r="272" spans="2:3" x14ac:dyDescent="0.3">
      <c r="B272" s="9" t="s">
        <v>2998</v>
      </c>
      <c r="C272" s="3">
        <v>568.55799999999999</v>
      </c>
    </row>
    <row r="273" spans="2:3" x14ac:dyDescent="0.3">
      <c r="B273" s="9" t="s">
        <v>2999</v>
      </c>
      <c r="C273" s="3">
        <v>618.79200000000003</v>
      </c>
    </row>
    <row r="274" spans="2:3" x14ac:dyDescent="0.3">
      <c r="B274" s="9" t="s">
        <v>3000</v>
      </c>
      <c r="C274" s="3">
        <v>627.6640000000001</v>
      </c>
    </row>
    <row r="275" spans="2:3" x14ac:dyDescent="0.3">
      <c r="B275" s="9" t="s">
        <v>3001</v>
      </c>
      <c r="C275" s="3">
        <v>22.847999999999999</v>
      </c>
    </row>
    <row r="276" spans="2:3" x14ac:dyDescent="0.3">
      <c r="B276" s="9" t="s">
        <v>3002</v>
      </c>
      <c r="C276" s="3">
        <v>170.35200000000003</v>
      </c>
    </row>
    <row r="277" spans="2:3" x14ac:dyDescent="0.3">
      <c r="B277" s="9" t="s">
        <v>3003</v>
      </c>
      <c r="C277" s="3">
        <v>43.286000000000001</v>
      </c>
    </row>
    <row r="278" spans="2:3" x14ac:dyDescent="0.3">
      <c r="B278" s="9" t="s">
        <v>3004</v>
      </c>
      <c r="C278" s="3">
        <v>128.322</v>
      </c>
    </row>
    <row r="279" spans="2:3" x14ac:dyDescent="0.3">
      <c r="B279" s="9" t="s">
        <v>3005</v>
      </c>
      <c r="C279" s="3">
        <v>860.91600000000005</v>
      </c>
    </row>
    <row r="280" spans="2:3" x14ac:dyDescent="0.3">
      <c r="B280" s="9" t="s">
        <v>3006</v>
      </c>
      <c r="C280" s="3">
        <v>2048.8560000000002</v>
      </c>
    </row>
    <row r="281" spans="2:3" x14ac:dyDescent="0.3">
      <c r="B281" s="9" t="s">
        <v>3007</v>
      </c>
      <c r="C281" s="3">
        <v>195.46600000000001</v>
      </c>
    </row>
    <row r="282" spans="2:3" x14ac:dyDescent="0.3">
      <c r="B282" s="9" t="s">
        <v>3008</v>
      </c>
      <c r="C282" s="3">
        <v>519.96</v>
      </c>
    </row>
    <row r="283" spans="2:3" x14ac:dyDescent="0.3">
      <c r="B283" s="9" t="s">
        <v>3009</v>
      </c>
      <c r="C283" s="3">
        <v>2.0250000000000004</v>
      </c>
    </row>
    <row r="284" spans="2:3" x14ac:dyDescent="0.3">
      <c r="B284" s="9" t="s">
        <v>3010</v>
      </c>
      <c r="C284" s="3">
        <v>1912.808</v>
      </c>
    </row>
    <row r="285" spans="2:3" x14ac:dyDescent="0.3">
      <c r="B285" s="9" t="s">
        <v>3011</v>
      </c>
      <c r="C285" s="3">
        <v>958.8570000000002</v>
      </c>
    </row>
    <row r="286" spans="2:3" x14ac:dyDescent="0.3">
      <c r="B286" s="9" t="s">
        <v>3012</v>
      </c>
      <c r="C286" s="3">
        <v>226.12999999999997</v>
      </c>
    </row>
    <row r="287" spans="2:3" x14ac:dyDescent="0.3">
      <c r="B287" s="9" t="s">
        <v>3013</v>
      </c>
      <c r="C287" s="3">
        <v>1011.6960000000001</v>
      </c>
    </row>
    <row r="288" spans="2:3" x14ac:dyDescent="0.3">
      <c r="B288" s="9" t="s">
        <v>3014</v>
      </c>
      <c r="C288" s="3">
        <v>842.26800000000003</v>
      </c>
    </row>
    <row r="289" spans="2:3" x14ac:dyDescent="0.3">
      <c r="B289" s="9" t="s">
        <v>3015</v>
      </c>
      <c r="C289" s="3">
        <v>22.456000000000003</v>
      </c>
    </row>
    <row r="290" spans="2:3" x14ac:dyDescent="0.3">
      <c r="B290" s="9" t="s">
        <v>3016</v>
      </c>
      <c r="C290" s="3">
        <v>158.672</v>
      </c>
    </row>
    <row r="291" spans="2:3" x14ac:dyDescent="0.3">
      <c r="B291" s="9" t="s">
        <v>3017</v>
      </c>
      <c r="C291" s="3">
        <v>711.78400000000011</v>
      </c>
    </row>
    <row r="292" spans="2:3" x14ac:dyDescent="0.3">
      <c r="B292" s="9" t="s">
        <v>3018</v>
      </c>
      <c r="C292" s="3">
        <v>82.36</v>
      </c>
    </row>
    <row r="293" spans="2:3" x14ac:dyDescent="0.3">
      <c r="B293" s="9" t="s">
        <v>3019</v>
      </c>
      <c r="C293" s="3">
        <v>497.59000000000003</v>
      </c>
    </row>
    <row r="294" spans="2:3" x14ac:dyDescent="0.3">
      <c r="B294" s="9" t="s">
        <v>3020</v>
      </c>
      <c r="C294" s="3">
        <v>2200.328</v>
      </c>
    </row>
    <row r="295" spans="2:3" x14ac:dyDescent="0.3">
      <c r="B295" s="9" t="s">
        <v>3021</v>
      </c>
      <c r="C295" s="3">
        <v>329.44000000000005</v>
      </c>
    </row>
    <row r="296" spans="2:3" x14ac:dyDescent="0.3">
      <c r="B296" s="9" t="s">
        <v>3022</v>
      </c>
      <c r="C296" s="3">
        <v>1299.5260000000001</v>
      </c>
    </row>
    <row r="297" spans="2:3" x14ac:dyDescent="0.3">
      <c r="B297" s="9" t="s">
        <v>3023</v>
      </c>
      <c r="C297" s="3">
        <v>7.1519999999999992</v>
      </c>
    </row>
    <row r="298" spans="2:3" x14ac:dyDescent="0.3">
      <c r="B298" s="9" t="s">
        <v>3024</v>
      </c>
      <c r="C298" s="3">
        <v>146.744</v>
      </c>
    </row>
    <row r="299" spans="2:3" x14ac:dyDescent="0.3">
      <c r="B299" s="9" t="s">
        <v>3025</v>
      </c>
      <c r="C299" s="3">
        <v>639.97400000000016</v>
      </c>
    </row>
    <row r="300" spans="2:3" x14ac:dyDescent="0.3">
      <c r="B300" s="9" t="s">
        <v>3026</v>
      </c>
      <c r="C300" s="3">
        <v>2017.5320000000002</v>
      </c>
    </row>
    <row r="301" spans="2:3" x14ac:dyDescent="0.3">
      <c r="B301" s="9" t="s">
        <v>3027</v>
      </c>
      <c r="C301" s="3">
        <v>2580.837</v>
      </c>
    </row>
    <row r="302" spans="2:3" x14ac:dyDescent="0.3">
      <c r="B302" s="9" t="s">
        <v>3028</v>
      </c>
      <c r="C302" s="3">
        <v>979.10400000000004</v>
      </c>
    </row>
    <row r="303" spans="2:3" x14ac:dyDescent="0.3">
      <c r="B303" s="9" t="s">
        <v>3029</v>
      </c>
      <c r="C303" s="3">
        <v>552.87800000000004</v>
      </c>
    </row>
    <row r="304" spans="2:3" x14ac:dyDescent="0.3">
      <c r="B304" s="9" t="s">
        <v>3030</v>
      </c>
      <c r="C304" s="3">
        <v>9.7620000000000005</v>
      </c>
    </row>
    <row r="305" spans="2:3" x14ac:dyDescent="0.3">
      <c r="B305" s="9" t="s">
        <v>3031</v>
      </c>
      <c r="C305" s="3">
        <v>733.28300000000002</v>
      </c>
    </row>
    <row r="306" spans="2:3" x14ac:dyDescent="0.3">
      <c r="B306" s="9" t="s">
        <v>3032</v>
      </c>
      <c r="C306" s="3">
        <v>244.23599999999999</v>
      </c>
    </row>
    <row r="307" spans="2:3" x14ac:dyDescent="0.3">
      <c r="B307" s="9" t="s">
        <v>3033</v>
      </c>
      <c r="C307" s="3">
        <v>671.93</v>
      </c>
    </row>
    <row r="308" spans="2:3" x14ac:dyDescent="0.3">
      <c r="B308" s="9" t="s">
        <v>3034</v>
      </c>
      <c r="C308" s="3">
        <v>68.28</v>
      </c>
    </row>
    <row r="309" spans="2:3" x14ac:dyDescent="0.3">
      <c r="B309" s="9" t="s">
        <v>3035</v>
      </c>
      <c r="C309" s="3">
        <v>512.07999999999993</v>
      </c>
    </row>
    <row r="310" spans="2:3" x14ac:dyDescent="0.3">
      <c r="B310" s="9" t="s">
        <v>3036</v>
      </c>
      <c r="C310" s="3">
        <v>480.48999999999995</v>
      </c>
    </row>
    <row r="311" spans="2:3" x14ac:dyDescent="0.3">
      <c r="B311" s="9" t="s">
        <v>3037</v>
      </c>
      <c r="C311" s="3">
        <v>21.98</v>
      </c>
    </row>
    <row r="312" spans="2:3" x14ac:dyDescent="0.3">
      <c r="B312" s="9" t="s">
        <v>3038</v>
      </c>
      <c r="C312" s="3">
        <v>1336.3520000000001</v>
      </c>
    </row>
    <row r="313" spans="2:3" x14ac:dyDescent="0.3">
      <c r="B313" s="9" t="s">
        <v>3039</v>
      </c>
      <c r="C313" s="3">
        <v>1082.886</v>
      </c>
    </row>
    <row r="314" spans="2:3" x14ac:dyDescent="0.3">
      <c r="B314" s="9" t="s">
        <v>3040</v>
      </c>
      <c r="C314" s="3">
        <v>57.432000000000002</v>
      </c>
    </row>
    <row r="315" spans="2:3" x14ac:dyDescent="0.3">
      <c r="B315" s="9" t="s">
        <v>3041</v>
      </c>
      <c r="C315" s="3">
        <v>703.38000000000011</v>
      </c>
    </row>
    <row r="316" spans="2:3" x14ac:dyDescent="0.3">
      <c r="B316" s="9" t="s">
        <v>3042</v>
      </c>
      <c r="C316" s="3">
        <v>92.2</v>
      </c>
    </row>
    <row r="317" spans="2:3" x14ac:dyDescent="0.3">
      <c r="B317" s="9" t="s">
        <v>3043</v>
      </c>
      <c r="C317" s="3">
        <v>45.584000000000003</v>
      </c>
    </row>
    <row r="318" spans="2:3" x14ac:dyDescent="0.3">
      <c r="B318" s="9" t="s">
        <v>3044</v>
      </c>
      <c r="C318" s="3">
        <v>809.17599999999993</v>
      </c>
    </row>
    <row r="319" spans="2:3" x14ac:dyDescent="0.3">
      <c r="B319" s="9" t="s">
        <v>3045</v>
      </c>
      <c r="C319" s="3">
        <v>266.03999999999996</v>
      </c>
    </row>
    <row r="320" spans="2:3" x14ac:dyDescent="0.3">
      <c r="B320" s="9" t="s">
        <v>3046</v>
      </c>
      <c r="C320" s="3">
        <v>1313.3019999999999</v>
      </c>
    </row>
    <row r="321" spans="2:3" x14ac:dyDescent="0.3">
      <c r="B321" s="9" t="s">
        <v>3047</v>
      </c>
      <c r="C321" s="3">
        <v>1541.8259999999998</v>
      </c>
    </row>
    <row r="322" spans="2:3" x14ac:dyDescent="0.3">
      <c r="B322" s="9" t="s">
        <v>3048</v>
      </c>
      <c r="C322" s="3">
        <v>1645.3690000000001</v>
      </c>
    </row>
    <row r="323" spans="2:3" x14ac:dyDescent="0.3">
      <c r="B323" s="9" t="s">
        <v>3049</v>
      </c>
      <c r="C323" s="3">
        <v>274.49</v>
      </c>
    </row>
    <row r="324" spans="2:3" x14ac:dyDescent="0.3">
      <c r="B324" s="9" t="s">
        <v>3050</v>
      </c>
      <c r="C324" s="3">
        <v>456.86399999999998</v>
      </c>
    </row>
    <row r="325" spans="2:3" x14ac:dyDescent="0.3">
      <c r="B325" s="9" t="s">
        <v>3051</v>
      </c>
      <c r="C325" s="3">
        <v>712.22400000000005</v>
      </c>
    </row>
    <row r="326" spans="2:3" x14ac:dyDescent="0.3">
      <c r="B326" s="9" t="s">
        <v>3052</v>
      </c>
      <c r="C326" s="3">
        <v>972.19600000000003</v>
      </c>
    </row>
    <row r="327" spans="2:3" x14ac:dyDescent="0.3">
      <c r="B327" s="9" t="s">
        <v>3053</v>
      </c>
      <c r="C327" s="3">
        <v>120.666</v>
      </c>
    </row>
    <row r="328" spans="2:3" x14ac:dyDescent="0.3">
      <c r="B328" s="9" t="s">
        <v>3054</v>
      </c>
      <c r="C328" s="3">
        <v>26.96</v>
      </c>
    </row>
    <row r="329" spans="2:3" x14ac:dyDescent="0.3">
      <c r="B329" s="9" t="s">
        <v>3055</v>
      </c>
      <c r="C329" s="3">
        <v>357.46199999999999</v>
      </c>
    </row>
    <row r="330" spans="2:3" x14ac:dyDescent="0.3">
      <c r="B330" s="9" t="s">
        <v>3056</v>
      </c>
      <c r="C330" s="3">
        <v>145.9</v>
      </c>
    </row>
    <row r="331" spans="2:3" x14ac:dyDescent="0.3">
      <c r="B331" s="9" t="s">
        <v>3057</v>
      </c>
      <c r="C331" s="3">
        <v>438.54599999999999</v>
      </c>
    </row>
    <row r="332" spans="2:3" x14ac:dyDescent="0.3">
      <c r="B332" s="9" t="s">
        <v>3058</v>
      </c>
      <c r="C332" s="3">
        <v>99.859999999999985</v>
      </c>
    </row>
    <row r="333" spans="2:3" x14ac:dyDescent="0.3">
      <c r="B333" s="9" t="s">
        <v>3059</v>
      </c>
      <c r="C333" s="3">
        <v>77.88</v>
      </c>
    </row>
    <row r="334" spans="2:3" x14ac:dyDescent="0.3">
      <c r="B334" s="9" t="s">
        <v>3060</v>
      </c>
      <c r="C334" s="3">
        <v>277.63400000000007</v>
      </c>
    </row>
    <row r="335" spans="2:3" x14ac:dyDescent="0.3">
      <c r="B335" s="9" t="s">
        <v>3061</v>
      </c>
      <c r="C335" s="3">
        <v>1910.6999999999998</v>
      </c>
    </row>
    <row r="336" spans="2:3" x14ac:dyDescent="0.3">
      <c r="B336" s="9" t="s">
        <v>3062</v>
      </c>
      <c r="C336" s="3">
        <v>695.52600000000007</v>
      </c>
    </row>
    <row r="337" spans="2:3" x14ac:dyDescent="0.3">
      <c r="B337" s="9" t="s">
        <v>3063</v>
      </c>
      <c r="C337" s="3">
        <v>1450.3760000000002</v>
      </c>
    </row>
    <row r="338" spans="2:3" x14ac:dyDescent="0.3">
      <c r="B338" s="9" t="s">
        <v>3064</v>
      </c>
      <c r="C338" s="3">
        <v>454.27200000000005</v>
      </c>
    </row>
    <row r="339" spans="2:3" x14ac:dyDescent="0.3">
      <c r="B339" s="9" t="s">
        <v>3065</v>
      </c>
      <c r="C339" s="3">
        <v>975.322</v>
      </c>
    </row>
    <row r="340" spans="2:3" x14ac:dyDescent="0.3">
      <c r="B340" s="9" t="s">
        <v>3066</v>
      </c>
      <c r="C340" s="3">
        <v>1395.3330000000001</v>
      </c>
    </row>
    <row r="341" spans="2:3" x14ac:dyDescent="0.3">
      <c r="B341" s="9" t="s">
        <v>3067</v>
      </c>
      <c r="C341" s="3">
        <v>244.24</v>
      </c>
    </row>
    <row r="342" spans="2:3" x14ac:dyDescent="0.3">
      <c r="B342" s="9" t="s">
        <v>3068</v>
      </c>
      <c r="C342" s="3">
        <v>603.43399999999997</v>
      </c>
    </row>
    <row r="343" spans="2:3" x14ac:dyDescent="0.3">
      <c r="B343" s="9" t="s">
        <v>3069</v>
      </c>
      <c r="C343" s="3">
        <v>3058.1490000000003</v>
      </c>
    </row>
    <row r="344" spans="2:3" x14ac:dyDescent="0.3">
      <c r="B344" s="9" t="s">
        <v>3070</v>
      </c>
      <c r="C344" s="3">
        <v>7.88</v>
      </c>
    </row>
    <row r="345" spans="2:3" x14ac:dyDescent="0.3">
      <c r="B345" s="9" t="s">
        <v>3071</v>
      </c>
      <c r="C345" s="3">
        <v>2225.6689999999999</v>
      </c>
    </row>
    <row r="346" spans="2:3" x14ac:dyDescent="0.3">
      <c r="B346" s="9" t="s">
        <v>3072</v>
      </c>
      <c r="C346" s="3">
        <v>1345.4179999999999</v>
      </c>
    </row>
    <row r="347" spans="2:3" x14ac:dyDescent="0.3">
      <c r="B347" s="9" t="s">
        <v>3073</v>
      </c>
      <c r="C347" s="3">
        <v>161.15199999999999</v>
      </c>
    </row>
    <row r="348" spans="2:3" x14ac:dyDescent="0.3">
      <c r="B348" s="9" t="s">
        <v>3074</v>
      </c>
      <c r="C348" s="3">
        <v>11.481000000000002</v>
      </c>
    </row>
    <row r="349" spans="2:3" x14ac:dyDescent="0.3">
      <c r="B349" s="9" t="s">
        <v>3075</v>
      </c>
      <c r="C349" s="3">
        <v>190.72000000000003</v>
      </c>
    </row>
    <row r="350" spans="2:3" x14ac:dyDescent="0.3">
      <c r="B350" s="9" t="s">
        <v>3076</v>
      </c>
      <c r="C350" s="3">
        <v>753.21999999999991</v>
      </c>
    </row>
    <row r="351" spans="2:3" x14ac:dyDescent="0.3">
      <c r="B351" s="9" t="s">
        <v>3077</v>
      </c>
      <c r="C351" s="3">
        <v>2.48</v>
      </c>
    </row>
    <row r="352" spans="2:3" x14ac:dyDescent="0.3">
      <c r="B352" s="9" t="s">
        <v>3078</v>
      </c>
      <c r="C352" s="3">
        <v>79.900000000000006</v>
      </c>
    </row>
    <row r="353" spans="2:3" x14ac:dyDescent="0.3">
      <c r="B353" s="9" t="s">
        <v>3079</v>
      </c>
      <c r="C353" s="3">
        <v>15.700000000000001</v>
      </c>
    </row>
    <row r="354" spans="2:3" x14ac:dyDescent="0.3">
      <c r="B354" s="9" t="s">
        <v>3080</v>
      </c>
      <c r="C354" s="3">
        <v>1505.242</v>
      </c>
    </row>
    <row r="355" spans="2:3" x14ac:dyDescent="0.3">
      <c r="B355" s="9" t="s">
        <v>3081</v>
      </c>
      <c r="C355" s="3">
        <v>1374.0560000000003</v>
      </c>
    </row>
    <row r="356" spans="2:3" x14ac:dyDescent="0.3">
      <c r="B356" s="9" t="s">
        <v>3082</v>
      </c>
      <c r="C356" s="3">
        <v>1020.0959999999999</v>
      </c>
    </row>
    <row r="357" spans="2:3" x14ac:dyDescent="0.3">
      <c r="B357" s="9" t="s">
        <v>3083</v>
      </c>
      <c r="C357" s="3">
        <v>1873.606</v>
      </c>
    </row>
    <row r="358" spans="2:3" x14ac:dyDescent="0.3">
      <c r="B358" s="9" t="s">
        <v>3084</v>
      </c>
      <c r="C358" s="3">
        <v>173.04000000000002</v>
      </c>
    </row>
    <row r="359" spans="2:3" x14ac:dyDescent="0.3">
      <c r="B359" s="9" t="s">
        <v>3085</v>
      </c>
      <c r="C359" s="3">
        <v>1175.8439999999998</v>
      </c>
    </row>
    <row r="360" spans="2:3" x14ac:dyDescent="0.3">
      <c r="B360" s="9" t="s">
        <v>3086</v>
      </c>
      <c r="C360" s="3">
        <v>573.50400000000013</v>
      </c>
    </row>
    <row r="361" spans="2:3" x14ac:dyDescent="0.3">
      <c r="B361" s="9" t="s">
        <v>3087</v>
      </c>
      <c r="C361" s="3">
        <v>114.37</v>
      </c>
    </row>
    <row r="362" spans="2:3" x14ac:dyDescent="0.3">
      <c r="B362" s="9" t="s">
        <v>3088</v>
      </c>
      <c r="C362" s="3">
        <v>1218.7640000000001</v>
      </c>
    </row>
    <row r="363" spans="2:3" x14ac:dyDescent="0.3">
      <c r="B363" s="9" t="s">
        <v>3089</v>
      </c>
      <c r="C363" s="3">
        <v>505.71</v>
      </c>
    </row>
    <row r="364" spans="2:3" x14ac:dyDescent="0.3">
      <c r="B364" s="9" t="s">
        <v>3090</v>
      </c>
      <c r="C364" s="3">
        <v>53.56</v>
      </c>
    </row>
    <row r="365" spans="2:3" x14ac:dyDescent="0.3">
      <c r="B365" s="9" t="s">
        <v>3091</v>
      </c>
      <c r="C365" s="3">
        <v>60.603999999999999</v>
      </c>
    </row>
    <row r="366" spans="2:3" x14ac:dyDescent="0.3">
      <c r="B366" s="9" t="s">
        <v>3092</v>
      </c>
      <c r="C366" s="3">
        <v>106.88</v>
      </c>
    </row>
    <row r="367" spans="2:3" x14ac:dyDescent="0.3">
      <c r="B367" s="9" t="s">
        <v>3093</v>
      </c>
      <c r="C367" s="3">
        <v>6956.6459999999988</v>
      </c>
    </row>
    <row r="368" spans="2:3" x14ac:dyDescent="0.3">
      <c r="B368" s="9" t="s">
        <v>3094</v>
      </c>
      <c r="C368" s="3">
        <v>359.49899999999997</v>
      </c>
    </row>
    <row r="369" spans="2:3" x14ac:dyDescent="0.3">
      <c r="B369" s="9" t="s">
        <v>3095</v>
      </c>
      <c r="C369" s="3">
        <v>460.17199999999997</v>
      </c>
    </row>
    <row r="370" spans="2:3" x14ac:dyDescent="0.3">
      <c r="B370" s="9" t="s">
        <v>3096</v>
      </c>
      <c r="C370" s="3">
        <v>96.06</v>
      </c>
    </row>
    <row r="371" spans="2:3" x14ac:dyDescent="0.3">
      <c r="B371" s="9" t="s">
        <v>3097</v>
      </c>
      <c r="C371" s="3">
        <v>2493.8060000000005</v>
      </c>
    </row>
    <row r="372" spans="2:3" x14ac:dyDescent="0.3">
      <c r="B372" s="9" t="s">
        <v>3098</v>
      </c>
      <c r="C372" s="3">
        <v>99.450000000000017</v>
      </c>
    </row>
    <row r="373" spans="2:3" x14ac:dyDescent="0.3">
      <c r="B373" s="9" t="s">
        <v>3099</v>
      </c>
      <c r="C373" s="3">
        <v>473.65600000000006</v>
      </c>
    </row>
    <row r="374" spans="2:3" x14ac:dyDescent="0.3">
      <c r="B374" s="9" t="s">
        <v>3100</v>
      </c>
      <c r="C374" s="3">
        <v>62.059999999999995</v>
      </c>
    </row>
    <row r="375" spans="2:3" x14ac:dyDescent="0.3">
      <c r="B375" s="9" t="s">
        <v>3101</v>
      </c>
      <c r="C375" s="3">
        <v>840.56600000000014</v>
      </c>
    </row>
    <row r="376" spans="2:3" x14ac:dyDescent="0.3">
      <c r="B376" s="9" t="s">
        <v>3102</v>
      </c>
      <c r="C376" s="3">
        <v>1418.2659999999998</v>
      </c>
    </row>
    <row r="377" spans="2:3" x14ac:dyDescent="0.3">
      <c r="B377" s="9" t="s">
        <v>3103</v>
      </c>
      <c r="C377" s="3">
        <v>966.06600000000014</v>
      </c>
    </row>
    <row r="378" spans="2:3" x14ac:dyDescent="0.3">
      <c r="B378" s="9" t="s">
        <v>3104</v>
      </c>
      <c r="C378" s="3">
        <v>792.08400000000006</v>
      </c>
    </row>
    <row r="379" spans="2:3" x14ac:dyDescent="0.3">
      <c r="B379" s="9" t="s">
        <v>3105</v>
      </c>
      <c r="C379" s="3">
        <v>1055.1419999999998</v>
      </c>
    </row>
    <row r="380" spans="2:3" x14ac:dyDescent="0.3">
      <c r="B380" s="9" t="s">
        <v>3106</v>
      </c>
      <c r="C380" s="3">
        <v>4.9800000000000004</v>
      </c>
    </row>
    <row r="381" spans="2:3" x14ac:dyDescent="0.3">
      <c r="B381" s="9" t="s">
        <v>3107</v>
      </c>
      <c r="C381" s="3">
        <v>450.19399999999996</v>
      </c>
    </row>
    <row r="382" spans="2:3" x14ac:dyDescent="0.3">
      <c r="B382" s="9" t="s">
        <v>3108</v>
      </c>
      <c r="C382" s="3">
        <v>6.8480000000000008</v>
      </c>
    </row>
    <row r="383" spans="2:3" x14ac:dyDescent="0.3">
      <c r="B383" s="9" t="s">
        <v>3109</v>
      </c>
      <c r="C383" s="3">
        <v>1941.81</v>
      </c>
    </row>
    <row r="384" spans="2:3" x14ac:dyDescent="0.3">
      <c r="B384" s="9" t="s">
        <v>3110</v>
      </c>
      <c r="C384" s="3">
        <v>39.408000000000001</v>
      </c>
    </row>
    <row r="385" spans="2:3" x14ac:dyDescent="0.3">
      <c r="B385" s="9" t="s">
        <v>3111</v>
      </c>
      <c r="C385" s="3">
        <v>1778.9539999999997</v>
      </c>
    </row>
    <row r="386" spans="2:3" x14ac:dyDescent="0.3">
      <c r="B386" s="9" t="s">
        <v>3112</v>
      </c>
      <c r="C386" s="3">
        <v>1779.722</v>
      </c>
    </row>
    <row r="387" spans="2:3" x14ac:dyDescent="0.3">
      <c r="B387" s="9" t="s">
        <v>3113</v>
      </c>
      <c r="C387" s="3">
        <v>1240.46</v>
      </c>
    </row>
    <row r="388" spans="2:3" x14ac:dyDescent="0.3">
      <c r="B388" s="9" t="s">
        <v>3114</v>
      </c>
      <c r="C388" s="3">
        <v>1127.6999999999998</v>
      </c>
    </row>
    <row r="389" spans="2:3" x14ac:dyDescent="0.3">
      <c r="B389" s="9" t="s">
        <v>3115</v>
      </c>
      <c r="C389" s="3">
        <v>3251.3400000000006</v>
      </c>
    </row>
    <row r="390" spans="2:3" x14ac:dyDescent="0.3">
      <c r="B390" s="9" t="s">
        <v>3116</v>
      </c>
      <c r="C390" s="3">
        <v>487.98400000000004</v>
      </c>
    </row>
    <row r="391" spans="2:3" x14ac:dyDescent="0.3">
      <c r="B391" s="8" t="s">
        <v>3288</v>
      </c>
      <c r="C391" s="3">
        <v>186976.01650000006</v>
      </c>
    </row>
    <row r="392" spans="2:3" x14ac:dyDescent="0.3">
      <c r="B392" s="9" t="s">
        <v>3129</v>
      </c>
      <c r="C392" s="3">
        <v>114.46</v>
      </c>
    </row>
    <row r="393" spans="2:3" x14ac:dyDescent="0.3">
      <c r="B393" s="9" t="s">
        <v>3131</v>
      </c>
      <c r="C393" s="3">
        <v>34.58</v>
      </c>
    </row>
    <row r="394" spans="2:3" x14ac:dyDescent="0.3">
      <c r="B394" s="9" t="s">
        <v>3133</v>
      </c>
      <c r="C394" s="3">
        <v>727.87800000000004</v>
      </c>
    </row>
    <row r="395" spans="2:3" x14ac:dyDescent="0.3">
      <c r="B395" s="9" t="s">
        <v>3134</v>
      </c>
      <c r="C395" s="3">
        <v>174.75</v>
      </c>
    </row>
    <row r="396" spans="2:3" x14ac:dyDescent="0.3">
      <c r="B396" s="9" t="s">
        <v>3136</v>
      </c>
      <c r="C396" s="3">
        <v>102.218</v>
      </c>
    </row>
    <row r="397" spans="2:3" x14ac:dyDescent="0.3">
      <c r="B397" s="9" t="s">
        <v>3141</v>
      </c>
      <c r="C397" s="3">
        <v>1167.056</v>
      </c>
    </row>
    <row r="398" spans="2:3" x14ac:dyDescent="0.3">
      <c r="B398" s="9" t="s">
        <v>3142</v>
      </c>
      <c r="C398" s="3">
        <v>187.91000000000003</v>
      </c>
    </row>
    <row r="399" spans="2:3" x14ac:dyDescent="0.3">
      <c r="B399" s="9" t="s">
        <v>2928</v>
      </c>
      <c r="C399" s="3">
        <v>59.99</v>
      </c>
    </row>
    <row r="400" spans="2:3" x14ac:dyDescent="0.3">
      <c r="B400" s="9" t="s">
        <v>3145</v>
      </c>
      <c r="C400" s="3">
        <v>39.68</v>
      </c>
    </row>
    <row r="401" spans="2:3" x14ac:dyDescent="0.3">
      <c r="B401" s="9" t="s">
        <v>2931</v>
      </c>
      <c r="C401" s="3">
        <v>883.00800000000015</v>
      </c>
    </row>
    <row r="402" spans="2:3" x14ac:dyDescent="0.3">
      <c r="B402" s="9" t="s">
        <v>3147</v>
      </c>
      <c r="C402" s="3">
        <v>166.29200000000003</v>
      </c>
    </row>
    <row r="403" spans="2:3" x14ac:dyDescent="0.3">
      <c r="B403" s="9" t="s">
        <v>3148</v>
      </c>
      <c r="C403" s="3">
        <v>105.52</v>
      </c>
    </row>
    <row r="404" spans="2:3" x14ac:dyDescent="0.3">
      <c r="B404" s="9" t="s">
        <v>3150</v>
      </c>
      <c r="C404" s="3">
        <v>107.38800000000001</v>
      </c>
    </row>
    <row r="405" spans="2:3" x14ac:dyDescent="0.3">
      <c r="B405" s="9" t="s">
        <v>3151</v>
      </c>
      <c r="C405" s="3">
        <v>918.96599999999989</v>
      </c>
    </row>
    <row r="406" spans="2:3" x14ac:dyDescent="0.3">
      <c r="B406" s="9" t="s">
        <v>3152</v>
      </c>
      <c r="C406" s="3">
        <v>623.96</v>
      </c>
    </row>
    <row r="407" spans="2:3" x14ac:dyDescent="0.3">
      <c r="B407" s="9" t="s">
        <v>2934</v>
      </c>
      <c r="C407" s="3">
        <v>121.83</v>
      </c>
    </row>
    <row r="408" spans="2:3" x14ac:dyDescent="0.3">
      <c r="B408" s="9" t="s">
        <v>3157</v>
      </c>
      <c r="C408" s="3">
        <v>146.82</v>
      </c>
    </row>
    <row r="409" spans="2:3" x14ac:dyDescent="0.3">
      <c r="B409" s="9" t="s">
        <v>3159</v>
      </c>
      <c r="C409" s="3">
        <v>70.88</v>
      </c>
    </row>
    <row r="410" spans="2:3" x14ac:dyDescent="0.3">
      <c r="B410" s="9" t="s">
        <v>2938</v>
      </c>
      <c r="C410" s="3">
        <v>511.94799999999998</v>
      </c>
    </row>
    <row r="411" spans="2:3" x14ac:dyDescent="0.3">
      <c r="B411" s="9" t="s">
        <v>3161</v>
      </c>
      <c r="C411" s="3">
        <v>492.85</v>
      </c>
    </row>
    <row r="412" spans="2:3" x14ac:dyDescent="0.3">
      <c r="B412" s="9" t="s">
        <v>2941</v>
      </c>
      <c r="C412" s="3">
        <v>159.98400000000001</v>
      </c>
    </row>
    <row r="413" spans="2:3" x14ac:dyDescent="0.3">
      <c r="B413" s="9" t="s">
        <v>3164</v>
      </c>
      <c r="C413" s="3">
        <v>60.629999999999995</v>
      </c>
    </row>
    <row r="414" spans="2:3" x14ac:dyDescent="0.3">
      <c r="B414" s="9" t="s">
        <v>3165</v>
      </c>
      <c r="C414" s="3">
        <v>16.989999999999998</v>
      </c>
    </row>
    <row r="415" spans="2:3" x14ac:dyDescent="0.3">
      <c r="B415" s="9" t="s">
        <v>3167</v>
      </c>
      <c r="C415" s="3">
        <v>9.7020000000000017</v>
      </c>
    </row>
    <row r="416" spans="2:3" x14ac:dyDescent="0.3">
      <c r="B416" s="9" t="s">
        <v>3169</v>
      </c>
      <c r="C416" s="3">
        <v>7662.9580000000005</v>
      </c>
    </row>
    <row r="417" spans="2:3" x14ac:dyDescent="0.3">
      <c r="B417" s="9" t="s">
        <v>2944</v>
      </c>
      <c r="C417" s="3">
        <v>1652.3420000000001</v>
      </c>
    </row>
    <row r="418" spans="2:3" x14ac:dyDescent="0.3">
      <c r="B418" s="9" t="s">
        <v>2945</v>
      </c>
      <c r="C418" s="3">
        <v>5353.1580000000004</v>
      </c>
    </row>
    <row r="419" spans="2:3" x14ac:dyDescent="0.3">
      <c r="B419" s="9" t="s">
        <v>2946</v>
      </c>
      <c r="C419" s="3">
        <v>238.68799999999999</v>
      </c>
    </row>
    <row r="420" spans="2:3" x14ac:dyDescent="0.3">
      <c r="B420" s="9" t="s">
        <v>2947</v>
      </c>
      <c r="C420" s="3">
        <v>1356.5760000000002</v>
      </c>
    </row>
    <row r="421" spans="2:3" x14ac:dyDescent="0.3">
      <c r="B421" s="9" t="s">
        <v>3172</v>
      </c>
      <c r="C421" s="3">
        <v>84.784000000000006</v>
      </c>
    </row>
    <row r="422" spans="2:3" x14ac:dyDescent="0.3">
      <c r="B422" s="9" t="s">
        <v>2949</v>
      </c>
      <c r="C422" s="3">
        <v>72.294000000000011</v>
      </c>
    </row>
    <row r="423" spans="2:3" x14ac:dyDescent="0.3">
      <c r="B423" s="9" t="s">
        <v>3173</v>
      </c>
      <c r="C423" s="3">
        <v>132.709</v>
      </c>
    </row>
    <row r="424" spans="2:3" x14ac:dyDescent="0.3">
      <c r="B424" s="9" t="s">
        <v>2951</v>
      </c>
      <c r="C424" s="3">
        <v>226.46800000000002</v>
      </c>
    </row>
    <row r="425" spans="2:3" x14ac:dyDescent="0.3">
      <c r="B425" s="9" t="s">
        <v>3174</v>
      </c>
      <c r="C425" s="3">
        <v>403.16800000000001</v>
      </c>
    </row>
    <row r="426" spans="2:3" x14ac:dyDescent="0.3">
      <c r="B426" s="9" t="s">
        <v>2954</v>
      </c>
      <c r="C426" s="3">
        <v>34.68</v>
      </c>
    </row>
    <row r="427" spans="2:3" x14ac:dyDescent="0.3">
      <c r="B427" s="9" t="s">
        <v>2956</v>
      </c>
      <c r="C427" s="3">
        <v>93.9</v>
      </c>
    </row>
    <row r="428" spans="2:3" x14ac:dyDescent="0.3">
      <c r="B428" s="9" t="s">
        <v>2957</v>
      </c>
      <c r="C428" s="3">
        <v>61.704000000000008</v>
      </c>
    </row>
    <row r="429" spans="2:3" x14ac:dyDescent="0.3">
      <c r="B429" s="9" t="s">
        <v>3181</v>
      </c>
      <c r="C429" s="3">
        <v>1199.9760000000001</v>
      </c>
    </row>
    <row r="430" spans="2:3" x14ac:dyDescent="0.3">
      <c r="B430" s="9" t="s">
        <v>2959</v>
      </c>
      <c r="C430" s="3">
        <v>122.66000000000001</v>
      </c>
    </row>
    <row r="431" spans="2:3" x14ac:dyDescent="0.3">
      <c r="B431" s="9" t="s">
        <v>2960</v>
      </c>
      <c r="C431" s="3">
        <v>592.01699999999994</v>
      </c>
    </row>
    <row r="432" spans="2:3" x14ac:dyDescent="0.3">
      <c r="B432" s="9" t="s">
        <v>2961</v>
      </c>
      <c r="C432" s="3">
        <v>928.12200000000007</v>
      </c>
    </row>
    <row r="433" spans="2:3" x14ac:dyDescent="0.3">
      <c r="B433" s="9" t="s">
        <v>2963</v>
      </c>
      <c r="C433" s="3">
        <v>901.91200000000026</v>
      </c>
    </row>
    <row r="434" spans="2:3" x14ac:dyDescent="0.3">
      <c r="B434" s="9" t="s">
        <v>2964</v>
      </c>
      <c r="C434" s="3">
        <v>6.12</v>
      </c>
    </row>
    <row r="435" spans="2:3" x14ac:dyDescent="0.3">
      <c r="B435" s="9" t="s">
        <v>3182</v>
      </c>
      <c r="C435" s="3">
        <v>1360.3119999999999</v>
      </c>
    </row>
    <row r="436" spans="2:3" x14ac:dyDescent="0.3">
      <c r="B436" s="9" t="s">
        <v>3183</v>
      </c>
      <c r="C436" s="3">
        <v>1265.268</v>
      </c>
    </row>
    <row r="437" spans="2:3" x14ac:dyDescent="0.3">
      <c r="B437" s="9" t="s">
        <v>2965</v>
      </c>
      <c r="C437" s="3">
        <v>28.799999999999997</v>
      </c>
    </row>
    <row r="438" spans="2:3" x14ac:dyDescent="0.3">
      <c r="B438" s="9" t="s">
        <v>2966</v>
      </c>
      <c r="C438" s="3">
        <v>257.49900000000002</v>
      </c>
    </row>
    <row r="439" spans="2:3" x14ac:dyDescent="0.3">
      <c r="B439" s="9" t="s">
        <v>3185</v>
      </c>
      <c r="C439" s="3">
        <v>156.51600000000002</v>
      </c>
    </row>
    <row r="440" spans="2:3" x14ac:dyDescent="0.3">
      <c r="B440" s="9" t="s">
        <v>2967</v>
      </c>
      <c r="C440" s="3">
        <v>8.32</v>
      </c>
    </row>
    <row r="441" spans="2:3" x14ac:dyDescent="0.3">
      <c r="B441" s="9" t="s">
        <v>3187</v>
      </c>
      <c r="C441" s="3">
        <v>1619.8829999999996</v>
      </c>
    </row>
    <row r="442" spans="2:3" x14ac:dyDescent="0.3">
      <c r="B442" s="9" t="s">
        <v>3188</v>
      </c>
      <c r="C442" s="3">
        <v>441.56799999999998</v>
      </c>
    </row>
    <row r="443" spans="2:3" x14ac:dyDescent="0.3">
      <c r="B443" s="9" t="s">
        <v>2968</v>
      </c>
      <c r="C443" s="3">
        <v>1348.404</v>
      </c>
    </row>
    <row r="444" spans="2:3" x14ac:dyDescent="0.3">
      <c r="B444" s="9" t="s">
        <v>3190</v>
      </c>
      <c r="C444" s="3">
        <v>71.040000000000006</v>
      </c>
    </row>
    <row r="445" spans="2:3" x14ac:dyDescent="0.3">
      <c r="B445" s="9" t="s">
        <v>2972</v>
      </c>
      <c r="C445" s="3">
        <v>111.88800000000001</v>
      </c>
    </row>
    <row r="446" spans="2:3" x14ac:dyDescent="0.3">
      <c r="B446" s="9" t="s">
        <v>3194</v>
      </c>
      <c r="C446" s="3">
        <v>2320.34</v>
      </c>
    </row>
    <row r="447" spans="2:3" x14ac:dyDescent="0.3">
      <c r="B447" s="9" t="s">
        <v>3195</v>
      </c>
      <c r="C447" s="3">
        <v>41.6</v>
      </c>
    </row>
    <row r="448" spans="2:3" x14ac:dyDescent="0.3">
      <c r="B448" s="9" t="s">
        <v>3196</v>
      </c>
      <c r="C448" s="3">
        <v>17.940000000000001</v>
      </c>
    </row>
    <row r="449" spans="2:3" x14ac:dyDescent="0.3">
      <c r="B449" s="9" t="s">
        <v>2975</v>
      </c>
      <c r="C449" s="3">
        <v>126.02000000000001</v>
      </c>
    </row>
    <row r="450" spans="2:3" x14ac:dyDescent="0.3">
      <c r="B450" s="9" t="s">
        <v>2976</v>
      </c>
      <c r="C450" s="3">
        <v>11.96</v>
      </c>
    </row>
    <row r="451" spans="2:3" x14ac:dyDescent="0.3">
      <c r="B451" s="9" t="s">
        <v>2977</v>
      </c>
      <c r="C451" s="3">
        <v>5.98</v>
      </c>
    </row>
    <row r="452" spans="2:3" x14ac:dyDescent="0.3">
      <c r="B452" s="9" t="s">
        <v>3197</v>
      </c>
      <c r="C452" s="3">
        <v>183.57</v>
      </c>
    </row>
    <row r="453" spans="2:3" x14ac:dyDescent="0.3">
      <c r="B453" s="9" t="s">
        <v>3198</v>
      </c>
      <c r="C453" s="3">
        <v>185.52800000000002</v>
      </c>
    </row>
    <row r="454" spans="2:3" x14ac:dyDescent="0.3">
      <c r="B454" s="9" t="s">
        <v>3200</v>
      </c>
      <c r="C454" s="3">
        <v>327.9</v>
      </c>
    </row>
    <row r="455" spans="2:3" x14ac:dyDescent="0.3">
      <c r="B455" s="9" t="s">
        <v>3201</v>
      </c>
      <c r="C455" s="3">
        <v>122.22</v>
      </c>
    </row>
    <row r="456" spans="2:3" x14ac:dyDescent="0.3">
      <c r="B456" s="9" t="s">
        <v>3202</v>
      </c>
      <c r="C456" s="3">
        <v>97.424000000000007</v>
      </c>
    </row>
    <row r="457" spans="2:3" x14ac:dyDescent="0.3">
      <c r="B457" s="9" t="s">
        <v>2980</v>
      </c>
      <c r="C457" s="3">
        <v>1105.259</v>
      </c>
    </row>
    <row r="458" spans="2:3" x14ac:dyDescent="0.3">
      <c r="B458" s="9" t="s">
        <v>2981</v>
      </c>
      <c r="C458" s="3">
        <v>2517.8360000000002</v>
      </c>
    </row>
    <row r="459" spans="2:3" x14ac:dyDescent="0.3">
      <c r="B459" s="9" t="s">
        <v>2982</v>
      </c>
      <c r="C459" s="3">
        <v>222.38400000000001</v>
      </c>
    </row>
    <row r="460" spans="2:3" x14ac:dyDescent="0.3">
      <c r="B460" s="9" t="s">
        <v>3203</v>
      </c>
      <c r="C460" s="3">
        <v>37.049999999999997</v>
      </c>
    </row>
    <row r="461" spans="2:3" x14ac:dyDescent="0.3">
      <c r="B461" s="9" t="s">
        <v>3204</v>
      </c>
      <c r="C461" s="3">
        <v>1119.1480000000001</v>
      </c>
    </row>
    <row r="462" spans="2:3" x14ac:dyDescent="0.3">
      <c r="B462" s="9" t="s">
        <v>2985</v>
      </c>
      <c r="C462" s="3">
        <v>13.38</v>
      </c>
    </row>
    <row r="463" spans="2:3" x14ac:dyDescent="0.3">
      <c r="B463" s="9" t="s">
        <v>2986</v>
      </c>
      <c r="C463" s="3">
        <v>1157.68</v>
      </c>
    </row>
    <row r="464" spans="2:3" x14ac:dyDescent="0.3">
      <c r="B464" s="9" t="s">
        <v>2987</v>
      </c>
      <c r="C464" s="3">
        <v>1081.028</v>
      </c>
    </row>
    <row r="465" spans="2:3" x14ac:dyDescent="0.3">
      <c r="B465" s="9" t="s">
        <v>3207</v>
      </c>
      <c r="C465" s="3">
        <v>93.06</v>
      </c>
    </row>
    <row r="466" spans="2:3" x14ac:dyDescent="0.3">
      <c r="B466" s="9" t="s">
        <v>2989</v>
      </c>
      <c r="C466" s="3">
        <v>71.088000000000008</v>
      </c>
    </row>
    <row r="467" spans="2:3" x14ac:dyDescent="0.3">
      <c r="B467" s="9" t="s">
        <v>3208</v>
      </c>
      <c r="C467" s="3">
        <v>141.172</v>
      </c>
    </row>
    <row r="468" spans="2:3" x14ac:dyDescent="0.3">
      <c r="B468" s="9" t="s">
        <v>2990</v>
      </c>
      <c r="C468" s="3">
        <v>3650.4380000000001</v>
      </c>
    </row>
    <row r="469" spans="2:3" x14ac:dyDescent="0.3">
      <c r="B469" s="9" t="s">
        <v>3209</v>
      </c>
      <c r="C469" s="3">
        <v>9.5140000000000011</v>
      </c>
    </row>
    <row r="470" spans="2:3" x14ac:dyDescent="0.3">
      <c r="B470" s="9" t="s">
        <v>3210</v>
      </c>
      <c r="C470" s="3">
        <v>299.83199999999999</v>
      </c>
    </row>
    <row r="471" spans="2:3" x14ac:dyDescent="0.3">
      <c r="B471" s="9" t="s">
        <v>3211</v>
      </c>
      <c r="C471" s="3">
        <v>1388.7800000000002</v>
      </c>
    </row>
    <row r="472" spans="2:3" x14ac:dyDescent="0.3">
      <c r="B472" s="9" t="s">
        <v>3212</v>
      </c>
      <c r="C472" s="3">
        <v>1361.2860000000001</v>
      </c>
    </row>
    <row r="473" spans="2:3" x14ac:dyDescent="0.3">
      <c r="B473" s="9" t="s">
        <v>2992</v>
      </c>
      <c r="C473" s="3">
        <v>213.46</v>
      </c>
    </row>
    <row r="474" spans="2:3" x14ac:dyDescent="0.3">
      <c r="B474" s="9" t="s">
        <v>2993</v>
      </c>
      <c r="C474" s="3">
        <v>3061.5230000000001</v>
      </c>
    </row>
    <row r="475" spans="2:3" x14ac:dyDescent="0.3">
      <c r="B475" s="9" t="s">
        <v>3214</v>
      </c>
      <c r="C475" s="3">
        <v>46.349999999999994</v>
      </c>
    </row>
    <row r="476" spans="2:3" x14ac:dyDescent="0.3">
      <c r="B476" s="9" t="s">
        <v>2994</v>
      </c>
      <c r="C476" s="3">
        <v>1343.454</v>
      </c>
    </row>
    <row r="477" spans="2:3" x14ac:dyDescent="0.3">
      <c r="B477" s="9" t="s">
        <v>2996</v>
      </c>
      <c r="C477" s="3">
        <v>17.12</v>
      </c>
    </row>
    <row r="478" spans="2:3" x14ac:dyDescent="0.3">
      <c r="B478" s="9" t="s">
        <v>3215</v>
      </c>
      <c r="C478" s="3">
        <v>453.80000000000007</v>
      </c>
    </row>
    <row r="479" spans="2:3" x14ac:dyDescent="0.3">
      <c r="B479" s="9" t="s">
        <v>3216</v>
      </c>
      <c r="C479" s="3">
        <v>997.93400000000008</v>
      </c>
    </row>
    <row r="480" spans="2:3" x14ac:dyDescent="0.3">
      <c r="B480" s="9" t="s">
        <v>2999</v>
      </c>
      <c r="C480" s="3">
        <v>4861.33</v>
      </c>
    </row>
    <row r="481" spans="2:3" x14ac:dyDescent="0.3">
      <c r="B481" s="9" t="s">
        <v>3217</v>
      </c>
      <c r="C481" s="3">
        <v>60.81</v>
      </c>
    </row>
    <row r="482" spans="2:3" x14ac:dyDescent="0.3">
      <c r="B482" s="9" t="s">
        <v>3218</v>
      </c>
      <c r="C482" s="3">
        <v>284.24</v>
      </c>
    </row>
    <row r="483" spans="2:3" x14ac:dyDescent="0.3">
      <c r="B483" s="9" t="s">
        <v>3000</v>
      </c>
      <c r="C483" s="3">
        <v>201.584</v>
      </c>
    </row>
    <row r="484" spans="2:3" x14ac:dyDescent="0.3">
      <c r="B484" s="9" t="s">
        <v>3219</v>
      </c>
      <c r="C484" s="3">
        <v>41.320000000000007</v>
      </c>
    </row>
    <row r="485" spans="2:3" x14ac:dyDescent="0.3">
      <c r="B485" s="9" t="s">
        <v>3222</v>
      </c>
      <c r="C485" s="3">
        <v>1502.4460000000001</v>
      </c>
    </row>
    <row r="486" spans="2:3" x14ac:dyDescent="0.3">
      <c r="B486" s="9" t="s">
        <v>3223</v>
      </c>
      <c r="C486" s="3">
        <v>195.184</v>
      </c>
    </row>
    <row r="487" spans="2:3" x14ac:dyDescent="0.3">
      <c r="B487" s="9" t="s">
        <v>3001</v>
      </c>
      <c r="C487" s="3">
        <v>16.920000000000002</v>
      </c>
    </row>
    <row r="488" spans="2:3" x14ac:dyDescent="0.3">
      <c r="B488" s="9" t="s">
        <v>3224</v>
      </c>
      <c r="C488" s="3">
        <v>1651.3009999999999</v>
      </c>
    </row>
    <row r="489" spans="2:3" x14ac:dyDescent="0.3">
      <c r="B489" s="9" t="s">
        <v>3226</v>
      </c>
      <c r="C489" s="3">
        <v>3411.4580000000005</v>
      </c>
    </row>
    <row r="490" spans="2:3" x14ac:dyDescent="0.3">
      <c r="B490" s="9" t="s">
        <v>3227</v>
      </c>
      <c r="C490" s="3">
        <v>852.35200000000009</v>
      </c>
    </row>
    <row r="491" spans="2:3" x14ac:dyDescent="0.3">
      <c r="B491" s="9" t="s">
        <v>3004</v>
      </c>
      <c r="C491" s="3">
        <v>61.624000000000009</v>
      </c>
    </row>
    <row r="492" spans="2:3" x14ac:dyDescent="0.3">
      <c r="B492" s="9" t="s">
        <v>3229</v>
      </c>
      <c r="C492" s="3">
        <v>95.76</v>
      </c>
    </row>
    <row r="493" spans="2:3" x14ac:dyDescent="0.3">
      <c r="B493" s="9" t="s">
        <v>3230</v>
      </c>
      <c r="C493" s="3">
        <v>673.66</v>
      </c>
    </row>
    <row r="494" spans="2:3" x14ac:dyDescent="0.3">
      <c r="B494" s="9" t="s">
        <v>3006</v>
      </c>
      <c r="C494" s="3">
        <v>380.20000000000005</v>
      </c>
    </row>
    <row r="495" spans="2:3" x14ac:dyDescent="0.3">
      <c r="B495" s="9" t="s">
        <v>3008</v>
      </c>
      <c r="C495" s="3">
        <v>734.28000000000009</v>
      </c>
    </row>
    <row r="496" spans="2:3" x14ac:dyDescent="0.3">
      <c r="B496" s="9" t="s">
        <v>3009</v>
      </c>
      <c r="C496" s="3">
        <v>2421.6320000000005</v>
      </c>
    </row>
    <row r="497" spans="2:3" x14ac:dyDescent="0.3">
      <c r="B497" s="9" t="s">
        <v>3231</v>
      </c>
      <c r="C497" s="3">
        <v>425.95400000000001</v>
      </c>
    </row>
    <row r="498" spans="2:3" x14ac:dyDescent="0.3">
      <c r="B498" s="9" t="s">
        <v>3233</v>
      </c>
      <c r="C498" s="3">
        <v>423.05</v>
      </c>
    </row>
    <row r="499" spans="2:3" x14ac:dyDescent="0.3">
      <c r="B499" s="9" t="s">
        <v>3234</v>
      </c>
      <c r="C499" s="3">
        <v>92.499999999999986</v>
      </c>
    </row>
    <row r="500" spans="2:3" x14ac:dyDescent="0.3">
      <c r="B500" s="9" t="s">
        <v>3011</v>
      </c>
      <c r="C500" s="3">
        <v>744.89399999999989</v>
      </c>
    </row>
    <row r="501" spans="2:3" x14ac:dyDescent="0.3">
      <c r="B501" s="9" t="s">
        <v>3238</v>
      </c>
      <c r="C501" s="3">
        <v>18.899999999999999</v>
      </c>
    </row>
    <row r="502" spans="2:3" x14ac:dyDescent="0.3">
      <c r="B502" s="9" t="s">
        <v>3239</v>
      </c>
      <c r="C502" s="3">
        <v>715.64</v>
      </c>
    </row>
    <row r="503" spans="2:3" x14ac:dyDescent="0.3">
      <c r="B503" s="9" t="s">
        <v>3013</v>
      </c>
      <c r="C503" s="3">
        <v>863.12800000000004</v>
      </c>
    </row>
    <row r="504" spans="2:3" x14ac:dyDescent="0.3">
      <c r="B504" s="9" t="s">
        <v>3014</v>
      </c>
      <c r="C504" s="3">
        <v>1085.6880000000001</v>
      </c>
    </row>
    <row r="505" spans="2:3" x14ac:dyDescent="0.3">
      <c r="B505" s="9" t="s">
        <v>3240</v>
      </c>
      <c r="C505" s="3">
        <v>482.58400000000006</v>
      </c>
    </row>
    <row r="506" spans="2:3" x14ac:dyDescent="0.3">
      <c r="B506" s="9" t="s">
        <v>3242</v>
      </c>
      <c r="C506" s="3">
        <v>335.12</v>
      </c>
    </row>
    <row r="507" spans="2:3" x14ac:dyDescent="0.3">
      <c r="B507" s="9" t="s">
        <v>3015</v>
      </c>
      <c r="C507" s="3">
        <v>211.16800000000001</v>
      </c>
    </row>
    <row r="508" spans="2:3" x14ac:dyDescent="0.3">
      <c r="B508" s="9" t="s">
        <v>3016</v>
      </c>
      <c r="C508" s="3">
        <v>179.97</v>
      </c>
    </row>
    <row r="509" spans="2:3" x14ac:dyDescent="0.3">
      <c r="B509" s="9" t="s">
        <v>3243</v>
      </c>
      <c r="C509" s="3">
        <v>1016.184</v>
      </c>
    </row>
    <row r="510" spans="2:3" x14ac:dyDescent="0.3">
      <c r="B510" s="9" t="s">
        <v>3019</v>
      </c>
      <c r="C510" s="3">
        <v>121.09199999999998</v>
      </c>
    </row>
    <row r="511" spans="2:3" x14ac:dyDescent="0.3">
      <c r="B511" s="9" t="s">
        <v>3020</v>
      </c>
      <c r="C511" s="3">
        <v>749.42600000000004</v>
      </c>
    </row>
    <row r="512" spans="2:3" x14ac:dyDescent="0.3">
      <c r="B512" s="9" t="s">
        <v>3021</v>
      </c>
      <c r="C512" s="3">
        <v>204.54</v>
      </c>
    </row>
    <row r="513" spans="2:3" x14ac:dyDescent="0.3">
      <c r="B513" s="9" t="s">
        <v>3247</v>
      </c>
      <c r="C513" s="3">
        <v>15.712000000000002</v>
      </c>
    </row>
    <row r="514" spans="2:3" x14ac:dyDescent="0.3">
      <c r="B514" s="9" t="s">
        <v>3250</v>
      </c>
      <c r="C514" s="3">
        <v>3372.5620000000004</v>
      </c>
    </row>
    <row r="515" spans="2:3" x14ac:dyDescent="0.3">
      <c r="B515" s="9" t="s">
        <v>3251</v>
      </c>
      <c r="C515" s="3">
        <v>149.88</v>
      </c>
    </row>
    <row r="516" spans="2:3" x14ac:dyDescent="0.3">
      <c r="B516" s="9" t="s">
        <v>3023</v>
      </c>
      <c r="C516" s="3">
        <v>1599.864</v>
      </c>
    </row>
    <row r="517" spans="2:3" x14ac:dyDescent="0.3">
      <c r="B517" s="9" t="s">
        <v>3025</v>
      </c>
      <c r="C517" s="3">
        <v>1783.0060000000001</v>
      </c>
    </row>
    <row r="518" spans="2:3" x14ac:dyDescent="0.3">
      <c r="B518" s="9" t="s">
        <v>3253</v>
      </c>
      <c r="C518" s="3">
        <v>124.056</v>
      </c>
    </row>
    <row r="519" spans="2:3" x14ac:dyDescent="0.3">
      <c r="B519" s="9" t="s">
        <v>3027</v>
      </c>
      <c r="C519" s="3">
        <v>387.00000000000006</v>
      </c>
    </row>
    <row r="520" spans="2:3" x14ac:dyDescent="0.3">
      <c r="B520" s="9" t="s">
        <v>3254</v>
      </c>
      <c r="C520" s="3">
        <v>34.659999999999997</v>
      </c>
    </row>
    <row r="521" spans="2:3" x14ac:dyDescent="0.3">
      <c r="B521" s="9" t="s">
        <v>3029</v>
      </c>
      <c r="C521" s="3">
        <v>3132.6740000000004</v>
      </c>
    </row>
    <row r="522" spans="2:3" x14ac:dyDescent="0.3">
      <c r="B522" s="9" t="s">
        <v>3031</v>
      </c>
      <c r="C522" s="3">
        <v>2824.2300000000005</v>
      </c>
    </row>
    <row r="523" spans="2:3" x14ac:dyDescent="0.3">
      <c r="B523" s="9" t="s">
        <v>3032</v>
      </c>
      <c r="C523" s="3">
        <v>228.12</v>
      </c>
    </row>
    <row r="524" spans="2:3" x14ac:dyDescent="0.3">
      <c r="B524" s="9" t="s">
        <v>3255</v>
      </c>
      <c r="C524" s="3">
        <v>631.06000000000006</v>
      </c>
    </row>
    <row r="525" spans="2:3" x14ac:dyDescent="0.3">
      <c r="B525" s="9" t="s">
        <v>3035</v>
      </c>
      <c r="C525" s="3">
        <v>55.360000000000007</v>
      </c>
    </row>
    <row r="526" spans="2:3" x14ac:dyDescent="0.3">
      <c r="B526" s="9" t="s">
        <v>3036</v>
      </c>
      <c r="C526" s="3">
        <v>420.02400000000006</v>
      </c>
    </row>
    <row r="527" spans="2:3" x14ac:dyDescent="0.3">
      <c r="B527" s="9" t="s">
        <v>3037</v>
      </c>
      <c r="C527" s="3">
        <v>3761.0079999999998</v>
      </c>
    </row>
    <row r="528" spans="2:3" x14ac:dyDescent="0.3">
      <c r="B528" s="9" t="s">
        <v>3038</v>
      </c>
      <c r="C528" s="3">
        <v>775.73200000000008</v>
      </c>
    </row>
    <row r="529" spans="2:3" x14ac:dyDescent="0.3">
      <c r="B529" s="9" t="s">
        <v>3257</v>
      </c>
      <c r="C529" s="3">
        <v>1254.27</v>
      </c>
    </row>
    <row r="530" spans="2:3" x14ac:dyDescent="0.3">
      <c r="B530" s="9" t="s">
        <v>3040</v>
      </c>
      <c r="C530" s="3">
        <v>304.10599999999999</v>
      </c>
    </row>
    <row r="531" spans="2:3" x14ac:dyDescent="0.3">
      <c r="B531" s="9" t="s">
        <v>3041</v>
      </c>
      <c r="C531" s="3">
        <v>331.95600000000002</v>
      </c>
    </row>
    <row r="532" spans="2:3" x14ac:dyDescent="0.3">
      <c r="B532" s="9" t="s">
        <v>3042</v>
      </c>
      <c r="C532" s="3">
        <v>2295.9900000000002</v>
      </c>
    </row>
    <row r="533" spans="2:3" x14ac:dyDescent="0.3">
      <c r="B533" s="9" t="s">
        <v>3043</v>
      </c>
      <c r="C533" s="3">
        <v>187</v>
      </c>
    </row>
    <row r="534" spans="2:3" x14ac:dyDescent="0.3">
      <c r="B534" s="9" t="s">
        <v>3044</v>
      </c>
      <c r="C534" s="3">
        <v>639.57399999999996</v>
      </c>
    </row>
    <row r="535" spans="2:3" x14ac:dyDescent="0.3">
      <c r="B535" s="9" t="s">
        <v>3258</v>
      </c>
      <c r="C535" s="3">
        <v>68.432000000000016</v>
      </c>
    </row>
    <row r="536" spans="2:3" x14ac:dyDescent="0.3">
      <c r="B536" s="9" t="s">
        <v>3046</v>
      </c>
      <c r="C536" s="3">
        <v>234.62800000000001</v>
      </c>
    </row>
    <row r="537" spans="2:3" x14ac:dyDescent="0.3">
      <c r="B537" s="9" t="s">
        <v>3047</v>
      </c>
      <c r="C537" s="3">
        <v>1547.4960000000001</v>
      </c>
    </row>
    <row r="538" spans="2:3" x14ac:dyDescent="0.3">
      <c r="B538" s="9" t="s">
        <v>3048</v>
      </c>
      <c r="C538" s="3">
        <v>2011.5490000000002</v>
      </c>
    </row>
    <row r="539" spans="2:3" x14ac:dyDescent="0.3">
      <c r="B539" s="9" t="s">
        <v>3049</v>
      </c>
      <c r="C539" s="3">
        <v>929.27749999999992</v>
      </c>
    </row>
    <row r="540" spans="2:3" x14ac:dyDescent="0.3">
      <c r="B540" s="9" t="s">
        <v>3050</v>
      </c>
      <c r="C540" s="3">
        <v>1001.5840000000001</v>
      </c>
    </row>
    <row r="541" spans="2:3" x14ac:dyDescent="0.3">
      <c r="B541" s="9" t="s">
        <v>3260</v>
      </c>
      <c r="C541" s="3">
        <v>952.14600000000007</v>
      </c>
    </row>
    <row r="542" spans="2:3" x14ac:dyDescent="0.3">
      <c r="B542" s="9" t="s">
        <v>3052</v>
      </c>
      <c r="C542" s="3">
        <v>194.84800000000001</v>
      </c>
    </row>
    <row r="543" spans="2:3" x14ac:dyDescent="0.3">
      <c r="B543" s="9" t="s">
        <v>3053</v>
      </c>
      <c r="C543" s="3">
        <v>54.792000000000009</v>
      </c>
    </row>
    <row r="544" spans="2:3" x14ac:dyDescent="0.3">
      <c r="B544" s="9" t="s">
        <v>3054</v>
      </c>
      <c r="C544" s="3">
        <v>1027.6759999999999</v>
      </c>
    </row>
    <row r="545" spans="2:3" x14ac:dyDescent="0.3">
      <c r="B545" s="9" t="s">
        <v>3262</v>
      </c>
      <c r="C545" s="3">
        <v>801.55000000000007</v>
      </c>
    </row>
    <row r="546" spans="2:3" x14ac:dyDescent="0.3">
      <c r="B546" s="9" t="s">
        <v>3056</v>
      </c>
      <c r="C546" s="3">
        <v>968.78399999999988</v>
      </c>
    </row>
    <row r="547" spans="2:3" x14ac:dyDescent="0.3">
      <c r="B547" s="9" t="s">
        <v>3263</v>
      </c>
      <c r="C547" s="3">
        <v>61.96</v>
      </c>
    </row>
    <row r="548" spans="2:3" x14ac:dyDescent="0.3">
      <c r="B548" s="9" t="s">
        <v>3057</v>
      </c>
      <c r="C548" s="3">
        <v>170.976</v>
      </c>
    </row>
    <row r="549" spans="2:3" x14ac:dyDescent="0.3">
      <c r="B549" s="9" t="s">
        <v>3264</v>
      </c>
      <c r="C549" s="3">
        <v>227.65800000000002</v>
      </c>
    </row>
    <row r="550" spans="2:3" x14ac:dyDescent="0.3">
      <c r="B550" s="9" t="s">
        <v>3266</v>
      </c>
      <c r="C550" s="3">
        <v>1008.6060000000001</v>
      </c>
    </row>
    <row r="551" spans="2:3" x14ac:dyDescent="0.3">
      <c r="B551" s="9" t="s">
        <v>3267</v>
      </c>
      <c r="C551" s="3">
        <v>177</v>
      </c>
    </row>
    <row r="552" spans="2:3" x14ac:dyDescent="0.3">
      <c r="B552" s="9" t="s">
        <v>3268</v>
      </c>
      <c r="C552" s="3">
        <v>219.11999999999998</v>
      </c>
    </row>
    <row r="553" spans="2:3" x14ac:dyDescent="0.3">
      <c r="B553" s="9" t="s">
        <v>3060</v>
      </c>
      <c r="C553" s="3">
        <v>138.82599999999999</v>
      </c>
    </row>
    <row r="554" spans="2:3" x14ac:dyDescent="0.3">
      <c r="B554" s="9" t="s">
        <v>3061</v>
      </c>
      <c r="C554" s="3">
        <v>307.92</v>
      </c>
    </row>
    <row r="555" spans="2:3" x14ac:dyDescent="0.3">
      <c r="B555" s="9" t="s">
        <v>3269</v>
      </c>
      <c r="C555" s="3">
        <v>406.43200000000002</v>
      </c>
    </row>
    <row r="556" spans="2:3" x14ac:dyDescent="0.3">
      <c r="B556" s="9" t="s">
        <v>3270</v>
      </c>
      <c r="C556" s="3">
        <v>5477.8420000000015</v>
      </c>
    </row>
    <row r="557" spans="2:3" x14ac:dyDescent="0.3">
      <c r="B557" s="9" t="s">
        <v>3063</v>
      </c>
      <c r="C557" s="3">
        <v>116.96</v>
      </c>
    </row>
    <row r="558" spans="2:3" x14ac:dyDescent="0.3">
      <c r="B558" s="9" t="s">
        <v>3064</v>
      </c>
      <c r="C558" s="3">
        <v>17.05</v>
      </c>
    </row>
    <row r="559" spans="2:3" x14ac:dyDescent="0.3">
      <c r="B559" s="9" t="s">
        <v>3065</v>
      </c>
      <c r="C559" s="3">
        <v>1109.97</v>
      </c>
    </row>
    <row r="560" spans="2:3" x14ac:dyDescent="0.3">
      <c r="B560" s="9" t="s">
        <v>3272</v>
      </c>
      <c r="C560" s="3">
        <v>136.08800000000002</v>
      </c>
    </row>
    <row r="561" spans="2:3" x14ac:dyDescent="0.3">
      <c r="B561" s="9" t="s">
        <v>3067</v>
      </c>
      <c r="C561" s="3">
        <v>495.93199999999996</v>
      </c>
    </row>
    <row r="562" spans="2:3" x14ac:dyDescent="0.3">
      <c r="B562" s="9" t="s">
        <v>3068</v>
      </c>
      <c r="C562" s="3">
        <v>11.744</v>
      </c>
    </row>
    <row r="563" spans="2:3" x14ac:dyDescent="0.3">
      <c r="B563" s="9" t="s">
        <v>3069</v>
      </c>
      <c r="C563" s="3">
        <v>3.62</v>
      </c>
    </row>
    <row r="564" spans="2:3" x14ac:dyDescent="0.3">
      <c r="B564" s="9" t="s">
        <v>3070</v>
      </c>
      <c r="C564" s="3">
        <v>2489.34</v>
      </c>
    </row>
    <row r="565" spans="2:3" x14ac:dyDescent="0.3">
      <c r="B565" s="9" t="s">
        <v>3273</v>
      </c>
      <c r="C565" s="3">
        <v>2244.4230000000002</v>
      </c>
    </row>
    <row r="566" spans="2:3" x14ac:dyDescent="0.3">
      <c r="B566" s="9" t="s">
        <v>3073</v>
      </c>
      <c r="C566" s="3">
        <v>2643.17</v>
      </c>
    </row>
    <row r="567" spans="2:3" x14ac:dyDescent="0.3">
      <c r="B567" s="9" t="s">
        <v>3074</v>
      </c>
      <c r="C567" s="3">
        <v>906.10600000000011</v>
      </c>
    </row>
    <row r="568" spans="2:3" x14ac:dyDescent="0.3">
      <c r="B568" s="9" t="s">
        <v>3075</v>
      </c>
      <c r="C568" s="3">
        <v>404.82400000000007</v>
      </c>
    </row>
    <row r="569" spans="2:3" x14ac:dyDescent="0.3">
      <c r="B569" s="9" t="s">
        <v>3076</v>
      </c>
      <c r="C569" s="3">
        <v>2286.4859999999999</v>
      </c>
    </row>
    <row r="570" spans="2:3" x14ac:dyDescent="0.3">
      <c r="B570" s="9" t="s">
        <v>3078</v>
      </c>
      <c r="C570" s="3">
        <v>479.97</v>
      </c>
    </row>
    <row r="571" spans="2:3" x14ac:dyDescent="0.3">
      <c r="B571" s="9" t="s">
        <v>3274</v>
      </c>
      <c r="C571" s="3">
        <v>1778.298</v>
      </c>
    </row>
    <row r="572" spans="2:3" x14ac:dyDescent="0.3">
      <c r="B572" s="9" t="s">
        <v>3079</v>
      </c>
      <c r="C572" s="3">
        <v>531.57599999999991</v>
      </c>
    </row>
    <row r="573" spans="2:3" x14ac:dyDescent="0.3">
      <c r="B573" s="9" t="s">
        <v>3080</v>
      </c>
      <c r="C573" s="3">
        <v>920.95</v>
      </c>
    </row>
    <row r="574" spans="2:3" x14ac:dyDescent="0.3">
      <c r="B574" s="9" t="s">
        <v>3081</v>
      </c>
      <c r="C574" s="3">
        <v>67.740000000000009</v>
      </c>
    </row>
    <row r="575" spans="2:3" x14ac:dyDescent="0.3">
      <c r="B575" s="9" t="s">
        <v>3275</v>
      </c>
      <c r="C575" s="3">
        <v>17.22</v>
      </c>
    </row>
    <row r="576" spans="2:3" x14ac:dyDescent="0.3">
      <c r="B576" s="9" t="s">
        <v>3082</v>
      </c>
      <c r="C576" s="3">
        <v>1515.694</v>
      </c>
    </row>
    <row r="577" spans="2:3" x14ac:dyDescent="0.3">
      <c r="B577" s="9" t="s">
        <v>3083</v>
      </c>
      <c r="C577" s="3">
        <v>36.72</v>
      </c>
    </row>
    <row r="578" spans="2:3" x14ac:dyDescent="0.3">
      <c r="B578" s="9" t="s">
        <v>3276</v>
      </c>
      <c r="C578" s="3">
        <v>60.276000000000003</v>
      </c>
    </row>
    <row r="579" spans="2:3" x14ac:dyDescent="0.3">
      <c r="B579" s="9" t="s">
        <v>3084</v>
      </c>
      <c r="C579" s="3">
        <v>785.15200000000004</v>
      </c>
    </row>
    <row r="580" spans="2:3" x14ac:dyDescent="0.3">
      <c r="B580" s="9" t="s">
        <v>3085</v>
      </c>
      <c r="C580" s="3">
        <v>31.96</v>
      </c>
    </row>
    <row r="581" spans="2:3" x14ac:dyDescent="0.3">
      <c r="B581" s="9" t="s">
        <v>3086</v>
      </c>
      <c r="C581" s="3">
        <v>66.88</v>
      </c>
    </row>
    <row r="582" spans="2:3" x14ac:dyDescent="0.3">
      <c r="B582" s="9" t="s">
        <v>3087</v>
      </c>
      <c r="C582" s="3">
        <v>227.536</v>
      </c>
    </row>
    <row r="583" spans="2:3" x14ac:dyDescent="0.3">
      <c r="B583" s="9" t="s">
        <v>3278</v>
      </c>
      <c r="C583" s="3">
        <v>4300.3860000000004</v>
      </c>
    </row>
    <row r="584" spans="2:3" x14ac:dyDescent="0.3">
      <c r="B584" s="9" t="s">
        <v>3279</v>
      </c>
      <c r="C584" s="3">
        <v>194.35200000000003</v>
      </c>
    </row>
    <row r="585" spans="2:3" x14ac:dyDescent="0.3">
      <c r="B585" s="9" t="s">
        <v>3089</v>
      </c>
      <c r="C585" s="3">
        <v>4111.4859999999999</v>
      </c>
    </row>
    <row r="586" spans="2:3" x14ac:dyDescent="0.3">
      <c r="B586" s="9" t="s">
        <v>3090</v>
      </c>
      <c r="C586" s="3">
        <v>311.8</v>
      </c>
    </row>
    <row r="587" spans="2:3" x14ac:dyDescent="0.3">
      <c r="B587" s="9" t="s">
        <v>3280</v>
      </c>
      <c r="C587" s="3">
        <v>1255.5</v>
      </c>
    </row>
    <row r="588" spans="2:3" x14ac:dyDescent="0.3">
      <c r="B588" s="9" t="s">
        <v>3094</v>
      </c>
      <c r="C588" s="3">
        <v>468.95800000000003</v>
      </c>
    </row>
    <row r="589" spans="2:3" x14ac:dyDescent="0.3">
      <c r="B589" s="9" t="s">
        <v>3095</v>
      </c>
      <c r="C589" s="3">
        <v>3079.5400000000004</v>
      </c>
    </row>
    <row r="590" spans="2:3" x14ac:dyDescent="0.3">
      <c r="B590" s="9" t="s">
        <v>3096</v>
      </c>
      <c r="C590" s="3">
        <v>104.85</v>
      </c>
    </row>
    <row r="591" spans="2:3" x14ac:dyDescent="0.3">
      <c r="B591" s="9" t="s">
        <v>3097</v>
      </c>
      <c r="C591" s="3">
        <v>407.97600000000006</v>
      </c>
    </row>
    <row r="592" spans="2:3" x14ac:dyDescent="0.3">
      <c r="B592" s="9" t="s">
        <v>3098</v>
      </c>
      <c r="C592" s="3">
        <v>2207.1959999999999</v>
      </c>
    </row>
    <row r="593" spans="2:3" x14ac:dyDescent="0.3">
      <c r="B593" s="9" t="s">
        <v>3281</v>
      </c>
      <c r="C593" s="3">
        <v>1862.0140000000001</v>
      </c>
    </row>
    <row r="594" spans="2:3" x14ac:dyDescent="0.3">
      <c r="B594" s="9" t="s">
        <v>3100</v>
      </c>
      <c r="C594" s="3">
        <v>273.92</v>
      </c>
    </row>
    <row r="595" spans="2:3" x14ac:dyDescent="0.3">
      <c r="B595" s="9" t="s">
        <v>3101</v>
      </c>
      <c r="C595" s="3">
        <v>824.51</v>
      </c>
    </row>
    <row r="596" spans="2:3" x14ac:dyDescent="0.3">
      <c r="B596" s="9" t="s">
        <v>3102</v>
      </c>
      <c r="C596" s="3">
        <v>3638.9719999999998</v>
      </c>
    </row>
    <row r="597" spans="2:3" x14ac:dyDescent="0.3">
      <c r="B597" s="9" t="s">
        <v>3103</v>
      </c>
      <c r="C597" s="3">
        <v>440.15999999999997</v>
      </c>
    </row>
    <row r="598" spans="2:3" x14ac:dyDescent="0.3">
      <c r="B598" s="9" t="s">
        <v>3104</v>
      </c>
      <c r="C598" s="3">
        <v>1130.2079999999999</v>
      </c>
    </row>
    <row r="599" spans="2:3" x14ac:dyDescent="0.3">
      <c r="B599" s="9" t="s">
        <v>3105</v>
      </c>
      <c r="C599" s="3">
        <v>216.22400000000002</v>
      </c>
    </row>
    <row r="600" spans="2:3" x14ac:dyDescent="0.3">
      <c r="B600" s="9" t="s">
        <v>3106</v>
      </c>
      <c r="C600" s="3">
        <v>666.12299999999993</v>
      </c>
    </row>
    <row r="601" spans="2:3" x14ac:dyDescent="0.3">
      <c r="B601" s="9" t="s">
        <v>3107</v>
      </c>
      <c r="C601" s="3">
        <v>585.13</v>
      </c>
    </row>
    <row r="602" spans="2:3" x14ac:dyDescent="0.3">
      <c r="B602" s="9" t="s">
        <v>3108</v>
      </c>
      <c r="C602" s="3">
        <v>2074.9540000000002</v>
      </c>
    </row>
    <row r="603" spans="2:3" x14ac:dyDescent="0.3">
      <c r="B603" s="9" t="s">
        <v>3109</v>
      </c>
      <c r="C603" s="3">
        <v>2364.4440000000004</v>
      </c>
    </row>
    <row r="604" spans="2:3" x14ac:dyDescent="0.3">
      <c r="B604" s="9" t="s">
        <v>3110</v>
      </c>
      <c r="C604" s="3">
        <v>471.62400000000002</v>
      </c>
    </row>
    <row r="605" spans="2:3" x14ac:dyDescent="0.3">
      <c r="B605" s="9" t="s">
        <v>3283</v>
      </c>
      <c r="C605" s="3">
        <v>1017.5440000000001</v>
      </c>
    </row>
    <row r="606" spans="2:3" x14ac:dyDescent="0.3">
      <c r="B606" s="9" t="s">
        <v>3112</v>
      </c>
      <c r="C606" s="3">
        <v>1506.02</v>
      </c>
    </row>
    <row r="607" spans="2:3" x14ac:dyDescent="0.3">
      <c r="B607" s="9" t="s">
        <v>3113</v>
      </c>
      <c r="C607" s="3">
        <v>117.12</v>
      </c>
    </row>
    <row r="608" spans="2:3" x14ac:dyDescent="0.3">
      <c r="B608" s="9" t="s">
        <v>3284</v>
      </c>
      <c r="C608" s="3">
        <v>5820.4489999999996</v>
      </c>
    </row>
    <row r="609" spans="2:3" x14ac:dyDescent="0.3">
      <c r="B609" s="9" t="s">
        <v>3114</v>
      </c>
      <c r="C609" s="3">
        <v>1495.0260000000001</v>
      </c>
    </row>
    <row r="610" spans="2:3" x14ac:dyDescent="0.3">
      <c r="B610" s="9" t="s">
        <v>3285</v>
      </c>
      <c r="C610" s="3">
        <v>20.16</v>
      </c>
    </row>
    <row r="611" spans="2:3" x14ac:dyDescent="0.3">
      <c r="B611" s="9" t="s">
        <v>3115</v>
      </c>
      <c r="C611" s="3">
        <v>81.01400000000001</v>
      </c>
    </row>
    <row r="612" spans="2:3" x14ac:dyDescent="0.3">
      <c r="B612" s="9" t="s">
        <v>3116</v>
      </c>
      <c r="C612" s="3">
        <v>487.70400000000001</v>
      </c>
    </row>
    <row r="613" spans="2:3" x14ac:dyDescent="0.3">
      <c r="B613" s="8" t="s">
        <v>3289</v>
      </c>
      <c r="C613" s="3">
        <v>250632.52550000011</v>
      </c>
    </row>
    <row r="614" spans="2:3" x14ac:dyDescent="0.3">
      <c r="B614" s="9" t="s">
        <v>3127</v>
      </c>
      <c r="C614" s="3">
        <v>504.15999999999997</v>
      </c>
    </row>
    <row r="615" spans="2:3" x14ac:dyDescent="0.3">
      <c r="B615" s="9" t="s">
        <v>3128</v>
      </c>
      <c r="C615" s="3">
        <v>474.43</v>
      </c>
    </row>
    <row r="616" spans="2:3" x14ac:dyDescent="0.3">
      <c r="B616" s="9" t="s">
        <v>3129</v>
      </c>
      <c r="C616" s="3">
        <v>16.59</v>
      </c>
    </row>
    <row r="617" spans="2:3" x14ac:dyDescent="0.3">
      <c r="B617" s="9" t="s">
        <v>3130</v>
      </c>
      <c r="C617" s="3">
        <v>2070.2719999999999</v>
      </c>
    </row>
    <row r="618" spans="2:3" x14ac:dyDescent="0.3">
      <c r="B618" s="9" t="s">
        <v>3132</v>
      </c>
      <c r="C618" s="3">
        <v>332.8</v>
      </c>
    </row>
    <row r="619" spans="2:3" x14ac:dyDescent="0.3">
      <c r="B619" s="9" t="s">
        <v>3133</v>
      </c>
      <c r="C619" s="3">
        <v>892.98</v>
      </c>
    </row>
    <row r="620" spans="2:3" x14ac:dyDescent="0.3">
      <c r="B620" s="9" t="s">
        <v>2927</v>
      </c>
      <c r="C620" s="3">
        <v>9.7799999999999994</v>
      </c>
    </row>
    <row r="621" spans="2:3" x14ac:dyDescent="0.3">
      <c r="B621" s="9" t="s">
        <v>3135</v>
      </c>
      <c r="C621" s="3">
        <v>492.58799999999997</v>
      </c>
    </row>
    <row r="622" spans="2:3" x14ac:dyDescent="0.3">
      <c r="B622" s="9" t="s">
        <v>3136</v>
      </c>
      <c r="C622" s="3">
        <v>21.400000000000002</v>
      </c>
    </row>
    <row r="623" spans="2:3" x14ac:dyDescent="0.3">
      <c r="B623" s="9" t="s">
        <v>3137</v>
      </c>
      <c r="C623" s="3">
        <v>427.59200000000004</v>
      </c>
    </row>
    <row r="624" spans="2:3" x14ac:dyDescent="0.3">
      <c r="B624" s="9" t="s">
        <v>3141</v>
      </c>
      <c r="C624" s="3">
        <v>544.952</v>
      </c>
    </row>
    <row r="625" spans="2:3" x14ac:dyDescent="0.3">
      <c r="B625" s="9" t="s">
        <v>3142</v>
      </c>
      <c r="C625" s="3">
        <v>654.24200000000008</v>
      </c>
    </row>
    <row r="626" spans="2:3" x14ac:dyDescent="0.3">
      <c r="B626" s="9" t="s">
        <v>2928</v>
      </c>
      <c r="C626" s="3">
        <v>4189.3799999999992</v>
      </c>
    </row>
    <row r="627" spans="2:3" x14ac:dyDescent="0.3">
      <c r="B627" s="9" t="s">
        <v>3143</v>
      </c>
      <c r="C627" s="3">
        <v>239.35400000000001</v>
      </c>
    </row>
    <row r="628" spans="2:3" x14ac:dyDescent="0.3">
      <c r="B628" s="9" t="s">
        <v>3144</v>
      </c>
      <c r="C628" s="3">
        <v>412.99600000000009</v>
      </c>
    </row>
    <row r="629" spans="2:3" x14ac:dyDescent="0.3">
      <c r="B629" s="9" t="s">
        <v>2930</v>
      </c>
      <c r="C629" s="3">
        <v>11.84</v>
      </c>
    </row>
    <row r="630" spans="2:3" x14ac:dyDescent="0.3">
      <c r="B630" s="9" t="s">
        <v>3146</v>
      </c>
      <c r="C630" s="3">
        <v>277.70999999999998</v>
      </c>
    </row>
    <row r="631" spans="2:3" x14ac:dyDescent="0.3">
      <c r="B631" s="9" t="s">
        <v>2931</v>
      </c>
      <c r="C631" s="3">
        <v>136.52600000000001</v>
      </c>
    </row>
    <row r="632" spans="2:3" x14ac:dyDescent="0.3">
      <c r="B632" s="9" t="s">
        <v>3147</v>
      </c>
      <c r="C632" s="3">
        <v>876.41200000000003</v>
      </c>
    </row>
    <row r="633" spans="2:3" x14ac:dyDescent="0.3">
      <c r="B633" s="9" t="s">
        <v>2932</v>
      </c>
      <c r="C633" s="3">
        <v>753.62400000000014</v>
      </c>
    </row>
    <row r="634" spans="2:3" x14ac:dyDescent="0.3">
      <c r="B634" s="9" t="s">
        <v>2933</v>
      </c>
      <c r="C634" s="3">
        <v>2011.8999999999999</v>
      </c>
    </row>
    <row r="635" spans="2:3" x14ac:dyDescent="0.3">
      <c r="B635" s="9" t="s">
        <v>3152</v>
      </c>
      <c r="C635" s="3">
        <v>29.900000000000002</v>
      </c>
    </row>
    <row r="636" spans="2:3" x14ac:dyDescent="0.3">
      <c r="B636" s="9" t="s">
        <v>3154</v>
      </c>
      <c r="C636" s="3">
        <v>376.02000000000004</v>
      </c>
    </row>
    <row r="637" spans="2:3" x14ac:dyDescent="0.3">
      <c r="B637" s="9" t="s">
        <v>3155</v>
      </c>
      <c r="C637" s="3">
        <v>203.98299999999998</v>
      </c>
    </row>
    <row r="638" spans="2:3" x14ac:dyDescent="0.3">
      <c r="B638" s="9" t="s">
        <v>3156</v>
      </c>
      <c r="C638" s="3">
        <v>1073.248</v>
      </c>
    </row>
    <row r="639" spans="2:3" x14ac:dyDescent="0.3">
      <c r="B639" s="9" t="s">
        <v>3158</v>
      </c>
      <c r="C639" s="3">
        <v>914.12</v>
      </c>
    </row>
    <row r="640" spans="2:3" x14ac:dyDescent="0.3">
      <c r="B640" s="9" t="s">
        <v>3159</v>
      </c>
      <c r="C640" s="3">
        <v>287.32599999999996</v>
      </c>
    </row>
    <row r="641" spans="2:3" x14ac:dyDescent="0.3">
      <c r="B641" s="9" t="s">
        <v>3160</v>
      </c>
      <c r="C641" s="3">
        <v>68.73</v>
      </c>
    </row>
    <row r="642" spans="2:3" x14ac:dyDescent="0.3">
      <c r="B642" s="9" t="s">
        <v>2938</v>
      </c>
      <c r="C642" s="3">
        <v>1130.6199999999999</v>
      </c>
    </row>
    <row r="643" spans="2:3" x14ac:dyDescent="0.3">
      <c r="B643" s="9" t="s">
        <v>3162</v>
      </c>
      <c r="C643" s="3">
        <v>117.79999999999998</v>
      </c>
    </row>
    <row r="644" spans="2:3" x14ac:dyDescent="0.3">
      <c r="B644" s="9" t="s">
        <v>2939</v>
      </c>
      <c r="C644" s="3">
        <v>2847.6459999999997</v>
      </c>
    </row>
    <row r="645" spans="2:3" x14ac:dyDescent="0.3">
      <c r="B645" s="9" t="s">
        <v>2941</v>
      </c>
      <c r="C645" s="3">
        <v>784.36399999999992</v>
      </c>
    </row>
    <row r="646" spans="2:3" x14ac:dyDescent="0.3">
      <c r="B646" s="9" t="s">
        <v>3163</v>
      </c>
      <c r="C646" s="3">
        <v>1619.4640000000002</v>
      </c>
    </row>
    <row r="647" spans="2:3" x14ac:dyDescent="0.3">
      <c r="B647" s="9" t="s">
        <v>3164</v>
      </c>
      <c r="C647" s="3">
        <v>24.57</v>
      </c>
    </row>
    <row r="648" spans="2:3" x14ac:dyDescent="0.3">
      <c r="B648" s="9" t="s">
        <v>2942</v>
      </c>
      <c r="C648" s="3">
        <v>611.47</v>
      </c>
    </row>
    <row r="649" spans="2:3" x14ac:dyDescent="0.3">
      <c r="B649" s="9" t="s">
        <v>2943</v>
      </c>
      <c r="C649" s="3">
        <v>174.56000000000003</v>
      </c>
    </row>
    <row r="650" spans="2:3" x14ac:dyDescent="0.3">
      <c r="B650" s="9" t="s">
        <v>3167</v>
      </c>
      <c r="C650" s="3">
        <v>710.80400000000009</v>
      </c>
    </row>
    <row r="651" spans="2:3" x14ac:dyDescent="0.3">
      <c r="B651" s="9" t="s">
        <v>3168</v>
      </c>
      <c r="C651" s="3">
        <v>111.96</v>
      </c>
    </row>
    <row r="652" spans="2:3" x14ac:dyDescent="0.3">
      <c r="B652" s="9" t="s">
        <v>3170</v>
      </c>
      <c r="C652" s="3">
        <v>242.94</v>
      </c>
    </row>
    <row r="653" spans="2:3" x14ac:dyDescent="0.3">
      <c r="B653" s="9" t="s">
        <v>2944</v>
      </c>
      <c r="C653" s="3">
        <v>2427.1320000000001</v>
      </c>
    </row>
    <row r="654" spans="2:3" x14ac:dyDescent="0.3">
      <c r="B654" s="9" t="s">
        <v>2947</v>
      </c>
      <c r="C654" s="3">
        <v>1253.9000000000003</v>
      </c>
    </row>
    <row r="655" spans="2:3" x14ac:dyDescent="0.3">
      <c r="B655" s="9" t="s">
        <v>3171</v>
      </c>
      <c r="C655" s="3">
        <v>17.456</v>
      </c>
    </row>
    <row r="656" spans="2:3" x14ac:dyDescent="0.3">
      <c r="B656" s="9" t="s">
        <v>3172</v>
      </c>
      <c r="C656" s="3">
        <v>170.36</v>
      </c>
    </row>
    <row r="657" spans="2:3" x14ac:dyDescent="0.3">
      <c r="B657" s="9" t="s">
        <v>2948</v>
      </c>
      <c r="C657" s="3">
        <v>2128.3980000000001</v>
      </c>
    </row>
    <row r="658" spans="2:3" x14ac:dyDescent="0.3">
      <c r="B658" s="9" t="s">
        <v>2949</v>
      </c>
      <c r="C658" s="3">
        <v>265.93</v>
      </c>
    </row>
    <row r="659" spans="2:3" x14ac:dyDescent="0.3">
      <c r="B659" s="9" t="s">
        <v>3173</v>
      </c>
      <c r="C659" s="3">
        <v>1170.336</v>
      </c>
    </row>
    <row r="660" spans="2:3" x14ac:dyDescent="0.3">
      <c r="B660" s="9" t="s">
        <v>2951</v>
      </c>
      <c r="C660" s="3">
        <v>14299.08</v>
      </c>
    </row>
    <row r="661" spans="2:3" x14ac:dyDescent="0.3">
      <c r="B661" s="9" t="s">
        <v>3174</v>
      </c>
      <c r="C661" s="3">
        <v>1092.232</v>
      </c>
    </row>
    <row r="662" spans="2:3" x14ac:dyDescent="0.3">
      <c r="B662" s="9" t="s">
        <v>2953</v>
      </c>
      <c r="C662" s="3">
        <v>19.829999999999998</v>
      </c>
    </row>
    <row r="663" spans="2:3" x14ac:dyDescent="0.3">
      <c r="B663" s="9" t="s">
        <v>2954</v>
      </c>
      <c r="C663" s="3">
        <v>168.57999999999998</v>
      </c>
    </row>
    <row r="664" spans="2:3" x14ac:dyDescent="0.3">
      <c r="B664" s="9" t="s">
        <v>2955</v>
      </c>
      <c r="C664" s="3">
        <v>1435.96</v>
      </c>
    </row>
    <row r="665" spans="2:3" x14ac:dyDescent="0.3">
      <c r="B665" s="9" t="s">
        <v>3175</v>
      </c>
      <c r="C665" s="3">
        <v>265.07200000000006</v>
      </c>
    </row>
    <row r="666" spans="2:3" x14ac:dyDescent="0.3">
      <c r="B666" s="9" t="s">
        <v>3176</v>
      </c>
      <c r="C666" s="3">
        <v>29.700000000000003</v>
      </c>
    </row>
    <row r="667" spans="2:3" x14ac:dyDescent="0.3">
      <c r="B667" s="9" t="s">
        <v>3177</v>
      </c>
      <c r="C667" s="3">
        <v>5410.1079999999993</v>
      </c>
    </row>
    <row r="668" spans="2:3" x14ac:dyDescent="0.3">
      <c r="B668" s="9" t="s">
        <v>2957</v>
      </c>
      <c r="C668" s="3">
        <v>25.11</v>
      </c>
    </row>
    <row r="669" spans="2:3" x14ac:dyDescent="0.3">
      <c r="B669" s="9" t="s">
        <v>3181</v>
      </c>
      <c r="C669" s="3">
        <v>440.30999999999995</v>
      </c>
    </row>
    <row r="670" spans="2:3" x14ac:dyDescent="0.3">
      <c r="B670" s="9" t="s">
        <v>2961</v>
      </c>
      <c r="C670" s="3">
        <v>241.81</v>
      </c>
    </row>
    <row r="671" spans="2:3" x14ac:dyDescent="0.3">
      <c r="B671" s="9" t="s">
        <v>2963</v>
      </c>
      <c r="C671" s="3">
        <v>1337.904</v>
      </c>
    </row>
    <row r="672" spans="2:3" x14ac:dyDescent="0.3">
      <c r="B672" s="9" t="s">
        <v>3182</v>
      </c>
      <c r="C672" s="3">
        <v>275.58999999999997</v>
      </c>
    </row>
    <row r="673" spans="2:3" x14ac:dyDescent="0.3">
      <c r="B673" s="9" t="s">
        <v>3183</v>
      </c>
      <c r="C673" s="3">
        <v>349.49299999999999</v>
      </c>
    </row>
    <row r="674" spans="2:3" x14ac:dyDescent="0.3">
      <c r="B674" s="9" t="s">
        <v>2965</v>
      </c>
      <c r="C674" s="3">
        <v>3176.0110000000004</v>
      </c>
    </row>
    <row r="675" spans="2:3" x14ac:dyDescent="0.3">
      <c r="B675" s="9" t="s">
        <v>3186</v>
      </c>
      <c r="C675" s="3">
        <v>174.14000000000001</v>
      </c>
    </row>
    <row r="676" spans="2:3" x14ac:dyDescent="0.3">
      <c r="B676" s="9" t="s">
        <v>2967</v>
      </c>
      <c r="C676" s="3">
        <v>18.28</v>
      </c>
    </row>
    <row r="677" spans="2:3" x14ac:dyDescent="0.3">
      <c r="B677" s="9" t="s">
        <v>3187</v>
      </c>
      <c r="C677" s="3">
        <v>213.73199999999997</v>
      </c>
    </row>
    <row r="678" spans="2:3" x14ac:dyDescent="0.3">
      <c r="B678" s="9" t="s">
        <v>3188</v>
      </c>
      <c r="C678" s="3">
        <v>553.80999999999995</v>
      </c>
    </row>
    <row r="679" spans="2:3" x14ac:dyDescent="0.3">
      <c r="B679" s="9" t="s">
        <v>2968</v>
      </c>
      <c r="C679" s="3">
        <v>568.14499999999998</v>
      </c>
    </row>
    <row r="680" spans="2:3" x14ac:dyDescent="0.3">
      <c r="B680" s="9" t="s">
        <v>2969</v>
      </c>
      <c r="C680" s="3">
        <v>59.620000000000005</v>
      </c>
    </row>
    <row r="681" spans="2:3" x14ac:dyDescent="0.3">
      <c r="B681" s="9" t="s">
        <v>2970</v>
      </c>
      <c r="C681" s="3">
        <v>323.19000000000005</v>
      </c>
    </row>
    <row r="682" spans="2:3" x14ac:dyDescent="0.3">
      <c r="B682" s="9" t="s">
        <v>2971</v>
      </c>
      <c r="C682" s="3">
        <v>292.5</v>
      </c>
    </row>
    <row r="683" spans="2:3" x14ac:dyDescent="0.3">
      <c r="B683" s="9" t="s">
        <v>3191</v>
      </c>
      <c r="C683" s="3">
        <v>269.17999999999995</v>
      </c>
    </row>
    <row r="684" spans="2:3" x14ac:dyDescent="0.3">
      <c r="B684" s="9" t="s">
        <v>2973</v>
      </c>
      <c r="C684" s="3">
        <v>881.84</v>
      </c>
    </row>
    <row r="685" spans="2:3" x14ac:dyDescent="0.3">
      <c r="B685" s="9" t="s">
        <v>3192</v>
      </c>
      <c r="C685" s="3">
        <v>745.63400000000001</v>
      </c>
    </row>
    <row r="686" spans="2:3" x14ac:dyDescent="0.3">
      <c r="B686" s="9" t="s">
        <v>3193</v>
      </c>
      <c r="C686" s="3">
        <v>143.94300000000001</v>
      </c>
    </row>
    <row r="687" spans="2:3" x14ac:dyDescent="0.3">
      <c r="B687" s="9" t="s">
        <v>3194</v>
      </c>
      <c r="C687" s="3">
        <v>237.35599999999999</v>
      </c>
    </row>
    <row r="688" spans="2:3" x14ac:dyDescent="0.3">
      <c r="B688" s="9" t="s">
        <v>3195</v>
      </c>
      <c r="C688" s="3">
        <v>499.93399999999997</v>
      </c>
    </row>
    <row r="689" spans="2:3" x14ac:dyDescent="0.3">
      <c r="B689" s="9" t="s">
        <v>2974</v>
      </c>
      <c r="C689" s="3">
        <v>3441.0320000000002</v>
      </c>
    </row>
    <row r="690" spans="2:3" x14ac:dyDescent="0.3">
      <c r="B690" s="9" t="s">
        <v>3196</v>
      </c>
      <c r="C690" s="3">
        <v>805.99</v>
      </c>
    </row>
    <row r="691" spans="2:3" x14ac:dyDescent="0.3">
      <c r="B691" s="9" t="s">
        <v>2976</v>
      </c>
      <c r="C691" s="3">
        <v>311.041</v>
      </c>
    </row>
    <row r="692" spans="2:3" x14ac:dyDescent="0.3">
      <c r="B692" s="9" t="s">
        <v>2977</v>
      </c>
      <c r="C692" s="3">
        <v>551.03800000000001</v>
      </c>
    </row>
    <row r="693" spans="2:3" x14ac:dyDescent="0.3">
      <c r="B693" s="9" t="s">
        <v>3197</v>
      </c>
      <c r="C693" s="3">
        <v>58.48</v>
      </c>
    </row>
    <row r="694" spans="2:3" x14ac:dyDescent="0.3">
      <c r="B694" s="9" t="s">
        <v>2978</v>
      </c>
      <c r="C694" s="3">
        <v>1922.8000000000002</v>
      </c>
    </row>
    <row r="695" spans="2:3" x14ac:dyDescent="0.3">
      <c r="B695" s="9" t="s">
        <v>3198</v>
      </c>
      <c r="C695" s="3">
        <v>353.44</v>
      </c>
    </row>
    <row r="696" spans="2:3" x14ac:dyDescent="0.3">
      <c r="B696" s="9" t="s">
        <v>2979</v>
      </c>
      <c r="C696" s="3">
        <v>344.70400000000001</v>
      </c>
    </row>
    <row r="697" spans="2:3" x14ac:dyDescent="0.3">
      <c r="B697" s="9" t="s">
        <v>3201</v>
      </c>
      <c r="C697" s="3">
        <v>957.10800000000017</v>
      </c>
    </row>
    <row r="698" spans="2:3" x14ac:dyDescent="0.3">
      <c r="B698" s="9" t="s">
        <v>3202</v>
      </c>
      <c r="C698" s="3">
        <v>2064.7680000000005</v>
      </c>
    </row>
    <row r="699" spans="2:3" x14ac:dyDescent="0.3">
      <c r="B699" s="9" t="s">
        <v>2981</v>
      </c>
      <c r="C699" s="3">
        <v>130.63999999999999</v>
      </c>
    </row>
    <row r="700" spans="2:3" x14ac:dyDescent="0.3">
      <c r="B700" s="9" t="s">
        <v>2982</v>
      </c>
      <c r="C700" s="3">
        <v>171.28800000000001</v>
      </c>
    </row>
    <row r="701" spans="2:3" x14ac:dyDescent="0.3">
      <c r="B701" s="9" t="s">
        <v>2984</v>
      </c>
      <c r="C701" s="3">
        <v>12.96</v>
      </c>
    </row>
    <row r="702" spans="2:3" x14ac:dyDescent="0.3">
      <c r="B702" s="9" t="s">
        <v>3204</v>
      </c>
      <c r="C702" s="3">
        <v>944.12599999999998</v>
      </c>
    </row>
    <row r="703" spans="2:3" x14ac:dyDescent="0.3">
      <c r="B703" s="9" t="s">
        <v>2985</v>
      </c>
      <c r="C703" s="3">
        <v>483.48</v>
      </c>
    </row>
    <row r="704" spans="2:3" x14ac:dyDescent="0.3">
      <c r="B704" s="9" t="s">
        <v>3205</v>
      </c>
      <c r="C704" s="3">
        <v>278.36400000000003</v>
      </c>
    </row>
    <row r="705" spans="2:3" x14ac:dyDescent="0.3">
      <c r="B705" s="9" t="s">
        <v>3206</v>
      </c>
      <c r="C705" s="3">
        <v>69.26400000000001</v>
      </c>
    </row>
    <row r="706" spans="2:3" x14ac:dyDescent="0.3">
      <c r="B706" s="9" t="s">
        <v>3207</v>
      </c>
      <c r="C706" s="3">
        <v>1296.3820000000001</v>
      </c>
    </row>
    <row r="707" spans="2:3" x14ac:dyDescent="0.3">
      <c r="B707" s="9" t="s">
        <v>3208</v>
      </c>
      <c r="C707" s="3">
        <v>31.35</v>
      </c>
    </row>
    <row r="708" spans="2:3" x14ac:dyDescent="0.3">
      <c r="B708" s="9" t="s">
        <v>3209</v>
      </c>
      <c r="C708" s="3">
        <v>1712.4859999999999</v>
      </c>
    </row>
    <row r="709" spans="2:3" x14ac:dyDescent="0.3">
      <c r="B709" s="9" t="s">
        <v>3210</v>
      </c>
      <c r="C709" s="3">
        <v>970.74099999999987</v>
      </c>
    </row>
    <row r="710" spans="2:3" x14ac:dyDescent="0.3">
      <c r="B710" s="9" t="s">
        <v>3211</v>
      </c>
      <c r="C710" s="3">
        <v>1572.5620000000004</v>
      </c>
    </row>
    <row r="711" spans="2:3" x14ac:dyDescent="0.3">
      <c r="B711" s="9" t="s">
        <v>3212</v>
      </c>
      <c r="C711" s="3">
        <v>91.415999999999997</v>
      </c>
    </row>
    <row r="712" spans="2:3" x14ac:dyDescent="0.3">
      <c r="B712" s="9" t="s">
        <v>2992</v>
      </c>
      <c r="C712" s="3">
        <v>291.13600000000002</v>
      </c>
    </row>
    <row r="713" spans="2:3" x14ac:dyDescent="0.3">
      <c r="B713" s="9" t="s">
        <v>2993</v>
      </c>
      <c r="C713" s="3">
        <v>172.196</v>
      </c>
    </row>
    <row r="714" spans="2:3" x14ac:dyDescent="0.3">
      <c r="B714" s="9" t="s">
        <v>3213</v>
      </c>
      <c r="C714" s="3">
        <v>1459.7800000000002</v>
      </c>
    </row>
    <row r="715" spans="2:3" x14ac:dyDescent="0.3">
      <c r="B715" s="9" t="s">
        <v>3214</v>
      </c>
      <c r="C715" s="3">
        <v>366.94400000000002</v>
      </c>
    </row>
    <row r="716" spans="2:3" x14ac:dyDescent="0.3">
      <c r="B716" s="9" t="s">
        <v>2994</v>
      </c>
      <c r="C716" s="3">
        <v>956.80349999999987</v>
      </c>
    </row>
    <row r="717" spans="2:3" x14ac:dyDescent="0.3">
      <c r="B717" s="9" t="s">
        <v>2995</v>
      </c>
      <c r="C717" s="3">
        <v>74.88</v>
      </c>
    </row>
    <row r="718" spans="2:3" x14ac:dyDescent="0.3">
      <c r="B718" s="9" t="s">
        <v>3216</v>
      </c>
      <c r="C718" s="3">
        <v>520.22</v>
      </c>
    </row>
    <row r="719" spans="2:3" x14ac:dyDescent="0.3">
      <c r="B719" s="9" t="s">
        <v>2999</v>
      </c>
      <c r="C719" s="3">
        <v>959.08799999999997</v>
      </c>
    </row>
    <row r="720" spans="2:3" x14ac:dyDescent="0.3">
      <c r="B720" s="9" t="s">
        <v>3217</v>
      </c>
      <c r="C720" s="3">
        <v>515.6880000000001</v>
      </c>
    </row>
    <row r="721" spans="2:3" x14ac:dyDescent="0.3">
      <c r="B721" s="9" t="s">
        <v>3218</v>
      </c>
      <c r="C721" s="3">
        <v>1433.19</v>
      </c>
    </row>
    <row r="722" spans="2:3" x14ac:dyDescent="0.3">
      <c r="B722" s="9" t="s">
        <v>3219</v>
      </c>
      <c r="C722" s="3">
        <v>2708.9519999999998</v>
      </c>
    </row>
    <row r="723" spans="2:3" x14ac:dyDescent="0.3">
      <c r="B723" s="9" t="s">
        <v>3220</v>
      </c>
      <c r="C723" s="3">
        <v>716.7410000000001</v>
      </c>
    </row>
    <row r="724" spans="2:3" x14ac:dyDescent="0.3">
      <c r="B724" s="9" t="s">
        <v>3223</v>
      </c>
      <c r="C724" s="3">
        <v>4914.1320000000005</v>
      </c>
    </row>
    <row r="725" spans="2:3" x14ac:dyDescent="0.3">
      <c r="B725" s="9" t="s">
        <v>3002</v>
      </c>
      <c r="C725" s="3">
        <v>122.13600000000001</v>
      </c>
    </row>
    <row r="726" spans="2:3" x14ac:dyDescent="0.3">
      <c r="B726" s="9" t="s">
        <v>3225</v>
      </c>
      <c r="C726" s="3">
        <v>5.9399999999999995</v>
      </c>
    </row>
    <row r="727" spans="2:3" x14ac:dyDescent="0.3">
      <c r="B727" s="9" t="s">
        <v>3226</v>
      </c>
      <c r="C727" s="3">
        <v>1465.5239999999999</v>
      </c>
    </row>
    <row r="728" spans="2:3" x14ac:dyDescent="0.3">
      <c r="B728" s="9" t="s">
        <v>3227</v>
      </c>
      <c r="C728" s="3">
        <v>1.0800000000000003</v>
      </c>
    </row>
    <row r="729" spans="2:3" x14ac:dyDescent="0.3">
      <c r="B729" s="9" t="s">
        <v>3004</v>
      </c>
      <c r="C729" s="3">
        <v>1565.972</v>
      </c>
    </row>
    <row r="730" spans="2:3" x14ac:dyDescent="0.3">
      <c r="B730" s="9" t="s">
        <v>3005</v>
      </c>
      <c r="C730" s="3">
        <v>988.20400000000006</v>
      </c>
    </row>
    <row r="731" spans="2:3" x14ac:dyDescent="0.3">
      <c r="B731" s="9" t="s">
        <v>3007</v>
      </c>
      <c r="C731" s="3">
        <v>1775.009</v>
      </c>
    </row>
    <row r="732" spans="2:3" x14ac:dyDescent="0.3">
      <c r="B732" s="9" t="s">
        <v>3008</v>
      </c>
      <c r="C732" s="3">
        <v>1298.896</v>
      </c>
    </row>
    <row r="733" spans="2:3" x14ac:dyDescent="0.3">
      <c r="B733" s="9" t="s">
        <v>3232</v>
      </c>
      <c r="C733" s="3">
        <v>2019.6180000000004</v>
      </c>
    </row>
    <row r="734" spans="2:3" x14ac:dyDescent="0.3">
      <c r="B734" s="9" t="s">
        <v>3234</v>
      </c>
      <c r="C734" s="3">
        <v>73.512</v>
      </c>
    </row>
    <row r="735" spans="2:3" x14ac:dyDescent="0.3">
      <c r="B735" s="9" t="s">
        <v>3235</v>
      </c>
      <c r="C735" s="3">
        <v>2399.96</v>
      </c>
    </row>
    <row r="736" spans="2:3" x14ac:dyDescent="0.3">
      <c r="B736" s="9" t="s">
        <v>3011</v>
      </c>
      <c r="C736" s="3">
        <v>2012.3020000000001</v>
      </c>
    </row>
    <row r="737" spans="2:3" x14ac:dyDescent="0.3">
      <c r="B737" s="9" t="s">
        <v>3236</v>
      </c>
      <c r="C737" s="3">
        <v>297.99</v>
      </c>
    </row>
    <row r="738" spans="2:3" x14ac:dyDescent="0.3">
      <c r="B738" s="9" t="s">
        <v>3237</v>
      </c>
      <c r="C738" s="3">
        <v>1170.5640000000001</v>
      </c>
    </row>
    <row r="739" spans="2:3" x14ac:dyDescent="0.3">
      <c r="B739" s="9" t="s">
        <v>3238</v>
      </c>
      <c r="C739" s="3">
        <v>206.53</v>
      </c>
    </row>
    <row r="740" spans="2:3" x14ac:dyDescent="0.3">
      <c r="B740" s="9" t="s">
        <v>3012</v>
      </c>
      <c r="C740" s="3">
        <v>356.65</v>
      </c>
    </row>
    <row r="741" spans="2:3" x14ac:dyDescent="0.3">
      <c r="B741" s="9" t="s">
        <v>3239</v>
      </c>
      <c r="C741" s="3">
        <v>93.52000000000001</v>
      </c>
    </row>
    <row r="742" spans="2:3" x14ac:dyDescent="0.3">
      <c r="B742" s="9" t="s">
        <v>3013</v>
      </c>
      <c r="C742" s="3">
        <v>241.43600000000001</v>
      </c>
    </row>
    <row r="743" spans="2:3" x14ac:dyDescent="0.3">
      <c r="B743" s="9" t="s">
        <v>3240</v>
      </c>
      <c r="C743" s="3">
        <v>291.64000000000004</v>
      </c>
    </row>
    <row r="744" spans="2:3" x14ac:dyDescent="0.3">
      <c r="B744" s="9" t="s">
        <v>3241</v>
      </c>
      <c r="C744" s="3">
        <v>16.752000000000002</v>
      </c>
    </row>
    <row r="745" spans="2:3" x14ac:dyDescent="0.3">
      <c r="B745" s="9" t="s">
        <v>3015</v>
      </c>
      <c r="C745" s="3">
        <v>2981.5839999999998</v>
      </c>
    </row>
    <row r="746" spans="2:3" x14ac:dyDescent="0.3">
      <c r="B746" s="9" t="s">
        <v>3245</v>
      </c>
      <c r="C746" s="3">
        <v>1655.028</v>
      </c>
    </row>
    <row r="747" spans="2:3" x14ac:dyDescent="0.3">
      <c r="B747" s="9" t="s">
        <v>3018</v>
      </c>
      <c r="C747" s="3">
        <v>242.69400000000002</v>
      </c>
    </row>
    <row r="748" spans="2:3" x14ac:dyDescent="0.3">
      <c r="B748" s="9" t="s">
        <v>3246</v>
      </c>
      <c r="C748" s="3">
        <v>440.73599999999993</v>
      </c>
    </row>
    <row r="749" spans="2:3" x14ac:dyDescent="0.3">
      <c r="B749" s="9" t="s">
        <v>3021</v>
      </c>
      <c r="C749" s="3">
        <v>3397.7319999999995</v>
      </c>
    </row>
    <row r="750" spans="2:3" x14ac:dyDescent="0.3">
      <c r="B750" s="9" t="s">
        <v>3247</v>
      </c>
      <c r="C750" s="3">
        <v>6522.6480000000001</v>
      </c>
    </row>
    <row r="751" spans="2:3" x14ac:dyDescent="0.3">
      <c r="B751" s="9" t="s">
        <v>3248</v>
      </c>
      <c r="C751" s="3">
        <v>102.72</v>
      </c>
    </row>
    <row r="752" spans="2:3" x14ac:dyDescent="0.3">
      <c r="B752" s="9" t="s">
        <v>3249</v>
      </c>
      <c r="C752" s="3">
        <v>616.69999999999993</v>
      </c>
    </row>
    <row r="753" spans="2:3" x14ac:dyDescent="0.3">
      <c r="B753" s="9" t="s">
        <v>3022</v>
      </c>
      <c r="C753" s="3">
        <v>2865.0140000000001</v>
      </c>
    </row>
    <row r="754" spans="2:3" x14ac:dyDescent="0.3">
      <c r="B754" s="9" t="s">
        <v>3250</v>
      </c>
      <c r="C754" s="3">
        <v>210.00800000000001</v>
      </c>
    </row>
    <row r="755" spans="2:3" x14ac:dyDescent="0.3">
      <c r="B755" s="9" t="s">
        <v>3025</v>
      </c>
      <c r="C755" s="3">
        <v>3092.3680000000004</v>
      </c>
    </row>
    <row r="756" spans="2:3" x14ac:dyDescent="0.3">
      <c r="B756" s="9" t="s">
        <v>3026</v>
      </c>
      <c r="C756" s="3">
        <v>1278.1579999999999</v>
      </c>
    </row>
    <row r="757" spans="2:3" x14ac:dyDescent="0.3">
      <c r="B757" s="9" t="s">
        <v>3253</v>
      </c>
      <c r="C757" s="3">
        <v>148.02000000000001</v>
      </c>
    </row>
    <row r="758" spans="2:3" x14ac:dyDescent="0.3">
      <c r="B758" s="9" t="s">
        <v>3027</v>
      </c>
      <c r="C758" s="3">
        <v>1634.6560000000002</v>
      </c>
    </row>
    <row r="759" spans="2:3" x14ac:dyDescent="0.3">
      <c r="B759" s="9" t="s">
        <v>3028</v>
      </c>
      <c r="C759" s="3">
        <v>648.65000000000009</v>
      </c>
    </row>
    <row r="760" spans="2:3" x14ac:dyDescent="0.3">
      <c r="B760" s="9" t="s">
        <v>3254</v>
      </c>
      <c r="C760" s="3">
        <v>1476.9940000000001</v>
      </c>
    </row>
    <row r="761" spans="2:3" x14ac:dyDescent="0.3">
      <c r="B761" s="9" t="s">
        <v>3029</v>
      </c>
      <c r="C761" s="3">
        <v>613.15599999999995</v>
      </c>
    </row>
    <row r="762" spans="2:3" x14ac:dyDescent="0.3">
      <c r="B762" s="9" t="s">
        <v>3030</v>
      </c>
      <c r="C762" s="3">
        <v>4156.8</v>
      </c>
    </row>
    <row r="763" spans="2:3" x14ac:dyDescent="0.3">
      <c r="B763" s="9" t="s">
        <v>3031</v>
      </c>
      <c r="C763" s="3">
        <v>2.78</v>
      </c>
    </row>
    <row r="764" spans="2:3" x14ac:dyDescent="0.3">
      <c r="B764" s="9" t="s">
        <v>3033</v>
      </c>
      <c r="C764" s="3">
        <v>1269.1210000000001</v>
      </c>
    </row>
    <row r="765" spans="2:3" x14ac:dyDescent="0.3">
      <c r="B765" s="9" t="s">
        <v>3255</v>
      </c>
      <c r="C765" s="3">
        <v>606.47800000000007</v>
      </c>
    </row>
    <row r="766" spans="2:3" x14ac:dyDescent="0.3">
      <c r="B766" s="9" t="s">
        <v>3035</v>
      </c>
      <c r="C766" s="3">
        <v>369.536</v>
      </c>
    </row>
    <row r="767" spans="2:3" x14ac:dyDescent="0.3">
      <c r="B767" s="9" t="s">
        <v>3036</v>
      </c>
      <c r="C767" s="3">
        <v>4511.9720000000007</v>
      </c>
    </row>
    <row r="768" spans="2:3" x14ac:dyDescent="0.3">
      <c r="B768" s="9" t="s">
        <v>3037</v>
      </c>
      <c r="C768" s="3">
        <v>174.8</v>
      </c>
    </row>
    <row r="769" spans="2:3" x14ac:dyDescent="0.3">
      <c r="B769" s="9" t="s">
        <v>3039</v>
      </c>
      <c r="C769" s="3">
        <v>56.699999999999996</v>
      </c>
    </row>
    <row r="770" spans="2:3" x14ac:dyDescent="0.3">
      <c r="B770" s="9" t="s">
        <v>3256</v>
      </c>
      <c r="C770" s="3">
        <v>4479.3639999999996</v>
      </c>
    </row>
    <row r="771" spans="2:3" x14ac:dyDescent="0.3">
      <c r="B771" s="9" t="s">
        <v>3257</v>
      </c>
      <c r="C771" s="3">
        <v>32.700000000000003</v>
      </c>
    </row>
    <row r="772" spans="2:3" x14ac:dyDescent="0.3">
      <c r="B772" s="9" t="s">
        <v>3040</v>
      </c>
      <c r="C772" s="3">
        <v>1885.0340000000003</v>
      </c>
    </row>
    <row r="773" spans="2:3" x14ac:dyDescent="0.3">
      <c r="B773" s="9" t="s">
        <v>3041</v>
      </c>
      <c r="C773" s="3">
        <v>274.8</v>
      </c>
    </row>
    <row r="774" spans="2:3" x14ac:dyDescent="0.3">
      <c r="B774" s="9" t="s">
        <v>3042</v>
      </c>
      <c r="C774" s="3">
        <v>1479.93</v>
      </c>
    </row>
    <row r="775" spans="2:3" x14ac:dyDescent="0.3">
      <c r="B775" s="9" t="s">
        <v>3044</v>
      </c>
      <c r="C775" s="3">
        <v>223.32999999999998</v>
      </c>
    </row>
    <row r="776" spans="2:3" x14ac:dyDescent="0.3">
      <c r="B776" s="9" t="s">
        <v>3045</v>
      </c>
      <c r="C776" s="3">
        <v>49.14</v>
      </c>
    </row>
    <row r="777" spans="2:3" x14ac:dyDescent="0.3">
      <c r="B777" s="9" t="s">
        <v>3258</v>
      </c>
      <c r="C777" s="3">
        <v>1496.1320000000001</v>
      </c>
    </row>
    <row r="778" spans="2:3" x14ac:dyDescent="0.3">
      <c r="B778" s="9" t="s">
        <v>3046</v>
      </c>
      <c r="C778" s="3">
        <v>1603.6599999999999</v>
      </c>
    </row>
    <row r="779" spans="2:3" x14ac:dyDescent="0.3">
      <c r="B779" s="9" t="s">
        <v>3047</v>
      </c>
      <c r="C779" s="3">
        <v>39.900000000000006</v>
      </c>
    </row>
    <row r="780" spans="2:3" x14ac:dyDescent="0.3">
      <c r="B780" s="9" t="s">
        <v>3048</v>
      </c>
      <c r="C780" s="3">
        <v>1067.44</v>
      </c>
    </row>
    <row r="781" spans="2:3" x14ac:dyDescent="0.3">
      <c r="B781" s="9" t="s">
        <v>3050</v>
      </c>
      <c r="C781" s="3">
        <v>544.50400000000002</v>
      </c>
    </row>
    <row r="782" spans="2:3" x14ac:dyDescent="0.3">
      <c r="B782" s="9" t="s">
        <v>3259</v>
      </c>
      <c r="C782" s="3">
        <v>500.54600000000005</v>
      </c>
    </row>
    <row r="783" spans="2:3" x14ac:dyDescent="0.3">
      <c r="B783" s="9" t="s">
        <v>3260</v>
      </c>
      <c r="C783" s="3">
        <v>343.56999999999994</v>
      </c>
    </row>
    <row r="784" spans="2:3" x14ac:dyDescent="0.3">
      <c r="B784" s="9" t="s">
        <v>3051</v>
      </c>
      <c r="C784" s="3">
        <v>1162.0540000000001</v>
      </c>
    </row>
    <row r="785" spans="2:3" x14ac:dyDescent="0.3">
      <c r="B785" s="9" t="s">
        <v>3052</v>
      </c>
      <c r="C785" s="3">
        <v>2542.2219999999998</v>
      </c>
    </row>
    <row r="786" spans="2:3" x14ac:dyDescent="0.3">
      <c r="B786" s="9" t="s">
        <v>3053</v>
      </c>
      <c r="C786" s="3">
        <v>171.28800000000001</v>
      </c>
    </row>
    <row r="787" spans="2:3" x14ac:dyDescent="0.3">
      <c r="B787" s="9" t="s">
        <v>3055</v>
      </c>
      <c r="C787" s="3">
        <v>938.75199999999995</v>
      </c>
    </row>
    <row r="788" spans="2:3" x14ac:dyDescent="0.3">
      <c r="B788" s="9" t="s">
        <v>3261</v>
      </c>
      <c r="C788" s="3">
        <v>317.084</v>
      </c>
    </row>
    <row r="789" spans="2:3" x14ac:dyDescent="0.3">
      <c r="B789" s="9" t="s">
        <v>3262</v>
      </c>
      <c r="C789" s="3">
        <v>1632.2399999999998</v>
      </c>
    </row>
    <row r="790" spans="2:3" x14ac:dyDescent="0.3">
      <c r="B790" s="9" t="s">
        <v>3056</v>
      </c>
      <c r="C790" s="3">
        <v>419.83200000000005</v>
      </c>
    </row>
    <row r="791" spans="2:3" x14ac:dyDescent="0.3">
      <c r="B791" s="9" t="s">
        <v>3263</v>
      </c>
      <c r="C791" s="3">
        <v>35.200000000000003</v>
      </c>
    </row>
    <row r="792" spans="2:3" x14ac:dyDescent="0.3">
      <c r="B792" s="9" t="s">
        <v>3058</v>
      </c>
      <c r="C792" s="3">
        <v>1219.4220000000003</v>
      </c>
    </row>
    <row r="793" spans="2:3" x14ac:dyDescent="0.3">
      <c r="B793" s="9" t="s">
        <v>3265</v>
      </c>
      <c r="C793" s="3">
        <v>5325.884</v>
      </c>
    </row>
    <row r="794" spans="2:3" x14ac:dyDescent="0.3">
      <c r="B794" s="9" t="s">
        <v>3266</v>
      </c>
      <c r="C794" s="3">
        <v>55.82</v>
      </c>
    </row>
    <row r="795" spans="2:3" x14ac:dyDescent="0.3">
      <c r="B795" s="9" t="s">
        <v>3267</v>
      </c>
      <c r="C795" s="3">
        <v>1004.89</v>
      </c>
    </row>
    <row r="796" spans="2:3" x14ac:dyDescent="0.3">
      <c r="B796" s="9" t="s">
        <v>3268</v>
      </c>
      <c r="C796" s="3">
        <v>907.76100000000019</v>
      </c>
    </row>
    <row r="797" spans="2:3" x14ac:dyDescent="0.3">
      <c r="B797" s="9" t="s">
        <v>3059</v>
      </c>
      <c r="C797" s="3">
        <v>63.432000000000002</v>
      </c>
    </row>
    <row r="798" spans="2:3" x14ac:dyDescent="0.3">
      <c r="B798" s="9" t="s">
        <v>3061</v>
      </c>
      <c r="C798" s="3">
        <v>135.012</v>
      </c>
    </row>
    <row r="799" spans="2:3" x14ac:dyDescent="0.3">
      <c r="B799" s="9" t="s">
        <v>3062</v>
      </c>
      <c r="C799" s="3">
        <v>24.678000000000001</v>
      </c>
    </row>
    <row r="800" spans="2:3" x14ac:dyDescent="0.3">
      <c r="B800" s="9" t="s">
        <v>3269</v>
      </c>
      <c r="C800" s="3">
        <v>520.62300000000005</v>
      </c>
    </row>
    <row r="801" spans="2:3" x14ac:dyDescent="0.3">
      <c r="B801" s="9" t="s">
        <v>3270</v>
      </c>
      <c r="C801" s="3">
        <v>759.529</v>
      </c>
    </row>
    <row r="802" spans="2:3" x14ac:dyDescent="0.3">
      <c r="B802" s="9" t="s">
        <v>3271</v>
      </c>
      <c r="C802" s="3">
        <v>958.82500000000005</v>
      </c>
    </row>
    <row r="803" spans="2:3" x14ac:dyDescent="0.3">
      <c r="B803" s="9" t="s">
        <v>3068</v>
      </c>
      <c r="C803" s="3">
        <v>3017.8879999999999</v>
      </c>
    </row>
    <row r="804" spans="2:3" x14ac:dyDescent="0.3">
      <c r="B804" s="9" t="s">
        <v>3070</v>
      </c>
      <c r="C804" s="3">
        <v>2690.74</v>
      </c>
    </row>
    <row r="805" spans="2:3" x14ac:dyDescent="0.3">
      <c r="B805" s="9" t="s">
        <v>3071</v>
      </c>
      <c r="C805" s="3">
        <v>1370.2719999999999</v>
      </c>
    </row>
    <row r="806" spans="2:3" x14ac:dyDescent="0.3">
      <c r="B806" s="9" t="s">
        <v>3072</v>
      </c>
      <c r="C806" s="3">
        <v>2945.4159999999997</v>
      </c>
    </row>
    <row r="807" spans="2:3" x14ac:dyDescent="0.3">
      <c r="B807" s="9" t="s">
        <v>3073</v>
      </c>
      <c r="C807" s="3">
        <v>419.33</v>
      </c>
    </row>
    <row r="808" spans="2:3" x14ac:dyDescent="0.3">
      <c r="B808" s="9" t="s">
        <v>3074</v>
      </c>
      <c r="C808" s="3">
        <v>2820.8100000000004</v>
      </c>
    </row>
    <row r="809" spans="2:3" x14ac:dyDescent="0.3">
      <c r="B809" s="9" t="s">
        <v>3075</v>
      </c>
      <c r="C809" s="3">
        <v>1283.1060000000002</v>
      </c>
    </row>
    <row r="810" spans="2:3" x14ac:dyDescent="0.3">
      <c r="B810" s="9" t="s">
        <v>3077</v>
      </c>
      <c r="C810" s="3">
        <v>950.03800000000001</v>
      </c>
    </row>
    <row r="811" spans="2:3" x14ac:dyDescent="0.3">
      <c r="B811" s="9" t="s">
        <v>3078</v>
      </c>
      <c r="C811" s="3">
        <v>2292.0120000000002</v>
      </c>
    </row>
    <row r="812" spans="2:3" x14ac:dyDescent="0.3">
      <c r="B812" s="9" t="s">
        <v>3274</v>
      </c>
      <c r="C812" s="3">
        <v>186.85000000000002</v>
      </c>
    </row>
    <row r="813" spans="2:3" x14ac:dyDescent="0.3">
      <c r="B813" s="9" t="s">
        <v>3079</v>
      </c>
      <c r="C813" s="3">
        <v>1212.0280000000005</v>
      </c>
    </row>
    <row r="814" spans="2:3" x14ac:dyDescent="0.3">
      <c r="B814" s="9" t="s">
        <v>3080</v>
      </c>
      <c r="C814" s="3">
        <v>3426.2279999999996</v>
      </c>
    </row>
    <row r="815" spans="2:3" x14ac:dyDescent="0.3">
      <c r="B815" s="9" t="s">
        <v>3081</v>
      </c>
      <c r="C815" s="3">
        <v>355.80799999999999</v>
      </c>
    </row>
    <row r="816" spans="2:3" x14ac:dyDescent="0.3">
      <c r="B816" s="9" t="s">
        <v>3082</v>
      </c>
      <c r="C816" s="3">
        <v>3307.9160000000006</v>
      </c>
    </row>
    <row r="817" spans="2:3" x14ac:dyDescent="0.3">
      <c r="B817" s="9" t="s">
        <v>3083</v>
      </c>
      <c r="C817" s="3">
        <v>37.67</v>
      </c>
    </row>
    <row r="818" spans="2:3" x14ac:dyDescent="0.3">
      <c r="B818" s="9" t="s">
        <v>3276</v>
      </c>
      <c r="C818" s="3">
        <v>409.548</v>
      </c>
    </row>
    <row r="819" spans="2:3" x14ac:dyDescent="0.3">
      <c r="B819" s="9" t="s">
        <v>3084</v>
      </c>
      <c r="C819" s="3">
        <v>355.678</v>
      </c>
    </row>
    <row r="820" spans="2:3" x14ac:dyDescent="0.3">
      <c r="B820" s="9" t="s">
        <v>3085</v>
      </c>
      <c r="C820" s="3">
        <v>410.57600000000002</v>
      </c>
    </row>
    <row r="821" spans="2:3" x14ac:dyDescent="0.3">
      <c r="B821" s="9" t="s">
        <v>3086</v>
      </c>
      <c r="C821" s="3">
        <v>2105.8440000000001</v>
      </c>
    </row>
    <row r="822" spans="2:3" x14ac:dyDescent="0.3">
      <c r="B822" s="9" t="s">
        <v>3088</v>
      </c>
      <c r="C822" s="3">
        <v>1130.884</v>
      </c>
    </row>
    <row r="823" spans="2:3" x14ac:dyDescent="0.3">
      <c r="B823" s="9" t="s">
        <v>3278</v>
      </c>
      <c r="C823" s="3">
        <v>449.17899999999997</v>
      </c>
    </row>
    <row r="824" spans="2:3" x14ac:dyDescent="0.3">
      <c r="B824" s="9" t="s">
        <v>3089</v>
      </c>
      <c r="C824" s="3">
        <v>604.60599999999999</v>
      </c>
    </row>
    <row r="825" spans="2:3" x14ac:dyDescent="0.3">
      <c r="B825" s="9" t="s">
        <v>3090</v>
      </c>
      <c r="C825" s="3">
        <v>151.41800000000001</v>
      </c>
    </row>
    <row r="826" spans="2:3" x14ac:dyDescent="0.3">
      <c r="B826" s="9" t="s">
        <v>3092</v>
      </c>
      <c r="C826" s="3">
        <v>25.83</v>
      </c>
    </row>
    <row r="827" spans="2:3" x14ac:dyDescent="0.3">
      <c r="B827" s="9" t="s">
        <v>3093</v>
      </c>
      <c r="C827" s="3">
        <v>2517.0509999999999</v>
      </c>
    </row>
    <row r="828" spans="2:3" x14ac:dyDescent="0.3">
      <c r="B828" s="9" t="s">
        <v>3280</v>
      </c>
      <c r="C828" s="3">
        <v>4219.4219999999996</v>
      </c>
    </row>
    <row r="829" spans="2:3" x14ac:dyDescent="0.3">
      <c r="B829" s="9" t="s">
        <v>3094</v>
      </c>
      <c r="C829" s="3">
        <v>994.76000000000022</v>
      </c>
    </row>
    <row r="830" spans="2:3" x14ac:dyDescent="0.3">
      <c r="B830" s="9" t="s">
        <v>3095</v>
      </c>
      <c r="C830" s="3">
        <v>11.76</v>
      </c>
    </row>
    <row r="831" spans="2:3" x14ac:dyDescent="0.3">
      <c r="B831" s="9" t="s">
        <v>3096</v>
      </c>
      <c r="C831" s="3">
        <v>629.77600000000007</v>
      </c>
    </row>
    <row r="832" spans="2:3" x14ac:dyDescent="0.3">
      <c r="B832" s="9" t="s">
        <v>3097</v>
      </c>
      <c r="C832" s="3">
        <v>10.68</v>
      </c>
    </row>
    <row r="833" spans="2:3" x14ac:dyDescent="0.3">
      <c r="B833" s="9" t="s">
        <v>3098</v>
      </c>
      <c r="C833" s="3">
        <v>424.41600000000005</v>
      </c>
    </row>
    <row r="834" spans="2:3" x14ac:dyDescent="0.3">
      <c r="B834" s="9" t="s">
        <v>3099</v>
      </c>
      <c r="C834" s="3">
        <v>4487.3809999999994</v>
      </c>
    </row>
    <row r="835" spans="2:3" x14ac:dyDescent="0.3">
      <c r="B835" s="9" t="s">
        <v>3281</v>
      </c>
      <c r="C835" s="3">
        <v>2121.9180000000001</v>
      </c>
    </row>
    <row r="836" spans="2:3" x14ac:dyDescent="0.3">
      <c r="B836" s="9" t="s">
        <v>3100</v>
      </c>
      <c r="C836" s="3">
        <v>2256.1239999999998</v>
      </c>
    </row>
    <row r="837" spans="2:3" x14ac:dyDescent="0.3">
      <c r="B837" s="9" t="s">
        <v>3103</v>
      </c>
      <c r="C837" s="3">
        <v>292.95999999999998</v>
      </c>
    </row>
    <row r="838" spans="2:3" x14ac:dyDescent="0.3">
      <c r="B838" s="9" t="s">
        <v>3104</v>
      </c>
      <c r="C838" s="3">
        <v>134.91</v>
      </c>
    </row>
    <row r="839" spans="2:3" x14ac:dyDescent="0.3">
      <c r="B839" s="9" t="s">
        <v>3105</v>
      </c>
      <c r="C839" s="3">
        <v>296.69600000000003</v>
      </c>
    </row>
    <row r="840" spans="2:3" x14ac:dyDescent="0.3">
      <c r="B840" s="9" t="s">
        <v>3106</v>
      </c>
      <c r="C840" s="3">
        <v>814.52599999999995</v>
      </c>
    </row>
    <row r="841" spans="2:3" x14ac:dyDescent="0.3">
      <c r="B841" s="9" t="s">
        <v>3107</v>
      </c>
      <c r="C841" s="3">
        <v>535.57799999999997</v>
      </c>
    </row>
    <row r="842" spans="2:3" x14ac:dyDescent="0.3">
      <c r="B842" s="9" t="s">
        <v>3108</v>
      </c>
      <c r="C842" s="3">
        <v>344.23500000000001</v>
      </c>
    </row>
    <row r="843" spans="2:3" x14ac:dyDescent="0.3">
      <c r="B843" s="9" t="s">
        <v>3109</v>
      </c>
      <c r="C843" s="3">
        <v>230.30600000000004</v>
      </c>
    </row>
    <row r="844" spans="2:3" x14ac:dyDescent="0.3">
      <c r="B844" s="9" t="s">
        <v>3111</v>
      </c>
      <c r="C844" s="3">
        <v>1136.8900000000001</v>
      </c>
    </row>
    <row r="845" spans="2:3" x14ac:dyDescent="0.3">
      <c r="B845" s="9" t="s">
        <v>3282</v>
      </c>
      <c r="C845" s="3">
        <v>784.48</v>
      </c>
    </row>
    <row r="846" spans="2:3" x14ac:dyDescent="0.3">
      <c r="B846" s="9" t="s">
        <v>3283</v>
      </c>
      <c r="C846" s="3">
        <v>13.48</v>
      </c>
    </row>
    <row r="847" spans="2:3" x14ac:dyDescent="0.3">
      <c r="B847" s="9" t="s">
        <v>3112</v>
      </c>
      <c r="C847" s="3">
        <v>4846.2839999999997</v>
      </c>
    </row>
    <row r="848" spans="2:3" x14ac:dyDescent="0.3">
      <c r="B848" s="9" t="s">
        <v>3113</v>
      </c>
      <c r="C848" s="3">
        <v>428.02800000000002</v>
      </c>
    </row>
    <row r="849" spans="2:3" x14ac:dyDescent="0.3">
      <c r="B849" s="9" t="s">
        <v>3285</v>
      </c>
      <c r="C849" s="3">
        <v>1197.662</v>
      </c>
    </row>
    <row r="850" spans="2:3" x14ac:dyDescent="0.3">
      <c r="B850" s="9" t="s">
        <v>3286</v>
      </c>
      <c r="C850" s="3">
        <v>885.12400000000002</v>
      </c>
    </row>
    <row r="851" spans="2:3" x14ac:dyDescent="0.3">
      <c r="B851" s="9" t="s">
        <v>3115</v>
      </c>
      <c r="C851" s="3">
        <v>37.647999999999996</v>
      </c>
    </row>
    <row r="852" spans="2:3" x14ac:dyDescent="0.3">
      <c r="B852" s="8" t="s">
        <v>2922</v>
      </c>
      <c r="C852" s="3">
        <v>725457.82449999941</v>
      </c>
    </row>
  </sheetData>
  <pageMargins left="0.511811024" right="0.511811024" top="0.78740157499999996" bottom="0.78740157499999996" header="0.31496062000000002" footer="0.31496062000000002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AED5-1A23-4DC6-9070-30B11E3561C9}">
  <dimension ref="B2:Q47"/>
  <sheetViews>
    <sheetView tabSelected="1" zoomScale="55" zoomScaleNormal="55" workbookViewId="0">
      <selection activeCell="R37" sqref="R37"/>
    </sheetView>
  </sheetViews>
  <sheetFormatPr defaultRowHeight="14.4" x14ac:dyDescent="0.3"/>
  <cols>
    <col min="3" max="3" width="19.88671875" bestFit="1" customWidth="1"/>
    <col min="4" max="4" width="18.77734375" customWidth="1"/>
    <col min="5" max="5" width="17.5546875" customWidth="1"/>
    <col min="10" max="10" width="23.5546875" bestFit="1" customWidth="1"/>
    <col min="12" max="12" width="23.77734375" bestFit="1" customWidth="1"/>
    <col min="14" max="14" width="24.33203125" customWidth="1"/>
    <col min="15" max="15" width="9.88671875" customWidth="1"/>
    <col min="16" max="16" width="17.77734375" customWidth="1"/>
    <col min="19" max="19" width="37.5546875" bestFit="1" customWidth="1"/>
    <col min="20" max="20" width="23.88671875" bestFit="1" customWidth="1"/>
    <col min="21" max="21" width="44.88671875" bestFit="1" customWidth="1"/>
    <col min="22" max="22" width="28" bestFit="1" customWidth="1"/>
    <col min="23" max="23" width="44.6640625" bestFit="1" customWidth="1"/>
    <col min="24" max="24" width="34.6640625" bestFit="1" customWidth="1"/>
    <col min="25" max="25" width="20" bestFit="1" customWidth="1"/>
    <col min="26" max="26" width="30.109375" bestFit="1" customWidth="1"/>
    <col min="27" max="27" width="57.5546875" bestFit="1" customWidth="1"/>
    <col min="28" max="28" width="16.33203125" bestFit="1" customWidth="1"/>
    <col min="29" max="29" width="26.44140625" bestFit="1" customWidth="1"/>
    <col min="30" max="30" width="21.88671875" bestFit="1" customWidth="1"/>
    <col min="31" max="31" width="24.6640625" bestFit="1" customWidth="1"/>
    <col min="32" max="32" width="30.5546875" bestFit="1" customWidth="1"/>
    <col min="33" max="33" width="20.5546875" bestFit="1" customWidth="1"/>
    <col min="34" max="34" width="33.77734375" bestFit="1" customWidth="1"/>
    <col min="35" max="35" width="17.109375" bestFit="1" customWidth="1"/>
    <col min="36" max="36" width="50.44140625" bestFit="1" customWidth="1"/>
    <col min="37" max="37" width="46.33203125" bestFit="1" customWidth="1"/>
    <col min="38" max="38" width="70.88671875" bestFit="1" customWidth="1"/>
    <col min="39" max="39" width="30.5546875" bestFit="1" customWidth="1"/>
    <col min="40" max="40" width="44.88671875" bestFit="1" customWidth="1"/>
    <col min="41" max="41" width="63.77734375" bestFit="1" customWidth="1"/>
    <col min="42" max="42" width="28.6640625" bestFit="1" customWidth="1"/>
    <col min="43" max="43" width="41.88671875" bestFit="1" customWidth="1"/>
    <col min="44" max="44" width="30.21875" bestFit="1" customWidth="1"/>
    <col min="45" max="45" width="71.6640625" bestFit="1" customWidth="1"/>
    <col min="46" max="46" width="57.5546875" bestFit="1" customWidth="1"/>
    <col min="47" max="47" width="14.5546875" bestFit="1" customWidth="1"/>
    <col min="48" max="48" width="24.21875" bestFit="1" customWidth="1"/>
    <col min="49" max="51" width="39.44140625" bestFit="1" customWidth="1"/>
    <col min="52" max="52" width="62.6640625" bestFit="1" customWidth="1"/>
    <col min="53" max="53" width="66.6640625" bestFit="1" customWidth="1"/>
    <col min="54" max="54" width="63" bestFit="1" customWidth="1"/>
    <col min="55" max="55" width="65.5546875" bestFit="1" customWidth="1"/>
    <col min="56" max="56" width="65.6640625" bestFit="1" customWidth="1"/>
    <col min="57" max="57" width="64.44140625" bestFit="1" customWidth="1"/>
    <col min="58" max="58" width="64.6640625" bestFit="1" customWidth="1"/>
    <col min="59" max="59" width="55" bestFit="1" customWidth="1"/>
    <col min="60" max="60" width="43.5546875" bestFit="1" customWidth="1"/>
    <col min="61" max="61" width="39.6640625" bestFit="1" customWidth="1"/>
    <col min="62" max="62" width="70.44140625" bestFit="1" customWidth="1"/>
    <col min="63" max="63" width="65.5546875" bestFit="1" customWidth="1"/>
    <col min="64" max="64" width="38" bestFit="1" customWidth="1"/>
    <col min="65" max="65" width="31.33203125" bestFit="1" customWidth="1"/>
    <col min="66" max="66" width="30.44140625" bestFit="1" customWidth="1"/>
    <col min="67" max="67" width="23.44140625" bestFit="1" customWidth="1"/>
    <col min="68" max="68" width="31.88671875" bestFit="1" customWidth="1"/>
    <col min="69" max="69" width="33.5546875" bestFit="1" customWidth="1"/>
    <col min="70" max="70" width="23.109375" bestFit="1" customWidth="1"/>
    <col min="71" max="71" width="76.33203125" bestFit="1" customWidth="1"/>
    <col min="72" max="72" width="37.5546875" bestFit="1" customWidth="1"/>
    <col min="73" max="73" width="30.77734375" bestFit="1" customWidth="1"/>
    <col min="74" max="74" width="49" bestFit="1" customWidth="1"/>
    <col min="75" max="75" width="55.5546875" bestFit="1" customWidth="1"/>
    <col min="76" max="76" width="74.6640625" bestFit="1" customWidth="1"/>
    <col min="77" max="77" width="28.88671875" bestFit="1" customWidth="1"/>
    <col min="78" max="78" width="33.33203125" bestFit="1" customWidth="1"/>
    <col min="79" max="79" width="49" bestFit="1" customWidth="1"/>
    <col min="80" max="80" width="35.6640625" bestFit="1" customWidth="1"/>
    <col min="81" max="81" width="36" bestFit="1" customWidth="1"/>
    <col min="82" max="82" width="20.5546875" bestFit="1" customWidth="1"/>
    <col min="83" max="83" width="43.109375" bestFit="1" customWidth="1"/>
    <col min="84" max="84" width="28.88671875" bestFit="1" customWidth="1"/>
    <col min="85" max="85" width="22.77734375" bestFit="1" customWidth="1"/>
    <col min="86" max="86" width="30.44140625" bestFit="1" customWidth="1"/>
    <col min="87" max="87" width="40.77734375" bestFit="1" customWidth="1"/>
    <col min="88" max="88" width="60" bestFit="1" customWidth="1"/>
    <col min="89" max="89" width="70.77734375" bestFit="1" customWidth="1"/>
    <col min="90" max="91" width="93.33203125" bestFit="1" customWidth="1"/>
    <col min="92" max="92" width="85.5546875" bestFit="1" customWidth="1"/>
    <col min="93" max="93" width="32.33203125" bestFit="1" customWidth="1"/>
    <col min="94" max="94" width="26.6640625" bestFit="1" customWidth="1"/>
    <col min="95" max="95" width="17.88671875" bestFit="1" customWidth="1"/>
    <col min="96" max="96" width="58.5546875" bestFit="1" customWidth="1"/>
    <col min="97" max="97" width="46.44140625" bestFit="1" customWidth="1"/>
    <col min="98" max="98" width="31.33203125" bestFit="1" customWidth="1"/>
    <col min="99" max="99" width="43.109375" bestFit="1" customWidth="1"/>
    <col min="100" max="100" width="25.5546875" bestFit="1" customWidth="1"/>
    <col min="101" max="101" width="17.88671875" bestFit="1" customWidth="1"/>
    <col min="102" max="102" width="33.44140625" bestFit="1" customWidth="1"/>
    <col min="103" max="103" width="32.6640625" bestFit="1" customWidth="1"/>
    <col min="104" max="104" width="26.6640625" bestFit="1" customWidth="1"/>
    <col min="105" max="105" width="27.44140625" bestFit="1" customWidth="1"/>
    <col min="106" max="106" width="24.44140625" bestFit="1" customWidth="1"/>
    <col min="107" max="107" width="16.6640625" bestFit="1" customWidth="1"/>
    <col min="108" max="108" width="16.77734375" bestFit="1" customWidth="1"/>
    <col min="109" max="109" width="22.77734375" bestFit="1" customWidth="1"/>
    <col min="110" max="110" width="37.5546875" bestFit="1" customWidth="1"/>
    <col min="111" max="111" width="20.44140625" bestFit="1" customWidth="1"/>
    <col min="112" max="112" width="36.88671875" bestFit="1" customWidth="1"/>
    <col min="113" max="113" width="33.44140625" bestFit="1" customWidth="1"/>
    <col min="114" max="114" width="26.109375" bestFit="1" customWidth="1"/>
    <col min="115" max="115" width="21.21875" bestFit="1" customWidth="1"/>
    <col min="116" max="116" width="38.21875" bestFit="1" customWidth="1"/>
    <col min="117" max="117" width="15" bestFit="1" customWidth="1"/>
    <col min="118" max="118" width="48.33203125" bestFit="1" customWidth="1"/>
    <col min="119" max="119" width="38.21875" bestFit="1" customWidth="1"/>
    <col min="120" max="120" width="43.77734375" bestFit="1" customWidth="1"/>
    <col min="121" max="121" width="58" bestFit="1" customWidth="1"/>
    <col min="122" max="122" width="66.109375" bestFit="1" customWidth="1"/>
    <col min="123" max="123" width="44.109375" bestFit="1" customWidth="1"/>
    <col min="124" max="124" width="44.88671875" bestFit="1" customWidth="1"/>
    <col min="125" max="125" width="39.6640625" bestFit="1" customWidth="1"/>
    <col min="126" max="126" width="69.77734375" bestFit="1" customWidth="1"/>
    <col min="127" max="127" width="41.6640625" bestFit="1" customWidth="1"/>
    <col min="128" max="128" width="54.5546875" bestFit="1" customWidth="1"/>
    <col min="129" max="129" width="50" bestFit="1" customWidth="1"/>
    <col min="130" max="130" width="47.109375" bestFit="1" customWidth="1"/>
    <col min="131" max="131" width="14.21875" bestFit="1" customWidth="1"/>
    <col min="132" max="132" width="15.33203125" bestFit="1" customWidth="1"/>
    <col min="133" max="133" width="17.88671875" bestFit="1" customWidth="1"/>
    <col min="134" max="134" width="22.77734375" bestFit="1" customWidth="1"/>
    <col min="135" max="135" width="29.77734375" bestFit="1" customWidth="1"/>
    <col min="136" max="137" width="23.88671875" bestFit="1" customWidth="1"/>
    <col min="138" max="138" width="16.77734375" bestFit="1" customWidth="1"/>
    <col min="139" max="139" width="30" bestFit="1" customWidth="1"/>
    <col min="140" max="140" width="19.109375" bestFit="1" customWidth="1"/>
    <col min="141" max="141" width="12.6640625" bestFit="1" customWidth="1"/>
    <col min="142" max="142" width="13.77734375" bestFit="1" customWidth="1"/>
    <col min="143" max="143" width="33.5546875" bestFit="1" customWidth="1"/>
    <col min="144" max="144" width="18" bestFit="1" customWidth="1"/>
    <col min="145" max="145" width="14.6640625" bestFit="1" customWidth="1"/>
    <col min="146" max="146" width="41.109375" bestFit="1" customWidth="1"/>
    <col min="147" max="150" width="51.109375" bestFit="1" customWidth="1"/>
    <col min="151" max="151" width="27.21875" bestFit="1" customWidth="1"/>
    <col min="152" max="152" width="24.88671875" bestFit="1" customWidth="1"/>
    <col min="153" max="153" width="23.33203125" bestFit="1" customWidth="1"/>
    <col min="154" max="154" width="41.5546875" bestFit="1" customWidth="1"/>
    <col min="155" max="155" width="73.5546875" bestFit="1" customWidth="1"/>
    <col min="156" max="161" width="10" bestFit="1" customWidth="1"/>
    <col min="163" max="171" width="10" bestFit="1" customWidth="1"/>
    <col min="173" max="181" width="10" bestFit="1" customWidth="1"/>
    <col min="183" max="190" width="10" bestFit="1" customWidth="1"/>
    <col min="192" max="200" width="10" bestFit="1" customWidth="1"/>
    <col min="202" max="202" width="50" bestFit="1" customWidth="1"/>
    <col min="203" max="203" width="22" bestFit="1" customWidth="1"/>
    <col min="204" max="204" width="18.33203125" bestFit="1" customWidth="1"/>
    <col min="205" max="205" width="54.21875" bestFit="1" customWidth="1"/>
    <col min="206" max="206" width="20.77734375" bestFit="1" customWidth="1"/>
    <col min="207" max="207" width="29.44140625" bestFit="1" customWidth="1"/>
    <col min="208" max="208" width="25" bestFit="1" customWidth="1"/>
    <col min="209" max="209" width="30" bestFit="1" customWidth="1"/>
    <col min="210" max="210" width="46.77734375" bestFit="1" customWidth="1"/>
    <col min="211" max="211" width="39.6640625" bestFit="1" customWidth="1"/>
    <col min="212" max="212" width="21.88671875" bestFit="1" customWidth="1"/>
    <col min="213" max="213" width="54.109375" bestFit="1" customWidth="1"/>
    <col min="214" max="214" width="24.44140625" bestFit="1" customWidth="1"/>
    <col min="215" max="215" width="44.5546875" bestFit="1" customWidth="1"/>
    <col min="216" max="216" width="48.88671875" bestFit="1" customWidth="1"/>
    <col min="217" max="217" width="42.33203125" bestFit="1" customWidth="1"/>
    <col min="218" max="218" width="59.6640625" bestFit="1" customWidth="1"/>
    <col min="219" max="219" width="41.6640625" bestFit="1" customWidth="1"/>
    <col min="220" max="220" width="35" bestFit="1" customWidth="1"/>
    <col min="221" max="221" width="25.33203125" bestFit="1" customWidth="1"/>
    <col min="222" max="222" width="23.44140625" bestFit="1" customWidth="1"/>
    <col min="223" max="223" width="25" bestFit="1" customWidth="1"/>
    <col min="224" max="224" width="22.21875" bestFit="1" customWidth="1"/>
    <col min="225" max="225" width="55.5546875" bestFit="1" customWidth="1"/>
    <col min="226" max="226" width="40.77734375" bestFit="1" customWidth="1"/>
    <col min="227" max="227" width="24.109375" bestFit="1" customWidth="1"/>
    <col min="228" max="228" width="54.109375" bestFit="1" customWidth="1"/>
    <col min="229" max="229" width="39" bestFit="1" customWidth="1"/>
    <col min="230" max="230" width="40.109375" bestFit="1" customWidth="1"/>
    <col min="231" max="231" width="27.88671875" bestFit="1" customWidth="1"/>
    <col min="232" max="232" width="49.6640625" bestFit="1" customWidth="1"/>
    <col min="233" max="233" width="40.77734375" bestFit="1" customWidth="1"/>
    <col min="234" max="234" width="54.21875" bestFit="1" customWidth="1"/>
    <col min="235" max="235" width="31.33203125" bestFit="1" customWidth="1"/>
    <col min="236" max="236" width="27.5546875" bestFit="1" customWidth="1"/>
    <col min="237" max="237" width="20" bestFit="1" customWidth="1"/>
    <col min="238" max="238" width="31.109375" bestFit="1" customWidth="1"/>
    <col min="239" max="239" width="27.109375" bestFit="1" customWidth="1"/>
    <col min="240" max="240" width="36.33203125" bestFit="1" customWidth="1"/>
    <col min="241" max="241" width="63.44140625" bestFit="1" customWidth="1"/>
    <col min="242" max="242" width="58.21875" bestFit="1" customWidth="1"/>
    <col min="243" max="243" width="36.109375" bestFit="1" customWidth="1"/>
    <col min="244" max="244" width="37.88671875" bestFit="1" customWidth="1"/>
    <col min="245" max="245" width="34.109375" bestFit="1" customWidth="1"/>
    <col min="246" max="246" width="40.109375" bestFit="1" customWidth="1"/>
    <col min="247" max="247" width="32" bestFit="1" customWidth="1"/>
    <col min="248" max="248" width="27.5546875" bestFit="1" customWidth="1"/>
    <col min="249" max="249" width="61.88671875" bestFit="1" customWidth="1"/>
    <col min="250" max="250" width="38.21875" bestFit="1" customWidth="1"/>
    <col min="251" max="251" width="29" bestFit="1" customWidth="1"/>
    <col min="252" max="252" width="47.109375" bestFit="1" customWidth="1"/>
    <col min="253" max="253" width="52.44140625" bestFit="1" customWidth="1"/>
    <col min="254" max="254" width="31.21875" bestFit="1" customWidth="1"/>
    <col min="255" max="255" width="42.21875" bestFit="1" customWidth="1"/>
    <col min="256" max="256" width="35" bestFit="1" customWidth="1"/>
    <col min="257" max="257" width="51.33203125" bestFit="1" customWidth="1"/>
    <col min="258" max="258" width="30.44140625" bestFit="1" customWidth="1"/>
    <col min="259" max="259" width="35" bestFit="1" customWidth="1"/>
    <col min="260" max="260" width="51.6640625" bestFit="1" customWidth="1"/>
    <col min="261" max="261" width="35.21875" bestFit="1" customWidth="1"/>
    <col min="262" max="262" width="26.33203125" bestFit="1" customWidth="1"/>
    <col min="263" max="263" width="21.21875" bestFit="1" customWidth="1"/>
    <col min="264" max="264" width="29.33203125" bestFit="1" customWidth="1"/>
    <col min="265" max="265" width="33.33203125" bestFit="1" customWidth="1"/>
    <col min="266" max="266" width="33.44140625" bestFit="1" customWidth="1"/>
    <col min="267" max="267" width="33.33203125" bestFit="1" customWidth="1"/>
    <col min="268" max="268" width="36.77734375" bestFit="1" customWidth="1"/>
    <col min="269" max="269" width="43.44140625" bestFit="1" customWidth="1"/>
    <col min="270" max="270" width="51.109375" bestFit="1" customWidth="1"/>
    <col min="271" max="271" width="38.33203125" bestFit="1" customWidth="1"/>
    <col min="272" max="272" width="23.109375" bestFit="1" customWidth="1"/>
    <col min="273" max="273" width="45" bestFit="1" customWidth="1"/>
    <col min="274" max="274" width="24.6640625" bestFit="1" customWidth="1"/>
    <col min="275" max="275" width="34.109375" bestFit="1" customWidth="1"/>
    <col min="276" max="276" width="18.6640625" bestFit="1" customWidth="1"/>
    <col min="277" max="277" width="17.44140625" bestFit="1" customWidth="1"/>
    <col min="278" max="278" width="11.88671875" bestFit="1" customWidth="1"/>
    <col min="279" max="279" width="23.109375" bestFit="1" customWidth="1"/>
    <col min="280" max="280" width="54.21875" bestFit="1" customWidth="1"/>
    <col min="281" max="281" width="49.77734375" bestFit="1" customWidth="1"/>
    <col min="282" max="282" width="60.88671875" bestFit="1" customWidth="1"/>
    <col min="283" max="283" width="46.44140625" bestFit="1" customWidth="1"/>
    <col min="284" max="284" width="48.6640625" bestFit="1" customWidth="1"/>
    <col min="285" max="285" width="51.33203125" bestFit="1" customWidth="1"/>
    <col min="286" max="286" width="51.109375" bestFit="1" customWidth="1"/>
    <col min="287" max="287" width="14.21875" bestFit="1" customWidth="1"/>
    <col min="288" max="288" width="18.21875" bestFit="1" customWidth="1"/>
    <col min="289" max="289" width="65.6640625" bestFit="1" customWidth="1"/>
    <col min="290" max="290" width="31.88671875" bestFit="1" customWidth="1"/>
    <col min="291" max="291" width="43.5546875" bestFit="1" customWidth="1"/>
    <col min="292" max="292" width="49" bestFit="1" customWidth="1"/>
    <col min="293" max="293" width="43.88671875" bestFit="1" customWidth="1"/>
    <col min="294" max="294" width="42.6640625" bestFit="1" customWidth="1"/>
    <col min="295" max="295" width="46.33203125" bestFit="1" customWidth="1"/>
    <col min="296" max="296" width="69.109375" bestFit="1" customWidth="1"/>
    <col min="297" max="297" width="47.21875" bestFit="1" customWidth="1"/>
    <col min="298" max="298" width="54.6640625" bestFit="1" customWidth="1"/>
    <col min="299" max="299" width="49" bestFit="1" customWidth="1"/>
    <col min="300" max="300" width="55.21875" bestFit="1" customWidth="1"/>
    <col min="301" max="301" width="41.5546875" bestFit="1" customWidth="1"/>
    <col min="302" max="302" width="59.6640625" bestFit="1" customWidth="1"/>
    <col min="303" max="303" width="39.77734375" bestFit="1" customWidth="1"/>
    <col min="304" max="304" width="44.88671875" bestFit="1" customWidth="1"/>
    <col min="305" max="305" width="62.77734375" bestFit="1" customWidth="1"/>
    <col min="306" max="306" width="74.109375" bestFit="1" customWidth="1"/>
    <col min="307" max="307" width="59.109375" bestFit="1" customWidth="1"/>
    <col min="308" max="308" width="42.33203125" bestFit="1" customWidth="1"/>
    <col min="309" max="309" width="44.5546875" bestFit="1" customWidth="1"/>
    <col min="310" max="310" width="40.109375" bestFit="1" customWidth="1"/>
    <col min="311" max="311" width="31.33203125" bestFit="1" customWidth="1"/>
    <col min="312" max="312" width="48.6640625" bestFit="1" customWidth="1"/>
    <col min="313" max="313" width="41.6640625" bestFit="1" customWidth="1"/>
    <col min="314" max="314" width="35.21875" bestFit="1" customWidth="1"/>
    <col min="315" max="315" width="49.44140625" bestFit="1" customWidth="1"/>
    <col min="316" max="316" width="46.77734375" bestFit="1" customWidth="1"/>
    <col min="317" max="317" width="46.33203125" bestFit="1" customWidth="1"/>
    <col min="318" max="318" width="53.77734375" bestFit="1" customWidth="1"/>
    <col min="319" max="319" width="44.6640625" bestFit="1" customWidth="1"/>
    <col min="320" max="320" width="42.77734375" bestFit="1" customWidth="1"/>
    <col min="321" max="321" width="73.44140625" bestFit="1" customWidth="1"/>
    <col min="322" max="322" width="67.109375" bestFit="1" customWidth="1"/>
    <col min="323" max="323" width="32.21875" bestFit="1" customWidth="1"/>
    <col min="324" max="324" width="50.21875" bestFit="1" customWidth="1"/>
    <col min="325" max="325" width="65.77734375" bestFit="1" customWidth="1"/>
    <col min="326" max="326" width="48.5546875" bestFit="1" customWidth="1"/>
    <col min="327" max="327" width="53.77734375" bestFit="1" customWidth="1"/>
    <col min="328" max="328" width="26.109375" bestFit="1" customWidth="1"/>
    <col min="329" max="329" width="28.6640625" bestFit="1" customWidth="1"/>
    <col min="330" max="330" width="38.33203125" bestFit="1" customWidth="1"/>
    <col min="331" max="331" width="32.6640625" bestFit="1" customWidth="1"/>
    <col min="332" max="332" width="33.5546875" bestFit="1" customWidth="1"/>
    <col min="333" max="333" width="29.33203125" bestFit="1" customWidth="1"/>
    <col min="334" max="334" width="27.77734375" bestFit="1" customWidth="1"/>
    <col min="335" max="335" width="18.88671875" bestFit="1" customWidth="1"/>
    <col min="336" max="336" width="26.88671875" bestFit="1" customWidth="1"/>
    <col min="337" max="337" width="30.5546875" bestFit="1" customWidth="1"/>
    <col min="338" max="338" width="33.88671875" bestFit="1" customWidth="1"/>
    <col min="339" max="339" width="24.109375" bestFit="1" customWidth="1"/>
    <col min="340" max="340" width="30" bestFit="1" customWidth="1"/>
    <col min="341" max="341" width="43.88671875" bestFit="1" customWidth="1"/>
    <col min="342" max="342" width="47.77734375" bestFit="1" customWidth="1"/>
    <col min="343" max="343" width="43" bestFit="1" customWidth="1"/>
    <col min="344" max="344" width="26.33203125" bestFit="1" customWidth="1"/>
    <col min="345" max="345" width="39.109375" bestFit="1" customWidth="1"/>
    <col min="346" max="346" width="55.21875" bestFit="1" customWidth="1"/>
    <col min="347" max="347" width="43.109375" bestFit="1" customWidth="1"/>
    <col min="348" max="348" width="42.33203125" bestFit="1" customWidth="1"/>
    <col min="349" max="349" width="33.77734375" bestFit="1" customWidth="1"/>
    <col min="350" max="350" width="33.88671875" bestFit="1" customWidth="1"/>
    <col min="351" max="351" width="37.21875" bestFit="1" customWidth="1"/>
    <col min="352" max="352" width="49.33203125" bestFit="1" customWidth="1"/>
    <col min="353" max="353" width="62.77734375" bestFit="1" customWidth="1"/>
    <col min="354" max="354" width="54.5546875" bestFit="1" customWidth="1"/>
    <col min="355" max="355" width="63" bestFit="1" customWidth="1"/>
    <col min="356" max="356" width="38.88671875" bestFit="1" customWidth="1"/>
    <col min="357" max="357" width="34.109375" bestFit="1" customWidth="1"/>
    <col min="358" max="358" width="41.33203125" bestFit="1" customWidth="1"/>
    <col min="359" max="359" width="56.44140625" bestFit="1" customWidth="1"/>
    <col min="360" max="360" width="33.77734375" bestFit="1" customWidth="1"/>
    <col min="361" max="361" width="38.5546875" bestFit="1" customWidth="1"/>
    <col min="362" max="363" width="22.6640625" bestFit="1" customWidth="1"/>
    <col min="364" max="364" width="12.44140625" bestFit="1" customWidth="1"/>
    <col min="365" max="365" width="13.77734375" bestFit="1" customWidth="1"/>
    <col min="366" max="366" width="32.6640625" bestFit="1" customWidth="1"/>
    <col min="367" max="367" width="37.77734375" bestFit="1" customWidth="1"/>
    <col min="368" max="368" width="12.6640625" bestFit="1" customWidth="1"/>
    <col min="369" max="369" width="26.88671875" bestFit="1" customWidth="1"/>
    <col min="370" max="370" width="39.109375" bestFit="1" customWidth="1"/>
    <col min="371" max="371" width="16.77734375" bestFit="1" customWidth="1"/>
    <col min="372" max="372" width="53" bestFit="1" customWidth="1"/>
    <col min="373" max="373" width="60.109375" bestFit="1" customWidth="1"/>
    <col min="374" max="374" width="48.88671875" bestFit="1" customWidth="1"/>
    <col min="375" max="375" width="58.5546875" bestFit="1" customWidth="1"/>
    <col min="376" max="376" width="26.88671875" bestFit="1" customWidth="1"/>
    <col min="377" max="377" width="16.6640625" bestFit="1" customWidth="1"/>
    <col min="378" max="378" width="22.44140625" bestFit="1" customWidth="1"/>
    <col min="379" max="379" width="77.5546875" bestFit="1" customWidth="1"/>
    <col min="380" max="380" width="39" bestFit="1" customWidth="1"/>
    <col min="381" max="381" width="31.6640625" bestFit="1" customWidth="1"/>
    <col min="382" max="382" width="27.77734375" bestFit="1" customWidth="1"/>
    <col min="383" max="383" width="50.88671875" bestFit="1" customWidth="1"/>
    <col min="384" max="384" width="27.21875" bestFit="1" customWidth="1"/>
    <col min="385" max="385" width="78.5546875" bestFit="1" customWidth="1"/>
    <col min="386" max="386" width="30.109375" bestFit="1" customWidth="1"/>
    <col min="387" max="387" width="32.21875" bestFit="1" customWidth="1"/>
    <col min="388" max="388" width="37.88671875" bestFit="1" customWidth="1"/>
    <col min="389" max="389" width="24.6640625" bestFit="1" customWidth="1"/>
    <col min="390" max="390" width="37.21875" bestFit="1" customWidth="1"/>
    <col min="391" max="391" width="29.6640625" bestFit="1" customWidth="1"/>
    <col min="392" max="392" width="21.33203125" bestFit="1" customWidth="1"/>
    <col min="393" max="393" width="39.33203125" bestFit="1" customWidth="1"/>
    <col min="394" max="394" width="66.44140625" bestFit="1" customWidth="1"/>
    <col min="395" max="395" width="55.21875" bestFit="1" customWidth="1"/>
    <col min="396" max="396" width="37.21875" bestFit="1" customWidth="1"/>
    <col min="397" max="397" width="21.6640625" bestFit="1" customWidth="1"/>
    <col min="398" max="398" width="39.6640625" bestFit="1" customWidth="1"/>
    <col min="399" max="399" width="45.33203125" bestFit="1" customWidth="1"/>
    <col min="400" max="400" width="19.109375" bestFit="1" customWidth="1"/>
    <col min="401" max="401" width="30" bestFit="1" customWidth="1"/>
    <col min="402" max="402" width="70.109375" bestFit="1" customWidth="1"/>
    <col min="403" max="403" width="42.33203125" bestFit="1" customWidth="1"/>
    <col min="404" max="404" width="24.5546875" bestFit="1" customWidth="1"/>
    <col min="405" max="405" width="28.88671875" bestFit="1" customWidth="1"/>
    <col min="406" max="406" width="71.5546875" bestFit="1" customWidth="1"/>
    <col min="407" max="407" width="38.33203125" bestFit="1" customWidth="1"/>
    <col min="408" max="408" width="35.33203125" bestFit="1" customWidth="1"/>
    <col min="409" max="409" width="22.21875" bestFit="1" customWidth="1"/>
    <col min="410" max="410" width="58.88671875" bestFit="1" customWidth="1"/>
    <col min="411" max="411" width="41.109375" bestFit="1" customWidth="1"/>
    <col min="412" max="412" width="46.44140625" bestFit="1" customWidth="1"/>
    <col min="413" max="413" width="26.44140625" bestFit="1" customWidth="1"/>
    <col min="414" max="414" width="39" bestFit="1" customWidth="1"/>
    <col min="415" max="415" width="70.44140625" bestFit="1" customWidth="1"/>
    <col min="416" max="416" width="68.88671875" bestFit="1" customWidth="1"/>
    <col min="417" max="417" width="43.109375" bestFit="1" customWidth="1"/>
    <col min="418" max="418" width="59.77734375" bestFit="1" customWidth="1"/>
    <col min="419" max="419" width="36.88671875" bestFit="1" customWidth="1"/>
    <col min="420" max="420" width="39.44140625" bestFit="1" customWidth="1"/>
    <col min="421" max="421" width="61.88671875" bestFit="1" customWidth="1"/>
    <col min="422" max="422" width="55.5546875" bestFit="1" customWidth="1"/>
    <col min="423" max="423" width="30.88671875" bestFit="1" customWidth="1"/>
    <col min="424" max="424" width="39.6640625" bestFit="1" customWidth="1"/>
    <col min="425" max="425" width="37.88671875" bestFit="1" customWidth="1"/>
    <col min="426" max="426" width="27.21875" bestFit="1" customWidth="1"/>
    <col min="427" max="427" width="56.88671875" bestFit="1" customWidth="1"/>
    <col min="428" max="428" width="21.88671875" bestFit="1" customWidth="1"/>
    <col min="429" max="429" width="33.77734375" bestFit="1" customWidth="1"/>
    <col min="430" max="430" width="19.33203125" bestFit="1" customWidth="1"/>
    <col min="431" max="431" width="50.88671875" bestFit="1" customWidth="1"/>
    <col min="432" max="432" width="40.5546875" bestFit="1" customWidth="1"/>
    <col min="433" max="433" width="52.77734375" bestFit="1" customWidth="1"/>
    <col min="434" max="434" width="50.44140625" bestFit="1" customWidth="1"/>
    <col min="435" max="435" width="37.88671875" bestFit="1" customWidth="1"/>
    <col min="436" max="436" width="23.77734375" bestFit="1" customWidth="1"/>
    <col min="437" max="437" width="49.77734375" bestFit="1" customWidth="1"/>
    <col min="438" max="438" width="34.44140625" bestFit="1" customWidth="1"/>
    <col min="439" max="439" width="20.88671875" bestFit="1" customWidth="1"/>
    <col min="440" max="440" width="49" bestFit="1" customWidth="1"/>
    <col min="441" max="441" width="32.44140625" bestFit="1" customWidth="1"/>
    <col min="442" max="442" width="48.21875" bestFit="1" customWidth="1"/>
    <col min="443" max="443" width="44.44140625" bestFit="1" customWidth="1"/>
    <col min="444" max="444" width="46.33203125" bestFit="1" customWidth="1"/>
    <col min="445" max="445" width="16.33203125" bestFit="1" customWidth="1"/>
    <col min="446" max="446" width="79.109375" bestFit="1" customWidth="1"/>
    <col min="447" max="447" width="31.5546875" bestFit="1" customWidth="1"/>
    <col min="448" max="448" width="17.88671875" bestFit="1" customWidth="1"/>
    <col min="449" max="449" width="16" bestFit="1" customWidth="1"/>
    <col min="450" max="450" width="21.5546875" bestFit="1" customWidth="1"/>
    <col min="451" max="451" width="21.88671875" bestFit="1" customWidth="1"/>
    <col min="452" max="452" width="38" bestFit="1" customWidth="1"/>
    <col min="453" max="454" width="29.77734375" bestFit="1" customWidth="1"/>
    <col min="455" max="455" width="39.33203125" bestFit="1" customWidth="1"/>
    <col min="456" max="456" width="36.77734375" bestFit="1" customWidth="1"/>
    <col min="457" max="457" width="35.21875" bestFit="1" customWidth="1"/>
    <col min="458" max="458" width="42.21875" bestFit="1" customWidth="1"/>
    <col min="459" max="459" width="29.77734375" bestFit="1" customWidth="1"/>
    <col min="460" max="460" width="54.6640625" bestFit="1" customWidth="1"/>
    <col min="461" max="461" width="52.33203125" bestFit="1" customWidth="1"/>
    <col min="462" max="462" width="53.77734375" bestFit="1" customWidth="1"/>
    <col min="463" max="463" width="43.109375" bestFit="1" customWidth="1"/>
    <col min="464" max="464" width="46.77734375" bestFit="1" customWidth="1"/>
    <col min="465" max="465" width="47.21875" bestFit="1" customWidth="1"/>
    <col min="466" max="466" width="57.109375" bestFit="1" customWidth="1"/>
    <col min="467" max="467" width="44.5546875" bestFit="1" customWidth="1"/>
    <col min="468" max="468" width="44.21875" bestFit="1" customWidth="1"/>
    <col min="469" max="469" width="50.88671875" bestFit="1" customWidth="1"/>
    <col min="470" max="470" width="53.5546875" bestFit="1" customWidth="1"/>
    <col min="471" max="471" width="59.109375" bestFit="1" customWidth="1"/>
    <col min="472" max="472" width="67.77734375" bestFit="1" customWidth="1"/>
    <col min="473" max="473" width="70.109375" bestFit="1" customWidth="1"/>
    <col min="474" max="474" width="60.77734375" bestFit="1" customWidth="1"/>
    <col min="475" max="475" width="52.21875" bestFit="1" customWidth="1"/>
    <col min="476" max="476" width="42.33203125" bestFit="1" customWidth="1"/>
    <col min="477" max="477" width="26.6640625" bestFit="1" customWidth="1"/>
    <col min="478" max="478" width="27.44140625" bestFit="1" customWidth="1"/>
    <col min="479" max="479" width="22.6640625" bestFit="1" customWidth="1"/>
    <col min="480" max="480" width="37.88671875" bestFit="1" customWidth="1"/>
    <col min="481" max="481" width="42.44140625" bestFit="1" customWidth="1"/>
    <col min="482" max="482" width="38.5546875" bestFit="1" customWidth="1"/>
    <col min="483" max="483" width="39.33203125" bestFit="1" customWidth="1"/>
    <col min="484" max="484" width="54.44140625" bestFit="1" customWidth="1"/>
    <col min="485" max="485" width="29" bestFit="1" customWidth="1"/>
    <col min="486" max="486" width="60.109375" bestFit="1" customWidth="1"/>
    <col min="487" max="487" width="49.6640625" bestFit="1" customWidth="1"/>
    <col min="488" max="488" width="47.44140625" bestFit="1" customWidth="1"/>
    <col min="489" max="489" width="49" bestFit="1" customWidth="1"/>
    <col min="490" max="490" width="30.5546875" bestFit="1" customWidth="1"/>
    <col min="491" max="491" width="24.5546875" bestFit="1" customWidth="1"/>
    <col min="492" max="492" width="40.21875" bestFit="1" customWidth="1"/>
    <col min="493" max="493" width="41.109375" bestFit="1" customWidth="1"/>
    <col min="494" max="494" width="26.6640625" bestFit="1" customWidth="1"/>
    <col min="495" max="495" width="57.77734375" bestFit="1" customWidth="1"/>
    <col min="496" max="496" width="49.44140625" bestFit="1" customWidth="1"/>
    <col min="497" max="497" width="29.44140625" bestFit="1" customWidth="1"/>
    <col min="498" max="498" width="40.44140625" bestFit="1" customWidth="1"/>
    <col min="499" max="499" width="14.5546875" bestFit="1" customWidth="1"/>
    <col min="500" max="500" width="26.44140625" bestFit="1" customWidth="1"/>
    <col min="501" max="501" width="33" bestFit="1" customWidth="1"/>
    <col min="502" max="502" width="52.21875" bestFit="1" customWidth="1"/>
    <col min="503" max="503" width="43.44140625" bestFit="1" customWidth="1"/>
    <col min="504" max="504" width="57.77734375" bestFit="1" customWidth="1"/>
    <col min="505" max="505" width="43.77734375" bestFit="1" customWidth="1"/>
    <col min="506" max="506" width="46.44140625" bestFit="1" customWidth="1"/>
    <col min="507" max="507" width="27.44140625" bestFit="1" customWidth="1"/>
    <col min="508" max="508" width="43" bestFit="1" customWidth="1"/>
    <col min="509" max="509" width="33.77734375" bestFit="1" customWidth="1"/>
    <col min="510" max="510" width="42.77734375" bestFit="1" customWidth="1"/>
    <col min="511" max="511" width="52.77734375" bestFit="1" customWidth="1"/>
    <col min="512" max="512" width="41.88671875" bestFit="1" customWidth="1"/>
    <col min="513" max="513" width="52.6640625" bestFit="1" customWidth="1"/>
    <col min="514" max="514" width="59.77734375" bestFit="1" customWidth="1"/>
    <col min="515" max="515" width="40" bestFit="1" customWidth="1"/>
    <col min="516" max="516" width="27.44140625" bestFit="1" customWidth="1"/>
    <col min="517" max="517" width="51.33203125" bestFit="1" customWidth="1"/>
    <col min="518" max="518" width="83.88671875" bestFit="1" customWidth="1"/>
    <col min="519" max="519" width="49" bestFit="1" customWidth="1"/>
    <col min="520" max="520" width="45.77734375" bestFit="1" customWidth="1"/>
    <col min="521" max="521" width="57.109375" bestFit="1" customWidth="1"/>
    <col min="522" max="522" width="41.109375" bestFit="1" customWidth="1"/>
    <col min="523" max="523" width="54.109375" bestFit="1" customWidth="1"/>
    <col min="524" max="524" width="47.109375" bestFit="1" customWidth="1"/>
    <col min="525" max="525" width="21.109375" bestFit="1" customWidth="1"/>
    <col min="526" max="526" width="33.33203125" bestFit="1" customWidth="1"/>
    <col min="527" max="527" width="43.88671875" bestFit="1" customWidth="1"/>
    <col min="528" max="528" width="29.109375" bestFit="1" customWidth="1"/>
    <col min="529" max="529" width="40.109375" bestFit="1" customWidth="1"/>
    <col min="530" max="530" width="28.6640625" bestFit="1" customWidth="1"/>
    <col min="531" max="531" width="31.88671875" bestFit="1" customWidth="1"/>
    <col min="532" max="532" width="31.6640625" bestFit="1" customWidth="1"/>
    <col min="533" max="534" width="41.6640625" bestFit="1" customWidth="1"/>
    <col min="535" max="535" width="70.77734375" bestFit="1" customWidth="1"/>
    <col min="536" max="536" width="40.44140625" bestFit="1" customWidth="1"/>
    <col min="537" max="537" width="55.5546875" bestFit="1" customWidth="1"/>
    <col min="538" max="538" width="73.77734375" bestFit="1" customWidth="1"/>
    <col min="539" max="539" width="32.21875" bestFit="1" customWidth="1"/>
    <col min="540" max="540" width="31.21875" bestFit="1" customWidth="1"/>
    <col min="541" max="541" width="45.21875" bestFit="1" customWidth="1"/>
    <col min="542" max="542" width="50.44140625" bestFit="1" customWidth="1"/>
    <col min="543" max="543" width="26.33203125" bestFit="1" customWidth="1"/>
    <col min="544" max="544" width="30.77734375" bestFit="1" customWidth="1"/>
    <col min="545" max="545" width="45.21875" bestFit="1" customWidth="1"/>
    <col min="546" max="546" width="35.6640625" bestFit="1" customWidth="1"/>
    <col min="547" max="547" width="25" bestFit="1" customWidth="1"/>
    <col min="548" max="548" width="30.88671875" bestFit="1" customWidth="1"/>
    <col min="549" max="549" width="21.6640625" bestFit="1" customWidth="1"/>
    <col min="550" max="550" width="24.5546875" bestFit="1" customWidth="1"/>
    <col min="551" max="551" width="23.44140625" bestFit="1" customWidth="1"/>
    <col min="552" max="552" width="27.44140625" bestFit="1" customWidth="1"/>
    <col min="553" max="553" width="21.33203125" bestFit="1" customWidth="1"/>
    <col min="554" max="554" width="26.33203125" bestFit="1" customWidth="1"/>
    <col min="555" max="555" width="21.109375" bestFit="1" customWidth="1"/>
    <col min="556" max="556" width="46.77734375" bestFit="1" customWidth="1"/>
    <col min="557" max="557" width="52.77734375" bestFit="1" customWidth="1"/>
    <col min="558" max="558" width="30.5546875" bestFit="1" customWidth="1"/>
    <col min="559" max="559" width="27.109375" bestFit="1" customWidth="1"/>
    <col min="560" max="560" width="44.44140625" bestFit="1" customWidth="1"/>
    <col min="561" max="561" width="17.5546875" bestFit="1" customWidth="1"/>
    <col min="562" max="562" width="39.33203125" bestFit="1" customWidth="1"/>
    <col min="563" max="563" width="39.109375" bestFit="1" customWidth="1"/>
    <col min="564" max="564" width="40.44140625" bestFit="1" customWidth="1"/>
    <col min="565" max="565" width="39.33203125" bestFit="1" customWidth="1"/>
    <col min="566" max="566" width="40.44140625" bestFit="1" customWidth="1"/>
    <col min="567" max="567" width="41.21875" bestFit="1" customWidth="1"/>
    <col min="568" max="568" width="24.5546875" bestFit="1" customWidth="1"/>
    <col min="569" max="569" width="21.88671875" bestFit="1" customWidth="1"/>
    <col min="570" max="570" width="41.5546875" bestFit="1" customWidth="1"/>
    <col min="571" max="571" width="20.77734375" bestFit="1" customWidth="1"/>
    <col min="572" max="572" width="53.109375" bestFit="1" customWidth="1"/>
    <col min="573" max="573" width="23.33203125" bestFit="1" customWidth="1"/>
    <col min="574" max="574" width="26.6640625" bestFit="1" customWidth="1"/>
    <col min="575" max="575" width="24.109375" bestFit="1" customWidth="1"/>
    <col min="576" max="576" width="30.5546875" bestFit="1" customWidth="1"/>
    <col min="577" max="577" width="56.6640625" bestFit="1" customWidth="1"/>
    <col min="578" max="578" width="54.5546875" bestFit="1" customWidth="1"/>
    <col min="579" max="579" width="53.5546875" bestFit="1" customWidth="1"/>
    <col min="580" max="580" width="31.6640625" bestFit="1" customWidth="1"/>
    <col min="581" max="581" width="42.21875" bestFit="1" customWidth="1"/>
    <col min="582" max="582" width="33.109375" bestFit="1" customWidth="1"/>
    <col min="583" max="583" width="38.88671875" bestFit="1" customWidth="1"/>
    <col min="584" max="584" width="29.6640625" bestFit="1" customWidth="1"/>
    <col min="585" max="585" width="40.88671875" bestFit="1" customWidth="1"/>
    <col min="586" max="586" width="52.6640625" bestFit="1" customWidth="1"/>
    <col min="587" max="587" width="32.33203125" bestFit="1" customWidth="1"/>
    <col min="588" max="588" width="44.21875" bestFit="1" customWidth="1"/>
    <col min="589" max="589" width="34.88671875" bestFit="1" customWidth="1"/>
    <col min="590" max="590" width="52.21875" bestFit="1" customWidth="1"/>
    <col min="591" max="591" width="22.77734375" bestFit="1" customWidth="1"/>
    <col min="592" max="592" width="48.5546875" bestFit="1" customWidth="1"/>
    <col min="593" max="593" width="36.77734375" bestFit="1" customWidth="1"/>
    <col min="594" max="594" width="36" bestFit="1" customWidth="1"/>
    <col min="595" max="595" width="32.6640625" bestFit="1" customWidth="1"/>
    <col min="596" max="596" width="22.77734375" bestFit="1" customWidth="1"/>
    <col min="597" max="597" width="21.88671875" bestFit="1" customWidth="1"/>
    <col min="598" max="598" width="12.33203125" bestFit="1" customWidth="1"/>
    <col min="599" max="599" width="33.5546875" bestFit="1" customWidth="1"/>
    <col min="600" max="600" width="62.44140625" bestFit="1" customWidth="1"/>
    <col min="601" max="601" width="22.44140625" bestFit="1" customWidth="1"/>
    <col min="602" max="602" width="71.109375" bestFit="1" customWidth="1"/>
    <col min="603" max="603" width="26.6640625" bestFit="1" customWidth="1"/>
    <col min="604" max="604" width="23.44140625" bestFit="1" customWidth="1"/>
    <col min="605" max="605" width="46.44140625" bestFit="1" customWidth="1"/>
    <col min="606" max="606" width="51.109375" bestFit="1" customWidth="1"/>
    <col min="607" max="607" width="36" bestFit="1" customWidth="1"/>
    <col min="608" max="608" width="41.21875" bestFit="1" customWidth="1"/>
    <col min="609" max="609" width="33.5546875" bestFit="1" customWidth="1"/>
    <col min="610" max="610" width="24.21875" bestFit="1" customWidth="1"/>
    <col min="611" max="611" width="30.109375" bestFit="1" customWidth="1"/>
    <col min="612" max="612" width="33.44140625" bestFit="1" customWidth="1"/>
    <col min="613" max="613" width="36.77734375" bestFit="1" customWidth="1"/>
    <col min="614" max="614" width="41.109375" bestFit="1" customWidth="1"/>
    <col min="615" max="615" width="30.44140625" bestFit="1" customWidth="1"/>
    <col min="616" max="616" width="30.88671875" bestFit="1" customWidth="1"/>
    <col min="617" max="617" width="23.88671875" bestFit="1" customWidth="1"/>
    <col min="618" max="618" width="54.109375" bestFit="1" customWidth="1"/>
    <col min="619" max="619" width="53.88671875" bestFit="1" customWidth="1"/>
    <col min="620" max="620" width="30.44140625" bestFit="1" customWidth="1"/>
    <col min="621" max="621" width="38.6640625" bestFit="1" customWidth="1"/>
    <col min="622" max="622" width="36.44140625" bestFit="1" customWidth="1"/>
    <col min="623" max="623" width="30.5546875" bestFit="1" customWidth="1"/>
    <col min="624" max="624" width="38.6640625" bestFit="1" customWidth="1"/>
    <col min="625" max="625" width="37.77734375" bestFit="1" customWidth="1"/>
    <col min="626" max="626" width="43.44140625" bestFit="1" customWidth="1"/>
    <col min="627" max="627" width="41.109375" bestFit="1" customWidth="1"/>
    <col min="628" max="628" width="27.88671875" bestFit="1" customWidth="1"/>
    <col min="629" max="629" width="73.88671875" bestFit="1" customWidth="1"/>
    <col min="630" max="630" width="28.6640625" bestFit="1" customWidth="1"/>
    <col min="631" max="631" width="25.33203125" bestFit="1" customWidth="1"/>
    <col min="632" max="632" width="41.88671875" bestFit="1" customWidth="1"/>
    <col min="633" max="633" width="39" bestFit="1" customWidth="1"/>
    <col min="634" max="634" width="31.6640625" bestFit="1" customWidth="1"/>
    <col min="635" max="635" width="34.88671875" bestFit="1" customWidth="1"/>
    <col min="636" max="636" width="22.77734375" bestFit="1" customWidth="1"/>
    <col min="637" max="637" width="21.109375" bestFit="1" customWidth="1"/>
    <col min="638" max="638" width="41.33203125" bestFit="1" customWidth="1"/>
    <col min="639" max="639" width="40.21875" bestFit="1" customWidth="1"/>
    <col min="640" max="640" width="27.77734375" bestFit="1" customWidth="1"/>
    <col min="641" max="641" width="45.6640625" bestFit="1" customWidth="1"/>
    <col min="642" max="642" width="40.21875" bestFit="1" customWidth="1"/>
    <col min="643" max="643" width="14.6640625" bestFit="1" customWidth="1"/>
    <col min="644" max="644" width="53.5546875" bestFit="1" customWidth="1"/>
    <col min="645" max="645" width="61.88671875" bestFit="1" customWidth="1"/>
    <col min="646" max="646" width="32" bestFit="1" customWidth="1"/>
    <col min="647" max="647" width="46.88671875" bestFit="1" customWidth="1"/>
    <col min="648" max="648" width="54.21875" bestFit="1" customWidth="1"/>
    <col min="649" max="649" width="33.33203125" bestFit="1" customWidth="1"/>
    <col min="650" max="650" width="40.77734375" bestFit="1" customWidth="1"/>
    <col min="651" max="651" width="34.44140625" bestFit="1" customWidth="1"/>
    <col min="652" max="652" width="43.33203125" bestFit="1" customWidth="1"/>
    <col min="653" max="653" width="40" bestFit="1" customWidth="1"/>
    <col min="654" max="654" width="48.5546875" bestFit="1" customWidth="1"/>
    <col min="655" max="655" width="50.21875" bestFit="1" customWidth="1"/>
    <col min="656" max="656" width="40.109375" bestFit="1" customWidth="1"/>
    <col min="657" max="657" width="25.77734375" bestFit="1" customWidth="1"/>
    <col min="658" max="658" width="43" bestFit="1" customWidth="1"/>
    <col min="659" max="659" width="19.33203125" bestFit="1" customWidth="1"/>
    <col min="660" max="660" width="30.88671875" bestFit="1" customWidth="1"/>
    <col min="661" max="661" width="23.33203125" bestFit="1" customWidth="1"/>
    <col min="662" max="662" width="37.109375" bestFit="1" customWidth="1"/>
    <col min="663" max="663" width="45.5546875" bestFit="1" customWidth="1"/>
    <col min="664" max="664" width="34.88671875" bestFit="1" customWidth="1"/>
    <col min="665" max="665" width="36.109375" bestFit="1" customWidth="1"/>
    <col min="666" max="666" width="41.109375" bestFit="1" customWidth="1"/>
    <col min="667" max="667" width="31.5546875" bestFit="1" customWidth="1"/>
    <col min="668" max="668" width="27.21875" bestFit="1" customWidth="1"/>
    <col min="669" max="669" width="91.109375" bestFit="1" customWidth="1"/>
    <col min="670" max="670" width="23" bestFit="1" customWidth="1"/>
    <col min="671" max="671" width="20.44140625" bestFit="1" customWidth="1"/>
    <col min="672" max="672" width="58.21875" bestFit="1" customWidth="1"/>
    <col min="673" max="673" width="84.44140625" bestFit="1" customWidth="1"/>
    <col min="674" max="674" width="29.33203125" bestFit="1" customWidth="1"/>
    <col min="675" max="675" width="51.6640625" bestFit="1" customWidth="1"/>
    <col min="676" max="676" width="36.33203125" bestFit="1" customWidth="1"/>
    <col min="677" max="677" width="37.109375" bestFit="1" customWidth="1"/>
    <col min="678" max="678" width="37.5546875" bestFit="1" customWidth="1"/>
    <col min="679" max="679" width="21.33203125" bestFit="1" customWidth="1"/>
    <col min="680" max="680" width="55.21875" bestFit="1" customWidth="1"/>
    <col min="681" max="681" width="46.44140625" bestFit="1" customWidth="1"/>
    <col min="682" max="682" width="61.109375" bestFit="1" customWidth="1"/>
    <col min="683" max="683" width="26.33203125" bestFit="1" customWidth="1"/>
    <col min="684" max="684" width="27.21875" bestFit="1" customWidth="1"/>
    <col min="685" max="685" width="39.6640625" bestFit="1" customWidth="1"/>
    <col min="686" max="686" width="40.21875" bestFit="1" customWidth="1"/>
    <col min="687" max="687" width="28.88671875" bestFit="1" customWidth="1"/>
    <col min="688" max="688" width="32" bestFit="1" customWidth="1"/>
    <col min="689" max="689" width="42.21875" bestFit="1" customWidth="1"/>
    <col min="690" max="690" width="55.5546875" bestFit="1" customWidth="1"/>
    <col min="691" max="691" width="54.88671875" bestFit="1" customWidth="1"/>
    <col min="692" max="692" width="41.109375" bestFit="1" customWidth="1"/>
    <col min="693" max="693" width="35.21875" bestFit="1" customWidth="1"/>
    <col min="694" max="694" width="21.6640625" bestFit="1" customWidth="1"/>
    <col min="695" max="695" width="25" bestFit="1" customWidth="1"/>
    <col min="696" max="696" width="25.5546875" bestFit="1" customWidth="1"/>
    <col min="697" max="697" width="35" bestFit="1" customWidth="1"/>
    <col min="698" max="698" width="27.5546875" bestFit="1" customWidth="1"/>
    <col min="699" max="699" width="22.77734375" bestFit="1" customWidth="1"/>
    <col min="700" max="700" width="24.88671875" bestFit="1" customWidth="1"/>
    <col min="701" max="701" width="62.21875" bestFit="1" customWidth="1"/>
    <col min="702" max="702" width="30.21875" bestFit="1" customWidth="1"/>
    <col min="703" max="703" width="24.5546875" bestFit="1" customWidth="1"/>
    <col min="704" max="704" width="61.33203125" bestFit="1" customWidth="1"/>
    <col min="705" max="705" width="35.33203125" bestFit="1" customWidth="1"/>
    <col min="706" max="706" width="70.77734375" bestFit="1" customWidth="1"/>
    <col min="707" max="707" width="27.77734375" bestFit="1" customWidth="1"/>
    <col min="708" max="708" width="76.6640625" bestFit="1" customWidth="1"/>
    <col min="709" max="709" width="46.44140625" bestFit="1" customWidth="1"/>
    <col min="710" max="710" width="35" bestFit="1" customWidth="1"/>
    <col min="711" max="711" width="38.33203125" bestFit="1" customWidth="1"/>
    <col min="712" max="712" width="27.109375" bestFit="1" customWidth="1"/>
    <col min="713" max="714" width="50.44140625" bestFit="1" customWidth="1"/>
    <col min="715" max="715" width="50.21875" bestFit="1" customWidth="1"/>
    <col min="716" max="716" width="33.109375" bestFit="1" customWidth="1"/>
    <col min="717" max="717" width="50.88671875" bestFit="1" customWidth="1"/>
    <col min="718" max="718" width="54.88671875" bestFit="1" customWidth="1"/>
    <col min="719" max="719" width="49.77734375" bestFit="1" customWidth="1"/>
    <col min="720" max="720" width="61.6640625" bestFit="1" customWidth="1"/>
    <col min="721" max="721" width="53.77734375" bestFit="1" customWidth="1"/>
    <col min="722" max="722" width="42.6640625" bestFit="1" customWidth="1"/>
    <col min="723" max="723" width="44.21875" bestFit="1" customWidth="1"/>
    <col min="724" max="724" width="42.21875" bestFit="1" customWidth="1"/>
    <col min="725" max="725" width="57.21875" bestFit="1" customWidth="1"/>
    <col min="726" max="726" width="33.109375" bestFit="1" customWidth="1"/>
    <col min="727" max="727" width="8.5546875" bestFit="1" customWidth="1"/>
    <col min="728" max="728" width="12.77734375" bestFit="1" customWidth="1"/>
    <col min="729" max="729" width="65.21875" bestFit="1" customWidth="1"/>
    <col min="730" max="730" width="55.6640625" bestFit="1" customWidth="1"/>
    <col min="731" max="731" width="44.5546875" bestFit="1" customWidth="1"/>
    <col min="732" max="732" width="22.6640625" bestFit="1" customWidth="1"/>
    <col min="733" max="733" width="98" bestFit="1" customWidth="1"/>
    <col min="734" max="734" width="33" bestFit="1" customWidth="1"/>
    <col min="735" max="735" width="44.21875" bestFit="1" customWidth="1"/>
    <col min="736" max="736" width="32.44140625" bestFit="1" customWidth="1"/>
    <col min="737" max="737" width="33.109375" bestFit="1" customWidth="1"/>
    <col min="738" max="738" width="39" bestFit="1" customWidth="1"/>
    <col min="739" max="739" width="41.6640625" bestFit="1" customWidth="1"/>
    <col min="740" max="740" width="38.6640625" bestFit="1" customWidth="1"/>
    <col min="741" max="741" width="30" bestFit="1" customWidth="1"/>
    <col min="742" max="742" width="40.44140625" bestFit="1" customWidth="1"/>
    <col min="743" max="743" width="33.77734375" bestFit="1" customWidth="1"/>
    <col min="744" max="744" width="30.109375" bestFit="1" customWidth="1"/>
    <col min="745" max="745" width="31.21875" bestFit="1" customWidth="1"/>
    <col min="746" max="746" width="44.44140625" bestFit="1" customWidth="1"/>
    <col min="747" max="747" width="36.109375" bestFit="1" customWidth="1"/>
    <col min="748" max="748" width="41.21875" bestFit="1" customWidth="1"/>
    <col min="749" max="749" width="34.88671875" bestFit="1" customWidth="1"/>
    <col min="750" max="750" width="11.88671875" bestFit="1" customWidth="1"/>
    <col min="751" max="751" width="38.5546875" bestFit="1" customWidth="1"/>
    <col min="752" max="752" width="90.88671875" bestFit="1" customWidth="1"/>
    <col min="753" max="754" width="41.21875" bestFit="1" customWidth="1"/>
    <col min="755" max="755" width="45.33203125" bestFit="1" customWidth="1"/>
    <col min="756" max="756" width="32" bestFit="1" customWidth="1"/>
    <col min="757" max="757" width="59.77734375" bestFit="1" customWidth="1"/>
    <col min="758" max="758" width="44.6640625" bestFit="1" customWidth="1"/>
    <col min="759" max="759" width="44.21875" bestFit="1" customWidth="1"/>
    <col min="760" max="760" width="30.77734375" bestFit="1" customWidth="1"/>
    <col min="761" max="761" width="60.21875" bestFit="1" customWidth="1"/>
    <col min="762" max="762" width="43.44140625" bestFit="1" customWidth="1"/>
    <col min="763" max="763" width="56.109375" bestFit="1" customWidth="1"/>
    <col min="764" max="764" width="52.21875" bestFit="1" customWidth="1"/>
    <col min="765" max="765" width="31.88671875" bestFit="1" customWidth="1"/>
    <col min="766" max="766" width="72" bestFit="1" customWidth="1"/>
    <col min="767" max="767" width="50.21875" bestFit="1" customWidth="1"/>
    <col min="768" max="768" width="26.44140625" bestFit="1" customWidth="1"/>
    <col min="769" max="769" width="18.5546875" bestFit="1" customWidth="1"/>
    <col min="770" max="770" width="14.88671875" bestFit="1" customWidth="1"/>
    <col min="771" max="771" width="44.109375" bestFit="1" customWidth="1"/>
    <col min="772" max="772" width="40" bestFit="1" customWidth="1"/>
    <col min="773" max="773" width="15.33203125" bestFit="1" customWidth="1"/>
    <col min="774" max="774" width="47.44140625" bestFit="1" customWidth="1"/>
    <col min="775" max="775" width="46.88671875" bestFit="1" customWidth="1"/>
    <col min="776" max="776" width="42.77734375" bestFit="1" customWidth="1"/>
    <col min="777" max="777" width="31.21875" bestFit="1" customWidth="1"/>
    <col min="778" max="778" width="41.109375" bestFit="1" customWidth="1"/>
    <col min="779" max="779" width="18.33203125" bestFit="1" customWidth="1"/>
    <col min="780" max="780" width="59.109375" bestFit="1" customWidth="1"/>
    <col min="781" max="781" width="50.5546875" bestFit="1" customWidth="1"/>
    <col min="782" max="783" width="63" bestFit="1" customWidth="1"/>
    <col min="784" max="784" width="55" bestFit="1" customWidth="1"/>
    <col min="785" max="785" width="53.33203125" bestFit="1" customWidth="1"/>
    <col min="786" max="786" width="53" bestFit="1" customWidth="1"/>
    <col min="787" max="787" width="36.6640625" bestFit="1" customWidth="1"/>
    <col min="788" max="788" width="35.77734375" bestFit="1" customWidth="1"/>
    <col min="789" max="789" width="34.21875" bestFit="1" customWidth="1"/>
    <col min="790" max="790" width="24.21875" bestFit="1" customWidth="1"/>
    <col min="791" max="791" width="19.33203125" bestFit="1" customWidth="1"/>
    <col min="792" max="794" width="39" bestFit="1" customWidth="1"/>
    <col min="795" max="795" width="53.5546875" bestFit="1" customWidth="1"/>
    <col min="796" max="796" width="42.44140625" bestFit="1" customWidth="1"/>
    <col min="797" max="797" width="24.88671875" bestFit="1" customWidth="1"/>
    <col min="798" max="798" width="32.6640625" bestFit="1" customWidth="1"/>
    <col min="799" max="799" width="31.21875" bestFit="1" customWidth="1"/>
    <col min="800" max="800" width="22.44140625" bestFit="1" customWidth="1"/>
    <col min="801" max="801" width="33.33203125" bestFit="1" customWidth="1"/>
    <col min="802" max="802" width="46.88671875" bestFit="1" customWidth="1"/>
    <col min="803" max="803" width="69.44140625" bestFit="1" customWidth="1"/>
    <col min="804" max="804" width="51.33203125" bestFit="1" customWidth="1"/>
    <col min="805" max="805" width="14.6640625" bestFit="1" customWidth="1"/>
    <col min="806" max="806" width="53.77734375" bestFit="1" customWidth="1"/>
    <col min="807" max="807" width="43.5546875" bestFit="1" customWidth="1"/>
    <col min="808" max="808" width="31.109375" bestFit="1" customWidth="1"/>
    <col min="809" max="809" width="88.6640625" bestFit="1" customWidth="1"/>
    <col min="810" max="810" width="44.44140625" bestFit="1" customWidth="1"/>
    <col min="811" max="811" width="6.109375" bestFit="1" customWidth="1"/>
    <col min="812" max="812" width="40.21875" bestFit="1" customWidth="1"/>
    <col min="813" max="813" width="31.6640625" bestFit="1" customWidth="1"/>
    <col min="814" max="814" width="35.21875" bestFit="1" customWidth="1"/>
    <col min="815" max="815" width="24.5546875" bestFit="1" customWidth="1"/>
    <col min="816" max="816" width="56.109375" bestFit="1" customWidth="1"/>
    <col min="817" max="817" width="50.77734375" bestFit="1" customWidth="1"/>
    <col min="818" max="818" width="43.109375" bestFit="1" customWidth="1"/>
    <col min="819" max="819" width="49.109375" bestFit="1" customWidth="1"/>
    <col min="820" max="820" width="52.44140625" bestFit="1" customWidth="1"/>
    <col min="821" max="821" width="42.44140625" bestFit="1" customWidth="1"/>
    <col min="822" max="822" width="46.33203125" bestFit="1" customWidth="1"/>
    <col min="823" max="823" width="67.5546875" bestFit="1" customWidth="1"/>
    <col min="824" max="824" width="61.5546875" bestFit="1" customWidth="1"/>
    <col min="825" max="825" width="33" bestFit="1" customWidth="1"/>
    <col min="826" max="826" width="35.5546875" bestFit="1" customWidth="1"/>
    <col min="827" max="827" width="40.5546875" bestFit="1" customWidth="1"/>
    <col min="828" max="828" width="52.21875" bestFit="1" customWidth="1"/>
    <col min="829" max="829" width="37.109375" bestFit="1" customWidth="1"/>
    <col min="830" max="830" width="22.33203125" bestFit="1" customWidth="1"/>
    <col min="831" max="831" width="28.88671875" bestFit="1" customWidth="1"/>
    <col min="832" max="832" width="28.5546875" bestFit="1" customWidth="1"/>
    <col min="833" max="833" width="49.6640625" bestFit="1" customWidth="1"/>
    <col min="834" max="834" width="30.77734375" bestFit="1" customWidth="1"/>
    <col min="835" max="835" width="50.109375" bestFit="1" customWidth="1"/>
    <col min="836" max="836" width="36.77734375" bestFit="1" customWidth="1"/>
    <col min="837" max="837" width="50.109375" bestFit="1" customWidth="1"/>
    <col min="838" max="838" width="29.44140625" bestFit="1" customWidth="1"/>
    <col min="839" max="839" width="38.21875" bestFit="1" customWidth="1"/>
    <col min="840" max="840" width="52.44140625" bestFit="1" customWidth="1"/>
    <col min="841" max="841" width="36.33203125" bestFit="1" customWidth="1"/>
    <col min="842" max="842" width="31.6640625" bestFit="1" customWidth="1"/>
    <col min="843" max="843" width="29.109375" bestFit="1" customWidth="1"/>
    <col min="844" max="844" width="57.44140625" bestFit="1" customWidth="1"/>
    <col min="845" max="845" width="38.6640625" bestFit="1" customWidth="1"/>
    <col min="846" max="846" width="34.6640625" bestFit="1" customWidth="1"/>
    <col min="847" max="847" width="61.109375" bestFit="1" customWidth="1"/>
    <col min="848" max="848" width="46.44140625" bestFit="1" customWidth="1"/>
    <col min="849" max="849" width="26.33203125" bestFit="1" customWidth="1"/>
    <col min="850" max="850" width="15.33203125" bestFit="1" customWidth="1"/>
    <col min="851" max="851" width="62.6640625" bestFit="1" customWidth="1"/>
    <col min="852" max="852" width="30.77734375" bestFit="1" customWidth="1"/>
    <col min="853" max="853" width="29.109375" bestFit="1" customWidth="1"/>
    <col min="854" max="854" width="43.88671875" bestFit="1" customWidth="1"/>
    <col min="855" max="855" width="63.77734375" bestFit="1" customWidth="1"/>
    <col min="856" max="856" width="53.109375" bestFit="1" customWidth="1"/>
    <col min="857" max="857" width="24.88671875" bestFit="1" customWidth="1"/>
    <col min="858" max="858" width="35.6640625" bestFit="1" customWidth="1"/>
    <col min="859" max="859" width="24.88671875" bestFit="1" customWidth="1"/>
    <col min="860" max="860" width="35.5546875" bestFit="1" customWidth="1"/>
    <col min="861" max="861" width="54.109375" bestFit="1" customWidth="1"/>
    <col min="862" max="862" width="47.21875" bestFit="1" customWidth="1"/>
    <col min="863" max="863" width="32.6640625" bestFit="1" customWidth="1"/>
    <col min="864" max="864" width="29.6640625" bestFit="1" customWidth="1"/>
    <col min="865" max="865" width="29.77734375" bestFit="1" customWidth="1"/>
    <col min="866" max="866" width="27.88671875" bestFit="1" customWidth="1"/>
    <col min="867" max="867" width="35.21875" bestFit="1" customWidth="1"/>
    <col min="868" max="868" width="41.21875" bestFit="1" customWidth="1"/>
    <col min="869" max="869" width="39" bestFit="1" customWidth="1"/>
    <col min="870" max="870" width="27.44140625" bestFit="1" customWidth="1"/>
    <col min="871" max="871" width="25.21875" bestFit="1" customWidth="1"/>
    <col min="872" max="872" width="36.44140625" bestFit="1" customWidth="1"/>
    <col min="873" max="873" width="28.88671875" bestFit="1" customWidth="1"/>
    <col min="874" max="874" width="20.77734375" bestFit="1" customWidth="1"/>
    <col min="875" max="875" width="26" bestFit="1" customWidth="1"/>
    <col min="876" max="876" width="40.44140625" bestFit="1" customWidth="1"/>
    <col min="877" max="877" width="35.5546875" bestFit="1" customWidth="1"/>
    <col min="878" max="879" width="55.33203125" bestFit="1" customWidth="1"/>
    <col min="880" max="881" width="30.77734375" bestFit="1" customWidth="1"/>
    <col min="882" max="883" width="32" bestFit="1" customWidth="1"/>
    <col min="884" max="884" width="30.88671875" bestFit="1" customWidth="1"/>
    <col min="885" max="887" width="48.33203125" bestFit="1" customWidth="1"/>
    <col min="888" max="888" width="47.21875" bestFit="1" customWidth="1"/>
    <col min="889" max="889" width="61.6640625" bestFit="1" customWidth="1"/>
    <col min="890" max="890" width="73.109375" bestFit="1" customWidth="1"/>
    <col min="891" max="891" width="69.109375" bestFit="1" customWidth="1"/>
    <col min="892" max="892" width="33.88671875" bestFit="1" customWidth="1"/>
    <col min="893" max="893" width="51.6640625" bestFit="1" customWidth="1"/>
    <col min="894" max="894" width="25.21875" bestFit="1" customWidth="1"/>
    <col min="895" max="895" width="25" bestFit="1" customWidth="1"/>
    <col min="896" max="896" width="40.44140625" bestFit="1" customWidth="1"/>
    <col min="897" max="897" width="30" bestFit="1" customWidth="1"/>
    <col min="898" max="898" width="29.77734375" bestFit="1" customWidth="1"/>
    <col min="899" max="899" width="35.77734375" bestFit="1" customWidth="1"/>
    <col min="900" max="900" width="40.21875" bestFit="1" customWidth="1"/>
    <col min="901" max="901" width="29.77734375" bestFit="1" customWidth="1"/>
    <col min="902" max="902" width="27.77734375" bestFit="1" customWidth="1"/>
    <col min="903" max="903" width="23.88671875" bestFit="1" customWidth="1"/>
    <col min="904" max="904" width="42.44140625" bestFit="1" customWidth="1"/>
    <col min="905" max="905" width="33.5546875" bestFit="1" customWidth="1"/>
    <col min="906" max="906" width="40.44140625" bestFit="1" customWidth="1"/>
    <col min="907" max="907" width="41.5546875" bestFit="1" customWidth="1"/>
    <col min="908" max="908" width="16.88671875" bestFit="1" customWidth="1"/>
    <col min="909" max="909" width="13.88671875" bestFit="1" customWidth="1"/>
    <col min="910" max="910" width="16.109375" bestFit="1" customWidth="1"/>
    <col min="911" max="911" width="33.44140625" bestFit="1" customWidth="1"/>
    <col min="912" max="912" width="57.109375" bestFit="1" customWidth="1"/>
    <col min="913" max="913" width="42.21875" bestFit="1" customWidth="1"/>
    <col min="914" max="914" width="49.6640625" bestFit="1" customWidth="1"/>
    <col min="915" max="915" width="42.33203125" bestFit="1" customWidth="1"/>
    <col min="916" max="916" width="34.44140625" bestFit="1" customWidth="1"/>
    <col min="917" max="919" width="11.109375" bestFit="1" customWidth="1"/>
    <col min="920" max="920" width="10" bestFit="1" customWidth="1"/>
    <col min="921" max="928" width="11.109375" bestFit="1" customWidth="1"/>
    <col min="929" max="929" width="10" bestFit="1" customWidth="1"/>
    <col min="930" max="939" width="11.109375" bestFit="1" customWidth="1"/>
    <col min="940" max="940" width="10" bestFit="1" customWidth="1"/>
    <col min="941" max="948" width="11.109375" bestFit="1" customWidth="1"/>
    <col min="949" max="949" width="10" bestFit="1" customWidth="1"/>
    <col min="950" max="956" width="11.109375" bestFit="1" customWidth="1"/>
    <col min="957" max="957" width="10" bestFit="1" customWidth="1"/>
    <col min="958" max="959" width="11.109375" bestFit="1" customWidth="1"/>
    <col min="960" max="960" width="61.5546875" bestFit="1" customWidth="1"/>
    <col min="961" max="961" width="18.88671875" bestFit="1" customWidth="1"/>
    <col min="962" max="962" width="25.33203125" bestFit="1" customWidth="1"/>
    <col min="963" max="963" width="15.6640625" bestFit="1" customWidth="1"/>
    <col min="964" max="964" width="13.88671875" bestFit="1" customWidth="1"/>
    <col min="965" max="965" width="47.44140625" bestFit="1" customWidth="1"/>
    <col min="966" max="966" width="45.6640625" bestFit="1" customWidth="1"/>
    <col min="967" max="967" width="23.88671875" bestFit="1" customWidth="1"/>
    <col min="968" max="968" width="38.5546875" bestFit="1" customWidth="1"/>
    <col min="969" max="969" width="30.109375" bestFit="1" customWidth="1"/>
    <col min="970" max="970" width="23.88671875" bestFit="1" customWidth="1"/>
    <col min="971" max="971" width="22.6640625" bestFit="1" customWidth="1"/>
    <col min="972" max="972" width="29.44140625" bestFit="1" customWidth="1"/>
    <col min="973" max="973" width="26" bestFit="1" customWidth="1"/>
    <col min="974" max="974" width="17.5546875" bestFit="1" customWidth="1"/>
    <col min="975" max="975" width="71.5546875" bestFit="1" customWidth="1"/>
    <col min="976" max="976" width="75.6640625" bestFit="1" customWidth="1"/>
    <col min="977" max="977" width="40.44140625" bestFit="1" customWidth="1"/>
    <col min="978" max="978" width="63.44140625" bestFit="1" customWidth="1"/>
    <col min="979" max="979" width="60.77734375" bestFit="1" customWidth="1"/>
    <col min="980" max="980" width="43" bestFit="1" customWidth="1"/>
    <col min="981" max="981" width="46.109375" bestFit="1" customWidth="1"/>
    <col min="982" max="982" width="81.88671875" bestFit="1" customWidth="1"/>
    <col min="983" max="983" width="79.44140625" bestFit="1" customWidth="1"/>
    <col min="984" max="984" width="49" bestFit="1" customWidth="1"/>
    <col min="985" max="985" width="57.44140625" bestFit="1" customWidth="1"/>
    <col min="986" max="986" width="48" bestFit="1" customWidth="1"/>
    <col min="987" max="987" width="25.6640625" bestFit="1" customWidth="1"/>
    <col min="988" max="988" width="14.88671875" bestFit="1" customWidth="1"/>
    <col min="989" max="989" width="38.33203125" bestFit="1" customWidth="1"/>
    <col min="990" max="990" width="29.33203125" bestFit="1" customWidth="1"/>
    <col min="991" max="991" width="36.109375" bestFit="1" customWidth="1"/>
    <col min="992" max="992" width="16.6640625" bestFit="1" customWidth="1"/>
    <col min="993" max="993" width="15.88671875" bestFit="1" customWidth="1"/>
    <col min="994" max="995" width="19.6640625" bestFit="1" customWidth="1"/>
    <col min="996" max="996" width="21.88671875" bestFit="1" customWidth="1"/>
    <col min="997" max="997" width="34.109375" bestFit="1" customWidth="1"/>
    <col min="998" max="998" width="21.33203125" bestFit="1" customWidth="1"/>
    <col min="999" max="999" width="34.21875" bestFit="1" customWidth="1"/>
    <col min="1000" max="1000" width="46.77734375" bestFit="1" customWidth="1"/>
    <col min="1001" max="1002" width="36.44140625" bestFit="1" customWidth="1"/>
    <col min="1003" max="1003" width="38.33203125" bestFit="1" customWidth="1"/>
    <col min="1004" max="1004" width="36.44140625" bestFit="1" customWidth="1"/>
    <col min="1005" max="1005" width="46.77734375" bestFit="1" customWidth="1"/>
    <col min="1006" max="1006" width="40.21875" bestFit="1" customWidth="1"/>
    <col min="1007" max="1008" width="42.21875" bestFit="1" customWidth="1"/>
    <col min="1009" max="1009" width="45.77734375" bestFit="1" customWidth="1"/>
    <col min="1010" max="1010" width="43.88671875" bestFit="1" customWidth="1"/>
    <col min="1011" max="1011" width="48.33203125" bestFit="1" customWidth="1"/>
    <col min="1012" max="1012" width="39" bestFit="1" customWidth="1"/>
    <col min="1013" max="1013" width="47.109375" bestFit="1" customWidth="1"/>
    <col min="1014" max="1014" width="34.88671875" bestFit="1" customWidth="1"/>
    <col min="1015" max="1015" width="38.88671875" bestFit="1" customWidth="1"/>
    <col min="1016" max="1016" width="49.6640625" bestFit="1" customWidth="1"/>
    <col min="1017" max="1017" width="55.21875" bestFit="1" customWidth="1"/>
    <col min="1018" max="1018" width="47.21875" bestFit="1" customWidth="1"/>
    <col min="1019" max="1019" width="49.77734375" bestFit="1" customWidth="1"/>
    <col min="1020" max="1020" width="39.77734375" bestFit="1" customWidth="1"/>
    <col min="1021" max="1021" width="50.21875" bestFit="1" customWidth="1"/>
    <col min="1022" max="1023" width="32.33203125" bestFit="1" customWidth="1"/>
    <col min="1024" max="1024" width="33.44140625" bestFit="1" customWidth="1"/>
    <col min="1025" max="1025" width="33.77734375" bestFit="1" customWidth="1"/>
    <col min="1026" max="1026" width="34.5546875" bestFit="1" customWidth="1"/>
    <col min="1027" max="1027" width="55.6640625" bestFit="1" customWidth="1"/>
    <col min="1028" max="1028" width="94.44140625" bestFit="1" customWidth="1"/>
    <col min="1029" max="1029" width="18" bestFit="1" customWidth="1"/>
    <col min="1030" max="1030" width="20" bestFit="1" customWidth="1"/>
    <col min="1031" max="1031" width="24.6640625" bestFit="1" customWidth="1"/>
    <col min="1032" max="1032" width="20.44140625" bestFit="1" customWidth="1"/>
    <col min="1033" max="1033" width="42.6640625" bestFit="1" customWidth="1"/>
    <col min="1034" max="1034" width="32.6640625" bestFit="1" customWidth="1"/>
    <col min="1035" max="1035" width="21.33203125" bestFit="1" customWidth="1"/>
    <col min="1036" max="1036" width="26.33203125" bestFit="1" customWidth="1"/>
    <col min="1037" max="1037" width="33.77734375" bestFit="1" customWidth="1"/>
    <col min="1038" max="1038" width="46" bestFit="1" customWidth="1"/>
    <col min="1039" max="1039" width="61.33203125" bestFit="1" customWidth="1"/>
    <col min="1040" max="1040" width="65.33203125" bestFit="1" customWidth="1"/>
    <col min="1041" max="1041" width="73.33203125" bestFit="1" customWidth="1"/>
    <col min="1042" max="1042" width="39" bestFit="1" customWidth="1"/>
    <col min="1043" max="1043" width="44.5546875" bestFit="1" customWidth="1"/>
    <col min="1044" max="1044" width="36.33203125" bestFit="1" customWidth="1"/>
    <col min="1045" max="1045" width="27.5546875" bestFit="1" customWidth="1"/>
    <col min="1046" max="1046" width="18.88671875" bestFit="1" customWidth="1"/>
    <col min="1047" max="1047" width="20.88671875" bestFit="1" customWidth="1"/>
    <col min="1048" max="1048" width="16.77734375" bestFit="1" customWidth="1"/>
    <col min="1049" max="1049" width="38.6640625" bestFit="1" customWidth="1"/>
    <col min="1050" max="1050" width="43" bestFit="1" customWidth="1"/>
    <col min="1051" max="1051" width="57.21875" bestFit="1" customWidth="1"/>
    <col min="1052" max="1052" width="59" bestFit="1" customWidth="1"/>
    <col min="1053" max="1053" width="50.5546875" bestFit="1" customWidth="1"/>
    <col min="1054" max="1054" width="63.88671875" bestFit="1" customWidth="1"/>
    <col min="1055" max="1055" width="43.5546875" bestFit="1" customWidth="1"/>
    <col min="1056" max="1056" width="29" bestFit="1" customWidth="1"/>
    <col min="1057" max="1057" width="24.109375" bestFit="1" customWidth="1"/>
    <col min="1058" max="1058" width="46.33203125" bestFit="1" customWidth="1"/>
    <col min="1059" max="1059" width="55.33203125" bestFit="1" customWidth="1"/>
    <col min="1060" max="1060" width="27.44140625" bestFit="1" customWidth="1"/>
    <col min="1061" max="1061" width="43.77734375" bestFit="1" customWidth="1"/>
    <col min="1062" max="1062" width="29.109375" bestFit="1" customWidth="1"/>
    <col min="1063" max="1063" width="20" bestFit="1" customWidth="1"/>
    <col min="1064" max="1064" width="40.109375" bestFit="1" customWidth="1"/>
    <col min="1065" max="1065" width="25" bestFit="1" customWidth="1"/>
    <col min="1066" max="1066" width="22.77734375" bestFit="1" customWidth="1"/>
    <col min="1067" max="1067" width="43.44140625" bestFit="1" customWidth="1"/>
    <col min="1068" max="1068" width="33.77734375" bestFit="1" customWidth="1"/>
    <col min="1069" max="1069" width="36" bestFit="1" customWidth="1"/>
    <col min="1070" max="1070" width="42.6640625" bestFit="1" customWidth="1"/>
    <col min="1071" max="1071" width="41.5546875" bestFit="1" customWidth="1"/>
    <col min="1072" max="1072" width="41.109375" bestFit="1" customWidth="1"/>
    <col min="1073" max="1073" width="27.21875" bestFit="1" customWidth="1"/>
    <col min="1074" max="1074" width="24.109375" bestFit="1" customWidth="1"/>
    <col min="1075" max="1075" width="29.6640625" bestFit="1" customWidth="1"/>
    <col min="1076" max="1076" width="20" bestFit="1" customWidth="1"/>
    <col min="1077" max="1077" width="22.77734375" bestFit="1" customWidth="1"/>
    <col min="1078" max="1078" width="24.44140625" bestFit="1" customWidth="1"/>
    <col min="1079" max="1079" width="31.5546875" bestFit="1" customWidth="1"/>
    <col min="1080" max="1080" width="28.6640625" bestFit="1" customWidth="1"/>
    <col min="1081" max="1081" width="31.88671875" bestFit="1" customWidth="1"/>
    <col min="1082" max="1082" width="45.77734375" bestFit="1" customWidth="1"/>
    <col min="1083" max="1083" width="67.88671875" bestFit="1" customWidth="1"/>
    <col min="1084" max="1084" width="62.44140625" bestFit="1" customWidth="1"/>
    <col min="1085" max="1085" width="57.21875" bestFit="1" customWidth="1"/>
    <col min="1086" max="1086" width="42.44140625" bestFit="1" customWidth="1"/>
    <col min="1087" max="1087" width="37.109375" bestFit="1" customWidth="1"/>
    <col min="1088" max="1088" width="47.5546875" bestFit="1" customWidth="1"/>
    <col min="1089" max="1089" width="27.21875" bestFit="1" customWidth="1"/>
    <col min="1090" max="1090" width="25.77734375" bestFit="1" customWidth="1"/>
    <col min="1091" max="1091" width="25.6640625" bestFit="1" customWidth="1"/>
    <col min="1092" max="1092" width="23.44140625" bestFit="1" customWidth="1"/>
    <col min="1093" max="1093" width="14.6640625" bestFit="1" customWidth="1"/>
    <col min="1094" max="1094" width="32" bestFit="1" customWidth="1"/>
    <col min="1095" max="1095" width="35.77734375" bestFit="1" customWidth="1"/>
    <col min="1096" max="1096" width="65.6640625" bestFit="1" customWidth="1"/>
    <col min="1097" max="1097" width="57.88671875" bestFit="1" customWidth="1"/>
    <col min="1098" max="1098" width="44.88671875" bestFit="1" customWidth="1"/>
    <col min="1099" max="1099" width="56.6640625" bestFit="1" customWidth="1"/>
    <col min="1100" max="1100" width="32.44140625" bestFit="1" customWidth="1"/>
    <col min="1101" max="1101" width="36.33203125" bestFit="1" customWidth="1"/>
    <col min="1102" max="1102" width="36" bestFit="1" customWidth="1"/>
    <col min="1103" max="1103" width="72" bestFit="1" customWidth="1"/>
    <col min="1104" max="1104" width="60.109375" bestFit="1" customWidth="1"/>
    <col min="1105" max="1105" width="24.88671875" bestFit="1" customWidth="1"/>
    <col min="1106" max="1106" width="63.44140625" bestFit="1" customWidth="1"/>
    <col min="1107" max="1107" width="43.5546875" bestFit="1" customWidth="1"/>
    <col min="1108" max="1108" width="55.5546875" bestFit="1" customWidth="1"/>
    <col min="1109" max="1109" width="46.77734375" bestFit="1" customWidth="1"/>
    <col min="1110" max="1110" width="65.21875" bestFit="1" customWidth="1"/>
    <col min="1111" max="1111" width="83.5546875" bestFit="1" customWidth="1"/>
    <col min="1112" max="1112" width="34.6640625" bestFit="1" customWidth="1"/>
    <col min="1113" max="1113" width="28" bestFit="1" customWidth="1"/>
    <col min="1114" max="1114" width="57.88671875" bestFit="1" customWidth="1"/>
    <col min="1115" max="1115" width="35.6640625" bestFit="1" customWidth="1"/>
    <col min="1116" max="1116" width="26.88671875" bestFit="1" customWidth="1"/>
    <col min="1117" max="1117" width="35.5546875" bestFit="1" customWidth="1"/>
    <col min="1118" max="1118" width="46.88671875" bestFit="1" customWidth="1"/>
    <col min="1119" max="1119" width="38.21875" bestFit="1" customWidth="1"/>
    <col min="1120" max="1120" width="69.33203125" bestFit="1" customWidth="1"/>
    <col min="1121" max="1121" width="55.21875" bestFit="1" customWidth="1"/>
    <col min="1122" max="1122" width="22.6640625" bestFit="1" customWidth="1"/>
    <col min="1123" max="1123" width="37.21875" bestFit="1" customWidth="1"/>
    <col min="1124" max="1124" width="24.5546875" bestFit="1" customWidth="1"/>
    <col min="1125" max="1125" width="37.21875" bestFit="1" customWidth="1"/>
    <col min="1126" max="1126" width="51.5546875" bestFit="1" customWidth="1"/>
    <col min="1127" max="1127" width="17.88671875" bestFit="1" customWidth="1"/>
    <col min="1128" max="1128" width="33.109375" bestFit="1" customWidth="1"/>
    <col min="1129" max="1129" width="15.77734375" bestFit="1" customWidth="1"/>
    <col min="1130" max="1130" width="78.6640625" bestFit="1" customWidth="1"/>
    <col min="1131" max="1131" width="50" bestFit="1" customWidth="1"/>
    <col min="1132" max="1132" width="23.109375" bestFit="1" customWidth="1"/>
    <col min="1133" max="1133" width="26.88671875" bestFit="1" customWidth="1"/>
    <col min="1134" max="1134" width="30.21875" bestFit="1" customWidth="1"/>
    <col min="1135" max="1135" width="24.44140625" bestFit="1" customWidth="1"/>
    <col min="1136" max="1136" width="36" bestFit="1" customWidth="1"/>
    <col min="1137" max="1137" width="29.109375" bestFit="1" customWidth="1"/>
    <col min="1138" max="1138" width="18.21875" bestFit="1" customWidth="1"/>
    <col min="1139" max="1139" width="26.88671875" bestFit="1" customWidth="1"/>
    <col min="1140" max="1140" width="37.77734375" bestFit="1" customWidth="1"/>
    <col min="1141" max="1141" width="56.88671875" bestFit="1" customWidth="1"/>
    <col min="1142" max="1142" width="54.21875" bestFit="1" customWidth="1"/>
    <col min="1143" max="1143" width="74.88671875" bestFit="1" customWidth="1"/>
    <col min="1144" max="1144" width="68.6640625" bestFit="1" customWidth="1"/>
    <col min="1145" max="1145" width="62.33203125" bestFit="1" customWidth="1"/>
    <col min="1146" max="1146" width="61.21875" bestFit="1" customWidth="1"/>
    <col min="1147" max="1147" width="23.44140625" bestFit="1" customWidth="1"/>
    <col min="1148" max="1149" width="21.5546875" bestFit="1" customWidth="1"/>
    <col min="1150" max="1150" width="46.77734375" bestFit="1" customWidth="1"/>
    <col min="1151" max="1151" width="17.44140625" bestFit="1" customWidth="1"/>
    <col min="1152" max="1152" width="21.88671875" bestFit="1" customWidth="1"/>
    <col min="1153" max="1153" width="34.21875" bestFit="1" customWidth="1"/>
    <col min="1154" max="1154" width="49.33203125" bestFit="1" customWidth="1"/>
    <col min="1155" max="1155" width="16.6640625" bestFit="1" customWidth="1"/>
    <col min="1156" max="1157" width="33.77734375" bestFit="1" customWidth="1"/>
    <col min="1158" max="1160" width="48.88671875" bestFit="1" customWidth="1"/>
    <col min="1161" max="1161" width="43" bestFit="1" customWidth="1"/>
    <col min="1162" max="1162" width="36.88671875" bestFit="1" customWidth="1"/>
    <col min="1163" max="1163" width="48" bestFit="1" customWidth="1"/>
    <col min="1164" max="1164" width="48.6640625" bestFit="1" customWidth="1"/>
    <col min="1165" max="1165" width="42.77734375" bestFit="1" customWidth="1"/>
    <col min="1166" max="1166" width="33" bestFit="1" customWidth="1"/>
    <col min="1167" max="1167" width="45.21875" bestFit="1" customWidth="1"/>
    <col min="1168" max="1168" width="76.109375" bestFit="1" customWidth="1"/>
    <col min="1169" max="1169" width="28.33203125" bestFit="1" customWidth="1"/>
    <col min="1170" max="1170" width="24.88671875" bestFit="1" customWidth="1"/>
    <col min="1171" max="1171" width="59" bestFit="1" customWidth="1"/>
    <col min="1172" max="1172" width="59.44140625" bestFit="1" customWidth="1"/>
    <col min="1173" max="1173" width="37.88671875" bestFit="1" customWidth="1"/>
    <col min="1174" max="1174" width="44.109375" bestFit="1" customWidth="1"/>
    <col min="1175" max="1175" width="55.21875" bestFit="1" customWidth="1"/>
    <col min="1176" max="1176" width="54.109375" bestFit="1" customWidth="1"/>
    <col min="1177" max="1177" width="43.77734375" bestFit="1" customWidth="1"/>
    <col min="1178" max="1178" width="33.109375" bestFit="1" customWidth="1"/>
    <col min="1179" max="1179" width="47.21875" bestFit="1" customWidth="1"/>
    <col min="1180" max="1180" width="21.5546875" bestFit="1" customWidth="1"/>
    <col min="1181" max="1181" width="75.6640625" bestFit="1" customWidth="1"/>
    <col min="1182" max="1182" width="52.44140625" bestFit="1" customWidth="1"/>
    <col min="1183" max="1183" width="29.44140625" bestFit="1" customWidth="1"/>
    <col min="1184" max="1184" width="29.6640625" bestFit="1" customWidth="1"/>
    <col min="1185" max="1185" width="39.77734375" bestFit="1" customWidth="1"/>
    <col min="1186" max="1186" width="49.6640625" bestFit="1" customWidth="1"/>
    <col min="1187" max="1187" width="37.77734375" bestFit="1" customWidth="1"/>
    <col min="1188" max="1188" width="29.33203125" bestFit="1" customWidth="1"/>
    <col min="1189" max="1189" width="34.5546875" bestFit="1" customWidth="1"/>
    <col min="1190" max="1190" width="30.77734375" bestFit="1" customWidth="1"/>
    <col min="1191" max="1191" width="30.5546875" bestFit="1" customWidth="1"/>
    <col min="1192" max="1192" width="30.21875" bestFit="1" customWidth="1"/>
    <col min="1193" max="1193" width="28.5546875" bestFit="1" customWidth="1"/>
    <col min="1194" max="1194" width="27.21875" bestFit="1" customWidth="1"/>
    <col min="1195" max="1195" width="36.88671875" bestFit="1" customWidth="1"/>
    <col min="1196" max="1196" width="58.5546875" bestFit="1" customWidth="1"/>
    <col min="1197" max="1197" width="38.6640625" bestFit="1" customWidth="1"/>
    <col min="1198" max="1198" width="25" bestFit="1" customWidth="1"/>
    <col min="1199" max="1199" width="46" bestFit="1" customWidth="1"/>
    <col min="1200" max="1200" width="58.6640625" bestFit="1" customWidth="1"/>
    <col min="1201" max="1201" width="64.21875" bestFit="1" customWidth="1"/>
    <col min="1202" max="1202" width="58.6640625" bestFit="1" customWidth="1"/>
    <col min="1203" max="1203" width="42.21875" bestFit="1" customWidth="1"/>
    <col min="1204" max="1206" width="45.33203125" bestFit="1" customWidth="1"/>
    <col min="1207" max="1207" width="43.44140625" bestFit="1" customWidth="1"/>
    <col min="1208" max="1209" width="42.33203125" bestFit="1" customWidth="1"/>
    <col min="1210" max="1210" width="47.21875" bestFit="1" customWidth="1"/>
    <col min="1211" max="1211" width="35.77734375" bestFit="1" customWidth="1"/>
    <col min="1212" max="1212" width="51.6640625" bestFit="1" customWidth="1"/>
    <col min="1213" max="1213" width="50.88671875" bestFit="1" customWidth="1"/>
    <col min="1214" max="1214" width="55.6640625" bestFit="1" customWidth="1"/>
    <col min="1215" max="1215" width="39.109375" bestFit="1" customWidth="1"/>
    <col min="1216" max="1216" width="30.77734375" bestFit="1" customWidth="1"/>
    <col min="1217" max="1217" width="38.6640625" bestFit="1" customWidth="1"/>
    <col min="1218" max="1218" width="40" bestFit="1" customWidth="1"/>
    <col min="1219" max="1219" width="45" bestFit="1" customWidth="1"/>
    <col min="1220" max="1220" width="45.6640625" bestFit="1" customWidth="1"/>
    <col min="1221" max="1221" width="24.5546875" bestFit="1" customWidth="1"/>
    <col min="1222" max="1222" width="50" bestFit="1" customWidth="1"/>
    <col min="1223" max="1223" width="54.109375" bestFit="1" customWidth="1"/>
    <col min="1224" max="1224" width="14.109375" bestFit="1" customWidth="1"/>
    <col min="1225" max="1225" width="19.33203125" bestFit="1" customWidth="1"/>
    <col min="1226" max="1226" width="67.88671875" bestFit="1" customWidth="1"/>
    <col min="1227" max="1227" width="29.77734375" bestFit="1" customWidth="1"/>
    <col min="1228" max="1228" width="44.5546875" bestFit="1" customWidth="1"/>
    <col min="1229" max="1229" width="15.21875" bestFit="1" customWidth="1"/>
    <col min="1230" max="1230" width="12.6640625" bestFit="1" customWidth="1"/>
    <col min="1231" max="1231" width="13.5546875" bestFit="1" customWidth="1"/>
    <col min="1232" max="1232" width="14.6640625" bestFit="1" customWidth="1"/>
    <col min="1233" max="1233" width="24.5546875" bestFit="1" customWidth="1"/>
    <col min="1234" max="1234" width="14.88671875" bestFit="1" customWidth="1"/>
    <col min="1235" max="1235" width="7.21875" bestFit="1" customWidth="1"/>
    <col min="1236" max="1236" width="20" bestFit="1" customWidth="1"/>
    <col min="1237" max="1237" width="43.77734375" bestFit="1" customWidth="1"/>
    <col min="1238" max="1238" width="46.33203125" bestFit="1" customWidth="1"/>
    <col min="1239" max="1239" width="32.33203125" bestFit="1" customWidth="1"/>
    <col min="1240" max="1240" width="35" bestFit="1" customWidth="1"/>
    <col min="1241" max="1241" width="30.44140625" bestFit="1" customWidth="1"/>
    <col min="1242" max="1242" width="26.88671875" bestFit="1" customWidth="1"/>
    <col min="1243" max="1243" width="18" bestFit="1" customWidth="1"/>
    <col min="1244" max="1244" width="22.21875" bestFit="1" customWidth="1"/>
    <col min="1245" max="1245" width="44.44140625" bestFit="1" customWidth="1"/>
    <col min="1246" max="1246" width="39.44140625" bestFit="1" customWidth="1"/>
    <col min="1247" max="1247" width="28.88671875" bestFit="1" customWidth="1"/>
    <col min="1248" max="1248" width="29.109375" bestFit="1" customWidth="1"/>
    <col min="1249" max="1249" width="56.77734375" bestFit="1" customWidth="1"/>
    <col min="1250" max="1250" width="20" bestFit="1" customWidth="1"/>
    <col min="1251" max="1251" width="34.21875" bestFit="1" customWidth="1"/>
    <col min="1252" max="1252" width="20" bestFit="1" customWidth="1"/>
    <col min="1253" max="1253" width="43.88671875" bestFit="1" customWidth="1"/>
    <col min="1254" max="1254" width="62.44140625" bestFit="1" customWidth="1"/>
    <col min="1255" max="1255" width="36.109375" bestFit="1" customWidth="1"/>
    <col min="1256" max="1256" width="62" bestFit="1" customWidth="1"/>
    <col min="1257" max="1257" width="46.109375" bestFit="1" customWidth="1"/>
    <col min="1258" max="1258" width="72.6640625" bestFit="1" customWidth="1"/>
    <col min="1259" max="1259" width="42.6640625" bestFit="1" customWidth="1"/>
    <col min="1260" max="1260" width="38.21875" bestFit="1" customWidth="1"/>
    <col min="1261" max="1261" width="85.33203125" bestFit="1" customWidth="1"/>
    <col min="1262" max="1262" width="45" bestFit="1" customWidth="1"/>
    <col min="1263" max="1263" width="56.88671875" bestFit="1" customWidth="1"/>
    <col min="1264" max="1264" width="52.44140625" bestFit="1" customWidth="1"/>
    <col min="1265" max="1265" width="60.5546875" bestFit="1" customWidth="1"/>
    <col min="1266" max="1266" width="68.88671875" bestFit="1" customWidth="1"/>
    <col min="1267" max="1267" width="65.77734375" bestFit="1" customWidth="1"/>
    <col min="1268" max="1268" width="45" bestFit="1" customWidth="1"/>
    <col min="1269" max="1269" width="37.5546875" bestFit="1" customWidth="1"/>
    <col min="1270" max="1270" width="26.88671875" bestFit="1" customWidth="1"/>
    <col min="1271" max="1271" width="26.109375" bestFit="1" customWidth="1"/>
    <col min="1272" max="1272" width="24.6640625" bestFit="1" customWidth="1"/>
    <col min="1273" max="1273" width="20.21875" bestFit="1" customWidth="1"/>
    <col min="1274" max="1274" width="26.109375" bestFit="1" customWidth="1"/>
    <col min="1275" max="1275" width="25" bestFit="1" customWidth="1"/>
    <col min="1276" max="1276" width="67.88671875" bestFit="1" customWidth="1"/>
    <col min="1277" max="1277" width="58" bestFit="1" customWidth="1"/>
    <col min="1278" max="1278" width="39.33203125" bestFit="1" customWidth="1"/>
    <col min="1279" max="1279" width="30.77734375" bestFit="1" customWidth="1"/>
    <col min="1280" max="1280" width="38.33203125" bestFit="1" customWidth="1"/>
    <col min="1281" max="1281" width="39.77734375" bestFit="1" customWidth="1"/>
    <col min="1282" max="1282" width="21.44140625" bestFit="1" customWidth="1"/>
    <col min="1283" max="1283" width="27.88671875" bestFit="1" customWidth="1"/>
    <col min="1284" max="1284" width="67.21875" bestFit="1" customWidth="1"/>
    <col min="1285" max="1285" width="58.33203125" bestFit="1" customWidth="1"/>
    <col min="1286" max="1286" width="68.5546875" bestFit="1" customWidth="1"/>
    <col min="1287" max="1287" width="37.88671875" bestFit="1" customWidth="1"/>
    <col min="1288" max="1288" width="54.44140625" bestFit="1" customWidth="1"/>
    <col min="1289" max="1289" width="34.44140625" bestFit="1" customWidth="1"/>
    <col min="1290" max="1290" width="33.109375" bestFit="1" customWidth="1"/>
    <col min="1291" max="1291" width="30.21875" bestFit="1" customWidth="1"/>
    <col min="1292" max="1292" width="34.6640625" bestFit="1" customWidth="1"/>
    <col min="1293" max="1293" width="50.44140625" bestFit="1" customWidth="1"/>
    <col min="1294" max="1294" width="27.109375" bestFit="1" customWidth="1"/>
    <col min="1295" max="1295" width="50.109375" bestFit="1" customWidth="1"/>
    <col min="1296" max="1296" width="34.88671875" bestFit="1" customWidth="1"/>
    <col min="1297" max="1297" width="14.21875" bestFit="1" customWidth="1"/>
    <col min="1298" max="1298" width="35.77734375" bestFit="1" customWidth="1"/>
    <col min="1299" max="1300" width="49.77734375" bestFit="1" customWidth="1"/>
    <col min="1301" max="1301" width="48" bestFit="1" customWidth="1"/>
    <col min="1302" max="1302" width="20.5546875" bestFit="1" customWidth="1"/>
    <col min="1303" max="1303" width="20" bestFit="1" customWidth="1"/>
    <col min="1304" max="1304" width="25.21875" bestFit="1" customWidth="1"/>
    <col min="1305" max="1305" width="61.109375" bestFit="1" customWidth="1"/>
    <col min="1306" max="1306" width="59.77734375" bestFit="1" customWidth="1"/>
    <col min="1307" max="1307" width="62" bestFit="1" customWidth="1"/>
    <col min="1308" max="1308" width="20.77734375" bestFit="1" customWidth="1"/>
    <col min="1309" max="1309" width="25.77734375" bestFit="1" customWidth="1"/>
    <col min="1310" max="1310" width="58.21875" bestFit="1" customWidth="1"/>
    <col min="1311" max="1311" width="57.109375" bestFit="1" customWidth="1"/>
    <col min="1312" max="1312" width="45.6640625" bestFit="1" customWidth="1"/>
    <col min="1313" max="1313" width="51.109375" bestFit="1" customWidth="1"/>
    <col min="1314" max="1314" width="25.33203125" bestFit="1" customWidth="1"/>
    <col min="1315" max="1315" width="44.44140625" bestFit="1" customWidth="1"/>
    <col min="1316" max="1316" width="13.109375" bestFit="1" customWidth="1"/>
    <col min="1317" max="1317" width="13.44140625" bestFit="1" customWidth="1"/>
    <col min="1318" max="1318" width="43.109375" bestFit="1" customWidth="1"/>
    <col min="1319" max="1320" width="50.21875" bestFit="1" customWidth="1"/>
    <col min="1321" max="1321" width="53" bestFit="1" customWidth="1"/>
    <col min="1322" max="1322" width="36.88671875" bestFit="1" customWidth="1"/>
    <col min="1323" max="1323" width="51.109375" bestFit="1" customWidth="1"/>
    <col min="1324" max="1324" width="53" bestFit="1" customWidth="1"/>
    <col min="1325" max="1325" width="60.5546875" bestFit="1" customWidth="1"/>
    <col min="1326" max="1326" width="55.33203125" bestFit="1" customWidth="1"/>
    <col min="1327" max="1327" width="80" bestFit="1" customWidth="1"/>
    <col min="1328" max="1328" width="41.109375" bestFit="1" customWidth="1"/>
    <col min="1329" max="1329" width="87.77734375" bestFit="1" customWidth="1"/>
    <col min="1330" max="1330" width="53.88671875" bestFit="1" customWidth="1"/>
    <col min="1331" max="1331" width="25.6640625" bestFit="1" customWidth="1"/>
    <col min="1332" max="1332" width="45" bestFit="1" customWidth="1"/>
    <col min="1333" max="1333" width="36.44140625" bestFit="1" customWidth="1"/>
    <col min="1334" max="1334" width="42.44140625" bestFit="1" customWidth="1"/>
    <col min="1335" max="1335" width="54.6640625" bestFit="1" customWidth="1"/>
    <col min="1336" max="1336" width="29.33203125" bestFit="1" customWidth="1"/>
    <col min="1337" max="1337" width="44.88671875" bestFit="1" customWidth="1"/>
    <col min="1338" max="1338" width="60.21875" bestFit="1" customWidth="1"/>
    <col min="1339" max="1339" width="40.21875" bestFit="1" customWidth="1"/>
    <col min="1340" max="1340" width="53.77734375" bestFit="1" customWidth="1"/>
    <col min="1341" max="1341" width="34.21875" bestFit="1" customWidth="1"/>
    <col min="1342" max="1342" width="34.6640625" bestFit="1" customWidth="1"/>
    <col min="1343" max="1343" width="56.6640625" bestFit="1" customWidth="1"/>
    <col min="1344" max="1344" width="35" bestFit="1" customWidth="1"/>
    <col min="1345" max="1345" width="40.88671875" bestFit="1" customWidth="1"/>
    <col min="1346" max="1346" width="61.6640625" bestFit="1" customWidth="1"/>
    <col min="1347" max="1347" width="26" bestFit="1" customWidth="1"/>
    <col min="1348" max="1348" width="42.77734375" bestFit="1" customWidth="1"/>
    <col min="1349" max="1349" width="55.6640625" bestFit="1" customWidth="1"/>
    <col min="1350" max="1350" width="49.109375" bestFit="1" customWidth="1"/>
    <col min="1351" max="1351" width="32.6640625" bestFit="1" customWidth="1"/>
    <col min="1352" max="1352" width="34.21875" bestFit="1" customWidth="1"/>
    <col min="1353" max="1353" width="46.44140625" bestFit="1" customWidth="1"/>
    <col min="1354" max="1354" width="43.88671875" bestFit="1" customWidth="1"/>
    <col min="1355" max="1355" width="56" bestFit="1" customWidth="1"/>
    <col min="1356" max="1356" width="34.5546875" bestFit="1" customWidth="1"/>
    <col min="1357" max="1357" width="52.44140625" bestFit="1" customWidth="1"/>
    <col min="1358" max="1358" width="60.88671875" bestFit="1" customWidth="1"/>
    <col min="1359" max="1359" width="70.21875" bestFit="1" customWidth="1"/>
    <col min="1360" max="1360" width="59" bestFit="1" customWidth="1"/>
    <col min="1361" max="1361" width="72.21875" bestFit="1" customWidth="1"/>
    <col min="1362" max="1362" width="54.5546875" bestFit="1" customWidth="1"/>
    <col min="1363" max="1363" width="63.77734375" bestFit="1" customWidth="1"/>
    <col min="1364" max="1364" width="38.21875" bestFit="1" customWidth="1"/>
    <col min="1365" max="1365" width="49.44140625" bestFit="1" customWidth="1"/>
    <col min="1366" max="1366" width="33" bestFit="1" customWidth="1"/>
    <col min="1367" max="1375" width="11.109375" bestFit="1" customWidth="1"/>
    <col min="1376" max="1376" width="10" bestFit="1" customWidth="1"/>
    <col min="1377" max="1385" width="11.109375" bestFit="1" customWidth="1"/>
    <col min="1387" max="1387" width="10" bestFit="1" customWidth="1"/>
    <col min="1388" max="1393" width="11.109375" bestFit="1" customWidth="1"/>
    <col min="1394" max="1394" width="10" bestFit="1" customWidth="1"/>
    <col min="1395" max="1402" width="11.109375" bestFit="1" customWidth="1"/>
    <col min="1403" max="1403" width="10" bestFit="1" customWidth="1"/>
    <col min="1404" max="1411" width="11.109375" bestFit="1" customWidth="1"/>
    <col min="1412" max="1412" width="10" bestFit="1" customWidth="1"/>
    <col min="1413" max="1419" width="11.109375" bestFit="1" customWidth="1"/>
    <col min="1420" max="1420" width="10" bestFit="1" customWidth="1"/>
    <col min="1421" max="1429" width="11.109375" bestFit="1" customWidth="1"/>
    <col min="1430" max="1430" width="10" bestFit="1" customWidth="1"/>
    <col min="1431" max="1435" width="11.109375" bestFit="1" customWidth="1"/>
    <col min="1436" max="1436" width="10" bestFit="1" customWidth="1"/>
    <col min="1437" max="1466" width="11.109375" bestFit="1" customWidth="1"/>
    <col min="1467" max="1467" width="7.77734375" bestFit="1" customWidth="1"/>
    <col min="1469" max="1469" width="10" bestFit="1" customWidth="1"/>
    <col min="1470" max="1470" width="11.109375" bestFit="1" customWidth="1"/>
    <col min="1471" max="1476" width="10" bestFit="1" customWidth="1"/>
    <col min="1478" max="1487" width="10" bestFit="1" customWidth="1"/>
    <col min="1489" max="1497" width="10" bestFit="1" customWidth="1"/>
    <col min="1499" max="1501" width="10" bestFit="1" customWidth="1"/>
    <col min="1502" max="1502" width="64.21875" bestFit="1" customWidth="1"/>
    <col min="1503" max="1503" width="26.6640625" bestFit="1" customWidth="1"/>
    <col min="1504" max="1504" width="39" bestFit="1" customWidth="1"/>
    <col min="1505" max="1505" width="27.77734375" bestFit="1" customWidth="1"/>
    <col min="1506" max="1506" width="43.77734375" bestFit="1" customWidth="1"/>
    <col min="1507" max="1507" width="45.21875" bestFit="1" customWidth="1"/>
    <col min="1508" max="1509" width="50" bestFit="1" customWidth="1"/>
    <col min="1510" max="1510" width="33.77734375" bestFit="1" customWidth="1"/>
    <col min="1511" max="1511" width="24.5546875" bestFit="1" customWidth="1"/>
    <col min="1512" max="1512" width="10.44140625" bestFit="1" customWidth="1"/>
  </cols>
  <sheetData>
    <row r="2" spans="2:17" x14ac:dyDescent="0.3">
      <c r="B2" s="33" t="s">
        <v>3290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2:17" x14ac:dyDescent="0.3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5" spans="2:17" x14ac:dyDescent="0.3">
      <c r="J5" s="21" t="s">
        <v>3291</v>
      </c>
      <c r="L5" s="21" t="s">
        <v>3292</v>
      </c>
      <c r="N5" s="21" t="s">
        <v>3293</v>
      </c>
      <c r="P5" s="21" t="s">
        <v>3294</v>
      </c>
    </row>
    <row r="6" spans="2:17" ht="25.8" x14ac:dyDescent="0.5">
      <c r="J6" s="23">
        <f>COUNTA(Base!J:JA)-1</f>
        <v>6407</v>
      </c>
      <c r="L6" s="20">
        <f>COUNTA(Base!E:E)-1</f>
        <v>3203</v>
      </c>
      <c r="N6" s="20">
        <f>COUNTA(Base!I:I)-1</f>
        <v>3203</v>
      </c>
      <c r="P6" s="20">
        <f>COUNTA(Base!G:G)-1</f>
        <v>3203</v>
      </c>
    </row>
    <row r="7" spans="2:17" x14ac:dyDescent="0.3">
      <c r="J7" s="22"/>
    </row>
    <row r="24" spans="3:16" ht="43.2" customHeight="1" x14ac:dyDescent="0.3">
      <c r="C24" s="35" t="s">
        <v>3295</v>
      </c>
      <c r="D24" s="35"/>
      <c r="E24" s="35"/>
      <c r="N24" s="35" t="s">
        <v>3298</v>
      </c>
      <c r="O24" s="35"/>
      <c r="P24" s="35"/>
    </row>
    <row r="26" spans="3:16" x14ac:dyDescent="0.3">
      <c r="C26" s="27" t="s">
        <v>3297</v>
      </c>
      <c r="D26" s="28" t="s">
        <v>2924</v>
      </c>
      <c r="E26" s="28" t="s">
        <v>3296</v>
      </c>
      <c r="N26" s="27" t="s">
        <v>2921</v>
      </c>
      <c r="O26" s="28" t="s">
        <v>3296</v>
      </c>
      <c r="P26" s="28" t="s">
        <v>2924</v>
      </c>
    </row>
    <row r="27" spans="3:16" x14ac:dyDescent="0.3">
      <c r="C27" s="24" t="s">
        <v>2111</v>
      </c>
      <c r="D27" s="25">
        <v>14345.276</v>
      </c>
      <c r="E27" s="26">
        <v>23</v>
      </c>
      <c r="N27" s="24" t="s">
        <v>2645</v>
      </c>
      <c r="O27" s="36">
        <v>1</v>
      </c>
      <c r="P27" s="37">
        <v>2.88</v>
      </c>
    </row>
    <row r="28" spans="3:16" x14ac:dyDescent="0.3">
      <c r="C28" s="24" t="s">
        <v>481</v>
      </c>
      <c r="D28" s="25">
        <v>8472.3939999999984</v>
      </c>
      <c r="E28" s="26">
        <v>32</v>
      </c>
      <c r="N28" s="24" t="s">
        <v>2322</v>
      </c>
      <c r="O28" s="36">
        <v>1</v>
      </c>
      <c r="P28" s="37">
        <v>4.1760000000000002</v>
      </c>
    </row>
    <row r="29" spans="3:16" x14ac:dyDescent="0.3">
      <c r="C29" s="24" t="s">
        <v>238</v>
      </c>
      <c r="D29" s="25">
        <v>7447.7699999999986</v>
      </c>
      <c r="E29" s="26">
        <v>51</v>
      </c>
      <c r="N29" s="24" t="s">
        <v>2821</v>
      </c>
      <c r="O29" s="36">
        <v>1</v>
      </c>
      <c r="P29" s="37">
        <v>3.75</v>
      </c>
    </row>
    <row r="30" spans="3:16" x14ac:dyDescent="0.3">
      <c r="C30" s="24" t="s">
        <v>2235</v>
      </c>
      <c r="D30" s="25">
        <v>7391.5300000000007</v>
      </c>
      <c r="E30" s="26">
        <v>35</v>
      </c>
      <c r="N30" s="24" t="s">
        <v>1486</v>
      </c>
      <c r="O30" s="36">
        <v>1</v>
      </c>
      <c r="P30" s="37">
        <v>3.08</v>
      </c>
    </row>
    <row r="31" spans="3:16" x14ac:dyDescent="0.3">
      <c r="C31" s="24" t="s">
        <v>708</v>
      </c>
      <c r="D31" s="25">
        <v>7182.7660000000014</v>
      </c>
      <c r="E31" s="26">
        <v>34</v>
      </c>
      <c r="N31" s="24" t="s">
        <v>1932</v>
      </c>
      <c r="O31" s="36">
        <v>2</v>
      </c>
      <c r="P31" s="37">
        <v>4.5439999999999996</v>
      </c>
    </row>
    <row r="32" spans="3:16" x14ac:dyDescent="0.3">
      <c r="C32" s="24" t="s">
        <v>476</v>
      </c>
      <c r="D32" s="25">
        <v>6734.2329999999993</v>
      </c>
      <c r="E32" s="26">
        <v>38</v>
      </c>
      <c r="N32" s="24" t="s">
        <v>2909</v>
      </c>
      <c r="O32" s="36">
        <v>3</v>
      </c>
      <c r="P32" s="37">
        <v>3.024</v>
      </c>
    </row>
    <row r="33" spans="3:16" x14ac:dyDescent="0.3">
      <c r="C33" s="24" t="s">
        <v>432</v>
      </c>
      <c r="D33" s="25">
        <v>6069.6440000000002</v>
      </c>
      <c r="E33" s="26">
        <v>63</v>
      </c>
      <c r="N33" s="24" t="s">
        <v>2570</v>
      </c>
      <c r="O33" s="36">
        <v>1</v>
      </c>
      <c r="P33" s="37">
        <v>1.81</v>
      </c>
    </row>
    <row r="34" spans="3:16" x14ac:dyDescent="0.3">
      <c r="C34" s="24" t="s">
        <v>1790</v>
      </c>
      <c r="D34" s="25">
        <v>5754.1720000000005</v>
      </c>
      <c r="E34" s="26">
        <v>38</v>
      </c>
      <c r="N34" s="24" t="s">
        <v>2904</v>
      </c>
      <c r="O34" s="36">
        <v>3</v>
      </c>
      <c r="P34" s="37">
        <v>4.17</v>
      </c>
    </row>
    <row r="35" spans="3:16" x14ac:dyDescent="0.3">
      <c r="C35" s="24" t="s">
        <v>1035</v>
      </c>
      <c r="D35" s="25">
        <v>5564.598500000001</v>
      </c>
      <c r="E35" s="26">
        <v>42</v>
      </c>
      <c r="N35" s="24" t="s">
        <v>2648</v>
      </c>
      <c r="O35" s="36">
        <v>2</v>
      </c>
      <c r="P35" s="37">
        <v>5.3440000000000003</v>
      </c>
    </row>
    <row r="36" spans="3:16" x14ac:dyDescent="0.3">
      <c r="C36" s="24" t="s">
        <v>853</v>
      </c>
      <c r="D36" s="25">
        <v>5523.0540000000019</v>
      </c>
      <c r="E36" s="26">
        <v>93</v>
      </c>
      <c r="N36" s="24" t="s">
        <v>1974</v>
      </c>
      <c r="O36" s="36">
        <v>3</v>
      </c>
      <c r="P36" s="37">
        <v>5.46</v>
      </c>
    </row>
    <row r="37" spans="3:16" x14ac:dyDescent="0.3">
      <c r="C37" s="24" t="s">
        <v>1148</v>
      </c>
      <c r="D37" s="25">
        <v>5347.8670000000011</v>
      </c>
      <c r="E37" s="26">
        <v>79</v>
      </c>
      <c r="N37" s="24" t="s">
        <v>1322</v>
      </c>
      <c r="O37" s="36">
        <v>2</v>
      </c>
      <c r="P37" s="37">
        <v>5.2480000000000002</v>
      </c>
    </row>
    <row r="38" spans="3:16" x14ac:dyDescent="0.3">
      <c r="C38" s="24" t="s">
        <v>1203</v>
      </c>
      <c r="D38" s="25">
        <v>5054.4819999999991</v>
      </c>
      <c r="E38" s="26">
        <v>25</v>
      </c>
      <c r="N38" s="24" t="s">
        <v>910</v>
      </c>
      <c r="O38" s="36">
        <v>2</v>
      </c>
      <c r="P38" s="37">
        <v>5.22</v>
      </c>
    </row>
    <row r="39" spans="3:16" x14ac:dyDescent="0.3">
      <c r="C39" s="24" t="s">
        <v>406</v>
      </c>
      <c r="D39" s="25">
        <v>4941.6760000000004</v>
      </c>
      <c r="E39" s="26">
        <v>26</v>
      </c>
      <c r="N39" s="24" t="s">
        <v>2731</v>
      </c>
      <c r="O39" s="36">
        <v>1</v>
      </c>
      <c r="P39" s="37">
        <v>5.5600000000000005</v>
      </c>
    </row>
    <row r="40" spans="3:16" x14ac:dyDescent="0.3">
      <c r="C40" s="24" t="s">
        <v>2089</v>
      </c>
      <c r="D40" s="25">
        <v>4909.71</v>
      </c>
      <c r="E40" s="26">
        <v>14</v>
      </c>
      <c r="N40" s="24" t="s">
        <v>668</v>
      </c>
      <c r="O40" s="36">
        <v>3</v>
      </c>
      <c r="P40" s="37">
        <v>5.67</v>
      </c>
    </row>
    <row r="41" spans="3:16" x14ac:dyDescent="0.3">
      <c r="C41" s="24" t="s">
        <v>1762</v>
      </c>
      <c r="D41" s="25">
        <v>4907.674</v>
      </c>
      <c r="E41" s="26">
        <v>39</v>
      </c>
      <c r="N41" s="24" t="s">
        <v>2840</v>
      </c>
      <c r="O41" s="36">
        <v>2</v>
      </c>
      <c r="P41" s="37">
        <v>5.68</v>
      </c>
    </row>
    <row r="42" spans="3:16" x14ac:dyDescent="0.3">
      <c r="C42" s="24" t="s">
        <v>1623</v>
      </c>
      <c r="D42" s="25">
        <v>4881.1319999999996</v>
      </c>
      <c r="E42" s="26">
        <v>17</v>
      </c>
      <c r="N42" s="24" t="s">
        <v>730</v>
      </c>
      <c r="O42" s="36">
        <v>1</v>
      </c>
      <c r="P42" s="37">
        <v>4.71</v>
      </c>
    </row>
    <row r="43" spans="3:16" x14ac:dyDescent="0.3">
      <c r="C43" s="24" t="s">
        <v>750</v>
      </c>
      <c r="D43" s="25">
        <v>4809.701</v>
      </c>
      <c r="E43" s="26">
        <v>64</v>
      </c>
      <c r="N43" s="24" t="s">
        <v>2038</v>
      </c>
      <c r="O43" s="36">
        <v>7</v>
      </c>
      <c r="P43" s="37">
        <v>5.5440000000000005</v>
      </c>
    </row>
    <row r="44" spans="3:16" x14ac:dyDescent="0.3">
      <c r="C44" s="24" t="s">
        <v>1854</v>
      </c>
      <c r="D44" s="25">
        <v>4468.3380000000006</v>
      </c>
      <c r="E44" s="26">
        <v>54</v>
      </c>
      <c r="N44" s="24" t="s">
        <v>2054</v>
      </c>
      <c r="O44" s="36">
        <v>1</v>
      </c>
      <c r="P44" s="37">
        <v>4.7300000000000004</v>
      </c>
    </row>
    <row r="45" spans="3:16" x14ac:dyDescent="0.3">
      <c r="C45" s="24" t="s">
        <v>2471</v>
      </c>
      <c r="D45" s="25">
        <v>4353.3399999999992</v>
      </c>
      <c r="E45" s="26">
        <v>17</v>
      </c>
      <c r="N45" s="24" t="s">
        <v>1432</v>
      </c>
      <c r="O45" s="36">
        <v>1</v>
      </c>
      <c r="P45" s="37">
        <v>2.0250000000000004</v>
      </c>
    </row>
    <row r="46" spans="3:16" x14ac:dyDescent="0.3">
      <c r="C46" s="24" t="s">
        <v>667</v>
      </c>
      <c r="D46" s="25">
        <v>4267.17</v>
      </c>
      <c r="E46" s="26">
        <v>20</v>
      </c>
      <c r="N46" s="24" t="s">
        <v>1830</v>
      </c>
      <c r="O46" s="36">
        <v>1</v>
      </c>
      <c r="P46" s="37">
        <v>4.9800000000000004</v>
      </c>
    </row>
    <row r="47" spans="3:16" x14ac:dyDescent="0.3">
      <c r="C47" s="29" t="s">
        <v>2922</v>
      </c>
      <c r="D47" s="30">
        <v>122426.52750000001</v>
      </c>
      <c r="E47" s="30">
        <v>804</v>
      </c>
      <c r="N47" s="38" t="s">
        <v>2922</v>
      </c>
      <c r="O47" s="39">
        <v>39</v>
      </c>
      <c r="P47" s="40">
        <v>87.605000000000004</v>
      </c>
    </row>
  </sheetData>
  <mergeCells count="3">
    <mergeCell ref="B2:Q3"/>
    <mergeCell ref="C24:E24"/>
    <mergeCell ref="N24:P24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Tabelas_Dinamicas</vt:lpstr>
      <vt:lpstr>Dashboard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Marcela Morais</cp:lastModifiedBy>
  <dcterms:created xsi:type="dcterms:W3CDTF">2016-12-01T19:06:20Z</dcterms:created>
  <dcterms:modified xsi:type="dcterms:W3CDTF">2026-01-22T03:31:36Z</dcterms:modified>
</cp:coreProperties>
</file>